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PS\Downloads\"/>
    </mc:Choice>
  </mc:AlternateContent>
  <xr:revisionPtr revIDLastSave="0" documentId="13_ncr:1_{58CE726A-EEC3-4135-B85A-B5905EE98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ap_Manager" sheetId="1" r:id="rId1"/>
    <sheet name="Sales_Harian" sheetId="2" r:id="rId2"/>
    <sheet name="SPV_Harian" sheetId="3" r:id="rId3"/>
    <sheet name="ASM_Harian" sheetId="4" r:id="rId4"/>
    <sheet name="Master_PIC" sheetId="5" r:id="rId5"/>
    <sheet name="Kamus_Kegiatan" sheetId="6" r:id="rId6"/>
    <sheet name="Pandu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07" i="4" l="1"/>
  <c r="F507" i="4"/>
  <c r="E507" i="4"/>
  <c r="D507" i="4"/>
  <c r="C507" i="4"/>
  <c r="AL506" i="4"/>
  <c r="F506" i="4"/>
  <c r="E506" i="4"/>
  <c r="D506" i="4"/>
  <c r="C506" i="4"/>
  <c r="AL505" i="4"/>
  <c r="F505" i="4"/>
  <c r="E505" i="4"/>
  <c r="D505" i="4"/>
  <c r="C505" i="4"/>
  <c r="AL504" i="4"/>
  <c r="F504" i="4"/>
  <c r="E504" i="4"/>
  <c r="D504" i="4"/>
  <c r="C504" i="4"/>
  <c r="AL503" i="4"/>
  <c r="F503" i="4"/>
  <c r="E503" i="4"/>
  <c r="D503" i="4"/>
  <c r="C503" i="4"/>
  <c r="AL502" i="4"/>
  <c r="F502" i="4"/>
  <c r="E502" i="4"/>
  <c r="D502" i="4"/>
  <c r="C502" i="4"/>
  <c r="AL501" i="4"/>
  <c r="F501" i="4"/>
  <c r="E501" i="4"/>
  <c r="D501" i="4"/>
  <c r="C501" i="4"/>
  <c r="AL500" i="4"/>
  <c r="F500" i="4"/>
  <c r="E500" i="4"/>
  <c r="D500" i="4"/>
  <c r="C500" i="4"/>
  <c r="AL499" i="4"/>
  <c r="F499" i="4"/>
  <c r="E499" i="4"/>
  <c r="D499" i="4"/>
  <c r="C499" i="4"/>
  <c r="AL498" i="4"/>
  <c r="F498" i="4"/>
  <c r="E498" i="4"/>
  <c r="D498" i="4"/>
  <c r="C498" i="4"/>
  <c r="AL497" i="4"/>
  <c r="F497" i="4"/>
  <c r="E497" i="4"/>
  <c r="D497" i="4"/>
  <c r="C497" i="4"/>
  <c r="AL496" i="4"/>
  <c r="F496" i="4"/>
  <c r="E496" i="4"/>
  <c r="D496" i="4"/>
  <c r="C496" i="4"/>
  <c r="AL495" i="4"/>
  <c r="F495" i="4"/>
  <c r="E495" i="4"/>
  <c r="D495" i="4"/>
  <c r="C495" i="4"/>
  <c r="AL494" i="4"/>
  <c r="F494" i="4"/>
  <c r="E494" i="4"/>
  <c r="D494" i="4"/>
  <c r="C494" i="4"/>
  <c r="AL493" i="4"/>
  <c r="F493" i="4"/>
  <c r="E493" i="4"/>
  <c r="D493" i="4"/>
  <c r="C493" i="4"/>
  <c r="AL492" i="4"/>
  <c r="F492" i="4"/>
  <c r="E492" i="4"/>
  <c r="D492" i="4"/>
  <c r="C492" i="4"/>
  <c r="AL491" i="4"/>
  <c r="F491" i="4"/>
  <c r="E491" i="4"/>
  <c r="D491" i="4"/>
  <c r="C491" i="4"/>
  <c r="AL490" i="4"/>
  <c r="F490" i="4"/>
  <c r="E490" i="4"/>
  <c r="D490" i="4"/>
  <c r="C490" i="4"/>
  <c r="AL489" i="4"/>
  <c r="F489" i="4"/>
  <c r="E489" i="4"/>
  <c r="D489" i="4"/>
  <c r="C489" i="4"/>
  <c r="AL488" i="4"/>
  <c r="F488" i="4"/>
  <c r="E488" i="4"/>
  <c r="D488" i="4"/>
  <c r="C488" i="4"/>
  <c r="AL487" i="4"/>
  <c r="F487" i="4"/>
  <c r="E487" i="4"/>
  <c r="D487" i="4"/>
  <c r="C487" i="4"/>
  <c r="AL486" i="4"/>
  <c r="F486" i="4"/>
  <c r="E486" i="4"/>
  <c r="D486" i="4"/>
  <c r="C486" i="4"/>
  <c r="AL485" i="4"/>
  <c r="F485" i="4"/>
  <c r="E485" i="4"/>
  <c r="D485" i="4"/>
  <c r="C485" i="4"/>
  <c r="AL484" i="4"/>
  <c r="F484" i="4"/>
  <c r="E484" i="4"/>
  <c r="D484" i="4"/>
  <c r="C484" i="4"/>
  <c r="AL483" i="4"/>
  <c r="F483" i="4"/>
  <c r="E483" i="4"/>
  <c r="D483" i="4"/>
  <c r="C483" i="4"/>
  <c r="AL482" i="4"/>
  <c r="F482" i="4"/>
  <c r="E482" i="4"/>
  <c r="D482" i="4"/>
  <c r="C482" i="4"/>
  <c r="AL481" i="4"/>
  <c r="F481" i="4"/>
  <c r="E481" i="4"/>
  <c r="D481" i="4"/>
  <c r="C481" i="4"/>
  <c r="AL480" i="4"/>
  <c r="F480" i="4"/>
  <c r="E480" i="4"/>
  <c r="D480" i="4"/>
  <c r="C480" i="4"/>
  <c r="AL479" i="4"/>
  <c r="F479" i="4"/>
  <c r="E479" i="4"/>
  <c r="D479" i="4"/>
  <c r="C479" i="4"/>
  <c r="AL478" i="4"/>
  <c r="F478" i="4"/>
  <c r="E478" i="4"/>
  <c r="D478" i="4"/>
  <c r="C478" i="4"/>
  <c r="AL477" i="4"/>
  <c r="F477" i="4"/>
  <c r="E477" i="4"/>
  <c r="D477" i="4"/>
  <c r="C477" i="4"/>
  <c r="AL476" i="4"/>
  <c r="F476" i="4"/>
  <c r="E476" i="4"/>
  <c r="D476" i="4"/>
  <c r="C476" i="4"/>
  <c r="AL475" i="4"/>
  <c r="F475" i="4"/>
  <c r="E475" i="4"/>
  <c r="D475" i="4"/>
  <c r="C475" i="4"/>
  <c r="AL474" i="4"/>
  <c r="F474" i="4"/>
  <c r="E474" i="4"/>
  <c r="D474" i="4"/>
  <c r="C474" i="4"/>
  <c r="AL473" i="4"/>
  <c r="F473" i="4"/>
  <c r="E473" i="4"/>
  <c r="D473" i="4"/>
  <c r="C473" i="4"/>
  <c r="AL472" i="4"/>
  <c r="F472" i="4"/>
  <c r="E472" i="4"/>
  <c r="D472" i="4"/>
  <c r="C472" i="4"/>
  <c r="AL471" i="4"/>
  <c r="F471" i="4"/>
  <c r="E471" i="4"/>
  <c r="D471" i="4"/>
  <c r="C471" i="4"/>
  <c r="AL470" i="4"/>
  <c r="F470" i="4"/>
  <c r="E470" i="4"/>
  <c r="D470" i="4"/>
  <c r="C470" i="4"/>
  <c r="AL469" i="4"/>
  <c r="F469" i="4"/>
  <c r="E469" i="4"/>
  <c r="D469" i="4"/>
  <c r="C469" i="4"/>
  <c r="AL468" i="4"/>
  <c r="F468" i="4"/>
  <c r="E468" i="4"/>
  <c r="D468" i="4"/>
  <c r="C468" i="4"/>
  <c r="AL467" i="4"/>
  <c r="F467" i="4"/>
  <c r="E467" i="4"/>
  <c r="D467" i="4"/>
  <c r="C467" i="4"/>
  <c r="AL466" i="4"/>
  <c r="F466" i="4"/>
  <c r="E466" i="4"/>
  <c r="D466" i="4"/>
  <c r="C466" i="4"/>
  <c r="AL465" i="4"/>
  <c r="F465" i="4"/>
  <c r="E465" i="4"/>
  <c r="D465" i="4"/>
  <c r="C465" i="4"/>
  <c r="AL464" i="4"/>
  <c r="F464" i="4"/>
  <c r="E464" i="4"/>
  <c r="D464" i="4"/>
  <c r="C464" i="4"/>
  <c r="AL463" i="4"/>
  <c r="F463" i="4"/>
  <c r="E463" i="4"/>
  <c r="D463" i="4"/>
  <c r="C463" i="4"/>
  <c r="AL462" i="4"/>
  <c r="F462" i="4"/>
  <c r="E462" i="4"/>
  <c r="D462" i="4"/>
  <c r="C462" i="4"/>
  <c r="AL461" i="4"/>
  <c r="F461" i="4"/>
  <c r="E461" i="4"/>
  <c r="D461" i="4"/>
  <c r="C461" i="4"/>
  <c r="AL460" i="4"/>
  <c r="F460" i="4"/>
  <c r="E460" i="4"/>
  <c r="D460" i="4"/>
  <c r="C460" i="4"/>
  <c r="AL459" i="4"/>
  <c r="F459" i="4"/>
  <c r="E459" i="4"/>
  <c r="D459" i="4"/>
  <c r="C459" i="4"/>
  <c r="AL458" i="4"/>
  <c r="F458" i="4"/>
  <c r="E458" i="4"/>
  <c r="D458" i="4"/>
  <c r="C458" i="4"/>
  <c r="AL457" i="4"/>
  <c r="F457" i="4"/>
  <c r="E457" i="4"/>
  <c r="D457" i="4"/>
  <c r="C457" i="4"/>
  <c r="AL456" i="4"/>
  <c r="F456" i="4"/>
  <c r="E456" i="4"/>
  <c r="D456" i="4"/>
  <c r="C456" i="4"/>
  <c r="AL455" i="4"/>
  <c r="F455" i="4"/>
  <c r="E455" i="4"/>
  <c r="D455" i="4"/>
  <c r="C455" i="4"/>
  <c r="AL454" i="4"/>
  <c r="F454" i="4"/>
  <c r="E454" i="4"/>
  <c r="D454" i="4"/>
  <c r="C454" i="4"/>
  <c r="AL453" i="4"/>
  <c r="F453" i="4"/>
  <c r="E453" i="4"/>
  <c r="D453" i="4"/>
  <c r="C453" i="4"/>
  <c r="AL452" i="4"/>
  <c r="F452" i="4"/>
  <c r="E452" i="4"/>
  <c r="D452" i="4"/>
  <c r="C452" i="4"/>
  <c r="AL451" i="4"/>
  <c r="F451" i="4"/>
  <c r="E451" i="4"/>
  <c r="D451" i="4"/>
  <c r="C451" i="4"/>
  <c r="AL450" i="4"/>
  <c r="F450" i="4"/>
  <c r="E450" i="4"/>
  <c r="D450" i="4"/>
  <c r="C450" i="4"/>
  <c r="AL449" i="4"/>
  <c r="F449" i="4"/>
  <c r="E449" i="4"/>
  <c r="D449" i="4"/>
  <c r="C449" i="4"/>
  <c r="AL448" i="4"/>
  <c r="F448" i="4"/>
  <c r="E448" i="4"/>
  <c r="D448" i="4"/>
  <c r="C448" i="4"/>
  <c r="AL447" i="4"/>
  <c r="F447" i="4"/>
  <c r="E447" i="4"/>
  <c r="D447" i="4"/>
  <c r="C447" i="4"/>
  <c r="AL446" i="4"/>
  <c r="F446" i="4"/>
  <c r="E446" i="4"/>
  <c r="D446" i="4"/>
  <c r="C446" i="4"/>
  <c r="AL445" i="4"/>
  <c r="F445" i="4"/>
  <c r="E445" i="4"/>
  <c r="D445" i="4"/>
  <c r="C445" i="4"/>
  <c r="AL444" i="4"/>
  <c r="F444" i="4"/>
  <c r="E444" i="4"/>
  <c r="D444" i="4"/>
  <c r="C444" i="4"/>
  <c r="AL443" i="4"/>
  <c r="F443" i="4"/>
  <c r="E443" i="4"/>
  <c r="D443" i="4"/>
  <c r="C443" i="4"/>
  <c r="AL442" i="4"/>
  <c r="F442" i="4"/>
  <c r="E442" i="4"/>
  <c r="D442" i="4"/>
  <c r="C442" i="4"/>
  <c r="AL441" i="4"/>
  <c r="F441" i="4"/>
  <c r="E441" i="4"/>
  <c r="D441" i="4"/>
  <c r="C441" i="4"/>
  <c r="AL440" i="4"/>
  <c r="F440" i="4"/>
  <c r="E440" i="4"/>
  <c r="D440" i="4"/>
  <c r="C440" i="4"/>
  <c r="AL439" i="4"/>
  <c r="F439" i="4"/>
  <c r="E439" i="4"/>
  <c r="D439" i="4"/>
  <c r="C439" i="4"/>
  <c r="AL438" i="4"/>
  <c r="F438" i="4"/>
  <c r="E438" i="4"/>
  <c r="D438" i="4"/>
  <c r="C438" i="4"/>
  <c r="AL437" i="4"/>
  <c r="F437" i="4"/>
  <c r="E437" i="4"/>
  <c r="D437" i="4"/>
  <c r="C437" i="4"/>
  <c r="AL436" i="4"/>
  <c r="F436" i="4"/>
  <c r="E436" i="4"/>
  <c r="D436" i="4"/>
  <c r="C436" i="4"/>
  <c r="AL435" i="4"/>
  <c r="F435" i="4"/>
  <c r="E435" i="4"/>
  <c r="D435" i="4"/>
  <c r="C435" i="4"/>
  <c r="AL434" i="4"/>
  <c r="F434" i="4"/>
  <c r="E434" i="4"/>
  <c r="D434" i="4"/>
  <c r="C434" i="4"/>
  <c r="AL433" i="4"/>
  <c r="F433" i="4"/>
  <c r="E433" i="4"/>
  <c r="D433" i="4"/>
  <c r="C433" i="4"/>
  <c r="AL432" i="4"/>
  <c r="F432" i="4"/>
  <c r="E432" i="4"/>
  <c r="D432" i="4"/>
  <c r="C432" i="4"/>
  <c r="AL431" i="4"/>
  <c r="F431" i="4"/>
  <c r="E431" i="4"/>
  <c r="D431" i="4"/>
  <c r="C431" i="4"/>
  <c r="AL430" i="4"/>
  <c r="F430" i="4"/>
  <c r="E430" i="4"/>
  <c r="D430" i="4"/>
  <c r="C430" i="4"/>
  <c r="AL429" i="4"/>
  <c r="F429" i="4"/>
  <c r="E429" i="4"/>
  <c r="D429" i="4"/>
  <c r="C429" i="4"/>
  <c r="AL428" i="4"/>
  <c r="F428" i="4"/>
  <c r="E428" i="4"/>
  <c r="D428" i="4"/>
  <c r="C428" i="4"/>
  <c r="AL427" i="4"/>
  <c r="F427" i="4"/>
  <c r="E427" i="4"/>
  <c r="D427" i="4"/>
  <c r="C427" i="4"/>
  <c r="AL426" i="4"/>
  <c r="F426" i="4"/>
  <c r="E426" i="4"/>
  <c r="D426" i="4"/>
  <c r="C426" i="4"/>
  <c r="AL425" i="4"/>
  <c r="F425" i="4"/>
  <c r="E425" i="4"/>
  <c r="D425" i="4"/>
  <c r="C425" i="4"/>
  <c r="AL424" i="4"/>
  <c r="F424" i="4"/>
  <c r="E424" i="4"/>
  <c r="D424" i="4"/>
  <c r="C424" i="4"/>
  <c r="AL423" i="4"/>
  <c r="F423" i="4"/>
  <c r="E423" i="4"/>
  <c r="D423" i="4"/>
  <c r="C423" i="4"/>
  <c r="AL422" i="4"/>
  <c r="F422" i="4"/>
  <c r="E422" i="4"/>
  <c r="D422" i="4"/>
  <c r="C422" i="4"/>
  <c r="AL421" i="4"/>
  <c r="F421" i="4"/>
  <c r="E421" i="4"/>
  <c r="D421" i="4"/>
  <c r="C421" i="4"/>
  <c r="AL420" i="4"/>
  <c r="F420" i="4"/>
  <c r="E420" i="4"/>
  <c r="D420" i="4"/>
  <c r="C420" i="4"/>
  <c r="AL419" i="4"/>
  <c r="F419" i="4"/>
  <c r="E419" i="4"/>
  <c r="D419" i="4"/>
  <c r="C419" i="4"/>
  <c r="AL418" i="4"/>
  <c r="F418" i="4"/>
  <c r="E418" i="4"/>
  <c r="D418" i="4"/>
  <c r="C418" i="4"/>
  <c r="AL417" i="4"/>
  <c r="F417" i="4"/>
  <c r="E417" i="4"/>
  <c r="D417" i="4"/>
  <c r="C417" i="4"/>
  <c r="AL416" i="4"/>
  <c r="F416" i="4"/>
  <c r="E416" i="4"/>
  <c r="D416" i="4"/>
  <c r="C416" i="4"/>
  <c r="AL415" i="4"/>
  <c r="F415" i="4"/>
  <c r="E415" i="4"/>
  <c r="D415" i="4"/>
  <c r="C415" i="4"/>
  <c r="AL414" i="4"/>
  <c r="F414" i="4"/>
  <c r="E414" i="4"/>
  <c r="D414" i="4"/>
  <c r="C414" i="4"/>
  <c r="AL413" i="4"/>
  <c r="F413" i="4"/>
  <c r="E413" i="4"/>
  <c r="D413" i="4"/>
  <c r="C413" i="4"/>
  <c r="AL412" i="4"/>
  <c r="F412" i="4"/>
  <c r="E412" i="4"/>
  <c r="D412" i="4"/>
  <c r="C412" i="4"/>
  <c r="AL411" i="4"/>
  <c r="F411" i="4"/>
  <c r="E411" i="4"/>
  <c r="D411" i="4"/>
  <c r="C411" i="4"/>
  <c r="AL410" i="4"/>
  <c r="F410" i="4"/>
  <c r="E410" i="4"/>
  <c r="D410" i="4"/>
  <c r="C410" i="4"/>
  <c r="AL409" i="4"/>
  <c r="F409" i="4"/>
  <c r="E409" i="4"/>
  <c r="D409" i="4"/>
  <c r="C409" i="4"/>
  <c r="AL408" i="4"/>
  <c r="F408" i="4"/>
  <c r="E408" i="4"/>
  <c r="D408" i="4"/>
  <c r="C408" i="4"/>
  <c r="AL407" i="4"/>
  <c r="F407" i="4"/>
  <c r="E407" i="4"/>
  <c r="D407" i="4"/>
  <c r="C407" i="4"/>
  <c r="AL406" i="4"/>
  <c r="F406" i="4"/>
  <c r="E406" i="4"/>
  <c r="D406" i="4"/>
  <c r="C406" i="4"/>
  <c r="AL405" i="4"/>
  <c r="F405" i="4"/>
  <c r="E405" i="4"/>
  <c r="D405" i="4"/>
  <c r="C405" i="4"/>
  <c r="AL404" i="4"/>
  <c r="F404" i="4"/>
  <c r="E404" i="4"/>
  <c r="D404" i="4"/>
  <c r="C404" i="4"/>
  <c r="AL403" i="4"/>
  <c r="F403" i="4"/>
  <c r="E403" i="4"/>
  <c r="D403" i="4"/>
  <c r="C403" i="4"/>
  <c r="AL402" i="4"/>
  <c r="F402" i="4"/>
  <c r="E402" i="4"/>
  <c r="D402" i="4"/>
  <c r="C402" i="4"/>
  <c r="AL401" i="4"/>
  <c r="F401" i="4"/>
  <c r="E401" i="4"/>
  <c r="D401" i="4"/>
  <c r="C401" i="4"/>
  <c r="AL400" i="4"/>
  <c r="F400" i="4"/>
  <c r="E400" i="4"/>
  <c r="D400" i="4"/>
  <c r="C400" i="4"/>
  <c r="AL399" i="4"/>
  <c r="F399" i="4"/>
  <c r="E399" i="4"/>
  <c r="D399" i="4"/>
  <c r="C399" i="4"/>
  <c r="AL398" i="4"/>
  <c r="F398" i="4"/>
  <c r="E398" i="4"/>
  <c r="D398" i="4"/>
  <c r="C398" i="4"/>
  <c r="AL397" i="4"/>
  <c r="F397" i="4"/>
  <c r="E397" i="4"/>
  <c r="D397" i="4"/>
  <c r="C397" i="4"/>
  <c r="AL396" i="4"/>
  <c r="F396" i="4"/>
  <c r="E396" i="4"/>
  <c r="D396" i="4"/>
  <c r="C396" i="4"/>
  <c r="AL395" i="4"/>
  <c r="F395" i="4"/>
  <c r="E395" i="4"/>
  <c r="D395" i="4"/>
  <c r="C395" i="4"/>
  <c r="AL394" i="4"/>
  <c r="F394" i="4"/>
  <c r="E394" i="4"/>
  <c r="D394" i="4"/>
  <c r="C394" i="4"/>
  <c r="AL393" i="4"/>
  <c r="F393" i="4"/>
  <c r="E393" i="4"/>
  <c r="D393" i="4"/>
  <c r="C393" i="4"/>
  <c r="AL392" i="4"/>
  <c r="F392" i="4"/>
  <c r="E392" i="4"/>
  <c r="D392" i="4"/>
  <c r="C392" i="4"/>
  <c r="AL391" i="4"/>
  <c r="F391" i="4"/>
  <c r="E391" i="4"/>
  <c r="D391" i="4"/>
  <c r="C391" i="4"/>
  <c r="AL390" i="4"/>
  <c r="F390" i="4"/>
  <c r="E390" i="4"/>
  <c r="D390" i="4"/>
  <c r="C390" i="4"/>
  <c r="AL389" i="4"/>
  <c r="F389" i="4"/>
  <c r="E389" i="4"/>
  <c r="D389" i="4"/>
  <c r="C389" i="4"/>
  <c r="AL388" i="4"/>
  <c r="F388" i="4"/>
  <c r="E388" i="4"/>
  <c r="D388" i="4"/>
  <c r="C388" i="4"/>
  <c r="AL387" i="4"/>
  <c r="F387" i="4"/>
  <c r="E387" i="4"/>
  <c r="D387" i="4"/>
  <c r="C387" i="4"/>
  <c r="AL386" i="4"/>
  <c r="F386" i="4"/>
  <c r="E386" i="4"/>
  <c r="D386" i="4"/>
  <c r="C386" i="4"/>
  <c r="AL385" i="4"/>
  <c r="F385" i="4"/>
  <c r="E385" i="4"/>
  <c r="D385" i="4"/>
  <c r="C385" i="4"/>
  <c r="AL384" i="4"/>
  <c r="F384" i="4"/>
  <c r="E384" i="4"/>
  <c r="D384" i="4"/>
  <c r="C384" i="4"/>
  <c r="AL383" i="4"/>
  <c r="F383" i="4"/>
  <c r="E383" i="4"/>
  <c r="D383" i="4"/>
  <c r="C383" i="4"/>
  <c r="AL382" i="4"/>
  <c r="F382" i="4"/>
  <c r="E382" i="4"/>
  <c r="D382" i="4"/>
  <c r="C382" i="4"/>
  <c r="AL381" i="4"/>
  <c r="F381" i="4"/>
  <c r="E381" i="4"/>
  <c r="D381" i="4"/>
  <c r="C381" i="4"/>
  <c r="AL380" i="4"/>
  <c r="F380" i="4"/>
  <c r="E380" i="4"/>
  <c r="D380" i="4"/>
  <c r="C380" i="4"/>
  <c r="AL379" i="4"/>
  <c r="F379" i="4"/>
  <c r="E379" i="4"/>
  <c r="D379" i="4"/>
  <c r="C379" i="4"/>
  <c r="AL378" i="4"/>
  <c r="F378" i="4"/>
  <c r="E378" i="4"/>
  <c r="D378" i="4"/>
  <c r="C378" i="4"/>
  <c r="AL377" i="4"/>
  <c r="F377" i="4"/>
  <c r="E377" i="4"/>
  <c r="D377" i="4"/>
  <c r="C377" i="4"/>
  <c r="AL376" i="4"/>
  <c r="F376" i="4"/>
  <c r="E376" i="4"/>
  <c r="D376" i="4"/>
  <c r="C376" i="4"/>
  <c r="AL375" i="4"/>
  <c r="F375" i="4"/>
  <c r="E375" i="4"/>
  <c r="D375" i="4"/>
  <c r="C375" i="4"/>
  <c r="AL374" i="4"/>
  <c r="F374" i="4"/>
  <c r="E374" i="4"/>
  <c r="D374" i="4"/>
  <c r="C374" i="4"/>
  <c r="AL373" i="4"/>
  <c r="F373" i="4"/>
  <c r="E373" i="4"/>
  <c r="D373" i="4"/>
  <c r="C373" i="4"/>
  <c r="AL372" i="4"/>
  <c r="F372" i="4"/>
  <c r="E372" i="4"/>
  <c r="D372" i="4"/>
  <c r="C372" i="4"/>
  <c r="AL371" i="4"/>
  <c r="F371" i="4"/>
  <c r="E371" i="4"/>
  <c r="D371" i="4"/>
  <c r="C371" i="4"/>
  <c r="AL370" i="4"/>
  <c r="F370" i="4"/>
  <c r="E370" i="4"/>
  <c r="D370" i="4"/>
  <c r="C370" i="4"/>
  <c r="AL369" i="4"/>
  <c r="F369" i="4"/>
  <c r="E369" i="4"/>
  <c r="D369" i="4"/>
  <c r="C369" i="4"/>
  <c r="AL368" i="4"/>
  <c r="F368" i="4"/>
  <c r="E368" i="4"/>
  <c r="D368" i="4"/>
  <c r="C368" i="4"/>
  <c r="AL367" i="4"/>
  <c r="F367" i="4"/>
  <c r="E367" i="4"/>
  <c r="D367" i="4"/>
  <c r="C367" i="4"/>
  <c r="AL366" i="4"/>
  <c r="F366" i="4"/>
  <c r="E366" i="4"/>
  <c r="D366" i="4"/>
  <c r="C366" i="4"/>
  <c r="AL365" i="4"/>
  <c r="F365" i="4"/>
  <c r="E365" i="4"/>
  <c r="D365" i="4"/>
  <c r="C365" i="4"/>
  <c r="AL364" i="4"/>
  <c r="F364" i="4"/>
  <c r="E364" i="4"/>
  <c r="D364" i="4"/>
  <c r="C364" i="4"/>
  <c r="AL363" i="4"/>
  <c r="F363" i="4"/>
  <c r="E363" i="4"/>
  <c r="D363" i="4"/>
  <c r="C363" i="4"/>
  <c r="AL362" i="4"/>
  <c r="F362" i="4"/>
  <c r="E362" i="4"/>
  <c r="D362" i="4"/>
  <c r="C362" i="4"/>
  <c r="AL361" i="4"/>
  <c r="F361" i="4"/>
  <c r="E361" i="4"/>
  <c r="D361" i="4"/>
  <c r="C361" i="4"/>
  <c r="AL360" i="4"/>
  <c r="F360" i="4"/>
  <c r="E360" i="4"/>
  <c r="D360" i="4"/>
  <c r="C360" i="4"/>
  <c r="AL359" i="4"/>
  <c r="F359" i="4"/>
  <c r="E359" i="4"/>
  <c r="D359" i="4"/>
  <c r="C359" i="4"/>
  <c r="AL358" i="4"/>
  <c r="F358" i="4"/>
  <c r="E358" i="4"/>
  <c r="D358" i="4"/>
  <c r="C358" i="4"/>
  <c r="AL357" i="4"/>
  <c r="F357" i="4"/>
  <c r="E357" i="4"/>
  <c r="D357" i="4"/>
  <c r="C357" i="4"/>
  <c r="AL356" i="4"/>
  <c r="F356" i="4"/>
  <c r="E356" i="4"/>
  <c r="D356" i="4"/>
  <c r="C356" i="4"/>
  <c r="AL355" i="4"/>
  <c r="F355" i="4"/>
  <c r="E355" i="4"/>
  <c r="D355" i="4"/>
  <c r="C355" i="4"/>
  <c r="AL354" i="4"/>
  <c r="F354" i="4"/>
  <c r="E354" i="4"/>
  <c r="D354" i="4"/>
  <c r="C354" i="4"/>
  <c r="AL353" i="4"/>
  <c r="F353" i="4"/>
  <c r="E353" i="4"/>
  <c r="D353" i="4"/>
  <c r="C353" i="4"/>
  <c r="AL352" i="4"/>
  <c r="F352" i="4"/>
  <c r="E352" i="4"/>
  <c r="D352" i="4"/>
  <c r="C352" i="4"/>
  <c r="AL351" i="4"/>
  <c r="F351" i="4"/>
  <c r="E351" i="4"/>
  <c r="D351" i="4"/>
  <c r="C351" i="4"/>
  <c r="AL350" i="4"/>
  <c r="F350" i="4"/>
  <c r="E350" i="4"/>
  <c r="D350" i="4"/>
  <c r="C350" i="4"/>
  <c r="AL349" i="4"/>
  <c r="F349" i="4"/>
  <c r="E349" i="4"/>
  <c r="D349" i="4"/>
  <c r="C349" i="4"/>
  <c r="AL348" i="4"/>
  <c r="F348" i="4"/>
  <c r="E348" i="4"/>
  <c r="D348" i="4"/>
  <c r="C348" i="4"/>
  <c r="AL347" i="4"/>
  <c r="F347" i="4"/>
  <c r="E347" i="4"/>
  <c r="D347" i="4"/>
  <c r="C347" i="4"/>
  <c r="AL346" i="4"/>
  <c r="F346" i="4"/>
  <c r="E346" i="4"/>
  <c r="D346" i="4"/>
  <c r="C346" i="4"/>
  <c r="AL345" i="4"/>
  <c r="F345" i="4"/>
  <c r="E345" i="4"/>
  <c r="D345" i="4"/>
  <c r="C345" i="4"/>
  <c r="AL344" i="4"/>
  <c r="F344" i="4"/>
  <c r="E344" i="4"/>
  <c r="D344" i="4"/>
  <c r="C344" i="4"/>
  <c r="AL343" i="4"/>
  <c r="F343" i="4"/>
  <c r="E343" i="4"/>
  <c r="D343" i="4"/>
  <c r="C343" i="4"/>
  <c r="AL342" i="4"/>
  <c r="F342" i="4"/>
  <c r="E342" i="4"/>
  <c r="D342" i="4"/>
  <c r="C342" i="4"/>
  <c r="AL341" i="4"/>
  <c r="F341" i="4"/>
  <c r="E341" i="4"/>
  <c r="D341" i="4"/>
  <c r="C341" i="4"/>
  <c r="AL340" i="4"/>
  <c r="F340" i="4"/>
  <c r="E340" i="4"/>
  <c r="D340" i="4"/>
  <c r="C340" i="4"/>
  <c r="AL339" i="4"/>
  <c r="F339" i="4"/>
  <c r="E339" i="4"/>
  <c r="D339" i="4"/>
  <c r="C339" i="4"/>
  <c r="AL338" i="4"/>
  <c r="F338" i="4"/>
  <c r="E338" i="4"/>
  <c r="D338" i="4"/>
  <c r="C338" i="4"/>
  <c r="AL337" i="4"/>
  <c r="F337" i="4"/>
  <c r="E337" i="4"/>
  <c r="D337" i="4"/>
  <c r="C337" i="4"/>
  <c r="AL336" i="4"/>
  <c r="F336" i="4"/>
  <c r="E336" i="4"/>
  <c r="D336" i="4"/>
  <c r="C336" i="4"/>
  <c r="AL335" i="4"/>
  <c r="F335" i="4"/>
  <c r="E335" i="4"/>
  <c r="D335" i="4"/>
  <c r="C335" i="4"/>
  <c r="AL334" i="4"/>
  <c r="F334" i="4"/>
  <c r="E334" i="4"/>
  <c r="D334" i="4"/>
  <c r="C334" i="4"/>
  <c r="AL333" i="4"/>
  <c r="F333" i="4"/>
  <c r="E333" i="4"/>
  <c r="D333" i="4"/>
  <c r="C333" i="4"/>
  <c r="AL332" i="4"/>
  <c r="F332" i="4"/>
  <c r="E332" i="4"/>
  <c r="D332" i="4"/>
  <c r="C332" i="4"/>
  <c r="AL331" i="4"/>
  <c r="F331" i="4"/>
  <c r="E331" i="4"/>
  <c r="D331" i="4"/>
  <c r="C331" i="4"/>
  <c r="AL330" i="4"/>
  <c r="F330" i="4"/>
  <c r="E330" i="4"/>
  <c r="D330" i="4"/>
  <c r="C330" i="4"/>
  <c r="AL329" i="4"/>
  <c r="F329" i="4"/>
  <c r="E329" i="4"/>
  <c r="D329" i="4"/>
  <c r="C329" i="4"/>
  <c r="AL328" i="4"/>
  <c r="F328" i="4"/>
  <c r="E328" i="4"/>
  <c r="D328" i="4"/>
  <c r="C328" i="4"/>
  <c r="AL327" i="4"/>
  <c r="F327" i="4"/>
  <c r="E327" i="4"/>
  <c r="D327" i="4"/>
  <c r="C327" i="4"/>
  <c r="AL326" i="4"/>
  <c r="F326" i="4"/>
  <c r="E326" i="4"/>
  <c r="D326" i="4"/>
  <c r="C326" i="4"/>
  <c r="AL325" i="4"/>
  <c r="F325" i="4"/>
  <c r="E325" i="4"/>
  <c r="D325" i="4"/>
  <c r="C325" i="4"/>
  <c r="AL324" i="4"/>
  <c r="F324" i="4"/>
  <c r="E324" i="4"/>
  <c r="D324" i="4"/>
  <c r="C324" i="4"/>
  <c r="AL323" i="4"/>
  <c r="F323" i="4"/>
  <c r="E323" i="4"/>
  <c r="D323" i="4"/>
  <c r="C323" i="4"/>
  <c r="AL322" i="4"/>
  <c r="F322" i="4"/>
  <c r="E322" i="4"/>
  <c r="D322" i="4"/>
  <c r="C322" i="4"/>
  <c r="AL321" i="4"/>
  <c r="F321" i="4"/>
  <c r="E321" i="4"/>
  <c r="D321" i="4"/>
  <c r="C321" i="4"/>
  <c r="AL320" i="4"/>
  <c r="F320" i="4"/>
  <c r="E320" i="4"/>
  <c r="D320" i="4"/>
  <c r="C320" i="4"/>
  <c r="AL319" i="4"/>
  <c r="F319" i="4"/>
  <c r="E319" i="4"/>
  <c r="D319" i="4"/>
  <c r="C319" i="4"/>
  <c r="AL318" i="4"/>
  <c r="F318" i="4"/>
  <c r="E318" i="4"/>
  <c r="D318" i="4"/>
  <c r="C318" i="4"/>
  <c r="AL317" i="4"/>
  <c r="F317" i="4"/>
  <c r="E317" i="4"/>
  <c r="D317" i="4"/>
  <c r="C317" i="4"/>
  <c r="AL316" i="4"/>
  <c r="F316" i="4"/>
  <c r="E316" i="4"/>
  <c r="D316" i="4"/>
  <c r="C316" i="4"/>
  <c r="AL315" i="4"/>
  <c r="F315" i="4"/>
  <c r="E315" i="4"/>
  <c r="D315" i="4"/>
  <c r="C315" i="4"/>
  <c r="AL314" i="4"/>
  <c r="F314" i="4"/>
  <c r="E314" i="4"/>
  <c r="D314" i="4"/>
  <c r="C314" i="4"/>
  <c r="AL313" i="4"/>
  <c r="F313" i="4"/>
  <c r="E313" i="4"/>
  <c r="D313" i="4"/>
  <c r="C313" i="4"/>
  <c r="AL312" i="4"/>
  <c r="F312" i="4"/>
  <c r="E312" i="4"/>
  <c r="D312" i="4"/>
  <c r="C312" i="4"/>
  <c r="AL311" i="4"/>
  <c r="F311" i="4"/>
  <c r="E311" i="4"/>
  <c r="D311" i="4"/>
  <c r="C311" i="4"/>
  <c r="AL310" i="4"/>
  <c r="F310" i="4"/>
  <c r="E310" i="4"/>
  <c r="D310" i="4"/>
  <c r="C310" i="4"/>
  <c r="AL309" i="4"/>
  <c r="F309" i="4"/>
  <c r="E309" i="4"/>
  <c r="D309" i="4"/>
  <c r="C309" i="4"/>
  <c r="AL308" i="4"/>
  <c r="F308" i="4"/>
  <c r="E308" i="4"/>
  <c r="D308" i="4"/>
  <c r="C308" i="4"/>
  <c r="AL307" i="4"/>
  <c r="F307" i="4"/>
  <c r="E307" i="4"/>
  <c r="D307" i="4"/>
  <c r="C307" i="4"/>
  <c r="AL306" i="4"/>
  <c r="F306" i="4"/>
  <c r="E306" i="4"/>
  <c r="D306" i="4"/>
  <c r="C306" i="4"/>
  <c r="AL305" i="4"/>
  <c r="F305" i="4"/>
  <c r="E305" i="4"/>
  <c r="D305" i="4"/>
  <c r="C305" i="4"/>
  <c r="AL304" i="4"/>
  <c r="F304" i="4"/>
  <c r="E304" i="4"/>
  <c r="D304" i="4"/>
  <c r="C304" i="4"/>
  <c r="AL303" i="4"/>
  <c r="F303" i="4"/>
  <c r="E303" i="4"/>
  <c r="D303" i="4"/>
  <c r="C303" i="4"/>
  <c r="AL302" i="4"/>
  <c r="F302" i="4"/>
  <c r="E302" i="4"/>
  <c r="D302" i="4"/>
  <c r="C302" i="4"/>
  <c r="AL301" i="4"/>
  <c r="F301" i="4"/>
  <c r="E301" i="4"/>
  <c r="D301" i="4"/>
  <c r="C301" i="4"/>
  <c r="AL300" i="4"/>
  <c r="F300" i="4"/>
  <c r="E300" i="4"/>
  <c r="D300" i="4"/>
  <c r="C300" i="4"/>
  <c r="AL299" i="4"/>
  <c r="F299" i="4"/>
  <c r="E299" i="4"/>
  <c r="D299" i="4"/>
  <c r="C299" i="4"/>
  <c r="AL298" i="4"/>
  <c r="F298" i="4"/>
  <c r="E298" i="4"/>
  <c r="D298" i="4"/>
  <c r="C298" i="4"/>
  <c r="AL297" i="4"/>
  <c r="F297" i="4"/>
  <c r="E297" i="4"/>
  <c r="D297" i="4"/>
  <c r="C297" i="4"/>
  <c r="AL296" i="4"/>
  <c r="F296" i="4"/>
  <c r="E296" i="4"/>
  <c r="D296" i="4"/>
  <c r="C296" i="4"/>
  <c r="AL295" i="4"/>
  <c r="F295" i="4"/>
  <c r="E295" i="4"/>
  <c r="D295" i="4"/>
  <c r="C295" i="4"/>
  <c r="AL294" i="4"/>
  <c r="F294" i="4"/>
  <c r="E294" i="4"/>
  <c r="D294" i="4"/>
  <c r="C294" i="4"/>
  <c r="AL293" i="4"/>
  <c r="F293" i="4"/>
  <c r="E293" i="4"/>
  <c r="D293" i="4"/>
  <c r="C293" i="4"/>
  <c r="AL292" i="4"/>
  <c r="F292" i="4"/>
  <c r="E292" i="4"/>
  <c r="D292" i="4"/>
  <c r="C292" i="4"/>
  <c r="AL291" i="4"/>
  <c r="F291" i="4"/>
  <c r="E291" i="4"/>
  <c r="D291" i="4"/>
  <c r="C291" i="4"/>
  <c r="AL290" i="4"/>
  <c r="F290" i="4"/>
  <c r="E290" i="4"/>
  <c r="D290" i="4"/>
  <c r="C290" i="4"/>
  <c r="AL289" i="4"/>
  <c r="F289" i="4"/>
  <c r="E289" i="4"/>
  <c r="D289" i="4"/>
  <c r="C289" i="4"/>
  <c r="AL288" i="4"/>
  <c r="F288" i="4"/>
  <c r="E288" i="4"/>
  <c r="D288" i="4"/>
  <c r="C288" i="4"/>
  <c r="AL287" i="4"/>
  <c r="F287" i="4"/>
  <c r="E287" i="4"/>
  <c r="D287" i="4"/>
  <c r="C287" i="4"/>
  <c r="AL286" i="4"/>
  <c r="F286" i="4"/>
  <c r="E286" i="4"/>
  <c r="D286" i="4"/>
  <c r="C286" i="4"/>
  <c r="AL285" i="4"/>
  <c r="F285" i="4"/>
  <c r="E285" i="4"/>
  <c r="D285" i="4"/>
  <c r="C285" i="4"/>
  <c r="AL284" i="4"/>
  <c r="F284" i="4"/>
  <c r="E284" i="4"/>
  <c r="D284" i="4"/>
  <c r="C284" i="4"/>
  <c r="AL283" i="4"/>
  <c r="F283" i="4"/>
  <c r="E283" i="4"/>
  <c r="D283" i="4"/>
  <c r="C283" i="4"/>
  <c r="AL282" i="4"/>
  <c r="F282" i="4"/>
  <c r="E282" i="4"/>
  <c r="D282" i="4"/>
  <c r="C282" i="4"/>
  <c r="AL281" i="4"/>
  <c r="F281" i="4"/>
  <c r="E281" i="4"/>
  <c r="D281" i="4"/>
  <c r="C281" i="4"/>
  <c r="AL280" i="4"/>
  <c r="F280" i="4"/>
  <c r="E280" i="4"/>
  <c r="D280" i="4"/>
  <c r="C280" i="4"/>
  <c r="AL279" i="4"/>
  <c r="F279" i="4"/>
  <c r="E279" i="4"/>
  <c r="D279" i="4"/>
  <c r="C279" i="4"/>
  <c r="AL278" i="4"/>
  <c r="F278" i="4"/>
  <c r="E278" i="4"/>
  <c r="D278" i="4"/>
  <c r="C278" i="4"/>
  <c r="AL277" i="4"/>
  <c r="F277" i="4"/>
  <c r="E277" i="4"/>
  <c r="D277" i="4"/>
  <c r="C277" i="4"/>
  <c r="AL276" i="4"/>
  <c r="F276" i="4"/>
  <c r="E276" i="4"/>
  <c r="D276" i="4"/>
  <c r="C276" i="4"/>
  <c r="AL275" i="4"/>
  <c r="F275" i="4"/>
  <c r="E275" i="4"/>
  <c r="D275" i="4"/>
  <c r="C275" i="4"/>
  <c r="AL274" i="4"/>
  <c r="F274" i="4"/>
  <c r="E274" i="4"/>
  <c r="D274" i="4"/>
  <c r="C274" i="4"/>
  <c r="AL273" i="4"/>
  <c r="F273" i="4"/>
  <c r="E273" i="4"/>
  <c r="D273" i="4"/>
  <c r="C273" i="4"/>
  <c r="AL272" i="4"/>
  <c r="F272" i="4"/>
  <c r="E272" i="4"/>
  <c r="D272" i="4"/>
  <c r="C272" i="4"/>
  <c r="AL271" i="4"/>
  <c r="F271" i="4"/>
  <c r="E271" i="4"/>
  <c r="D271" i="4"/>
  <c r="C271" i="4"/>
  <c r="AL270" i="4"/>
  <c r="F270" i="4"/>
  <c r="E270" i="4"/>
  <c r="D270" i="4"/>
  <c r="C270" i="4"/>
  <c r="AL269" i="4"/>
  <c r="F269" i="4"/>
  <c r="E269" i="4"/>
  <c r="D269" i="4"/>
  <c r="C269" i="4"/>
  <c r="AL268" i="4"/>
  <c r="F268" i="4"/>
  <c r="E268" i="4"/>
  <c r="D268" i="4"/>
  <c r="C268" i="4"/>
  <c r="AL267" i="4"/>
  <c r="F267" i="4"/>
  <c r="E267" i="4"/>
  <c r="D267" i="4"/>
  <c r="C267" i="4"/>
  <c r="AL266" i="4"/>
  <c r="F266" i="4"/>
  <c r="E266" i="4"/>
  <c r="D266" i="4"/>
  <c r="C266" i="4"/>
  <c r="AL265" i="4"/>
  <c r="F265" i="4"/>
  <c r="E265" i="4"/>
  <c r="D265" i="4"/>
  <c r="C265" i="4"/>
  <c r="AL264" i="4"/>
  <c r="F264" i="4"/>
  <c r="E264" i="4"/>
  <c r="D264" i="4"/>
  <c r="C264" i="4"/>
  <c r="AL263" i="4"/>
  <c r="F263" i="4"/>
  <c r="E263" i="4"/>
  <c r="D263" i="4"/>
  <c r="C263" i="4"/>
  <c r="AL262" i="4"/>
  <c r="F262" i="4"/>
  <c r="E262" i="4"/>
  <c r="D262" i="4"/>
  <c r="C262" i="4"/>
  <c r="AL261" i="4"/>
  <c r="F261" i="4"/>
  <c r="E261" i="4"/>
  <c r="D261" i="4"/>
  <c r="C261" i="4"/>
  <c r="AL260" i="4"/>
  <c r="F260" i="4"/>
  <c r="E260" i="4"/>
  <c r="D260" i="4"/>
  <c r="C260" i="4"/>
  <c r="AL259" i="4"/>
  <c r="F259" i="4"/>
  <c r="E259" i="4"/>
  <c r="D259" i="4"/>
  <c r="C259" i="4"/>
  <c r="AL258" i="4"/>
  <c r="F258" i="4"/>
  <c r="E258" i="4"/>
  <c r="D258" i="4"/>
  <c r="C258" i="4"/>
  <c r="AL257" i="4"/>
  <c r="F257" i="4"/>
  <c r="E257" i="4"/>
  <c r="D257" i="4"/>
  <c r="C257" i="4"/>
  <c r="AL256" i="4"/>
  <c r="F256" i="4"/>
  <c r="E256" i="4"/>
  <c r="D256" i="4"/>
  <c r="C256" i="4"/>
  <c r="AL255" i="4"/>
  <c r="F255" i="4"/>
  <c r="E255" i="4"/>
  <c r="D255" i="4"/>
  <c r="C255" i="4"/>
  <c r="AL254" i="4"/>
  <c r="F254" i="4"/>
  <c r="E254" i="4"/>
  <c r="D254" i="4"/>
  <c r="C254" i="4"/>
  <c r="AL253" i="4"/>
  <c r="F253" i="4"/>
  <c r="E253" i="4"/>
  <c r="D253" i="4"/>
  <c r="C253" i="4"/>
  <c r="AL252" i="4"/>
  <c r="F252" i="4"/>
  <c r="E252" i="4"/>
  <c r="D252" i="4"/>
  <c r="C252" i="4"/>
  <c r="AL251" i="4"/>
  <c r="F251" i="4"/>
  <c r="E251" i="4"/>
  <c r="D251" i="4"/>
  <c r="C251" i="4"/>
  <c r="AL250" i="4"/>
  <c r="F250" i="4"/>
  <c r="E250" i="4"/>
  <c r="D250" i="4"/>
  <c r="C250" i="4"/>
  <c r="AL249" i="4"/>
  <c r="F249" i="4"/>
  <c r="E249" i="4"/>
  <c r="D249" i="4"/>
  <c r="C249" i="4"/>
  <c r="AL248" i="4"/>
  <c r="F248" i="4"/>
  <c r="E248" i="4"/>
  <c r="D248" i="4"/>
  <c r="C248" i="4"/>
  <c r="AL247" i="4"/>
  <c r="F247" i="4"/>
  <c r="E247" i="4"/>
  <c r="D247" i="4"/>
  <c r="C247" i="4"/>
  <c r="AL246" i="4"/>
  <c r="F246" i="4"/>
  <c r="E246" i="4"/>
  <c r="D246" i="4"/>
  <c r="C246" i="4"/>
  <c r="AL245" i="4"/>
  <c r="F245" i="4"/>
  <c r="E245" i="4"/>
  <c r="D245" i="4"/>
  <c r="C245" i="4"/>
  <c r="AL244" i="4"/>
  <c r="F244" i="4"/>
  <c r="E244" i="4"/>
  <c r="D244" i="4"/>
  <c r="C244" i="4"/>
  <c r="AL243" i="4"/>
  <c r="F243" i="4"/>
  <c r="E243" i="4"/>
  <c r="D243" i="4"/>
  <c r="C243" i="4"/>
  <c r="AL242" i="4"/>
  <c r="F242" i="4"/>
  <c r="E242" i="4"/>
  <c r="D242" i="4"/>
  <c r="C242" i="4"/>
  <c r="AL241" i="4"/>
  <c r="F241" i="4"/>
  <c r="E241" i="4"/>
  <c r="D241" i="4"/>
  <c r="C241" i="4"/>
  <c r="AL240" i="4"/>
  <c r="F240" i="4"/>
  <c r="E240" i="4"/>
  <c r="D240" i="4"/>
  <c r="C240" i="4"/>
  <c r="AL239" i="4"/>
  <c r="F239" i="4"/>
  <c r="E239" i="4"/>
  <c r="D239" i="4"/>
  <c r="C239" i="4"/>
  <c r="AL238" i="4"/>
  <c r="F238" i="4"/>
  <c r="E238" i="4"/>
  <c r="D238" i="4"/>
  <c r="C238" i="4"/>
  <c r="AL237" i="4"/>
  <c r="F237" i="4"/>
  <c r="E237" i="4"/>
  <c r="D237" i="4"/>
  <c r="C237" i="4"/>
  <c r="AL236" i="4"/>
  <c r="F236" i="4"/>
  <c r="E236" i="4"/>
  <c r="D236" i="4"/>
  <c r="C236" i="4"/>
  <c r="AL235" i="4"/>
  <c r="F235" i="4"/>
  <c r="E235" i="4"/>
  <c r="D235" i="4"/>
  <c r="C235" i="4"/>
  <c r="AL234" i="4"/>
  <c r="F234" i="4"/>
  <c r="E234" i="4"/>
  <c r="D234" i="4"/>
  <c r="C234" i="4"/>
  <c r="AL233" i="4"/>
  <c r="F233" i="4"/>
  <c r="E233" i="4"/>
  <c r="D233" i="4"/>
  <c r="C233" i="4"/>
  <c r="AL232" i="4"/>
  <c r="F232" i="4"/>
  <c r="E232" i="4"/>
  <c r="D232" i="4"/>
  <c r="C232" i="4"/>
  <c r="AL231" i="4"/>
  <c r="F231" i="4"/>
  <c r="E231" i="4"/>
  <c r="D231" i="4"/>
  <c r="C231" i="4"/>
  <c r="AL230" i="4"/>
  <c r="F230" i="4"/>
  <c r="E230" i="4"/>
  <c r="D230" i="4"/>
  <c r="C230" i="4"/>
  <c r="AL229" i="4"/>
  <c r="F229" i="4"/>
  <c r="E229" i="4"/>
  <c r="D229" i="4"/>
  <c r="C229" i="4"/>
  <c r="AL228" i="4"/>
  <c r="F228" i="4"/>
  <c r="E228" i="4"/>
  <c r="D228" i="4"/>
  <c r="C228" i="4"/>
  <c r="AL227" i="4"/>
  <c r="F227" i="4"/>
  <c r="E227" i="4"/>
  <c r="D227" i="4"/>
  <c r="C227" i="4"/>
  <c r="AL226" i="4"/>
  <c r="F226" i="4"/>
  <c r="E226" i="4"/>
  <c r="D226" i="4"/>
  <c r="C226" i="4"/>
  <c r="AL225" i="4"/>
  <c r="F225" i="4"/>
  <c r="E225" i="4"/>
  <c r="D225" i="4"/>
  <c r="C225" i="4"/>
  <c r="AL224" i="4"/>
  <c r="F224" i="4"/>
  <c r="E224" i="4"/>
  <c r="D224" i="4"/>
  <c r="C224" i="4"/>
  <c r="AL223" i="4"/>
  <c r="F223" i="4"/>
  <c r="E223" i="4"/>
  <c r="D223" i="4"/>
  <c r="C223" i="4"/>
  <c r="AL222" i="4"/>
  <c r="F222" i="4"/>
  <c r="E222" i="4"/>
  <c r="D222" i="4"/>
  <c r="C222" i="4"/>
  <c r="AL221" i="4"/>
  <c r="F221" i="4"/>
  <c r="E221" i="4"/>
  <c r="D221" i="4"/>
  <c r="C221" i="4"/>
  <c r="AL220" i="4"/>
  <c r="F220" i="4"/>
  <c r="E220" i="4"/>
  <c r="D220" i="4"/>
  <c r="C220" i="4"/>
  <c r="AL219" i="4"/>
  <c r="F219" i="4"/>
  <c r="E219" i="4"/>
  <c r="D219" i="4"/>
  <c r="C219" i="4"/>
  <c r="AL218" i="4"/>
  <c r="F218" i="4"/>
  <c r="E218" i="4"/>
  <c r="D218" i="4"/>
  <c r="C218" i="4"/>
  <c r="AL217" i="4"/>
  <c r="F217" i="4"/>
  <c r="E217" i="4"/>
  <c r="D217" i="4"/>
  <c r="C217" i="4"/>
  <c r="AL216" i="4"/>
  <c r="F216" i="4"/>
  <c r="E216" i="4"/>
  <c r="D216" i="4"/>
  <c r="C216" i="4"/>
  <c r="AL215" i="4"/>
  <c r="F215" i="4"/>
  <c r="E215" i="4"/>
  <c r="D215" i="4"/>
  <c r="C215" i="4"/>
  <c r="AL214" i="4"/>
  <c r="F214" i="4"/>
  <c r="E214" i="4"/>
  <c r="D214" i="4"/>
  <c r="C214" i="4"/>
  <c r="AL213" i="4"/>
  <c r="F213" i="4"/>
  <c r="E213" i="4"/>
  <c r="D213" i="4"/>
  <c r="C213" i="4"/>
  <c r="AL212" i="4"/>
  <c r="F212" i="4"/>
  <c r="E212" i="4"/>
  <c r="D212" i="4"/>
  <c r="C212" i="4"/>
  <c r="AL211" i="4"/>
  <c r="F211" i="4"/>
  <c r="E211" i="4"/>
  <c r="D211" i="4"/>
  <c r="C211" i="4"/>
  <c r="AL210" i="4"/>
  <c r="F210" i="4"/>
  <c r="E210" i="4"/>
  <c r="D210" i="4"/>
  <c r="C210" i="4"/>
  <c r="AL209" i="4"/>
  <c r="F209" i="4"/>
  <c r="E209" i="4"/>
  <c r="D209" i="4"/>
  <c r="C209" i="4"/>
  <c r="AL208" i="4"/>
  <c r="F208" i="4"/>
  <c r="E208" i="4"/>
  <c r="D208" i="4"/>
  <c r="C208" i="4"/>
  <c r="AL207" i="4"/>
  <c r="F207" i="4"/>
  <c r="E207" i="4"/>
  <c r="D207" i="4"/>
  <c r="C207" i="4"/>
  <c r="AL206" i="4"/>
  <c r="F206" i="4"/>
  <c r="E206" i="4"/>
  <c r="D206" i="4"/>
  <c r="C206" i="4"/>
  <c r="AL205" i="4"/>
  <c r="F205" i="4"/>
  <c r="E205" i="4"/>
  <c r="D205" i="4"/>
  <c r="C205" i="4"/>
  <c r="AL204" i="4"/>
  <c r="F204" i="4"/>
  <c r="E204" i="4"/>
  <c r="D204" i="4"/>
  <c r="C204" i="4"/>
  <c r="AL203" i="4"/>
  <c r="F203" i="4"/>
  <c r="E203" i="4"/>
  <c r="D203" i="4"/>
  <c r="C203" i="4"/>
  <c r="AL202" i="4"/>
  <c r="F202" i="4"/>
  <c r="E202" i="4"/>
  <c r="D202" i="4"/>
  <c r="C202" i="4"/>
  <c r="AL201" i="4"/>
  <c r="F201" i="4"/>
  <c r="E201" i="4"/>
  <c r="D201" i="4"/>
  <c r="C201" i="4"/>
  <c r="AL200" i="4"/>
  <c r="F200" i="4"/>
  <c r="E200" i="4"/>
  <c r="D200" i="4"/>
  <c r="C200" i="4"/>
  <c r="AL199" i="4"/>
  <c r="F199" i="4"/>
  <c r="E199" i="4"/>
  <c r="D199" i="4"/>
  <c r="C199" i="4"/>
  <c r="AL198" i="4"/>
  <c r="F198" i="4"/>
  <c r="E198" i="4"/>
  <c r="D198" i="4"/>
  <c r="C198" i="4"/>
  <c r="AL197" i="4"/>
  <c r="F197" i="4"/>
  <c r="E197" i="4"/>
  <c r="D197" i="4"/>
  <c r="C197" i="4"/>
  <c r="AL196" i="4"/>
  <c r="F196" i="4"/>
  <c r="E196" i="4"/>
  <c r="D196" i="4"/>
  <c r="C196" i="4"/>
  <c r="AL195" i="4"/>
  <c r="F195" i="4"/>
  <c r="E195" i="4"/>
  <c r="D195" i="4"/>
  <c r="C195" i="4"/>
  <c r="AL194" i="4"/>
  <c r="F194" i="4"/>
  <c r="E194" i="4"/>
  <c r="D194" i="4"/>
  <c r="C194" i="4"/>
  <c r="AL193" i="4"/>
  <c r="F193" i="4"/>
  <c r="E193" i="4"/>
  <c r="D193" i="4"/>
  <c r="C193" i="4"/>
  <c r="AL192" i="4"/>
  <c r="F192" i="4"/>
  <c r="E192" i="4"/>
  <c r="D192" i="4"/>
  <c r="C192" i="4"/>
  <c r="AL191" i="4"/>
  <c r="F191" i="4"/>
  <c r="E191" i="4"/>
  <c r="D191" i="4"/>
  <c r="C191" i="4"/>
  <c r="AL190" i="4"/>
  <c r="F190" i="4"/>
  <c r="E190" i="4"/>
  <c r="D190" i="4"/>
  <c r="C190" i="4"/>
  <c r="AL189" i="4"/>
  <c r="F189" i="4"/>
  <c r="E189" i="4"/>
  <c r="D189" i="4"/>
  <c r="C189" i="4"/>
  <c r="AL188" i="4"/>
  <c r="F188" i="4"/>
  <c r="E188" i="4"/>
  <c r="D188" i="4"/>
  <c r="C188" i="4"/>
  <c r="AL187" i="4"/>
  <c r="F187" i="4"/>
  <c r="E187" i="4"/>
  <c r="D187" i="4"/>
  <c r="C187" i="4"/>
  <c r="AL186" i="4"/>
  <c r="F186" i="4"/>
  <c r="E186" i="4"/>
  <c r="D186" i="4"/>
  <c r="C186" i="4"/>
  <c r="AL185" i="4"/>
  <c r="F185" i="4"/>
  <c r="E185" i="4"/>
  <c r="D185" i="4"/>
  <c r="C185" i="4"/>
  <c r="AL184" i="4"/>
  <c r="F184" i="4"/>
  <c r="E184" i="4"/>
  <c r="D184" i="4"/>
  <c r="C184" i="4"/>
  <c r="AL183" i="4"/>
  <c r="F183" i="4"/>
  <c r="E183" i="4"/>
  <c r="D183" i="4"/>
  <c r="C183" i="4"/>
  <c r="AL182" i="4"/>
  <c r="F182" i="4"/>
  <c r="E182" i="4"/>
  <c r="D182" i="4"/>
  <c r="C182" i="4"/>
  <c r="AL181" i="4"/>
  <c r="F181" i="4"/>
  <c r="E181" i="4"/>
  <c r="D181" i="4"/>
  <c r="C181" i="4"/>
  <c r="AL180" i="4"/>
  <c r="F180" i="4"/>
  <c r="E180" i="4"/>
  <c r="D180" i="4"/>
  <c r="C180" i="4"/>
  <c r="AL179" i="4"/>
  <c r="F179" i="4"/>
  <c r="E179" i="4"/>
  <c r="D179" i="4"/>
  <c r="C179" i="4"/>
  <c r="AL178" i="4"/>
  <c r="F178" i="4"/>
  <c r="E178" i="4"/>
  <c r="D178" i="4"/>
  <c r="C178" i="4"/>
  <c r="AL177" i="4"/>
  <c r="F177" i="4"/>
  <c r="E177" i="4"/>
  <c r="D177" i="4"/>
  <c r="C177" i="4"/>
  <c r="AL176" i="4"/>
  <c r="F176" i="4"/>
  <c r="E176" i="4"/>
  <c r="D176" i="4"/>
  <c r="C176" i="4"/>
  <c r="AL175" i="4"/>
  <c r="F175" i="4"/>
  <c r="E175" i="4"/>
  <c r="D175" i="4"/>
  <c r="C175" i="4"/>
  <c r="AL174" i="4"/>
  <c r="F174" i="4"/>
  <c r="E174" i="4"/>
  <c r="D174" i="4"/>
  <c r="C174" i="4"/>
  <c r="AL173" i="4"/>
  <c r="F173" i="4"/>
  <c r="E173" i="4"/>
  <c r="D173" i="4"/>
  <c r="C173" i="4"/>
  <c r="AL172" i="4"/>
  <c r="F172" i="4"/>
  <c r="E172" i="4"/>
  <c r="D172" i="4"/>
  <c r="C172" i="4"/>
  <c r="AL171" i="4"/>
  <c r="F171" i="4"/>
  <c r="E171" i="4"/>
  <c r="D171" i="4"/>
  <c r="C171" i="4"/>
  <c r="AL170" i="4"/>
  <c r="F170" i="4"/>
  <c r="E170" i="4"/>
  <c r="D170" i="4"/>
  <c r="C170" i="4"/>
  <c r="AL169" i="4"/>
  <c r="F169" i="4"/>
  <c r="E169" i="4"/>
  <c r="D169" i="4"/>
  <c r="C169" i="4"/>
  <c r="AL168" i="4"/>
  <c r="F168" i="4"/>
  <c r="E168" i="4"/>
  <c r="D168" i="4"/>
  <c r="C168" i="4"/>
  <c r="AL167" i="4"/>
  <c r="F167" i="4"/>
  <c r="E167" i="4"/>
  <c r="D167" i="4"/>
  <c r="C167" i="4"/>
  <c r="AL166" i="4"/>
  <c r="F166" i="4"/>
  <c r="E166" i="4"/>
  <c r="D166" i="4"/>
  <c r="C166" i="4"/>
  <c r="AL165" i="4"/>
  <c r="F165" i="4"/>
  <c r="E165" i="4"/>
  <c r="D165" i="4"/>
  <c r="C165" i="4"/>
  <c r="AL164" i="4"/>
  <c r="F164" i="4"/>
  <c r="E164" i="4"/>
  <c r="D164" i="4"/>
  <c r="C164" i="4"/>
  <c r="AL163" i="4"/>
  <c r="F163" i="4"/>
  <c r="E163" i="4"/>
  <c r="D163" i="4"/>
  <c r="C163" i="4"/>
  <c r="AL162" i="4"/>
  <c r="F162" i="4"/>
  <c r="E162" i="4"/>
  <c r="D162" i="4"/>
  <c r="C162" i="4"/>
  <c r="AL161" i="4"/>
  <c r="F161" i="4"/>
  <c r="E161" i="4"/>
  <c r="D161" i="4"/>
  <c r="C161" i="4"/>
  <c r="AL160" i="4"/>
  <c r="F160" i="4"/>
  <c r="E160" i="4"/>
  <c r="D160" i="4"/>
  <c r="C160" i="4"/>
  <c r="AL159" i="4"/>
  <c r="F159" i="4"/>
  <c r="E159" i="4"/>
  <c r="D159" i="4"/>
  <c r="C159" i="4"/>
  <c r="AL158" i="4"/>
  <c r="F158" i="4"/>
  <c r="E158" i="4"/>
  <c r="D158" i="4"/>
  <c r="C158" i="4"/>
  <c r="AL157" i="4"/>
  <c r="F157" i="4"/>
  <c r="E157" i="4"/>
  <c r="D157" i="4"/>
  <c r="C157" i="4"/>
  <c r="AL156" i="4"/>
  <c r="F156" i="4"/>
  <c r="E156" i="4"/>
  <c r="D156" i="4"/>
  <c r="C156" i="4"/>
  <c r="AL155" i="4"/>
  <c r="F155" i="4"/>
  <c r="E155" i="4"/>
  <c r="D155" i="4"/>
  <c r="C155" i="4"/>
  <c r="AL154" i="4"/>
  <c r="F154" i="4"/>
  <c r="E154" i="4"/>
  <c r="D154" i="4"/>
  <c r="C154" i="4"/>
  <c r="AL153" i="4"/>
  <c r="F153" i="4"/>
  <c r="E153" i="4"/>
  <c r="D153" i="4"/>
  <c r="C153" i="4"/>
  <c r="AL152" i="4"/>
  <c r="F152" i="4"/>
  <c r="E152" i="4"/>
  <c r="D152" i="4"/>
  <c r="C152" i="4"/>
  <c r="AL151" i="4"/>
  <c r="F151" i="4"/>
  <c r="E151" i="4"/>
  <c r="D151" i="4"/>
  <c r="C151" i="4"/>
  <c r="AL150" i="4"/>
  <c r="F150" i="4"/>
  <c r="E150" i="4"/>
  <c r="D150" i="4"/>
  <c r="C150" i="4"/>
  <c r="AL149" i="4"/>
  <c r="F149" i="4"/>
  <c r="E149" i="4"/>
  <c r="D149" i="4"/>
  <c r="C149" i="4"/>
  <c r="AL148" i="4"/>
  <c r="F148" i="4"/>
  <c r="E148" i="4"/>
  <c r="D148" i="4"/>
  <c r="C148" i="4"/>
  <c r="AL147" i="4"/>
  <c r="F147" i="4"/>
  <c r="E147" i="4"/>
  <c r="D147" i="4"/>
  <c r="C147" i="4"/>
  <c r="AL146" i="4"/>
  <c r="F146" i="4"/>
  <c r="E146" i="4"/>
  <c r="D146" i="4"/>
  <c r="C146" i="4"/>
  <c r="AL145" i="4"/>
  <c r="F145" i="4"/>
  <c r="E145" i="4"/>
  <c r="D145" i="4"/>
  <c r="C145" i="4"/>
  <c r="AL144" i="4"/>
  <c r="F144" i="4"/>
  <c r="E144" i="4"/>
  <c r="D144" i="4"/>
  <c r="C144" i="4"/>
  <c r="AL143" i="4"/>
  <c r="F143" i="4"/>
  <c r="E143" i="4"/>
  <c r="D143" i="4"/>
  <c r="C143" i="4"/>
  <c r="AL142" i="4"/>
  <c r="F142" i="4"/>
  <c r="E142" i="4"/>
  <c r="D142" i="4"/>
  <c r="C142" i="4"/>
  <c r="AL141" i="4"/>
  <c r="F141" i="4"/>
  <c r="E141" i="4"/>
  <c r="D141" i="4"/>
  <c r="C141" i="4"/>
  <c r="AL140" i="4"/>
  <c r="F140" i="4"/>
  <c r="E140" i="4"/>
  <c r="D140" i="4"/>
  <c r="C140" i="4"/>
  <c r="AL139" i="4"/>
  <c r="F139" i="4"/>
  <c r="E139" i="4"/>
  <c r="D139" i="4"/>
  <c r="C139" i="4"/>
  <c r="AL138" i="4"/>
  <c r="F138" i="4"/>
  <c r="E138" i="4"/>
  <c r="D138" i="4"/>
  <c r="C138" i="4"/>
  <c r="AL137" i="4"/>
  <c r="F137" i="4"/>
  <c r="E137" i="4"/>
  <c r="D137" i="4"/>
  <c r="C137" i="4"/>
  <c r="AL136" i="4"/>
  <c r="F136" i="4"/>
  <c r="E136" i="4"/>
  <c r="D136" i="4"/>
  <c r="C136" i="4"/>
  <c r="AL135" i="4"/>
  <c r="F135" i="4"/>
  <c r="E135" i="4"/>
  <c r="D135" i="4"/>
  <c r="C135" i="4"/>
  <c r="AL134" i="4"/>
  <c r="F134" i="4"/>
  <c r="E134" i="4"/>
  <c r="D134" i="4"/>
  <c r="C134" i="4"/>
  <c r="AL133" i="4"/>
  <c r="F133" i="4"/>
  <c r="E133" i="4"/>
  <c r="D133" i="4"/>
  <c r="C133" i="4"/>
  <c r="AL132" i="4"/>
  <c r="F132" i="4"/>
  <c r="E132" i="4"/>
  <c r="D132" i="4"/>
  <c r="C132" i="4"/>
  <c r="AL131" i="4"/>
  <c r="F131" i="4"/>
  <c r="E131" i="4"/>
  <c r="D131" i="4"/>
  <c r="C131" i="4"/>
  <c r="AL130" i="4"/>
  <c r="F130" i="4"/>
  <c r="E130" i="4"/>
  <c r="D130" i="4"/>
  <c r="C130" i="4"/>
  <c r="AL129" i="4"/>
  <c r="F129" i="4"/>
  <c r="E129" i="4"/>
  <c r="D129" i="4"/>
  <c r="C129" i="4"/>
  <c r="AL128" i="4"/>
  <c r="F128" i="4"/>
  <c r="E128" i="4"/>
  <c r="D128" i="4"/>
  <c r="C128" i="4"/>
  <c r="AL127" i="4"/>
  <c r="F127" i="4"/>
  <c r="E127" i="4"/>
  <c r="D127" i="4"/>
  <c r="C127" i="4"/>
  <c r="AL126" i="4"/>
  <c r="F126" i="4"/>
  <c r="E126" i="4"/>
  <c r="D126" i="4"/>
  <c r="C126" i="4"/>
  <c r="AL125" i="4"/>
  <c r="F125" i="4"/>
  <c r="E125" i="4"/>
  <c r="D125" i="4"/>
  <c r="C125" i="4"/>
  <c r="AL124" i="4"/>
  <c r="F124" i="4"/>
  <c r="E124" i="4"/>
  <c r="D124" i="4"/>
  <c r="C124" i="4"/>
  <c r="AL123" i="4"/>
  <c r="F123" i="4"/>
  <c r="E123" i="4"/>
  <c r="D123" i="4"/>
  <c r="C123" i="4"/>
  <c r="AL122" i="4"/>
  <c r="F122" i="4"/>
  <c r="E122" i="4"/>
  <c r="D122" i="4"/>
  <c r="C122" i="4"/>
  <c r="AL121" i="4"/>
  <c r="F121" i="4"/>
  <c r="E121" i="4"/>
  <c r="D121" i="4"/>
  <c r="C121" i="4"/>
  <c r="AL120" i="4"/>
  <c r="F120" i="4"/>
  <c r="E120" i="4"/>
  <c r="D120" i="4"/>
  <c r="C120" i="4"/>
  <c r="AL119" i="4"/>
  <c r="F119" i="4"/>
  <c r="E119" i="4"/>
  <c r="D119" i="4"/>
  <c r="C119" i="4"/>
  <c r="AL118" i="4"/>
  <c r="F118" i="4"/>
  <c r="E118" i="4"/>
  <c r="D118" i="4"/>
  <c r="C118" i="4"/>
  <c r="AL117" i="4"/>
  <c r="F117" i="4"/>
  <c r="E117" i="4"/>
  <c r="D117" i="4"/>
  <c r="C117" i="4"/>
  <c r="AL116" i="4"/>
  <c r="F116" i="4"/>
  <c r="E116" i="4"/>
  <c r="D116" i="4"/>
  <c r="C116" i="4"/>
  <c r="AL115" i="4"/>
  <c r="F115" i="4"/>
  <c r="E115" i="4"/>
  <c r="D115" i="4"/>
  <c r="C115" i="4"/>
  <c r="AL114" i="4"/>
  <c r="F114" i="4"/>
  <c r="E114" i="4"/>
  <c r="D114" i="4"/>
  <c r="C114" i="4"/>
  <c r="AL113" i="4"/>
  <c r="F113" i="4"/>
  <c r="E113" i="4"/>
  <c r="D113" i="4"/>
  <c r="C113" i="4"/>
  <c r="AL112" i="4"/>
  <c r="F112" i="4"/>
  <c r="E112" i="4"/>
  <c r="D112" i="4"/>
  <c r="C112" i="4"/>
  <c r="AL111" i="4"/>
  <c r="F111" i="4"/>
  <c r="E111" i="4"/>
  <c r="D111" i="4"/>
  <c r="C111" i="4"/>
  <c r="AL110" i="4"/>
  <c r="F110" i="4"/>
  <c r="E110" i="4"/>
  <c r="D110" i="4"/>
  <c r="C110" i="4"/>
  <c r="AL109" i="4"/>
  <c r="F109" i="4"/>
  <c r="E109" i="4"/>
  <c r="D109" i="4"/>
  <c r="C109" i="4"/>
  <c r="AL108" i="4"/>
  <c r="F108" i="4"/>
  <c r="E108" i="4"/>
  <c r="D108" i="4"/>
  <c r="C108" i="4"/>
  <c r="AL107" i="4"/>
  <c r="F107" i="4"/>
  <c r="E107" i="4"/>
  <c r="D107" i="4"/>
  <c r="C107" i="4"/>
  <c r="AL106" i="4"/>
  <c r="F106" i="4"/>
  <c r="E106" i="4"/>
  <c r="D106" i="4"/>
  <c r="C106" i="4"/>
  <c r="AL105" i="4"/>
  <c r="F105" i="4"/>
  <c r="E105" i="4"/>
  <c r="D105" i="4"/>
  <c r="C105" i="4"/>
  <c r="AL104" i="4"/>
  <c r="F104" i="4"/>
  <c r="E104" i="4"/>
  <c r="D104" i="4"/>
  <c r="C104" i="4"/>
  <c r="AL103" i="4"/>
  <c r="F103" i="4"/>
  <c r="E103" i="4"/>
  <c r="D103" i="4"/>
  <c r="C103" i="4"/>
  <c r="AL102" i="4"/>
  <c r="F102" i="4"/>
  <c r="E102" i="4"/>
  <c r="D102" i="4"/>
  <c r="C102" i="4"/>
  <c r="AL101" i="4"/>
  <c r="F101" i="4"/>
  <c r="E101" i="4"/>
  <c r="D101" i="4"/>
  <c r="C101" i="4"/>
  <c r="AL100" i="4"/>
  <c r="F100" i="4"/>
  <c r="E100" i="4"/>
  <c r="D100" i="4"/>
  <c r="C100" i="4"/>
  <c r="AL99" i="4"/>
  <c r="F99" i="4"/>
  <c r="E99" i="4"/>
  <c r="D99" i="4"/>
  <c r="C99" i="4"/>
  <c r="AL98" i="4"/>
  <c r="F98" i="4"/>
  <c r="E98" i="4"/>
  <c r="D98" i="4"/>
  <c r="C98" i="4"/>
  <c r="AL97" i="4"/>
  <c r="F97" i="4"/>
  <c r="E97" i="4"/>
  <c r="D97" i="4"/>
  <c r="C97" i="4"/>
  <c r="AL96" i="4"/>
  <c r="F96" i="4"/>
  <c r="E96" i="4"/>
  <c r="D96" i="4"/>
  <c r="C96" i="4"/>
  <c r="AL95" i="4"/>
  <c r="F95" i="4"/>
  <c r="E95" i="4"/>
  <c r="D95" i="4"/>
  <c r="C95" i="4"/>
  <c r="AL94" i="4"/>
  <c r="F94" i="4"/>
  <c r="E94" i="4"/>
  <c r="D94" i="4"/>
  <c r="C94" i="4"/>
  <c r="AL93" i="4"/>
  <c r="F93" i="4"/>
  <c r="E93" i="4"/>
  <c r="D93" i="4"/>
  <c r="C93" i="4"/>
  <c r="AL92" i="4"/>
  <c r="F92" i="4"/>
  <c r="E92" i="4"/>
  <c r="D92" i="4"/>
  <c r="C92" i="4"/>
  <c r="AL91" i="4"/>
  <c r="F91" i="4"/>
  <c r="E91" i="4"/>
  <c r="D91" i="4"/>
  <c r="C91" i="4"/>
  <c r="AL90" i="4"/>
  <c r="F90" i="4"/>
  <c r="E90" i="4"/>
  <c r="D90" i="4"/>
  <c r="C90" i="4"/>
  <c r="AL89" i="4"/>
  <c r="F89" i="4"/>
  <c r="E89" i="4"/>
  <c r="D89" i="4"/>
  <c r="C89" i="4"/>
  <c r="AL88" i="4"/>
  <c r="F88" i="4"/>
  <c r="E88" i="4"/>
  <c r="D88" i="4"/>
  <c r="C88" i="4"/>
  <c r="AL87" i="4"/>
  <c r="F87" i="4"/>
  <c r="E87" i="4"/>
  <c r="D87" i="4"/>
  <c r="C87" i="4"/>
  <c r="AL86" i="4"/>
  <c r="F86" i="4"/>
  <c r="E86" i="4"/>
  <c r="D86" i="4"/>
  <c r="C86" i="4"/>
  <c r="AL85" i="4"/>
  <c r="F85" i="4"/>
  <c r="E85" i="4"/>
  <c r="D85" i="4"/>
  <c r="C85" i="4"/>
  <c r="AL84" i="4"/>
  <c r="F84" i="4"/>
  <c r="E84" i="4"/>
  <c r="D84" i="4"/>
  <c r="C84" i="4"/>
  <c r="AL83" i="4"/>
  <c r="F83" i="4"/>
  <c r="E83" i="4"/>
  <c r="D83" i="4"/>
  <c r="C83" i="4"/>
  <c r="AL82" i="4"/>
  <c r="F82" i="4"/>
  <c r="E82" i="4"/>
  <c r="D82" i="4"/>
  <c r="C82" i="4"/>
  <c r="AL81" i="4"/>
  <c r="F81" i="4"/>
  <c r="E81" i="4"/>
  <c r="D81" i="4"/>
  <c r="C81" i="4"/>
  <c r="AL80" i="4"/>
  <c r="F80" i="4"/>
  <c r="E80" i="4"/>
  <c r="D80" i="4"/>
  <c r="C80" i="4"/>
  <c r="AL79" i="4"/>
  <c r="F79" i="4"/>
  <c r="E79" i="4"/>
  <c r="D79" i="4"/>
  <c r="C79" i="4"/>
  <c r="AL78" i="4"/>
  <c r="F78" i="4"/>
  <c r="E78" i="4"/>
  <c r="D78" i="4"/>
  <c r="C78" i="4"/>
  <c r="AL77" i="4"/>
  <c r="F77" i="4"/>
  <c r="E77" i="4"/>
  <c r="D77" i="4"/>
  <c r="C77" i="4"/>
  <c r="AL76" i="4"/>
  <c r="F76" i="4"/>
  <c r="E76" i="4"/>
  <c r="D76" i="4"/>
  <c r="C76" i="4"/>
  <c r="AL75" i="4"/>
  <c r="F75" i="4"/>
  <c r="E75" i="4"/>
  <c r="D75" i="4"/>
  <c r="C75" i="4"/>
  <c r="AL74" i="4"/>
  <c r="F74" i="4"/>
  <c r="E74" i="4"/>
  <c r="D74" i="4"/>
  <c r="C74" i="4"/>
  <c r="AL73" i="4"/>
  <c r="F73" i="4"/>
  <c r="E73" i="4"/>
  <c r="D73" i="4"/>
  <c r="C73" i="4"/>
  <c r="AL72" i="4"/>
  <c r="F72" i="4"/>
  <c r="E72" i="4"/>
  <c r="D72" i="4"/>
  <c r="C72" i="4"/>
  <c r="AL71" i="4"/>
  <c r="F71" i="4"/>
  <c r="E71" i="4"/>
  <c r="D71" i="4"/>
  <c r="C71" i="4"/>
  <c r="AL70" i="4"/>
  <c r="F70" i="4"/>
  <c r="E70" i="4"/>
  <c r="D70" i="4"/>
  <c r="C70" i="4"/>
  <c r="AL69" i="4"/>
  <c r="F69" i="4"/>
  <c r="E69" i="4"/>
  <c r="D69" i="4"/>
  <c r="C69" i="4"/>
  <c r="AL68" i="4"/>
  <c r="F68" i="4"/>
  <c r="E68" i="4"/>
  <c r="D68" i="4"/>
  <c r="C68" i="4"/>
  <c r="AL67" i="4"/>
  <c r="F67" i="4"/>
  <c r="E67" i="4"/>
  <c r="D67" i="4"/>
  <c r="C67" i="4"/>
  <c r="AL66" i="4"/>
  <c r="F66" i="4"/>
  <c r="E66" i="4"/>
  <c r="D66" i="4"/>
  <c r="C66" i="4"/>
  <c r="AL65" i="4"/>
  <c r="F65" i="4"/>
  <c r="E65" i="4"/>
  <c r="D65" i="4"/>
  <c r="C65" i="4"/>
  <c r="AL64" i="4"/>
  <c r="F64" i="4"/>
  <c r="E64" i="4"/>
  <c r="D64" i="4"/>
  <c r="C64" i="4"/>
  <c r="AL63" i="4"/>
  <c r="F63" i="4"/>
  <c r="E63" i="4"/>
  <c r="D63" i="4"/>
  <c r="C63" i="4"/>
  <c r="AL62" i="4"/>
  <c r="F62" i="4"/>
  <c r="E62" i="4"/>
  <c r="D62" i="4"/>
  <c r="C62" i="4"/>
  <c r="AL61" i="4"/>
  <c r="F61" i="4"/>
  <c r="E61" i="4"/>
  <c r="D61" i="4"/>
  <c r="C61" i="4"/>
  <c r="AL60" i="4"/>
  <c r="F60" i="4"/>
  <c r="E60" i="4"/>
  <c r="D60" i="4"/>
  <c r="C60" i="4"/>
  <c r="AL59" i="4"/>
  <c r="F59" i="4"/>
  <c r="E59" i="4"/>
  <c r="D59" i="4"/>
  <c r="C59" i="4"/>
  <c r="AL58" i="4"/>
  <c r="F58" i="4"/>
  <c r="E58" i="4"/>
  <c r="D58" i="4"/>
  <c r="C58" i="4"/>
  <c r="AL57" i="4"/>
  <c r="F57" i="4"/>
  <c r="E57" i="4"/>
  <c r="D57" i="4"/>
  <c r="C57" i="4"/>
  <c r="AL56" i="4"/>
  <c r="F56" i="4"/>
  <c r="E56" i="4"/>
  <c r="D56" i="4"/>
  <c r="C56" i="4"/>
  <c r="AL55" i="4"/>
  <c r="F55" i="4"/>
  <c r="E55" i="4"/>
  <c r="D55" i="4"/>
  <c r="C55" i="4"/>
  <c r="AL54" i="4"/>
  <c r="F54" i="4"/>
  <c r="E54" i="4"/>
  <c r="D54" i="4"/>
  <c r="C54" i="4"/>
  <c r="AL53" i="4"/>
  <c r="F53" i="4"/>
  <c r="E53" i="4"/>
  <c r="D53" i="4"/>
  <c r="C53" i="4"/>
  <c r="AL52" i="4"/>
  <c r="F52" i="4"/>
  <c r="E52" i="4"/>
  <c r="D52" i="4"/>
  <c r="C52" i="4"/>
  <c r="AL51" i="4"/>
  <c r="F51" i="4"/>
  <c r="E51" i="4"/>
  <c r="D51" i="4"/>
  <c r="C51" i="4"/>
  <c r="AL50" i="4"/>
  <c r="F50" i="4"/>
  <c r="E50" i="4"/>
  <c r="D50" i="4"/>
  <c r="C50" i="4"/>
  <c r="AL49" i="4"/>
  <c r="F49" i="4"/>
  <c r="E49" i="4"/>
  <c r="D49" i="4"/>
  <c r="C49" i="4"/>
  <c r="AL48" i="4"/>
  <c r="F48" i="4"/>
  <c r="E48" i="4"/>
  <c r="D48" i="4"/>
  <c r="C48" i="4"/>
  <c r="AL47" i="4"/>
  <c r="F47" i="4"/>
  <c r="E47" i="4"/>
  <c r="D47" i="4"/>
  <c r="C47" i="4"/>
  <c r="AL46" i="4"/>
  <c r="F46" i="4"/>
  <c r="E46" i="4"/>
  <c r="D46" i="4"/>
  <c r="C46" i="4"/>
  <c r="AL45" i="4"/>
  <c r="F45" i="4"/>
  <c r="E45" i="4"/>
  <c r="D45" i="4"/>
  <c r="C45" i="4"/>
  <c r="AL44" i="4"/>
  <c r="F44" i="4"/>
  <c r="E44" i="4"/>
  <c r="D44" i="4"/>
  <c r="C44" i="4"/>
  <c r="AL43" i="4"/>
  <c r="F43" i="4"/>
  <c r="E43" i="4"/>
  <c r="D43" i="4"/>
  <c r="C43" i="4"/>
  <c r="AL42" i="4"/>
  <c r="F42" i="4"/>
  <c r="E42" i="4"/>
  <c r="D42" i="4"/>
  <c r="C42" i="4"/>
  <c r="AL41" i="4"/>
  <c r="F41" i="4"/>
  <c r="E41" i="4"/>
  <c r="D41" i="4"/>
  <c r="C41" i="4"/>
  <c r="AL40" i="4"/>
  <c r="F40" i="4"/>
  <c r="E40" i="4"/>
  <c r="D40" i="4"/>
  <c r="C40" i="4"/>
  <c r="AL39" i="4"/>
  <c r="F39" i="4"/>
  <c r="E39" i="4"/>
  <c r="D39" i="4"/>
  <c r="C39" i="4"/>
  <c r="AL38" i="4"/>
  <c r="F38" i="4"/>
  <c r="E38" i="4"/>
  <c r="D38" i="4"/>
  <c r="C38" i="4"/>
  <c r="AL37" i="4"/>
  <c r="F37" i="4"/>
  <c r="E37" i="4"/>
  <c r="D37" i="4"/>
  <c r="C37" i="4"/>
  <c r="AL36" i="4"/>
  <c r="F36" i="4"/>
  <c r="E36" i="4"/>
  <c r="D36" i="4"/>
  <c r="C36" i="4"/>
  <c r="AL35" i="4"/>
  <c r="F35" i="4"/>
  <c r="E35" i="4"/>
  <c r="D35" i="4"/>
  <c r="C35" i="4"/>
  <c r="AL34" i="4"/>
  <c r="F34" i="4"/>
  <c r="E34" i="4"/>
  <c r="D34" i="4"/>
  <c r="C34" i="4"/>
  <c r="AL33" i="4"/>
  <c r="F33" i="4"/>
  <c r="E33" i="4"/>
  <c r="D33" i="4"/>
  <c r="C33" i="4"/>
  <c r="AL32" i="4"/>
  <c r="F32" i="4"/>
  <c r="E32" i="4"/>
  <c r="D32" i="4"/>
  <c r="C32" i="4"/>
  <c r="AL31" i="4"/>
  <c r="F31" i="4"/>
  <c r="E31" i="4"/>
  <c r="D31" i="4"/>
  <c r="C31" i="4"/>
  <c r="AL30" i="4"/>
  <c r="F30" i="4"/>
  <c r="E30" i="4"/>
  <c r="D30" i="4"/>
  <c r="C30" i="4"/>
  <c r="AL29" i="4"/>
  <c r="F29" i="4"/>
  <c r="E29" i="4"/>
  <c r="D29" i="4"/>
  <c r="C29" i="4"/>
  <c r="AL28" i="4"/>
  <c r="F28" i="4"/>
  <c r="E28" i="4"/>
  <c r="D28" i="4"/>
  <c r="C28" i="4"/>
  <c r="AL27" i="4"/>
  <c r="F27" i="4"/>
  <c r="E27" i="4"/>
  <c r="D27" i="4"/>
  <c r="C27" i="4"/>
  <c r="AL26" i="4"/>
  <c r="F26" i="4"/>
  <c r="E26" i="4"/>
  <c r="D26" i="4"/>
  <c r="C26" i="4"/>
  <c r="AL25" i="4"/>
  <c r="F25" i="4"/>
  <c r="E25" i="4"/>
  <c r="D25" i="4"/>
  <c r="C25" i="4"/>
  <c r="AL24" i="4"/>
  <c r="F24" i="4"/>
  <c r="E24" i="4"/>
  <c r="D24" i="4"/>
  <c r="C24" i="4"/>
  <c r="AL23" i="4"/>
  <c r="F23" i="4"/>
  <c r="E23" i="4"/>
  <c r="D23" i="4"/>
  <c r="C23" i="4"/>
  <c r="AL22" i="4"/>
  <c r="F22" i="4"/>
  <c r="E22" i="4"/>
  <c r="D22" i="4"/>
  <c r="C22" i="4"/>
  <c r="AL21" i="4"/>
  <c r="F21" i="4"/>
  <c r="E21" i="4"/>
  <c r="D21" i="4"/>
  <c r="C21" i="4"/>
  <c r="AL20" i="4"/>
  <c r="F20" i="4"/>
  <c r="E20" i="4"/>
  <c r="D20" i="4"/>
  <c r="C20" i="4"/>
  <c r="AL19" i="4"/>
  <c r="F19" i="4"/>
  <c r="E19" i="4"/>
  <c r="D19" i="4"/>
  <c r="C19" i="4"/>
  <c r="AL18" i="4"/>
  <c r="F18" i="4"/>
  <c r="E18" i="4"/>
  <c r="D18" i="4"/>
  <c r="C18" i="4"/>
  <c r="AL17" i="4"/>
  <c r="F17" i="4"/>
  <c r="E17" i="4"/>
  <c r="D17" i="4"/>
  <c r="C17" i="4"/>
  <c r="AL16" i="4"/>
  <c r="F16" i="4"/>
  <c r="E16" i="4"/>
  <c r="D16" i="4"/>
  <c r="C16" i="4"/>
  <c r="AL15" i="4"/>
  <c r="F15" i="4"/>
  <c r="E15" i="4"/>
  <c r="D15" i="4"/>
  <c r="C15" i="4"/>
  <c r="AL14" i="4"/>
  <c r="F14" i="4"/>
  <c r="E14" i="4"/>
  <c r="D14" i="4"/>
  <c r="C14" i="4"/>
  <c r="AL13" i="4"/>
  <c r="F13" i="4"/>
  <c r="E13" i="4"/>
  <c r="D13" i="4"/>
  <c r="C13" i="4"/>
  <c r="AL12" i="4"/>
  <c r="F12" i="4"/>
  <c r="E12" i="4"/>
  <c r="D12" i="4"/>
  <c r="C12" i="4"/>
  <c r="AL11" i="4"/>
  <c r="F11" i="4"/>
  <c r="E11" i="4"/>
  <c r="D11" i="4"/>
  <c r="C11" i="4"/>
  <c r="AL10" i="4"/>
  <c r="F10" i="4"/>
  <c r="E10" i="4"/>
  <c r="D10" i="4"/>
  <c r="C10" i="4"/>
  <c r="AL9" i="4"/>
  <c r="F9" i="4"/>
  <c r="E9" i="4"/>
  <c r="D9" i="4"/>
  <c r="C9" i="4"/>
  <c r="AL8" i="4"/>
  <c r="F8" i="4"/>
  <c r="E8" i="4"/>
  <c r="D8" i="4"/>
  <c r="C8" i="4"/>
  <c r="AL507" i="3"/>
  <c r="F507" i="3"/>
  <c r="E507" i="3"/>
  <c r="D507" i="3"/>
  <c r="C507" i="3"/>
  <c r="AL506" i="3"/>
  <c r="F506" i="3"/>
  <c r="E506" i="3"/>
  <c r="D506" i="3"/>
  <c r="C506" i="3"/>
  <c r="AL505" i="3"/>
  <c r="F505" i="3"/>
  <c r="E505" i="3"/>
  <c r="D505" i="3"/>
  <c r="C505" i="3"/>
  <c r="AL504" i="3"/>
  <c r="F504" i="3"/>
  <c r="E504" i="3"/>
  <c r="D504" i="3"/>
  <c r="C504" i="3"/>
  <c r="AL503" i="3"/>
  <c r="F503" i="3"/>
  <c r="E503" i="3"/>
  <c r="D503" i="3"/>
  <c r="C503" i="3"/>
  <c r="AL502" i="3"/>
  <c r="F502" i="3"/>
  <c r="E502" i="3"/>
  <c r="D502" i="3"/>
  <c r="C502" i="3"/>
  <c r="AL501" i="3"/>
  <c r="F501" i="3"/>
  <c r="E501" i="3"/>
  <c r="D501" i="3"/>
  <c r="C501" i="3"/>
  <c r="AL500" i="3"/>
  <c r="F500" i="3"/>
  <c r="E500" i="3"/>
  <c r="D500" i="3"/>
  <c r="C500" i="3"/>
  <c r="AL499" i="3"/>
  <c r="F499" i="3"/>
  <c r="E499" i="3"/>
  <c r="D499" i="3"/>
  <c r="C499" i="3"/>
  <c r="AL498" i="3"/>
  <c r="F498" i="3"/>
  <c r="E498" i="3"/>
  <c r="D498" i="3"/>
  <c r="C498" i="3"/>
  <c r="AL497" i="3"/>
  <c r="F497" i="3"/>
  <c r="E497" i="3"/>
  <c r="D497" i="3"/>
  <c r="C497" i="3"/>
  <c r="AL496" i="3"/>
  <c r="F496" i="3"/>
  <c r="E496" i="3"/>
  <c r="D496" i="3"/>
  <c r="C496" i="3"/>
  <c r="AL495" i="3"/>
  <c r="F495" i="3"/>
  <c r="E495" i="3"/>
  <c r="D495" i="3"/>
  <c r="C495" i="3"/>
  <c r="AL494" i="3"/>
  <c r="F494" i="3"/>
  <c r="E494" i="3"/>
  <c r="D494" i="3"/>
  <c r="C494" i="3"/>
  <c r="AL493" i="3"/>
  <c r="F493" i="3"/>
  <c r="E493" i="3"/>
  <c r="D493" i="3"/>
  <c r="C493" i="3"/>
  <c r="AL492" i="3"/>
  <c r="F492" i="3"/>
  <c r="E492" i="3"/>
  <c r="D492" i="3"/>
  <c r="C492" i="3"/>
  <c r="AL491" i="3"/>
  <c r="F491" i="3"/>
  <c r="E491" i="3"/>
  <c r="D491" i="3"/>
  <c r="C491" i="3"/>
  <c r="AL490" i="3"/>
  <c r="F490" i="3"/>
  <c r="E490" i="3"/>
  <c r="D490" i="3"/>
  <c r="C490" i="3"/>
  <c r="AL489" i="3"/>
  <c r="F489" i="3"/>
  <c r="E489" i="3"/>
  <c r="D489" i="3"/>
  <c r="C489" i="3"/>
  <c r="AL488" i="3"/>
  <c r="F488" i="3"/>
  <c r="E488" i="3"/>
  <c r="D488" i="3"/>
  <c r="C488" i="3"/>
  <c r="AL487" i="3"/>
  <c r="F487" i="3"/>
  <c r="E487" i="3"/>
  <c r="D487" i="3"/>
  <c r="C487" i="3"/>
  <c r="AL486" i="3"/>
  <c r="F486" i="3"/>
  <c r="E486" i="3"/>
  <c r="D486" i="3"/>
  <c r="C486" i="3"/>
  <c r="AL485" i="3"/>
  <c r="F485" i="3"/>
  <c r="E485" i="3"/>
  <c r="D485" i="3"/>
  <c r="C485" i="3"/>
  <c r="AL484" i="3"/>
  <c r="F484" i="3"/>
  <c r="E484" i="3"/>
  <c r="D484" i="3"/>
  <c r="C484" i="3"/>
  <c r="AL483" i="3"/>
  <c r="F483" i="3"/>
  <c r="E483" i="3"/>
  <c r="D483" i="3"/>
  <c r="C483" i="3"/>
  <c r="AL482" i="3"/>
  <c r="F482" i="3"/>
  <c r="E482" i="3"/>
  <c r="D482" i="3"/>
  <c r="C482" i="3"/>
  <c r="AL481" i="3"/>
  <c r="F481" i="3"/>
  <c r="E481" i="3"/>
  <c r="D481" i="3"/>
  <c r="C481" i="3"/>
  <c r="AL480" i="3"/>
  <c r="F480" i="3"/>
  <c r="E480" i="3"/>
  <c r="D480" i="3"/>
  <c r="C480" i="3"/>
  <c r="AL479" i="3"/>
  <c r="F479" i="3"/>
  <c r="E479" i="3"/>
  <c r="D479" i="3"/>
  <c r="C479" i="3"/>
  <c r="AL478" i="3"/>
  <c r="F478" i="3"/>
  <c r="E478" i="3"/>
  <c r="D478" i="3"/>
  <c r="C478" i="3"/>
  <c r="AL477" i="3"/>
  <c r="F477" i="3"/>
  <c r="E477" i="3"/>
  <c r="D477" i="3"/>
  <c r="C477" i="3"/>
  <c r="AL476" i="3"/>
  <c r="F476" i="3"/>
  <c r="E476" i="3"/>
  <c r="D476" i="3"/>
  <c r="C476" i="3"/>
  <c r="AL475" i="3"/>
  <c r="F475" i="3"/>
  <c r="E475" i="3"/>
  <c r="D475" i="3"/>
  <c r="C475" i="3"/>
  <c r="AL474" i="3"/>
  <c r="F474" i="3"/>
  <c r="E474" i="3"/>
  <c r="D474" i="3"/>
  <c r="C474" i="3"/>
  <c r="AL473" i="3"/>
  <c r="F473" i="3"/>
  <c r="E473" i="3"/>
  <c r="D473" i="3"/>
  <c r="C473" i="3"/>
  <c r="AL472" i="3"/>
  <c r="F472" i="3"/>
  <c r="E472" i="3"/>
  <c r="D472" i="3"/>
  <c r="C472" i="3"/>
  <c r="AL471" i="3"/>
  <c r="F471" i="3"/>
  <c r="E471" i="3"/>
  <c r="D471" i="3"/>
  <c r="C471" i="3"/>
  <c r="AL470" i="3"/>
  <c r="F470" i="3"/>
  <c r="E470" i="3"/>
  <c r="D470" i="3"/>
  <c r="C470" i="3"/>
  <c r="AL469" i="3"/>
  <c r="F469" i="3"/>
  <c r="E469" i="3"/>
  <c r="D469" i="3"/>
  <c r="C469" i="3"/>
  <c r="AL468" i="3"/>
  <c r="F468" i="3"/>
  <c r="E468" i="3"/>
  <c r="D468" i="3"/>
  <c r="C468" i="3"/>
  <c r="AL467" i="3"/>
  <c r="F467" i="3"/>
  <c r="E467" i="3"/>
  <c r="D467" i="3"/>
  <c r="C467" i="3"/>
  <c r="AL466" i="3"/>
  <c r="F466" i="3"/>
  <c r="E466" i="3"/>
  <c r="D466" i="3"/>
  <c r="C466" i="3"/>
  <c r="AL465" i="3"/>
  <c r="F465" i="3"/>
  <c r="E465" i="3"/>
  <c r="D465" i="3"/>
  <c r="C465" i="3"/>
  <c r="AL464" i="3"/>
  <c r="F464" i="3"/>
  <c r="E464" i="3"/>
  <c r="D464" i="3"/>
  <c r="C464" i="3"/>
  <c r="AL463" i="3"/>
  <c r="F463" i="3"/>
  <c r="E463" i="3"/>
  <c r="D463" i="3"/>
  <c r="C463" i="3"/>
  <c r="AL462" i="3"/>
  <c r="F462" i="3"/>
  <c r="E462" i="3"/>
  <c r="D462" i="3"/>
  <c r="C462" i="3"/>
  <c r="AL461" i="3"/>
  <c r="F461" i="3"/>
  <c r="E461" i="3"/>
  <c r="D461" i="3"/>
  <c r="C461" i="3"/>
  <c r="AL460" i="3"/>
  <c r="F460" i="3"/>
  <c r="E460" i="3"/>
  <c r="D460" i="3"/>
  <c r="C460" i="3"/>
  <c r="AL459" i="3"/>
  <c r="F459" i="3"/>
  <c r="E459" i="3"/>
  <c r="D459" i="3"/>
  <c r="C459" i="3"/>
  <c r="AL458" i="3"/>
  <c r="F458" i="3"/>
  <c r="E458" i="3"/>
  <c r="D458" i="3"/>
  <c r="C458" i="3"/>
  <c r="AL457" i="3"/>
  <c r="F457" i="3"/>
  <c r="E457" i="3"/>
  <c r="D457" i="3"/>
  <c r="C457" i="3"/>
  <c r="AL456" i="3"/>
  <c r="F456" i="3"/>
  <c r="E456" i="3"/>
  <c r="D456" i="3"/>
  <c r="C456" i="3"/>
  <c r="AL455" i="3"/>
  <c r="F455" i="3"/>
  <c r="E455" i="3"/>
  <c r="D455" i="3"/>
  <c r="C455" i="3"/>
  <c r="AL454" i="3"/>
  <c r="F454" i="3"/>
  <c r="E454" i="3"/>
  <c r="D454" i="3"/>
  <c r="C454" i="3"/>
  <c r="AL453" i="3"/>
  <c r="F453" i="3"/>
  <c r="E453" i="3"/>
  <c r="D453" i="3"/>
  <c r="C453" i="3"/>
  <c r="AL452" i="3"/>
  <c r="F452" i="3"/>
  <c r="E452" i="3"/>
  <c r="D452" i="3"/>
  <c r="C452" i="3"/>
  <c r="AL451" i="3"/>
  <c r="F451" i="3"/>
  <c r="E451" i="3"/>
  <c r="D451" i="3"/>
  <c r="C451" i="3"/>
  <c r="AL450" i="3"/>
  <c r="F450" i="3"/>
  <c r="E450" i="3"/>
  <c r="D450" i="3"/>
  <c r="C450" i="3"/>
  <c r="AL449" i="3"/>
  <c r="F449" i="3"/>
  <c r="E449" i="3"/>
  <c r="D449" i="3"/>
  <c r="C449" i="3"/>
  <c r="AL448" i="3"/>
  <c r="F448" i="3"/>
  <c r="E448" i="3"/>
  <c r="D448" i="3"/>
  <c r="C448" i="3"/>
  <c r="AL447" i="3"/>
  <c r="F447" i="3"/>
  <c r="E447" i="3"/>
  <c r="D447" i="3"/>
  <c r="C447" i="3"/>
  <c r="AL446" i="3"/>
  <c r="F446" i="3"/>
  <c r="E446" i="3"/>
  <c r="D446" i="3"/>
  <c r="C446" i="3"/>
  <c r="AL445" i="3"/>
  <c r="F445" i="3"/>
  <c r="E445" i="3"/>
  <c r="D445" i="3"/>
  <c r="C445" i="3"/>
  <c r="AL444" i="3"/>
  <c r="F444" i="3"/>
  <c r="E444" i="3"/>
  <c r="D444" i="3"/>
  <c r="C444" i="3"/>
  <c r="AL443" i="3"/>
  <c r="F443" i="3"/>
  <c r="E443" i="3"/>
  <c r="D443" i="3"/>
  <c r="C443" i="3"/>
  <c r="AL442" i="3"/>
  <c r="F442" i="3"/>
  <c r="E442" i="3"/>
  <c r="D442" i="3"/>
  <c r="C442" i="3"/>
  <c r="AL441" i="3"/>
  <c r="F441" i="3"/>
  <c r="E441" i="3"/>
  <c r="D441" i="3"/>
  <c r="C441" i="3"/>
  <c r="AL440" i="3"/>
  <c r="F440" i="3"/>
  <c r="E440" i="3"/>
  <c r="D440" i="3"/>
  <c r="C440" i="3"/>
  <c r="AL439" i="3"/>
  <c r="F439" i="3"/>
  <c r="E439" i="3"/>
  <c r="D439" i="3"/>
  <c r="C439" i="3"/>
  <c r="AL438" i="3"/>
  <c r="F438" i="3"/>
  <c r="E438" i="3"/>
  <c r="D438" i="3"/>
  <c r="C438" i="3"/>
  <c r="AL437" i="3"/>
  <c r="F437" i="3"/>
  <c r="E437" i="3"/>
  <c r="D437" i="3"/>
  <c r="C437" i="3"/>
  <c r="AL436" i="3"/>
  <c r="F436" i="3"/>
  <c r="E436" i="3"/>
  <c r="D436" i="3"/>
  <c r="C436" i="3"/>
  <c r="AL435" i="3"/>
  <c r="F435" i="3"/>
  <c r="E435" i="3"/>
  <c r="D435" i="3"/>
  <c r="C435" i="3"/>
  <c r="AL434" i="3"/>
  <c r="F434" i="3"/>
  <c r="E434" i="3"/>
  <c r="D434" i="3"/>
  <c r="C434" i="3"/>
  <c r="AL433" i="3"/>
  <c r="F433" i="3"/>
  <c r="E433" i="3"/>
  <c r="D433" i="3"/>
  <c r="C433" i="3"/>
  <c r="AL432" i="3"/>
  <c r="F432" i="3"/>
  <c r="E432" i="3"/>
  <c r="D432" i="3"/>
  <c r="C432" i="3"/>
  <c r="AL431" i="3"/>
  <c r="F431" i="3"/>
  <c r="E431" i="3"/>
  <c r="D431" i="3"/>
  <c r="C431" i="3"/>
  <c r="AL430" i="3"/>
  <c r="F430" i="3"/>
  <c r="E430" i="3"/>
  <c r="D430" i="3"/>
  <c r="C430" i="3"/>
  <c r="AL429" i="3"/>
  <c r="F429" i="3"/>
  <c r="E429" i="3"/>
  <c r="D429" i="3"/>
  <c r="C429" i="3"/>
  <c r="AL428" i="3"/>
  <c r="F428" i="3"/>
  <c r="E428" i="3"/>
  <c r="D428" i="3"/>
  <c r="C428" i="3"/>
  <c r="AL427" i="3"/>
  <c r="F427" i="3"/>
  <c r="E427" i="3"/>
  <c r="D427" i="3"/>
  <c r="C427" i="3"/>
  <c r="AL426" i="3"/>
  <c r="F426" i="3"/>
  <c r="E426" i="3"/>
  <c r="D426" i="3"/>
  <c r="C426" i="3"/>
  <c r="AL425" i="3"/>
  <c r="F425" i="3"/>
  <c r="E425" i="3"/>
  <c r="D425" i="3"/>
  <c r="C425" i="3"/>
  <c r="AL424" i="3"/>
  <c r="F424" i="3"/>
  <c r="E424" i="3"/>
  <c r="D424" i="3"/>
  <c r="C424" i="3"/>
  <c r="AL423" i="3"/>
  <c r="F423" i="3"/>
  <c r="E423" i="3"/>
  <c r="D423" i="3"/>
  <c r="C423" i="3"/>
  <c r="AL422" i="3"/>
  <c r="F422" i="3"/>
  <c r="E422" i="3"/>
  <c r="D422" i="3"/>
  <c r="C422" i="3"/>
  <c r="AL421" i="3"/>
  <c r="F421" i="3"/>
  <c r="E421" i="3"/>
  <c r="D421" i="3"/>
  <c r="C421" i="3"/>
  <c r="AL420" i="3"/>
  <c r="F420" i="3"/>
  <c r="E420" i="3"/>
  <c r="D420" i="3"/>
  <c r="C420" i="3"/>
  <c r="AL419" i="3"/>
  <c r="F419" i="3"/>
  <c r="E419" i="3"/>
  <c r="D419" i="3"/>
  <c r="C419" i="3"/>
  <c r="AL418" i="3"/>
  <c r="F418" i="3"/>
  <c r="E418" i="3"/>
  <c r="D418" i="3"/>
  <c r="C418" i="3"/>
  <c r="AL417" i="3"/>
  <c r="F417" i="3"/>
  <c r="E417" i="3"/>
  <c r="D417" i="3"/>
  <c r="C417" i="3"/>
  <c r="AL416" i="3"/>
  <c r="F416" i="3"/>
  <c r="E416" i="3"/>
  <c r="D416" i="3"/>
  <c r="C416" i="3"/>
  <c r="AL415" i="3"/>
  <c r="F415" i="3"/>
  <c r="E415" i="3"/>
  <c r="D415" i="3"/>
  <c r="C415" i="3"/>
  <c r="AL414" i="3"/>
  <c r="F414" i="3"/>
  <c r="E414" i="3"/>
  <c r="D414" i="3"/>
  <c r="C414" i="3"/>
  <c r="AL413" i="3"/>
  <c r="F413" i="3"/>
  <c r="E413" i="3"/>
  <c r="D413" i="3"/>
  <c r="C413" i="3"/>
  <c r="AL412" i="3"/>
  <c r="F412" i="3"/>
  <c r="E412" i="3"/>
  <c r="D412" i="3"/>
  <c r="C412" i="3"/>
  <c r="AL411" i="3"/>
  <c r="F411" i="3"/>
  <c r="E411" i="3"/>
  <c r="D411" i="3"/>
  <c r="C411" i="3"/>
  <c r="AL410" i="3"/>
  <c r="F410" i="3"/>
  <c r="E410" i="3"/>
  <c r="D410" i="3"/>
  <c r="C410" i="3"/>
  <c r="AL409" i="3"/>
  <c r="F409" i="3"/>
  <c r="E409" i="3"/>
  <c r="D409" i="3"/>
  <c r="C409" i="3"/>
  <c r="AL408" i="3"/>
  <c r="F408" i="3"/>
  <c r="E408" i="3"/>
  <c r="D408" i="3"/>
  <c r="C408" i="3"/>
  <c r="AL407" i="3"/>
  <c r="F407" i="3"/>
  <c r="E407" i="3"/>
  <c r="D407" i="3"/>
  <c r="C407" i="3"/>
  <c r="AL406" i="3"/>
  <c r="F406" i="3"/>
  <c r="E406" i="3"/>
  <c r="D406" i="3"/>
  <c r="C406" i="3"/>
  <c r="AL405" i="3"/>
  <c r="F405" i="3"/>
  <c r="E405" i="3"/>
  <c r="D405" i="3"/>
  <c r="C405" i="3"/>
  <c r="AL404" i="3"/>
  <c r="F404" i="3"/>
  <c r="E404" i="3"/>
  <c r="D404" i="3"/>
  <c r="C404" i="3"/>
  <c r="AL403" i="3"/>
  <c r="F403" i="3"/>
  <c r="E403" i="3"/>
  <c r="D403" i="3"/>
  <c r="C403" i="3"/>
  <c r="AL402" i="3"/>
  <c r="F402" i="3"/>
  <c r="E402" i="3"/>
  <c r="D402" i="3"/>
  <c r="C402" i="3"/>
  <c r="AL401" i="3"/>
  <c r="F401" i="3"/>
  <c r="E401" i="3"/>
  <c r="D401" i="3"/>
  <c r="C401" i="3"/>
  <c r="AL400" i="3"/>
  <c r="F400" i="3"/>
  <c r="E400" i="3"/>
  <c r="D400" i="3"/>
  <c r="C400" i="3"/>
  <c r="AL399" i="3"/>
  <c r="F399" i="3"/>
  <c r="E399" i="3"/>
  <c r="D399" i="3"/>
  <c r="C399" i="3"/>
  <c r="AL398" i="3"/>
  <c r="F398" i="3"/>
  <c r="E398" i="3"/>
  <c r="D398" i="3"/>
  <c r="C398" i="3"/>
  <c r="AL397" i="3"/>
  <c r="F397" i="3"/>
  <c r="E397" i="3"/>
  <c r="D397" i="3"/>
  <c r="C397" i="3"/>
  <c r="AL396" i="3"/>
  <c r="F396" i="3"/>
  <c r="E396" i="3"/>
  <c r="D396" i="3"/>
  <c r="C396" i="3"/>
  <c r="AL395" i="3"/>
  <c r="F395" i="3"/>
  <c r="E395" i="3"/>
  <c r="D395" i="3"/>
  <c r="C395" i="3"/>
  <c r="AL394" i="3"/>
  <c r="F394" i="3"/>
  <c r="E394" i="3"/>
  <c r="D394" i="3"/>
  <c r="C394" i="3"/>
  <c r="AL393" i="3"/>
  <c r="F393" i="3"/>
  <c r="E393" i="3"/>
  <c r="D393" i="3"/>
  <c r="C393" i="3"/>
  <c r="AL392" i="3"/>
  <c r="F392" i="3"/>
  <c r="E392" i="3"/>
  <c r="D392" i="3"/>
  <c r="C392" i="3"/>
  <c r="AL391" i="3"/>
  <c r="F391" i="3"/>
  <c r="E391" i="3"/>
  <c r="D391" i="3"/>
  <c r="C391" i="3"/>
  <c r="AL390" i="3"/>
  <c r="F390" i="3"/>
  <c r="E390" i="3"/>
  <c r="D390" i="3"/>
  <c r="C390" i="3"/>
  <c r="AL389" i="3"/>
  <c r="F389" i="3"/>
  <c r="E389" i="3"/>
  <c r="D389" i="3"/>
  <c r="C389" i="3"/>
  <c r="AL388" i="3"/>
  <c r="F388" i="3"/>
  <c r="E388" i="3"/>
  <c r="D388" i="3"/>
  <c r="C388" i="3"/>
  <c r="AL387" i="3"/>
  <c r="F387" i="3"/>
  <c r="E387" i="3"/>
  <c r="D387" i="3"/>
  <c r="C387" i="3"/>
  <c r="AL386" i="3"/>
  <c r="F386" i="3"/>
  <c r="E386" i="3"/>
  <c r="D386" i="3"/>
  <c r="C386" i="3"/>
  <c r="AL385" i="3"/>
  <c r="F385" i="3"/>
  <c r="E385" i="3"/>
  <c r="D385" i="3"/>
  <c r="C385" i="3"/>
  <c r="AL384" i="3"/>
  <c r="F384" i="3"/>
  <c r="E384" i="3"/>
  <c r="D384" i="3"/>
  <c r="C384" i="3"/>
  <c r="AL383" i="3"/>
  <c r="F383" i="3"/>
  <c r="E383" i="3"/>
  <c r="D383" i="3"/>
  <c r="C383" i="3"/>
  <c r="AL382" i="3"/>
  <c r="F382" i="3"/>
  <c r="E382" i="3"/>
  <c r="D382" i="3"/>
  <c r="C382" i="3"/>
  <c r="AL381" i="3"/>
  <c r="F381" i="3"/>
  <c r="E381" i="3"/>
  <c r="D381" i="3"/>
  <c r="C381" i="3"/>
  <c r="AL380" i="3"/>
  <c r="F380" i="3"/>
  <c r="E380" i="3"/>
  <c r="D380" i="3"/>
  <c r="C380" i="3"/>
  <c r="AL379" i="3"/>
  <c r="F379" i="3"/>
  <c r="E379" i="3"/>
  <c r="D379" i="3"/>
  <c r="C379" i="3"/>
  <c r="AL378" i="3"/>
  <c r="F378" i="3"/>
  <c r="E378" i="3"/>
  <c r="D378" i="3"/>
  <c r="C378" i="3"/>
  <c r="AL377" i="3"/>
  <c r="F377" i="3"/>
  <c r="E377" i="3"/>
  <c r="D377" i="3"/>
  <c r="C377" i="3"/>
  <c r="AL376" i="3"/>
  <c r="F376" i="3"/>
  <c r="E376" i="3"/>
  <c r="D376" i="3"/>
  <c r="C376" i="3"/>
  <c r="AL375" i="3"/>
  <c r="F375" i="3"/>
  <c r="E375" i="3"/>
  <c r="D375" i="3"/>
  <c r="C375" i="3"/>
  <c r="AL374" i="3"/>
  <c r="F374" i="3"/>
  <c r="E374" i="3"/>
  <c r="D374" i="3"/>
  <c r="C374" i="3"/>
  <c r="AL373" i="3"/>
  <c r="F373" i="3"/>
  <c r="E373" i="3"/>
  <c r="D373" i="3"/>
  <c r="C373" i="3"/>
  <c r="AL372" i="3"/>
  <c r="F372" i="3"/>
  <c r="E372" i="3"/>
  <c r="D372" i="3"/>
  <c r="C372" i="3"/>
  <c r="AL371" i="3"/>
  <c r="F371" i="3"/>
  <c r="E371" i="3"/>
  <c r="D371" i="3"/>
  <c r="C371" i="3"/>
  <c r="AL370" i="3"/>
  <c r="F370" i="3"/>
  <c r="E370" i="3"/>
  <c r="D370" i="3"/>
  <c r="C370" i="3"/>
  <c r="AL369" i="3"/>
  <c r="F369" i="3"/>
  <c r="E369" i="3"/>
  <c r="D369" i="3"/>
  <c r="C369" i="3"/>
  <c r="AL368" i="3"/>
  <c r="F368" i="3"/>
  <c r="E368" i="3"/>
  <c r="D368" i="3"/>
  <c r="C368" i="3"/>
  <c r="AL367" i="3"/>
  <c r="F367" i="3"/>
  <c r="E367" i="3"/>
  <c r="D367" i="3"/>
  <c r="C367" i="3"/>
  <c r="AL366" i="3"/>
  <c r="F366" i="3"/>
  <c r="E366" i="3"/>
  <c r="D366" i="3"/>
  <c r="C366" i="3"/>
  <c r="AL365" i="3"/>
  <c r="F365" i="3"/>
  <c r="E365" i="3"/>
  <c r="D365" i="3"/>
  <c r="C365" i="3"/>
  <c r="AL364" i="3"/>
  <c r="F364" i="3"/>
  <c r="E364" i="3"/>
  <c r="D364" i="3"/>
  <c r="C364" i="3"/>
  <c r="AL363" i="3"/>
  <c r="F363" i="3"/>
  <c r="E363" i="3"/>
  <c r="D363" i="3"/>
  <c r="C363" i="3"/>
  <c r="AL362" i="3"/>
  <c r="F362" i="3"/>
  <c r="E362" i="3"/>
  <c r="D362" i="3"/>
  <c r="C362" i="3"/>
  <c r="AL361" i="3"/>
  <c r="F361" i="3"/>
  <c r="E361" i="3"/>
  <c r="D361" i="3"/>
  <c r="C361" i="3"/>
  <c r="AL360" i="3"/>
  <c r="F360" i="3"/>
  <c r="E360" i="3"/>
  <c r="D360" i="3"/>
  <c r="C360" i="3"/>
  <c r="AL359" i="3"/>
  <c r="F359" i="3"/>
  <c r="E359" i="3"/>
  <c r="D359" i="3"/>
  <c r="C359" i="3"/>
  <c r="AL358" i="3"/>
  <c r="F358" i="3"/>
  <c r="E358" i="3"/>
  <c r="D358" i="3"/>
  <c r="C358" i="3"/>
  <c r="AL357" i="3"/>
  <c r="F357" i="3"/>
  <c r="E357" i="3"/>
  <c r="D357" i="3"/>
  <c r="C357" i="3"/>
  <c r="AL356" i="3"/>
  <c r="F356" i="3"/>
  <c r="E356" i="3"/>
  <c r="D356" i="3"/>
  <c r="C356" i="3"/>
  <c r="AL355" i="3"/>
  <c r="F355" i="3"/>
  <c r="E355" i="3"/>
  <c r="D355" i="3"/>
  <c r="C355" i="3"/>
  <c r="AL354" i="3"/>
  <c r="F354" i="3"/>
  <c r="E354" i="3"/>
  <c r="D354" i="3"/>
  <c r="C354" i="3"/>
  <c r="AL353" i="3"/>
  <c r="F353" i="3"/>
  <c r="E353" i="3"/>
  <c r="D353" i="3"/>
  <c r="C353" i="3"/>
  <c r="AL352" i="3"/>
  <c r="F352" i="3"/>
  <c r="E352" i="3"/>
  <c r="D352" i="3"/>
  <c r="C352" i="3"/>
  <c r="AL351" i="3"/>
  <c r="F351" i="3"/>
  <c r="E351" i="3"/>
  <c r="D351" i="3"/>
  <c r="C351" i="3"/>
  <c r="AL350" i="3"/>
  <c r="F350" i="3"/>
  <c r="E350" i="3"/>
  <c r="D350" i="3"/>
  <c r="C350" i="3"/>
  <c r="AL349" i="3"/>
  <c r="F349" i="3"/>
  <c r="E349" i="3"/>
  <c r="D349" i="3"/>
  <c r="C349" i="3"/>
  <c r="AL348" i="3"/>
  <c r="F348" i="3"/>
  <c r="E348" i="3"/>
  <c r="D348" i="3"/>
  <c r="C348" i="3"/>
  <c r="AL347" i="3"/>
  <c r="F347" i="3"/>
  <c r="E347" i="3"/>
  <c r="D347" i="3"/>
  <c r="C347" i="3"/>
  <c r="AL346" i="3"/>
  <c r="F346" i="3"/>
  <c r="E346" i="3"/>
  <c r="D346" i="3"/>
  <c r="C346" i="3"/>
  <c r="AL345" i="3"/>
  <c r="F345" i="3"/>
  <c r="E345" i="3"/>
  <c r="D345" i="3"/>
  <c r="C345" i="3"/>
  <c r="AL344" i="3"/>
  <c r="F344" i="3"/>
  <c r="E344" i="3"/>
  <c r="D344" i="3"/>
  <c r="C344" i="3"/>
  <c r="AL343" i="3"/>
  <c r="F343" i="3"/>
  <c r="E343" i="3"/>
  <c r="D343" i="3"/>
  <c r="C343" i="3"/>
  <c r="AL342" i="3"/>
  <c r="F342" i="3"/>
  <c r="E342" i="3"/>
  <c r="D342" i="3"/>
  <c r="C342" i="3"/>
  <c r="AL341" i="3"/>
  <c r="F341" i="3"/>
  <c r="E341" i="3"/>
  <c r="D341" i="3"/>
  <c r="C341" i="3"/>
  <c r="AL340" i="3"/>
  <c r="F340" i="3"/>
  <c r="E340" i="3"/>
  <c r="D340" i="3"/>
  <c r="C340" i="3"/>
  <c r="AL339" i="3"/>
  <c r="F339" i="3"/>
  <c r="E339" i="3"/>
  <c r="D339" i="3"/>
  <c r="C339" i="3"/>
  <c r="AL338" i="3"/>
  <c r="F338" i="3"/>
  <c r="E338" i="3"/>
  <c r="D338" i="3"/>
  <c r="C338" i="3"/>
  <c r="AL337" i="3"/>
  <c r="F337" i="3"/>
  <c r="E337" i="3"/>
  <c r="D337" i="3"/>
  <c r="C337" i="3"/>
  <c r="AL336" i="3"/>
  <c r="F336" i="3"/>
  <c r="E336" i="3"/>
  <c r="D336" i="3"/>
  <c r="C336" i="3"/>
  <c r="AL335" i="3"/>
  <c r="F335" i="3"/>
  <c r="E335" i="3"/>
  <c r="D335" i="3"/>
  <c r="C335" i="3"/>
  <c r="AL334" i="3"/>
  <c r="F334" i="3"/>
  <c r="E334" i="3"/>
  <c r="D334" i="3"/>
  <c r="C334" i="3"/>
  <c r="AL333" i="3"/>
  <c r="F333" i="3"/>
  <c r="E333" i="3"/>
  <c r="D333" i="3"/>
  <c r="C333" i="3"/>
  <c r="AL332" i="3"/>
  <c r="F332" i="3"/>
  <c r="E332" i="3"/>
  <c r="D332" i="3"/>
  <c r="C332" i="3"/>
  <c r="AL331" i="3"/>
  <c r="F331" i="3"/>
  <c r="E331" i="3"/>
  <c r="D331" i="3"/>
  <c r="C331" i="3"/>
  <c r="AL330" i="3"/>
  <c r="F330" i="3"/>
  <c r="E330" i="3"/>
  <c r="D330" i="3"/>
  <c r="C330" i="3"/>
  <c r="AL329" i="3"/>
  <c r="F329" i="3"/>
  <c r="E329" i="3"/>
  <c r="D329" i="3"/>
  <c r="C329" i="3"/>
  <c r="AL328" i="3"/>
  <c r="F328" i="3"/>
  <c r="E328" i="3"/>
  <c r="D328" i="3"/>
  <c r="C328" i="3"/>
  <c r="AL327" i="3"/>
  <c r="F327" i="3"/>
  <c r="E327" i="3"/>
  <c r="D327" i="3"/>
  <c r="C327" i="3"/>
  <c r="AL326" i="3"/>
  <c r="F326" i="3"/>
  <c r="E326" i="3"/>
  <c r="D326" i="3"/>
  <c r="C326" i="3"/>
  <c r="AL325" i="3"/>
  <c r="F325" i="3"/>
  <c r="E325" i="3"/>
  <c r="D325" i="3"/>
  <c r="C325" i="3"/>
  <c r="AL324" i="3"/>
  <c r="F324" i="3"/>
  <c r="E324" i="3"/>
  <c r="D324" i="3"/>
  <c r="C324" i="3"/>
  <c r="AL323" i="3"/>
  <c r="F323" i="3"/>
  <c r="E323" i="3"/>
  <c r="D323" i="3"/>
  <c r="C323" i="3"/>
  <c r="AL322" i="3"/>
  <c r="F322" i="3"/>
  <c r="E322" i="3"/>
  <c r="D322" i="3"/>
  <c r="C322" i="3"/>
  <c r="AL321" i="3"/>
  <c r="F321" i="3"/>
  <c r="E321" i="3"/>
  <c r="D321" i="3"/>
  <c r="C321" i="3"/>
  <c r="AL320" i="3"/>
  <c r="F320" i="3"/>
  <c r="E320" i="3"/>
  <c r="D320" i="3"/>
  <c r="C320" i="3"/>
  <c r="AL319" i="3"/>
  <c r="F319" i="3"/>
  <c r="E319" i="3"/>
  <c r="D319" i="3"/>
  <c r="C319" i="3"/>
  <c r="AL318" i="3"/>
  <c r="F318" i="3"/>
  <c r="E318" i="3"/>
  <c r="D318" i="3"/>
  <c r="C318" i="3"/>
  <c r="AL317" i="3"/>
  <c r="F317" i="3"/>
  <c r="E317" i="3"/>
  <c r="D317" i="3"/>
  <c r="C317" i="3"/>
  <c r="AL316" i="3"/>
  <c r="F316" i="3"/>
  <c r="E316" i="3"/>
  <c r="D316" i="3"/>
  <c r="C316" i="3"/>
  <c r="AL315" i="3"/>
  <c r="F315" i="3"/>
  <c r="E315" i="3"/>
  <c r="D315" i="3"/>
  <c r="C315" i="3"/>
  <c r="AL314" i="3"/>
  <c r="F314" i="3"/>
  <c r="E314" i="3"/>
  <c r="D314" i="3"/>
  <c r="C314" i="3"/>
  <c r="AL313" i="3"/>
  <c r="F313" i="3"/>
  <c r="E313" i="3"/>
  <c r="D313" i="3"/>
  <c r="C313" i="3"/>
  <c r="AL312" i="3"/>
  <c r="F312" i="3"/>
  <c r="E312" i="3"/>
  <c r="D312" i="3"/>
  <c r="C312" i="3"/>
  <c r="AL311" i="3"/>
  <c r="F311" i="3"/>
  <c r="E311" i="3"/>
  <c r="D311" i="3"/>
  <c r="C311" i="3"/>
  <c r="AL310" i="3"/>
  <c r="F310" i="3"/>
  <c r="E310" i="3"/>
  <c r="D310" i="3"/>
  <c r="C310" i="3"/>
  <c r="AL309" i="3"/>
  <c r="F309" i="3"/>
  <c r="E309" i="3"/>
  <c r="D309" i="3"/>
  <c r="C309" i="3"/>
  <c r="AL308" i="3"/>
  <c r="F308" i="3"/>
  <c r="E308" i="3"/>
  <c r="D308" i="3"/>
  <c r="C308" i="3"/>
  <c r="AL307" i="3"/>
  <c r="F307" i="3"/>
  <c r="E307" i="3"/>
  <c r="D307" i="3"/>
  <c r="C307" i="3"/>
  <c r="AL306" i="3"/>
  <c r="F306" i="3"/>
  <c r="E306" i="3"/>
  <c r="D306" i="3"/>
  <c r="C306" i="3"/>
  <c r="AL305" i="3"/>
  <c r="F305" i="3"/>
  <c r="E305" i="3"/>
  <c r="D305" i="3"/>
  <c r="C305" i="3"/>
  <c r="AL304" i="3"/>
  <c r="F304" i="3"/>
  <c r="E304" i="3"/>
  <c r="D304" i="3"/>
  <c r="C304" i="3"/>
  <c r="AL303" i="3"/>
  <c r="F303" i="3"/>
  <c r="E303" i="3"/>
  <c r="D303" i="3"/>
  <c r="C303" i="3"/>
  <c r="AL302" i="3"/>
  <c r="F302" i="3"/>
  <c r="E302" i="3"/>
  <c r="D302" i="3"/>
  <c r="C302" i="3"/>
  <c r="AL301" i="3"/>
  <c r="F301" i="3"/>
  <c r="E301" i="3"/>
  <c r="D301" i="3"/>
  <c r="C301" i="3"/>
  <c r="AL300" i="3"/>
  <c r="F300" i="3"/>
  <c r="E300" i="3"/>
  <c r="D300" i="3"/>
  <c r="C300" i="3"/>
  <c r="AL299" i="3"/>
  <c r="F299" i="3"/>
  <c r="E299" i="3"/>
  <c r="D299" i="3"/>
  <c r="C299" i="3"/>
  <c r="AL298" i="3"/>
  <c r="F298" i="3"/>
  <c r="E298" i="3"/>
  <c r="D298" i="3"/>
  <c r="C298" i="3"/>
  <c r="AL297" i="3"/>
  <c r="F297" i="3"/>
  <c r="E297" i="3"/>
  <c r="D297" i="3"/>
  <c r="C297" i="3"/>
  <c r="AL296" i="3"/>
  <c r="F296" i="3"/>
  <c r="E296" i="3"/>
  <c r="D296" i="3"/>
  <c r="C296" i="3"/>
  <c r="AL295" i="3"/>
  <c r="F295" i="3"/>
  <c r="E295" i="3"/>
  <c r="D295" i="3"/>
  <c r="C295" i="3"/>
  <c r="AL294" i="3"/>
  <c r="F294" i="3"/>
  <c r="E294" i="3"/>
  <c r="D294" i="3"/>
  <c r="C294" i="3"/>
  <c r="AL293" i="3"/>
  <c r="F293" i="3"/>
  <c r="E293" i="3"/>
  <c r="D293" i="3"/>
  <c r="C293" i="3"/>
  <c r="AL292" i="3"/>
  <c r="F292" i="3"/>
  <c r="E292" i="3"/>
  <c r="D292" i="3"/>
  <c r="C292" i="3"/>
  <c r="AL291" i="3"/>
  <c r="F291" i="3"/>
  <c r="E291" i="3"/>
  <c r="D291" i="3"/>
  <c r="C291" i="3"/>
  <c r="AL290" i="3"/>
  <c r="F290" i="3"/>
  <c r="E290" i="3"/>
  <c r="D290" i="3"/>
  <c r="C290" i="3"/>
  <c r="AL289" i="3"/>
  <c r="F289" i="3"/>
  <c r="E289" i="3"/>
  <c r="D289" i="3"/>
  <c r="C289" i="3"/>
  <c r="AL288" i="3"/>
  <c r="F288" i="3"/>
  <c r="E288" i="3"/>
  <c r="D288" i="3"/>
  <c r="C288" i="3"/>
  <c r="AL287" i="3"/>
  <c r="F287" i="3"/>
  <c r="E287" i="3"/>
  <c r="D287" i="3"/>
  <c r="C287" i="3"/>
  <c r="AL286" i="3"/>
  <c r="F286" i="3"/>
  <c r="E286" i="3"/>
  <c r="D286" i="3"/>
  <c r="C286" i="3"/>
  <c r="AL285" i="3"/>
  <c r="F285" i="3"/>
  <c r="E285" i="3"/>
  <c r="D285" i="3"/>
  <c r="C285" i="3"/>
  <c r="AL284" i="3"/>
  <c r="F284" i="3"/>
  <c r="E284" i="3"/>
  <c r="D284" i="3"/>
  <c r="C284" i="3"/>
  <c r="AL283" i="3"/>
  <c r="F283" i="3"/>
  <c r="E283" i="3"/>
  <c r="D283" i="3"/>
  <c r="C283" i="3"/>
  <c r="AL282" i="3"/>
  <c r="F282" i="3"/>
  <c r="E282" i="3"/>
  <c r="D282" i="3"/>
  <c r="C282" i="3"/>
  <c r="AL281" i="3"/>
  <c r="F281" i="3"/>
  <c r="E281" i="3"/>
  <c r="D281" i="3"/>
  <c r="C281" i="3"/>
  <c r="AL280" i="3"/>
  <c r="F280" i="3"/>
  <c r="E280" i="3"/>
  <c r="D280" i="3"/>
  <c r="C280" i="3"/>
  <c r="AL279" i="3"/>
  <c r="F279" i="3"/>
  <c r="E279" i="3"/>
  <c r="D279" i="3"/>
  <c r="C279" i="3"/>
  <c r="AL278" i="3"/>
  <c r="F278" i="3"/>
  <c r="E278" i="3"/>
  <c r="D278" i="3"/>
  <c r="C278" i="3"/>
  <c r="AL277" i="3"/>
  <c r="F277" i="3"/>
  <c r="E277" i="3"/>
  <c r="D277" i="3"/>
  <c r="C277" i="3"/>
  <c r="AL276" i="3"/>
  <c r="F276" i="3"/>
  <c r="E276" i="3"/>
  <c r="D276" i="3"/>
  <c r="C276" i="3"/>
  <c r="AL275" i="3"/>
  <c r="F275" i="3"/>
  <c r="E275" i="3"/>
  <c r="D275" i="3"/>
  <c r="C275" i="3"/>
  <c r="AL274" i="3"/>
  <c r="F274" i="3"/>
  <c r="E274" i="3"/>
  <c r="D274" i="3"/>
  <c r="C274" i="3"/>
  <c r="AL273" i="3"/>
  <c r="F273" i="3"/>
  <c r="E273" i="3"/>
  <c r="D273" i="3"/>
  <c r="C273" i="3"/>
  <c r="AL272" i="3"/>
  <c r="F272" i="3"/>
  <c r="E272" i="3"/>
  <c r="D272" i="3"/>
  <c r="C272" i="3"/>
  <c r="AL271" i="3"/>
  <c r="F271" i="3"/>
  <c r="E271" i="3"/>
  <c r="D271" i="3"/>
  <c r="C271" i="3"/>
  <c r="AL270" i="3"/>
  <c r="F270" i="3"/>
  <c r="E270" i="3"/>
  <c r="D270" i="3"/>
  <c r="C270" i="3"/>
  <c r="AL269" i="3"/>
  <c r="F269" i="3"/>
  <c r="E269" i="3"/>
  <c r="D269" i="3"/>
  <c r="C269" i="3"/>
  <c r="AL268" i="3"/>
  <c r="F268" i="3"/>
  <c r="E268" i="3"/>
  <c r="D268" i="3"/>
  <c r="C268" i="3"/>
  <c r="AL267" i="3"/>
  <c r="F267" i="3"/>
  <c r="E267" i="3"/>
  <c r="D267" i="3"/>
  <c r="C267" i="3"/>
  <c r="AL266" i="3"/>
  <c r="F266" i="3"/>
  <c r="E266" i="3"/>
  <c r="D266" i="3"/>
  <c r="C266" i="3"/>
  <c r="AL265" i="3"/>
  <c r="F265" i="3"/>
  <c r="E265" i="3"/>
  <c r="D265" i="3"/>
  <c r="C265" i="3"/>
  <c r="AL264" i="3"/>
  <c r="F264" i="3"/>
  <c r="E264" i="3"/>
  <c r="D264" i="3"/>
  <c r="C264" i="3"/>
  <c r="AL263" i="3"/>
  <c r="F263" i="3"/>
  <c r="E263" i="3"/>
  <c r="D263" i="3"/>
  <c r="C263" i="3"/>
  <c r="AL262" i="3"/>
  <c r="F262" i="3"/>
  <c r="E262" i="3"/>
  <c r="D262" i="3"/>
  <c r="C262" i="3"/>
  <c r="AL261" i="3"/>
  <c r="F261" i="3"/>
  <c r="E261" i="3"/>
  <c r="D261" i="3"/>
  <c r="C261" i="3"/>
  <c r="AL260" i="3"/>
  <c r="F260" i="3"/>
  <c r="E260" i="3"/>
  <c r="D260" i="3"/>
  <c r="C260" i="3"/>
  <c r="AL259" i="3"/>
  <c r="F259" i="3"/>
  <c r="E259" i="3"/>
  <c r="D259" i="3"/>
  <c r="C259" i="3"/>
  <c r="AL258" i="3"/>
  <c r="F258" i="3"/>
  <c r="E258" i="3"/>
  <c r="D258" i="3"/>
  <c r="C258" i="3"/>
  <c r="AL257" i="3"/>
  <c r="F257" i="3"/>
  <c r="E257" i="3"/>
  <c r="D257" i="3"/>
  <c r="C257" i="3"/>
  <c r="AL256" i="3"/>
  <c r="F256" i="3"/>
  <c r="E256" i="3"/>
  <c r="D256" i="3"/>
  <c r="C256" i="3"/>
  <c r="AL255" i="3"/>
  <c r="F255" i="3"/>
  <c r="E255" i="3"/>
  <c r="D255" i="3"/>
  <c r="C255" i="3"/>
  <c r="AL254" i="3"/>
  <c r="F254" i="3"/>
  <c r="E254" i="3"/>
  <c r="D254" i="3"/>
  <c r="C254" i="3"/>
  <c r="AL253" i="3"/>
  <c r="F253" i="3"/>
  <c r="E253" i="3"/>
  <c r="D253" i="3"/>
  <c r="C253" i="3"/>
  <c r="AL252" i="3"/>
  <c r="F252" i="3"/>
  <c r="E252" i="3"/>
  <c r="D252" i="3"/>
  <c r="C252" i="3"/>
  <c r="AL251" i="3"/>
  <c r="F251" i="3"/>
  <c r="E251" i="3"/>
  <c r="D251" i="3"/>
  <c r="C251" i="3"/>
  <c r="AL250" i="3"/>
  <c r="F250" i="3"/>
  <c r="E250" i="3"/>
  <c r="D250" i="3"/>
  <c r="C250" i="3"/>
  <c r="AL249" i="3"/>
  <c r="F249" i="3"/>
  <c r="E249" i="3"/>
  <c r="D249" i="3"/>
  <c r="C249" i="3"/>
  <c r="AL248" i="3"/>
  <c r="F248" i="3"/>
  <c r="E248" i="3"/>
  <c r="D248" i="3"/>
  <c r="C248" i="3"/>
  <c r="AL247" i="3"/>
  <c r="F247" i="3"/>
  <c r="E247" i="3"/>
  <c r="D247" i="3"/>
  <c r="C247" i="3"/>
  <c r="AL246" i="3"/>
  <c r="F246" i="3"/>
  <c r="E246" i="3"/>
  <c r="D246" i="3"/>
  <c r="C246" i="3"/>
  <c r="AL245" i="3"/>
  <c r="F245" i="3"/>
  <c r="E245" i="3"/>
  <c r="D245" i="3"/>
  <c r="C245" i="3"/>
  <c r="AL244" i="3"/>
  <c r="F244" i="3"/>
  <c r="E244" i="3"/>
  <c r="D244" i="3"/>
  <c r="C244" i="3"/>
  <c r="AL243" i="3"/>
  <c r="F243" i="3"/>
  <c r="E243" i="3"/>
  <c r="D243" i="3"/>
  <c r="C243" i="3"/>
  <c r="AL242" i="3"/>
  <c r="F242" i="3"/>
  <c r="E242" i="3"/>
  <c r="D242" i="3"/>
  <c r="C242" i="3"/>
  <c r="AL241" i="3"/>
  <c r="F241" i="3"/>
  <c r="E241" i="3"/>
  <c r="D241" i="3"/>
  <c r="C241" i="3"/>
  <c r="AL240" i="3"/>
  <c r="F240" i="3"/>
  <c r="E240" i="3"/>
  <c r="D240" i="3"/>
  <c r="C240" i="3"/>
  <c r="AL239" i="3"/>
  <c r="F239" i="3"/>
  <c r="E239" i="3"/>
  <c r="D239" i="3"/>
  <c r="C239" i="3"/>
  <c r="AL238" i="3"/>
  <c r="F238" i="3"/>
  <c r="E238" i="3"/>
  <c r="D238" i="3"/>
  <c r="C238" i="3"/>
  <c r="AL237" i="3"/>
  <c r="F237" i="3"/>
  <c r="E237" i="3"/>
  <c r="D237" i="3"/>
  <c r="C237" i="3"/>
  <c r="AL236" i="3"/>
  <c r="F236" i="3"/>
  <c r="E236" i="3"/>
  <c r="D236" i="3"/>
  <c r="C236" i="3"/>
  <c r="AL235" i="3"/>
  <c r="F235" i="3"/>
  <c r="E235" i="3"/>
  <c r="D235" i="3"/>
  <c r="C235" i="3"/>
  <c r="AL234" i="3"/>
  <c r="F234" i="3"/>
  <c r="E234" i="3"/>
  <c r="D234" i="3"/>
  <c r="C234" i="3"/>
  <c r="AL233" i="3"/>
  <c r="F233" i="3"/>
  <c r="E233" i="3"/>
  <c r="D233" i="3"/>
  <c r="C233" i="3"/>
  <c r="AL232" i="3"/>
  <c r="F232" i="3"/>
  <c r="E232" i="3"/>
  <c r="D232" i="3"/>
  <c r="C232" i="3"/>
  <c r="AL231" i="3"/>
  <c r="F231" i="3"/>
  <c r="E231" i="3"/>
  <c r="D231" i="3"/>
  <c r="C231" i="3"/>
  <c r="AL230" i="3"/>
  <c r="F230" i="3"/>
  <c r="E230" i="3"/>
  <c r="D230" i="3"/>
  <c r="C230" i="3"/>
  <c r="AL229" i="3"/>
  <c r="F229" i="3"/>
  <c r="E229" i="3"/>
  <c r="D229" i="3"/>
  <c r="C229" i="3"/>
  <c r="AL228" i="3"/>
  <c r="F228" i="3"/>
  <c r="E228" i="3"/>
  <c r="D228" i="3"/>
  <c r="C228" i="3"/>
  <c r="AL227" i="3"/>
  <c r="F227" i="3"/>
  <c r="E227" i="3"/>
  <c r="D227" i="3"/>
  <c r="C227" i="3"/>
  <c r="AL226" i="3"/>
  <c r="F226" i="3"/>
  <c r="E226" i="3"/>
  <c r="D226" i="3"/>
  <c r="C226" i="3"/>
  <c r="AL225" i="3"/>
  <c r="F225" i="3"/>
  <c r="E225" i="3"/>
  <c r="D225" i="3"/>
  <c r="C225" i="3"/>
  <c r="AL224" i="3"/>
  <c r="F224" i="3"/>
  <c r="E224" i="3"/>
  <c r="D224" i="3"/>
  <c r="C224" i="3"/>
  <c r="AL223" i="3"/>
  <c r="F223" i="3"/>
  <c r="E223" i="3"/>
  <c r="D223" i="3"/>
  <c r="C223" i="3"/>
  <c r="AL222" i="3"/>
  <c r="F222" i="3"/>
  <c r="E222" i="3"/>
  <c r="D222" i="3"/>
  <c r="C222" i="3"/>
  <c r="AL221" i="3"/>
  <c r="F221" i="3"/>
  <c r="E221" i="3"/>
  <c r="D221" i="3"/>
  <c r="C221" i="3"/>
  <c r="AL220" i="3"/>
  <c r="F220" i="3"/>
  <c r="E220" i="3"/>
  <c r="D220" i="3"/>
  <c r="C220" i="3"/>
  <c r="AL219" i="3"/>
  <c r="F219" i="3"/>
  <c r="E219" i="3"/>
  <c r="D219" i="3"/>
  <c r="C219" i="3"/>
  <c r="AL218" i="3"/>
  <c r="F218" i="3"/>
  <c r="E218" i="3"/>
  <c r="D218" i="3"/>
  <c r="C218" i="3"/>
  <c r="AL217" i="3"/>
  <c r="F217" i="3"/>
  <c r="E217" i="3"/>
  <c r="D217" i="3"/>
  <c r="C217" i="3"/>
  <c r="AL216" i="3"/>
  <c r="F216" i="3"/>
  <c r="E216" i="3"/>
  <c r="D216" i="3"/>
  <c r="C216" i="3"/>
  <c r="AL215" i="3"/>
  <c r="F215" i="3"/>
  <c r="E215" i="3"/>
  <c r="D215" i="3"/>
  <c r="C215" i="3"/>
  <c r="AL214" i="3"/>
  <c r="F214" i="3"/>
  <c r="E214" i="3"/>
  <c r="D214" i="3"/>
  <c r="C214" i="3"/>
  <c r="AL213" i="3"/>
  <c r="F213" i="3"/>
  <c r="E213" i="3"/>
  <c r="D213" i="3"/>
  <c r="C213" i="3"/>
  <c r="AL212" i="3"/>
  <c r="F212" i="3"/>
  <c r="E212" i="3"/>
  <c r="D212" i="3"/>
  <c r="C212" i="3"/>
  <c r="AL211" i="3"/>
  <c r="F211" i="3"/>
  <c r="E211" i="3"/>
  <c r="D211" i="3"/>
  <c r="C211" i="3"/>
  <c r="AL210" i="3"/>
  <c r="F210" i="3"/>
  <c r="E210" i="3"/>
  <c r="D210" i="3"/>
  <c r="C210" i="3"/>
  <c r="AL209" i="3"/>
  <c r="F209" i="3"/>
  <c r="E209" i="3"/>
  <c r="D209" i="3"/>
  <c r="C209" i="3"/>
  <c r="AL208" i="3"/>
  <c r="F208" i="3"/>
  <c r="E208" i="3"/>
  <c r="D208" i="3"/>
  <c r="C208" i="3"/>
  <c r="AL207" i="3"/>
  <c r="F207" i="3"/>
  <c r="E207" i="3"/>
  <c r="D207" i="3"/>
  <c r="C207" i="3"/>
  <c r="AL206" i="3"/>
  <c r="F206" i="3"/>
  <c r="E206" i="3"/>
  <c r="D206" i="3"/>
  <c r="C206" i="3"/>
  <c r="AL205" i="3"/>
  <c r="F205" i="3"/>
  <c r="E205" i="3"/>
  <c r="D205" i="3"/>
  <c r="C205" i="3"/>
  <c r="AL204" i="3"/>
  <c r="F204" i="3"/>
  <c r="E204" i="3"/>
  <c r="D204" i="3"/>
  <c r="C204" i="3"/>
  <c r="AL203" i="3"/>
  <c r="F203" i="3"/>
  <c r="E203" i="3"/>
  <c r="D203" i="3"/>
  <c r="C203" i="3"/>
  <c r="AL202" i="3"/>
  <c r="F202" i="3"/>
  <c r="E202" i="3"/>
  <c r="D202" i="3"/>
  <c r="C202" i="3"/>
  <c r="AL201" i="3"/>
  <c r="F201" i="3"/>
  <c r="E201" i="3"/>
  <c r="D201" i="3"/>
  <c r="C201" i="3"/>
  <c r="AL200" i="3"/>
  <c r="F200" i="3"/>
  <c r="E200" i="3"/>
  <c r="D200" i="3"/>
  <c r="C200" i="3"/>
  <c r="AL199" i="3"/>
  <c r="F199" i="3"/>
  <c r="E199" i="3"/>
  <c r="D199" i="3"/>
  <c r="C199" i="3"/>
  <c r="AL198" i="3"/>
  <c r="F198" i="3"/>
  <c r="E198" i="3"/>
  <c r="D198" i="3"/>
  <c r="C198" i="3"/>
  <c r="AL197" i="3"/>
  <c r="F197" i="3"/>
  <c r="E197" i="3"/>
  <c r="D197" i="3"/>
  <c r="C197" i="3"/>
  <c r="AL196" i="3"/>
  <c r="F196" i="3"/>
  <c r="E196" i="3"/>
  <c r="D196" i="3"/>
  <c r="C196" i="3"/>
  <c r="AL195" i="3"/>
  <c r="F195" i="3"/>
  <c r="E195" i="3"/>
  <c r="D195" i="3"/>
  <c r="C195" i="3"/>
  <c r="AL194" i="3"/>
  <c r="F194" i="3"/>
  <c r="E194" i="3"/>
  <c r="D194" i="3"/>
  <c r="C194" i="3"/>
  <c r="AL193" i="3"/>
  <c r="F193" i="3"/>
  <c r="E193" i="3"/>
  <c r="D193" i="3"/>
  <c r="C193" i="3"/>
  <c r="AL192" i="3"/>
  <c r="F192" i="3"/>
  <c r="E192" i="3"/>
  <c r="D192" i="3"/>
  <c r="C192" i="3"/>
  <c r="AL191" i="3"/>
  <c r="F191" i="3"/>
  <c r="E191" i="3"/>
  <c r="D191" i="3"/>
  <c r="C191" i="3"/>
  <c r="AL190" i="3"/>
  <c r="F190" i="3"/>
  <c r="E190" i="3"/>
  <c r="D190" i="3"/>
  <c r="C190" i="3"/>
  <c r="AL189" i="3"/>
  <c r="F189" i="3"/>
  <c r="E189" i="3"/>
  <c r="D189" i="3"/>
  <c r="C189" i="3"/>
  <c r="AL188" i="3"/>
  <c r="F188" i="3"/>
  <c r="E188" i="3"/>
  <c r="D188" i="3"/>
  <c r="C188" i="3"/>
  <c r="AL187" i="3"/>
  <c r="F187" i="3"/>
  <c r="E187" i="3"/>
  <c r="D187" i="3"/>
  <c r="C187" i="3"/>
  <c r="AL186" i="3"/>
  <c r="F186" i="3"/>
  <c r="E186" i="3"/>
  <c r="D186" i="3"/>
  <c r="C186" i="3"/>
  <c r="AL185" i="3"/>
  <c r="F185" i="3"/>
  <c r="E185" i="3"/>
  <c r="D185" i="3"/>
  <c r="C185" i="3"/>
  <c r="AL184" i="3"/>
  <c r="F184" i="3"/>
  <c r="E184" i="3"/>
  <c r="D184" i="3"/>
  <c r="C184" i="3"/>
  <c r="AL183" i="3"/>
  <c r="F183" i="3"/>
  <c r="E183" i="3"/>
  <c r="D183" i="3"/>
  <c r="C183" i="3"/>
  <c r="AL182" i="3"/>
  <c r="F182" i="3"/>
  <c r="E182" i="3"/>
  <c r="D182" i="3"/>
  <c r="C182" i="3"/>
  <c r="AL181" i="3"/>
  <c r="F181" i="3"/>
  <c r="E181" i="3"/>
  <c r="D181" i="3"/>
  <c r="C181" i="3"/>
  <c r="AL180" i="3"/>
  <c r="F180" i="3"/>
  <c r="E180" i="3"/>
  <c r="D180" i="3"/>
  <c r="C180" i="3"/>
  <c r="AL179" i="3"/>
  <c r="F179" i="3"/>
  <c r="E179" i="3"/>
  <c r="D179" i="3"/>
  <c r="C179" i="3"/>
  <c r="AL178" i="3"/>
  <c r="F178" i="3"/>
  <c r="E178" i="3"/>
  <c r="D178" i="3"/>
  <c r="C178" i="3"/>
  <c r="AL177" i="3"/>
  <c r="F177" i="3"/>
  <c r="E177" i="3"/>
  <c r="D177" i="3"/>
  <c r="C177" i="3"/>
  <c r="AL176" i="3"/>
  <c r="F176" i="3"/>
  <c r="E176" i="3"/>
  <c r="D176" i="3"/>
  <c r="C176" i="3"/>
  <c r="AL175" i="3"/>
  <c r="F175" i="3"/>
  <c r="E175" i="3"/>
  <c r="D175" i="3"/>
  <c r="C175" i="3"/>
  <c r="AL174" i="3"/>
  <c r="F174" i="3"/>
  <c r="E174" i="3"/>
  <c r="D174" i="3"/>
  <c r="C174" i="3"/>
  <c r="AL173" i="3"/>
  <c r="F173" i="3"/>
  <c r="E173" i="3"/>
  <c r="D173" i="3"/>
  <c r="C173" i="3"/>
  <c r="AL172" i="3"/>
  <c r="F172" i="3"/>
  <c r="E172" i="3"/>
  <c r="D172" i="3"/>
  <c r="C172" i="3"/>
  <c r="AL171" i="3"/>
  <c r="F171" i="3"/>
  <c r="E171" i="3"/>
  <c r="D171" i="3"/>
  <c r="C171" i="3"/>
  <c r="AL170" i="3"/>
  <c r="F170" i="3"/>
  <c r="E170" i="3"/>
  <c r="D170" i="3"/>
  <c r="C170" i="3"/>
  <c r="AL169" i="3"/>
  <c r="F169" i="3"/>
  <c r="E169" i="3"/>
  <c r="D169" i="3"/>
  <c r="C169" i="3"/>
  <c r="AL168" i="3"/>
  <c r="F168" i="3"/>
  <c r="E168" i="3"/>
  <c r="D168" i="3"/>
  <c r="C168" i="3"/>
  <c r="AL167" i="3"/>
  <c r="F167" i="3"/>
  <c r="E167" i="3"/>
  <c r="D167" i="3"/>
  <c r="C167" i="3"/>
  <c r="AL166" i="3"/>
  <c r="F166" i="3"/>
  <c r="E166" i="3"/>
  <c r="D166" i="3"/>
  <c r="C166" i="3"/>
  <c r="AL165" i="3"/>
  <c r="F165" i="3"/>
  <c r="E165" i="3"/>
  <c r="D165" i="3"/>
  <c r="C165" i="3"/>
  <c r="AL164" i="3"/>
  <c r="F164" i="3"/>
  <c r="E164" i="3"/>
  <c r="D164" i="3"/>
  <c r="C164" i="3"/>
  <c r="AL163" i="3"/>
  <c r="F163" i="3"/>
  <c r="E163" i="3"/>
  <c r="D163" i="3"/>
  <c r="C163" i="3"/>
  <c r="AL162" i="3"/>
  <c r="F162" i="3"/>
  <c r="E162" i="3"/>
  <c r="D162" i="3"/>
  <c r="C162" i="3"/>
  <c r="AL161" i="3"/>
  <c r="F161" i="3"/>
  <c r="E161" i="3"/>
  <c r="D161" i="3"/>
  <c r="C161" i="3"/>
  <c r="AL160" i="3"/>
  <c r="F160" i="3"/>
  <c r="E160" i="3"/>
  <c r="D160" i="3"/>
  <c r="C160" i="3"/>
  <c r="AL159" i="3"/>
  <c r="F159" i="3"/>
  <c r="E159" i="3"/>
  <c r="D159" i="3"/>
  <c r="C159" i="3"/>
  <c r="AL158" i="3"/>
  <c r="F158" i="3"/>
  <c r="E158" i="3"/>
  <c r="D158" i="3"/>
  <c r="C158" i="3"/>
  <c r="AL157" i="3"/>
  <c r="F157" i="3"/>
  <c r="E157" i="3"/>
  <c r="D157" i="3"/>
  <c r="C157" i="3"/>
  <c r="AL156" i="3"/>
  <c r="F156" i="3"/>
  <c r="E156" i="3"/>
  <c r="D156" i="3"/>
  <c r="C156" i="3"/>
  <c r="AL155" i="3"/>
  <c r="F155" i="3"/>
  <c r="E155" i="3"/>
  <c r="D155" i="3"/>
  <c r="C155" i="3"/>
  <c r="AL154" i="3"/>
  <c r="F154" i="3"/>
  <c r="E154" i="3"/>
  <c r="D154" i="3"/>
  <c r="C154" i="3"/>
  <c r="AL153" i="3"/>
  <c r="F153" i="3"/>
  <c r="E153" i="3"/>
  <c r="D153" i="3"/>
  <c r="C153" i="3"/>
  <c r="AL152" i="3"/>
  <c r="F152" i="3"/>
  <c r="E152" i="3"/>
  <c r="D152" i="3"/>
  <c r="C152" i="3"/>
  <c r="AL151" i="3"/>
  <c r="F151" i="3"/>
  <c r="E151" i="3"/>
  <c r="D151" i="3"/>
  <c r="C151" i="3"/>
  <c r="AL150" i="3"/>
  <c r="F150" i="3"/>
  <c r="E150" i="3"/>
  <c r="D150" i="3"/>
  <c r="C150" i="3"/>
  <c r="AL149" i="3"/>
  <c r="F149" i="3"/>
  <c r="E149" i="3"/>
  <c r="D149" i="3"/>
  <c r="C149" i="3"/>
  <c r="AL148" i="3"/>
  <c r="F148" i="3"/>
  <c r="E148" i="3"/>
  <c r="D148" i="3"/>
  <c r="C148" i="3"/>
  <c r="AL147" i="3"/>
  <c r="F147" i="3"/>
  <c r="E147" i="3"/>
  <c r="D147" i="3"/>
  <c r="C147" i="3"/>
  <c r="AL146" i="3"/>
  <c r="F146" i="3"/>
  <c r="E146" i="3"/>
  <c r="D146" i="3"/>
  <c r="C146" i="3"/>
  <c r="AL145" i="3"/>
  <c r="F145" i="3"/>
  <c r="E145" i="3"/>
  <c r="D145" i="3"/>
  <c r="C145" i="3"/>
  <c r="AL144" i="3"/>
  <c r="F144" i="3"/>
  <c r="E144" i="3"/>
  <c r="D144" i="3"/>
  <c r="C144" i="3"/>
  <c r="AL143" i="3"/>
  <c r="F143" i="3"/>
  <c r="E143" i="3"/>
  <c r="D143" i="3"/>
  <c r="C143" i="3"/>
  <c r="AL142" i="3"/>
  <c r="F142" i="3"/>
  <c r="E142" i="3"/>
  <c r="D142" i="3"/>
  <c r="C142" i="3"/>
  <c r="AL141" i="3"/>
  <c r="F141" i="3"/>
  <c r="E141" i="3"/>
  <c r="D141" i="3"/>
  <c r="C141" i="3"/>
  <c r="AL140" i="3"/>
  <c r="F140" i="3"/>
  <c r="E140" i="3"/>
  <c r="D140" i="3"/>
  <c r="C140" i="3"/>
  <c r="AL139" i="3"/>
  <c r="F139" i="3"/>
  <c r="E139" i="3"/>
  <c r="D139" i="3"/>
  <c r="C139" i="3"/>
  <c r="AL138" i="3"/>
  <c r="F138" i="3"/>
  <c r="E138" i="3"/>
  <c r="D138" i="3"/>
  <c r="C138" i="3"/>
  <c r="AL137" i="3"/>
  <c r="F137" i="3"/>
  <c r="E137" i="3"/>
  <c r="D137" i="3"/>
  <c r="C137" i="3"/>
  <c r="AL136" i="3"/>
  <c r="F136" i="3"/>
  <c r="E136" i="3"/>
  <c r="D136" i="3"/>
  <c r="C136" i="3"/>
  <c r="AL135" i="3"/>
  <c r="F135" i="3"/>
  <c r="E135" i="3"/>
  <c r="D135" i="3"/>
  <c r="C135" i="3"/>
  <c r="AL134" i="3"/>
  <c r="F134" i="3"/>
  <c r="E134" i="3"/>
  <c r="D134" i="3"/>
  <c r="C134" i="3"/>
  <c r="AL133" i="3"/>
  <c r="F133" i="3"/>
  <c r="E133" i="3"/>
  <c r="D133" i="3"/>
  <c r="C133" i="3"/>
  <c r="AL132" i="3"/>
  <c r="F132" i="3"/>
  <c r="E132" i="3"/>
  <c r="D132" i="3"/>
  <c r="C132" i="3"/>
  <c r="AL131" i="3"/>
  <c r="F131" i="3"/>
  <c r="E131" i="3"/>
  <c r="D131" i="3"/>
  <c r="C131" i="3"/>
  <c r="AL130" i="3"/>
  <c r="F130" i="3"/>
  <c r="E130" i="3"/>
  <c r="D130" i="3"/>
  <c r="C130" i="3"/>
  <c r="AL129" i="3"/>
  <c r="F129" i="3"/>
  <c r="E129" i="3"/>
  <c r="D129" i="3"/>
  <c r="C129" i="3"/>
  <c r="AL128" i="3"/>
  <c r="F128" i="3"/>
  <c r="E128" i="3"/>
  <c r="D128" i="3"/>
  <c r="C128" i="3"/>
  <c r="AL127" i="3"/>
  <c r="F127" i="3"/>
  <c r="E127" i="3"/>
  <c r="D127" i="3"/>
  <c r="C127" i="3"/>
  <c r="AL126" i="3"/>
  <c r="F126" i="3"/>
  <c r="E126" i="3"/>
  <c r="D126" i="3"/>
  <c r="C126" i="3"/>
  <c r="AL125" i="3"/>
  <c r="F125" i="3"/>
  <c r="E125" i="3"/>
  <c r="D125" i="3"/>
  <c r="C125" i="3"/>
  <c r="AL124" i="3"/>
  <c r="F124" i="3"/>
  <c r="E124" i="3"/>
  <c r="D124" i="3"/>
  <c r="C124" i="3"/>
  <c r="AL123" i="3"/>
  <c r="F123" i="3"/>
  <c r="E123" i="3"/>
  <c r="D123" i="3"/>
  <c r="C123" i="3"/>
  <c r="AL122" i="3"/>
  <c r="F122" i="3"/>
  <c r="E122" i="3"/>
  <c r="D122" i="3"/>
  <c r="C122" i="3"/>
  <c r="AL121" i="3"/>
  <c r="F121" i="3"/>
  <c r="E121" i="3"/>
  <c r="D121" i="3"/>
  <c r="C121" i="3"/>
  <c r="AL120" i="3"/>
  <c r="F120" i="3"/>
  <c r="E120" i="3"/>
  <c r="D120" i="3"/>
  <c r="C120" i="3"/>
  <c r="AL119" i="3"/>
  <c r="F119" i="3"/>
  <c r="E119" i="3"/>
  <c r="D119" i="3"/>
  <c r="C119" i="3"/>
  <c r="AL118" i="3"/>
  <c r="F118" i="3"/>
  <c r="E118" i="3"/>
  <c r="D118" i="3"/>
  <c r="C118" i="3"/>
  <c r="AL117" i="3"/>
  <c r="F117" i="3"/>
  <c r="E117" i="3"/>
  <c r="D117" i="3"/>
  <c r="C117" i="3"/>
  <c r="AL116" i="3"/>
  <c r="F116" i="3"/>
  <c r="E116" i="3"/>
  <c r="D116" i="3"/>
  <c r="C116" i="3"/>
  <c r="AL115" i="3"/>
  <c r="F115" i="3"/>
  <c r="E115" i="3"/>
  <c r="D115" i="3"/>
  <c r="C115" i="3"/>
  <c r="AL114" i="3"/>
  <c r="F114" i="3"/>
  <c r="E114" i="3"/>
  <c r="D114" i="3"/>
  <c r="C114" i="3"/>
  <c r="AL113" i="3"/>
  <c r="F113" i="3"/>
  <c r="E113" i="3"/>
  <c r="D113" i="3"/>
  <c r="C113" i="3"/>
  <c r="AL112" i="3"/>
  <c r="F112" i="3"/>
  <c r="E112" i="3"/>
  <c r="D112" i="3"/>
  <c r="C112" i="3"/>
  <c r="AL111" i="3"/>
  <c r="F111" i="3"/>
  <c r="E111" i="3"/>
  <c r="D111" i="3"/>
  <c r="C111" i="3"/>
  <c r="AL110" i="3"/>
  <c r="F110" i="3"/>
  <c r="E110" i="3"/>
  <c r="D110" i="3"/>
  <c r="C110" i="3"/>
  <c r="AL109" i="3"/>
  <c r="F109" i="3"/>
  <c r="E109" i="3"/>
  <c r="D109" i="3"/>
  <c r="C109" i="3"/>
  <c r="AL108" i="3"/>
  <c r="F108" i="3"/>
  <c r="E108" i="3"/>
  <c r="D108" i="3"/>
  <c r="C108" i="3"/>
  <c r="AL107" i="3"/>
  <c r="F107" i="3"/>
  <c r="E107" i="3"/>
  <c r="D107" i="3"/>
  <c r="C107" i="3"/>
  <c r="AL106" i="3"/>
  <c r="F106" i="3"/>
  <c r="E106" i="3"/>
  <c r="D106" i="3"/>
  <c r="C106" i="3"/>
  <c r="AL105" i="3"/>
  <c r="F105" i="3"/>
  <c r="E105" i="3"/>
  <c r="D105" i="3"/>
  <c r="C105" i="3"/>
  <c r="AL104" i="3"/>
  <c r="F104" i="3"/>
  <c r="E104" i="3"/>
  <c r="D104" i="3"/>
  <c r="C104" i="3"/>
  <c r="AL103" i="3"/>
  <c r="F103" i="3"/>
  <c r="E103" i="3"/>
  <c r="D103" i="3"/>
  <c r="C103" i="3"/>
  <c r="AL102" i="3"/>
  <c r="F102" i="3"/>
  <c r="E102" i="3"/>
  <c r="D102" i="3"/>
  <c r="C102" i="3"/>
  <c r="AL101" i="3"/>
  <c r="F101" i="3"/>
  <c r="E101" i="3"/>
  <c r="D101" i="3"/>
  <c r="C101" i="3"/>
  <c r="AL100" i="3"/>
  <c r="F100" i="3"/>
  <c r="E100" i="3"/>
  <c r="D100" i="3"/>
  <c r="C100" i="3"/>
  <c r="AL99" i="3"/>
  <c r="F99" i="3"/>
  <c r="E99" i="3"/>
  <c r="D99" i="3"/>
  <c r="C99" i="3"/>
  <c r="AL98" i="3"/>
  <c r="F98" i="3"/>
  <c r="E98" i="3"/>
  <c r="D98" i="3"/>
  <c r="C98" i="3"/>
  <c r="AL97" i="3"/>
  <c r="F97" i="3"/>
  <c r="E97" i="3"/>
  <c r="D97" i="3"/>
  <c r="C97" i="3"/>
  <c r="AL96" i="3"/>
  <c r="F96" i="3"/>
  <c r="E96" i="3"/>
  <c r="D96" i="3"/>
  <c r="C96" i="3"/>
  <c r="AL95" i="3"/>
  <c r="F95" i="3"/>
  <c r="E95" i="3"/>
  <c r="D95" i="3"/>
  <c r="C95" i="3"/>
  <c r="AL94" i="3"/>
  <c r="F94" i="3"/>
  <c r="E94" i="3"/>
  <c r="D94" i="3"/>
  <c r="C94" i="3"/>
  <c r="AL93" i="3"/>
  <c r="F93" i="3"/>
  <c r="E93" i="3"/>
  <c r="D93" i="3"/>
  <c r="C93" i="3"/>
  <c r="AL92" i="3"/>
  <c r="F92" i="3"/>
  <c r="E92" i="3"/>
  <c r="D92" i="3"/>
  <c r="C92" i="3"/>
  <c r="AL91" i="3"/>
  <c r="F91" i="3"/>
  <c r="E91" i="3"/>
  <c r="D91" i="3"/>
  <c r="C91" i="3"/>
  <c r="AL90" i="3"/>
  <c r="F90" i="3"/>
  <c r="E90" i="3"/>
  <c r="D90" i="3"/>
  <c r="C90" i="3"/>
  <c r="AL89" i="3"/>
  <c r="F89" i="3"/>
  <c r="E89" i="3"/>
  <c r="D89" i="3"/>
  <c r="C89" i="3"/>
  <c r="AL88" i="3"/>
  <c r="F88" i="3"/>
  <c r="E88" i="3"/>
  <c r="D88" i="3"/>
  <c r="C88" i="3"/>
  <c r="AL87" i="3"/>
  <c r="F87" i="3"/>
  <c r="E87" i="3"/>
  <c r="D87" i="3"/>
  <c r="C87" i="3"/>
  <c r="AL86" i="3"/>
  <c r="F86" i="3"/>
  <c r="E86" i="3"/>
  <c r="D86" i="3"/>
  <c r="C86" i="3"/>
  <c r="AL85" i="3"/>
  <c r="F85" i="3"/>
  <c r="E85" i="3"/>
  <c r="D85" i="3"/>
  <c r="C85" i="3"/>
  <c r="AL84" i="3"/>
  <c r="F84" i="3"/>
  <c r="E84" i="3"/>
  <c r="D84" i="3"/>
  <c r="C84" i="3"/>
  <c r="AL83" i="3"/>
  <c r="F83" i="3"/>
  <c r="E83" i="3"/>
  <c r="D83" i="3"/>
  <c r="C83" i="3"/>
  <c r="AL82" i="3"/>
  <c r="F82" i="3"/>
  <c r="E82" i="3"/>
  <c r="D82" i="3"/>
  <c r="C82" i="3"/>
  <c r="AL81" i="3"/>
  <c r="F81" i="3"/>
  <c r="E81" i="3"/>
  <c r="D81" i="3"/>
  <c r="C81" i="3"/>
  <c r="AL80" i="3"/>
  <c r="F80" i="3"/>
  <c r="E80" i="3"/>
  <c r="D80" i="3"/>
  <c r="C80" i="3"/>
  <c r="AL79" i="3"/>
  <c r="F79" i="3"/>
  <c r="E79" i="3"/>
  <c r="D79" i="3"/>
  <c r="C79" i="3"/>
  <c r="AL78" i="3"/>
  <c r="F78" i="3"/>
  <c r="E78" i="3"/>
  <c r="D78" i="3"/>
  <c r="C78" i="3"/>
  <c r="AL77" i="3"/>
  <c r="F77" i="3"/>
  <c r="E77" i="3"/>
  <c r="D77" i="3"/>
  <c r="C77" i="3"/>
  <c r="AL76" i="3"/>
  <c r="F76" i="3"/>
  <c r="E76" i="3"/>
  <c r="D76" i="3"/>
  <c r="C76" i="3"/>
  <c r="AL75" i="3"/>
  <c r="F75" i="3"/>
  <c r="E75" i="3"/>
  <c r="D75" i="3"/>
  <c r="C75" i="3"/>
  <c r="AL74" i="3"/>
  <c r="F74" i="3"/>
  <c r="E74" i="3"/>
  <c r="D74" i="3"/>
  <c r="C74" i="3"/>
  <c r="AL73" i="3"/>
  <c r="F73" i="3"/>
  <c r="E73" i="3"/>
  <c r="D73" i="3"/>
  <c r="C73" i="3"/>
  <c r="AL72" i="3"/>
  <c r="F72" i="3"/>
  <c r="E72" i="3"/>
  <c r="D72" i="3"/>
  <c r="C72" i="3"/>
  <c r="AL71" i="3"/>
  <c r="F71" i="3"/>
  <c r="E71" i="3"/>
  <c r="D71" i="3"/>
  <c r="C71" i="3"/>
  <c r="AL70" i="3"/>
  <c r="F70" i="3"/>
  <c r="E70" i="3"/>
  <c r="D70" i="3"/>
  <c r="C70" i="3"/>
  <c r="AL69" i="3"/>
  <c r="F69" i="3"/>
  <c r="E69" i="3"/>
  <c r="D69" i="3"/>
  <c r="C69" i="3"/>
  <c r="AL68" i="3"/>
  <c r="F68" i="3"/>
  <c r="E68" i="3"/>
  <c r="D68" i="3"/>
  <c r="C68" i="3"/>
  <c r="AL67" i="3"/>
  <c r="F67" i="3"/>
  <c r="E67" i="3"/>
  <c r="D67" i="3"/>
  <c r="C67" i="3"/>
  <c r="AL66" i="3"/>
  <c r="F66" i="3"/>
  <c r="E66" i="3"/>
  <c r="D66" i="3"/>
  <c r="C66" i="3"/>
  <c r="AL65" i="3"/>
  <c r="F65" i="3"/>
  <c r="E65" i="3"/>
  <c r="D65" i="3"/>
  <c r="C65" i="3"/>
  <c r="AL64" i="3"/>
  <c r="F64" i="3"/>
  <c r="E64" i="3"/>
  <c r="D64" i="3"/>
  <c r="C64" i="3"/>
  <c r="AL63" i="3"/>
  <c r="F63" i="3"/>
  <c r="E63" i="3"/>
  <c r="D63" i="3"/>
  <c r="C63" i="3"/>
  <c r="AL62" i="3"/>
  <c r="F62" i="3"/>
  <c r="E62" i="3"/>
  <c r="D62" i="3"/>
  <c r="C62" i="3"/>
  <c r="AL61" i="3"/>
  <c r="F61" i="3"/>
  <c r="E61" i="3"/>
  <c r="D61" i="3"/>
  <c r="C61" i="3"/>
  <c r="AL60" i="3"/>
  <c r="F60" i="3"/>
  <c r="E60" i="3"/>
  <c r="D60" i="3"/>
  <c r="C60" i="3"/>
  <c r="AL59" i="3"/>
  <c r="F59" i="3"/>
  <c r="E59" i="3"/>
  <c r="D59" i="3"/>
  <c r="C59" i="3"/>
  <c r="AL58" i="3"/>
  <c r="F58" i="3"/>
  <c r="E58" i="3"/>
  <c r="D58" i="3"/>
  <c r="C58" i="3"/>
  <c r="AL57" i="3"/>
  <c r="F57" i="3"/>
  <c r="E57" i="3"/>
  <c r="D57" i="3"/>
  <c r="C57" i="3"/>
  <c r="AL56" i="3"/>
  <c r="F56" i="3"/>
  <c r="E56" i="3"/>
  <c r="D56" i="3"/>
  <c r="C56" i="3"/>
  <c r="AL55" i="3"/>
  <c r="F55" i="3"/>
  <c r="E55" i="3"/>
  <c r="D55" i="3"/>
  <c r="C55" i="3"/>
  <c r="AL54" i="3"/>
  <c r="F54" i="3"/>
  <c r="E54" i="3"/>
  <c r="D54" i="3"/>
  <c r="C54" i="3"/>
  <c r="AL53" i="3"/>
  <c r="F53" i="3"/>
  <c r="E53" i="3"/>
  <c r="D53" i="3"/>
  <c r="C53" i="3"/>
  <c r="AL52" i="3"/>
  <c r="F52" i="3"/>
  <c r="E52" i="3"/>
  <c r="D52" i="3"/>
  <c r="C52" i="3"/>
  <c r="AL51" i="3"/>
  <c r="F51" i="3"/>
  <c r="E51" i="3"/>
  <c r="D51" i="3"/>
  <c r="C51" i="3"/>
  <c r="AL50" i="3"/>
  <c r="F50" i="3"/>
  <c r="E50" i="3"/>
  <c r="D50" i="3"/>
  <c r="C50" i="3"/>
  <c r="AL49" i="3"/>
  <c r="F49" i="3"/>
  <c r="E49" i="3"/>
  <c r="D49" i="3"/>
  <c r="C49" i="3"/>
  <c r="AL48" i="3"/>
  <c r="F48" i="3"/>
  <c r="E48" i="3"/>
  <c r="D48" i="3"/>
  <c r="C48" i="3"/>
  <c r="AL47" i="3"/>
  <c r="F47" i="3"/>
  <c r="E47" i="3"/>
  <c r="D47" i="3"/>
  <c r="C47" i="3"/>
  <c r="AL46" i="3"/>
  <c r="F46" i="3"/>
  <c r="E46" i="3"/>
  <c r="D46" i="3"/>
  <c r="C46" i="3"/>
  <c r="AL45" i="3"/>
  <c r="F45" i="3"/>
  <c r="E45" i="3"/>
  <c r="D45" i="3"/>
  <c r="C45" i="3"/>
  <c r="AL44" i="3"/>
  <c r="F44" i="3"/>
  <c r="E44" i="3"/>
  <c r="D44" i="3"/>
  <c r="C44" i="3"/>
  <c r="AL43" i="3"/>
  <c r="F43" i="3"/>
  <c r="E43" i="3"/>
  <c r="D43" i="3"/>
  <c r="C43" i="3"/>
  <c r="AL42" i="3"/>
  <c r="F42" i="3"/>
  <c r="E42" i="3"/>
  <c r="D42" i="3"/>
  <c r="C42" i="3"/>
  <c r="AL41" i="3"/>
  <c r="F41" i="3"/>
  <c r="E41" i="3"/>
  <c r="D41" i="3"/>
  <c r="C41" i="3"/>
  <c r="AL40" i="3"/>
  <c r="F40" i="3"/>
  <c r="E40" i="3"/>
  <c r="D40" i="3"/>
  <c r="C40" i="3"/>
  <c r="AL39" i="3"/>
  <c r="F39" i="3"/>
  <c r="E39" i="3"/>
  <c r="D39" i="3"/>
  <c r="C39" i="3"/>
  <c r="AL38" i="3"/>
  <c r="F38" i="3"/>
  <c r="E38" i="3"/>
  <c r="D38" i="3"/>
  <c r="C38" i="3"/>
  <c r="AL37" i="3"/>
  <c r="F37" i="3"/>
  <c r="E37" i="3"/>
  <c r="D37" i="3"/>
  <c r="C37" i="3"/>
  <c r="AL36" i="3"/>
  <c r="F36" i="3"/>
  <c r="E36" i="3"/>
  <c r="D36" i="3"/>
  <c r="C36" i="3"/>
  <c r="AL35" i="3"/>
  <c r="F35" i="3"/>
  <c r="E35" i="3"/>
  <c r="D35" i="3"/>
  <c r="C35" i="3"/>
  <c r="AL34" i="3"/>
  <c r="F34" i="3"/>
  <c r="E34" i="3"/>
  <c r="D34" i="3"/>
  <c r="C34" i="3"/>
  <c r="AL33" i="3"/>
  <c r="F33" i="3"/>
  <c r="E33" i="3"/>
  <c r="D33" i="3"/>
  <c r="C33" i="3"/>
  <c r="AL32" i="3"/>
  <c r="F32" i="3"/>
  <c r="E32" i="3"/>
  <c r="D32" i="3"/>
  <c r="C32" i="3"/>
  <c r="AL31" i="3"/>
  <c r="F31" i="3"/>
  <c r="E31" i="3"/>
  <c r="D31" i="3"/>
  <c r="C31" i="3"/>
  <c r="AL30" i="3"/>
  <c r="F30" i="3"/>
  <c r="E30" i="3"/>
  <c r="D30" i="3"/>
  <c r="C30" i="3"/>
  <c r="AL29" i="3"/>
  <c r="F29" i="3"/>
  <c r="E29" i="3"/>
  <c r="D29" i="3"/>
  <c r="C29" i="3"/>
  <c r="AL28" i="3"/>
  <c r="F28" i="3"/>
  <c r="E28" i="3"/>
  <c r="D28" i="3"/>
  <c r="C28" i="3"/>
  <c r="AL27" i="3"/>
  <c r="F27" i="3"/>
  <c r="E27" i="3"/>
  <c r="D27" i="3"/>
  <c r="C27" i="3"/>
  <c r="AL26" i="3"/>
  <c r="F26" i="3"/>
  <c r="E26" i="3"/>
  <c r="D26" i="3"/>
  <c r="C26" i="3"/>
  <c r="AL25" i="3"/>
  <c r="F25" i="3"/>
  <c r="E25" i="3"/>
  <c r="D25" i="3"/>
  <c r="C25" i="3"/>
  <c r="AL24" i="3"/>
  <c r="F24" i="3"/>
  <c r="E24" i="3"/>
  <c r="D24" i="3"/>
  <c r="C24" i="3"/>
  <c r="AL23" i="3"/>
  <c r="F23" i="3"/>
  <c r="E23" i="3"/>
  <c r="D23" i="3"/>
  <c r="C23" i="3"/>
  <c r="AL22" i="3"/>
  <c r="F22" i="3"/>
  <c r="E22" i="3"/>
  <c r="D22" i="3"/>
  <c r="C22" i="3"/>
  <c r="AL21" i="3"/>
  <c r="F21" i="3"/>
  <c r="E21" i="3"/>
  <c r="D21" i="3"/>
  <c r="C21" i="3"/>
  <c r="AL20" i="3"/>
  <c r="F20" i="3"/>
  <c r="E20" i="3"/>
  <c r="D20" i="3"/>
  <c r="C20" i="3"/>
  <c r="AL19" i="3"/>
  <c r="F19" i="3"/>
  <c r="E19" i="3"/>
  <c r="D19" i="3"/>
  <c r="C19" i="3"/>
  <c r="AL18" i="3"/>
  <c r="F18" i="3"/>
  <c r="E18" i="3"/>
  <c r="D18" i="3"/>
  <c r="C18" i="3"/>
  <c r="AL17" i="3"/>
  <c r="F17" i="3"/>
  <c r="E17" i="3"/>
  <c r="D17" i="3"/>
  <c r="C17" i="3"/>
  <c r="AL16" i="3"/>
  <c r="F16" i="3"/>
  <c r="E16" i="3"/>
  <c r="D16" i="3"/>
  <c r="C16" i="3"/>
  <c r="AL15" i="3"/>
  <c r="F15" i="3"/>
  <c r="E15" i="3"/>
  <c r="D15" i="3"/>
  <c r="C15" i="3"/>
  <c r="AL14" i="3"/>
  <c r="F14" i="3"/>
  <c r="E14" i="3"/>
  <c r="D14" i="3"/>
  <c r="C14" i="3"/>
  <c r="AL13" i="3"/>
  <c r="F13" i="3"/>
  <c r="E13" i="3"/>
  <c r="D13" i="3"/>
  <c r="C13" i="3"/>
  <c r="AL12" i="3"/>
  <c r="F12" i="3"/>
  <c r="E12" i="3"/>
  <c r="D12" i="3"/>
  <c r="C12" i="3"/>
  <c r="AL11" i="3"/>
  <c r="F11" i="3"/>
  <c r="E11" i="3"/>
  <c r="D11" i="3"/>
  <c r="C11" i="3"/>
  <c r="AL10" i="3"/>
  <c r="F10" i="3"/>
  <c r="E10" i="3"/>
  <c r="D10" i="3"/>
  <c r="C10" i="3"/>
  <c r="AL9" i="3"/>
  <c r="F9" i="3"/>
  <c r="E9" i="3"/>
  <c r="D9" i="3"/>
  <c r="C9" i="3"/>
  <c r="AL8" i="3"/>
  <c r="F8" i="3"/>
  <c r="E8" i="3"/>
  <c r="D8" i="3"/>
  <c r="C8" i="3"/>
  <c r="AM507" i="2"/>
  <c r="F507" i="2"/>
  <c r="E507" i="2"/>
  <c r="D507" i="2"/>
  <c r="C507" i="2"/>
  <c r="AM506" i="2"/>
  <c r="F506" i="2"/>
  <c r="E506" i="2"/>
  <c r="D506" i="2"/>
  <c r="C506" i="2"/>
  <c r="AM505" i="2"/>
  <c r="F505" i="2"/>
  <c r="E505" i="2"/>
  <c r="D505" i="2"/>
  <c r="C505" i="2"/>
  <c r="AM504" i="2"/>
  <c r="F504" i="2"/>
  <c r="E504" i="2"/>
  <c r="D504" i="2"/>
  <c r="C504" i="2"/>
  <c r="AM503" i="2"/>
  <c r="F503" i="2"/>
  <c r="E503" i="2"/>
  <c r="D503" i="2"/>
  <c r="C503" i="2"/>
  <c r="AM502" i="2"/>
  <c r="F502" i="2"/>
  <c r="E502" i="2"/>
  <c r="D502" i="2"/>
  <c r="C502" i="2"/>
  <c r="AM501" i="2"/>
  <c r="F501" i="2"/>
  <c r="E501" i="2"/>
  <c r="D501" i="2"/>
  <c r="C501" i="2"/>
  <c r="AM500" i="2"/>
  <c r="F500" i="2"/>
  <c r="E500" i="2"/>
  <c r="D500" i="2"/>
  <c r="C500" i="2"/>
  <c r="AM499" i="2"/>
  <c r="F499" i="2"/>
  <c r="E499" i="2"/>
  <c r="D499" i="2"/>
  <c r="C499" i="2"/>
  <c r="AM498" i="2"/>
  <c r="F498" i="2"/>
  <c r="E498" i="2"/>
  <c r="D498" i="2"/>
  <c r="C498" i="2"/>
  <c r="AM497" i="2"/>
  <c r="F497" i="2"/>
  <c r="E497" i="2"/>
  <c r="D497" i="2"/>
  <c r="C497" i="2"/>
  <c r="AM496" i="2"/>
  <c r="F496" i="2"/>
  <c r="E496" i="2"/>
  <c r="D496" i="2"/>
  <c r="C496" i="2"/>
  <c r="AM495" i="2"/>
  <c r="F495" i="2"/>
  <c r="E495" i="2"/>
  <c r="D495" i="2"/>
  <c r="C495" i="2"/>
  <c r="AM494" i="2"/>
  <c r="F494" i="2"/>
  <c r="E494" i="2"/>
  <c r="D494" i="2"/>
  <c r="C494" i="2"/>
  <c r="AM493" i="2"/>
  <c r="F493" i="2"/>
  <c r="E493" i="2"/>
  <c r="D493" i="2"/>
  <c r="C493" i="2"/>
  <c r="AM492" i="2"/>
  <c r="F492" i="2"/>
  <c r="E492" i="2"/>
  <c r="D492" i="2"/>
  <c r="C492" i="2"/>
  <c r="AM491" i="2"/>
  <c r="F491" i="2"/>
  <c r="E491" i="2"/>
  <c r="D491" i="2"/>
  <c r="C491" i="2"/>
  <c r="AM490" i="2"/>
  <c r="F490" i="2"/>
  <c r="E490" i="2"/>
  <c r="D490" i="2"/>
  <c r="C490" i="2"/>
  <c r="AM489" i="2"/>
  <c r="F489" i="2"/>
  <c r="E489" i="2"/>
  <c r="D489" i="2"/>
  <c r="C489" i="2"/>
  <c r="AM488" i="2"/>
  <c r="F488" i="2"/>
  <c r="E488" i="2"/>
  <c r="D488" i="2"/>
  <c r="C488" i="2"/>
  <c r="AM487" i="2"/>
  <c r="F487" i="2"/>
  <c r="E487" i="2"/>
  <c r="D487" i="2"/>
  <c r="C487" i="2"/>
  <c r="AM486" i="2"/>
  <c r="F486" i="2"/>
  <c r="E486" i="2"/>
  <c r="D486" i="2"/>
  <c r="C486" i="2"/>
  <c r="AM485" i="2"/>
  <c r="F485" i="2"/>
  <c r="E485" i="2"/>
  <c r="D485" i="2"/>
  <c r="C485" i="2"/>
  <c r="AM484" i="2"/>
  <c r="F484" i="2"/>
  <c r="E484" i="2"/>
  <c r="D484" i="2"/>
  <c r="C484" i="2"/>
  <c r="AM483" i="2"/>
  <c r="F483" i="2"/>
  <c r="E483" i="2"/>
  <c r="D483" i="2"/>
  <c r="C483" i="2"/>
  <c r="AM482" i="2"/>
  <c r="F482" i="2"/>
  <c r="E482" i="2"/>
  <c r="D482" i="2"/>
  <c r="C482" i="2"/>
  <c r="AM481" i="2"/>
  <c r="F481" i="2"/>
  <c r="E481" i="2"/>
  <c r="D481" i="2"/>
  <c r="C481" i="2"/>
  <c r="AM480" i="2"/>
  <c r="F480" i="2"/>
  <c r="E480" i="2"/>
  <c r="D480" i="2"/>
  <c r="C480" i="2"/>
  <c r="AM479" i="2"/>
  <c r="F479" i="2"/>
  <c r="E479" i="2"/>
  <c r="D479" i="2"/>
  <c r="C479" i="2"/>
  <c r="AM478" i="2"/>
  <c r="F478" i="2"/>
  <c r="E478" i="2"/>
  <c r="D478" i="2"/>
  <c r="C478" i="2"/>
  <c r="AM477" i="2"/>
  <c r="F477" i="2"/>
  <c r="E477" i="2"/>
  <c r="D477" i="2"/>
  <c r="C477" i="2"/>
  <c r="AM476" i="2"/>
  <c r="F476" i="2"/>
  <c r="E476" i="2"/>
  <c r="D476" i="2"/>
  <c r="C476" i="2"/>
  <c r="AM475" i="2"/>
  <c r="F475" i="2"/>
  <c r="E475" i="2"/>
  <c r="D475" i="2"/>
  <c r="C475" i="2"/>
  <c r="AM474" i="2"/>
  <c r="F474" i="2"/>
  <c r="E474" i="2"/>
  <c r="D474" i="2"/>
  <c r="C474" i="2"/>
  <c r="AM473" i="2"/>
  <c r="F473" i="2"/>
  <c r="E473" i="2"/>
  <c r="D473" i="2"/>
  <c r="C473" i="2"/>
  <c r="AM472" i="2"/>
  <c r="F472" i="2"/>
  <c r="E472" i="2"/>
  <c r="D472" i="2"/>
  <c r="C472" i="2"/>
  <c r="AM471" i="2"/>
  <c r="F471" i="2"/>
  <c r="E471" i="2"/>
  <c r="D471" i="2"/>
  <c r="C471" i="2"/>
  <c r="AM470" i="2"/>
  <c r="F470" i="2"/>
  <c r="E470" i="2"/>
  <c r="D470" i="2"/>
  <c r="C470" i="2"/>
  <c r="AM469" i="2"/>
  <c r="F469" i="2"/>
  <c r="E469" i="2"/>
  <c r="D469" i="2"/>
  <c r="C469" i="2"/>
  <c r="AM468" i="2"/>
  <c r="F468" i="2"/>
  <c r="E468" i="2"/>
  <c r="D468" i="2"/>
  <c r="C468" i="2"/>
  <c r="AM467" i="2"/>
  <c r="F467" i="2"/>
  <c r="E467" i="2"/>
  <c r="D467" i="2"/>
  <c r="C467" i="2"/>
  <c r="AM466" i="2"/>
  <c r="F466" i="2"/>
  <c r="E466" i="2"/>
  <c r="D466" i="2"/>
  <c r="C466" i="2"/>
  <c r="AM465" i="2"/>
  <c r="F465" i="2"/>
  <c r="E465" i="2"/>
  <c r="D465" i="2"/>
  <c r="C465" i="2"/>
  <c r="AM464" i="2"/>
  <c r="F464" i="2"/>
  <c r="E464" i="2"/>
  <c r="D464" i="2"/>
  <c r="C464" i="2"/>
  <c r="AM463" i="2"/>
  <c r="F463" i="2"/>
  <c r="E463" i="2"/>
  <c r="D463" i="2"/>
  <c r="C463" i="2"/>
  <c r="AM462" i="2"/>
  <c r="F462" i="2"/>
  <c r="E462" i="2"/>
  <c r="D462" i="2"/>
  <c r="C462" i="2"/>
  <c r="AM461" i="2"/>
  <c r="F461" i="2"/>
  <c r="E461" i="2"/>
  <c r="D461" i="2"/>
  <c r="C461" i="2"/>
  <c r="AM460" i="2"/>
  <c r="F460" i="2"/>
  <c r="E460" i="2"/>
  <c r="D460" i="2"/>
  <c r="C460" i="2"/>
  <c r="AM459" i="2"/>
  <c r="F459" i="2"/>
  <c r="E459" i="2"/>
  <c r="D459" i="2"/>
  <c r="C459" i="2"/>
  <c r="AM458" i="2"/>
  <c r="F458" i="2"/>
  <c r="E458" i="2"/>
  <c r="D458" i="2"/>
  <c r="C458" i="2"/>
  <c r="AM457" i="2"/>
  <c r="F457" i="2"/>
  <c r="E457" i="2"/>
  <c r="D457" i="2"/>
  <c r="C457" i="2"/>
  <c r="AM456" i="2"/>
  <c r="F456" i="2"/>
  <c r="E456" i="2"/>
  <c r="D456" i="2"/>
  <c r="C456" i="2"/>
  <c r="AM455" i="2"/>
  <c r="F455" i="2"/>
  <c r="E455" i="2"/>
  <c r="D455" i="2"/>
  <c r="C455" i="2"/>
  <c r="AM454" i="2"/>
  <c r="F454" i="2"/>
  <c r="E454" i="2"/>
  <c r="D454" i="2"/>
  <c r="C454" i="2"/>
  <c r="AM453" i="2"/>
  <c r="F453" i="2"/>
  <c r="E453" i="2"/>
  <c r="D453" i="2"/>
  <c r="C453" i="2"/>
  <c r="AM452" i="2"/>
  <c r="F452" i="2"/>
  <c r="E452" i="2"/>
  <c r="D452" i="2"/>
  <c r="C452" i="2"/>
  <c r="AM451" i="2"/>
  <c r="F451" i="2"/>
  <c r="E451" i="2"/>
  <c r="D451" i="2"/>
  <c r="C451" i="2"/>
  <c r="AM450" i="2"/>
  <c r="F450" i="2"/>
  <c r="E450" i="2"/>
  <c r="D450" i="2"/>
  <c r="C450" i="2"/>
  <c r="AM449" i="2"/>
  <c r="F449" i="2"/>
  <c r="E449" i="2"/>
  <c r="D449" i="2"/>
  <c r="C449" i="2"/>
  <c r="AM448" i="2"/>
  <c r="F448" i="2"/>
  <c r="E448" i="2"/>
  <c r="D448" i="2"/>
  <c r="C448" i="2"/>
  <c r="AM447" i="2"/>
  <c r="F447" i="2"/>
  <c r="E447" i="2"/>
  <c r="D447" i="2"/>
  <c r="C447" i="2"/>
  <c r="AM446" i="2"/>
  <c r="F446" i="2"/>
  <c r="E446" i="2"/>
  <c r="D446" i="2"/>
  <c r="C446" i="2"/>
  <c r="AM445" i="2"/>
  <c r="F445" i="2"/>
  <c r="E445" i="2"/>
  <c r="D445" i="2"/>
  <c r="C445" i="2"/>
  <c r="AM444" i="2"/>
  <c r="F444" i="2"/>
  <c r="E444" i="2"/>
  <c r="D444" i="2"/>
  <c r="C444" i="2"/>
  <c r="AM443" i="2"/>
  <c r="F443" i="2"/>
  <c r="E443" i="2"/>
  <c r="D443" i="2"/>
  <c r="C443" i="2"/>
  <c r="AM442" i="2"/>
  <c r="F442" i="2"/>
  <c r="E442" i="2"/>
  <c r="D442" i="2"/>
  <c r="C442" i="2"/>
  <c r="AM441" i="2"/>
  <c r="F441" i="2"/>
  <c r="E441" i="2"/>
  <c r="D441" i="2"/>
  <c r="C441" i="2"/>
  <c r="AM440" i="2"/>
  <c r="F440" i="2"/>
  <c r="E440" i="2"/>
  <c r="D440" i="2"/>
  <c r="C440" i="2"/>
  <c r="AM439" i="2"/>
  <c r="F439" i="2"/>
  <c r="E439" i="2"/>
  <c r="D439" i="2"/>
  <c r="C439" i="2"/>
  <c r="AM438" i="2"/>
  <c r="F438" i="2"/>
  <c r="E438" i="2"/>
  <c r="D438" i="2"/>
  <c r="C438" i="2"/>
  <c r="AM437" i="2"/>
  <c r="F437" i="2"/>
  <c r="E437" i="2"/>
  <c r="D437" i="2"/>
  <c r="C437" i="2"/>
  <c r="AM436" i="2"/>
  <c r="F436" i="2"/>
  <c r="E436" i="2"/>
  <c r="D436" i="2"/>
  <c r="C436" i="2"/>
  <c r="AM435" i="2"/>
  <c r="F435" i="2"/>
  <c r="E435" i="2"/>
  <c r="D435" i="2"/>
  <c r="C435" i="2"/>
  <c r="AM434" i="2"/>
  <c r="F434" i="2"/>
  <c r="E434" i="2"/>
  <c r="D434" i="2"/>
  <c r="C434" i="2"/>
  <c r="AM433" i="2"/>
  <c r="F433" i="2"/>
  <c r="E433" i="2"/>
  <c r="D433" i="2"/>
  <c r="C433" i="2"/>
  <c r="AM432" i="2"/>
  <c r="F432" i="2"/>
  <c r="E432" i="2"/>
  <c r="D432" i="2"/>
  <c r="C432" i="2"/>
  <c r="AM431" i="2"/>
  <c r="F431" i="2"/>
  <c r="E431" i="2"/>
  <c r="D431" i="2"/>
  <c r="C431" i="2"/>
  <c r="AM430" i="2"/>
  <c r="F430" i="2"/>
  <c r="E430" i="2"/>
  <c r="D430" i="2"/>
  <c r="C430" i="2"/>
  <c r="AM429" i="2"/>
  <c r="F429" i="2"/>
  <c r="E429" i="2"/>
  <c r="D429" i="2"/>
  <c r="C429" i="2"/>
  <c r="AM428" i="2"/>
  <c r="F428" i="2"/>
  <c r="E428" i="2"/>
  <c r="D428" i="2"/>
  <c r="C428" i="2"/>
  <c r="AM427" i="2"/>
  <c r="F427" i="2"/>
  <c r="E427" i="2"/>
  <c r="D427" i="2"/>
  <c r="C427" i="2"/>
  <c r="AM426" i="2"/>
  <c r="F426" i="2"/>
  <c r="E426" i="2"/>
  <c r="D426" i="2"/>
  <c r="C426" i="2"/>
  <c r="AM425" i="2"/>
  <c r="F425" i="2"/>
  <c r="E425" i="2"/>
  <c r="D425" i="2"/>
  <c r="C425" i="2"/>
  <c r="AM424" i="2"/>
  <c r="F424" i="2"/>
  <c r="E424" i="2"/>
  <c r="D424" i="2"/>
  <c r="C424" i="2"/>
  <c r="AM423" i="2"/>
  <c r="F423" i="2"/>
  <c r="E423" i="2"/>
  <c r="D423" i="2"/>
  <c r="C423" i="2"/>
  <c r="AM422" i="2"/>
  <c r="F422" i="2"/>
  <c r="E422" i="2"/>
  <c r="D422" i="2"/>
  <c r="C422" i="2"/>
  <c r="AM421" i="2"/>
  <c r="F421" i="2"/>
  <c r="E421" i="2"/>
  <c r="D421" i="2"/>
  <c r="C421" i="2"/>
  <c r="AM420" i="2"/>
  <c r="F420" i="2"/>
  <c r="E420" i="2"/>
  <c r="D420" i="2"/>
  <c r="C420" i="2"/>
  <c r="AM419" i="2"/>
  <c r="F419" i="2"/>
  <c r="E419" i="2"/>
  <c r="D419" i="2"/>
  <c r="C419" i="2"/>
  <c r="AM418" i="2"/>
  <c r="F418" i="2"/>
  <c r="E418" i="2"/>
  <c r="D418" i="2"/>
  <c r="C418" i="2"/>
  <c r="AM417" i="2"/>
  <c r="F417" i="2"/>
  <c r="E417" i="2"/>
  <c r="D417" i="2"/>
  <c r="C417" i="2"/>
  <c r="AM416" i="2"/>
  <c r="F416" i="2"/>
  <c r="E416" i="2"/>
  <c r="D416" i="2"/>
  <c r="C416" i="2"/>
  <c r="AM415" i="2"/>
  <c r="F415" i="2"/>
  <c r="E415" i="2"/>
  <c r="D415" i="2"/>
  <c r="C415" i="2"/>
  <c r="AM414" i="2"/>
  <c r="F414" i="2"/>
  <c r="E414" i="2"/>
  <c r="D414" i="2"/>
  <c r="C414" i="2"/>
  <c r="AM413" i="2"/>
  <c r="F413" i="2"/>
  <c r="E413" i="2"/>
  <c r="D413" i="2"/>
  <c r="C413" i="2"/>
  <c r="AM412" i="2"/>
  <c r="F412" i="2"/>
  <c r="E412" i="2"/>
  <c r="D412" i="2"/>
  <c r="C412" i="2"/>
  <c r="AM411" i="2"/>
  <c r="F411" i="2"/>
  <c r="E411" i="2"/>
  <c r="D411" i="2"/>
  <c r="C411" i="2"/>
  <c r="AM410" i="2"/>
  <c r="F410" i="2"/>
  <c r="E410" i="2"/>
  <c r="D410" i="2"/>
  <c r="C410" i="2"/>
  <c r="AM409" i="2"/>
  <c r="F409" i="2"/>
  <c r="E409" i="2"/>
  <c r="D409" i="2"/>
  <c r="C409" i="2"/>
  <c r="AM408" i="2"/>
  <c r="F408" i="2"/>
  <c r="E408" i="2"/>
  <c r="D408" i="2"/>
  <c r="C408" i="2"/>
  <c r="AM407" i="2"/>
  <c r="F407" i="2"/>
  <c r="E407" i="2"/>
  <c r="D407" i="2"/>
  <c r="C407" i="2"/>
  <c r="AM406" i="2"/>
  <c r="F406" i="2"/>
  <c r="E406" i="2"/>
  <c r="D406" i="2"/>
  <c r="C406" i="2"/>
  <c r="AM405" i="2"/>
  <c r="F405" i="2"/>
  <c r="E405" i="2"/>
  <c r="D405" i="2"/>
  <c r="C405" i="2"/>
  <c r="AM404" i="2"/>
  <c r="F404" i="2"/>
  <c r="E404" i="2"/>
  <c r="D404" i="2"/>
  <c r="C404" i="2"/>
  <c r="AM403" i="2"/>
  <c r="F403" i="2"/>
  <c r="E403" i="2"/>
  <c r="D403" i="2"/>
  <c r="C403" i="2"/>
  <c r="AM402" i="2"/>
  <c r="F402" i="2"/>
  <c r="E402" i="2"/>
  <c r="D402" i="2"/>
  <c r="C402" i="2"/>
  <c r="AM401" i="2"/>
  <c r="F401" i="2"/>
  <c r="E401" i="2"/>
  <c r="D401" i="2"/>
  <c r="C401" i="2"/>
  <c r="AM400" i="2"/>
  <c r="F400" i="2"/>
  <c r="E400" i="2"/>
  <c r="D400" i="2"/>
  <c r="C400" i="2"/>
  <c r="AM399" i="2"/>
  <c r="F399" i="2"/>
  <c r="E399" i="2"/>
  <c r="D399" i="2"/>
  <c r="C399" i="2"/>
  <c r="AM398" i="2"/>
  <c r="F398" i="2"/>
  <c r="E398" i="2"/>
  <c r="D398" i="2"/>
  <c r="C398" i="2"/>
  <c r="AM397" i="2"/>
  <c r="F397" i="2"/>
  <c r="E397" i="2"/>
  <c r="D397" i="2"/>
  <c r="C397" i="2"/>
  <c r="AM396" i="2"/>
  <c r="F396" i="2"/>
  <c r="E396" i="2"/>
  <c r="D396" i="2"/>
  <c r="C396" i="2"/>
  <c r="AM395" i="2"/>
  <c r="F395" i="2"/>
  <c r="E395" i="2"/>
  <c r="D395" i="2"/>
  <c r="C395" i="2"/>
  <c r="AM394" i="2"/>
  <c r="F394" i="2"/>
  <c r="E394" i="2"/>
  <c r="D394" i="2"/>
  <c r="C394" i="2"/>
  <c r="AM393" i="2"/>
  <c r="F393" i="2"/>
  <c r="E393" i="2"/>
  <c r="D393" i="2"/>
  <c r="C393" i="2"/>
  <c r="AM392" i="2"/>
  <c r="F392" i="2"/>
  <c r="E392" i="2"/>
  <c r="D392" i="2"/>
  <c r="C392" i="2"/>
  <c r="AM391" i="2"/>
  <c r="F391" i="2"/>
  <c r="E391" i="2"/>
  <c r="D391" i="2"/>
  <c r="C391" i="2"/>
  <c r="AM390" i="2"/>
  <c r="F390" i="2"/>
  <c r="E390" i="2"/>
  <c r="D390" i="2"/>
  <c r="C390" i="2"/>
  <c r="AM389" i="2"/>
  <c r="F389" i="2"/>
  <c r="E389" i="2"/>
  <c r="D389" i="2"/>
  <c r="C389" i="2"/>
  <c r="AM388" i="2"/>
  <c r="F388" i="2"/>
  <c r="E388" i="2"/>
  <c r="D388" i="2"/>
  <c r="C388" i="2"/>
  <c r="AM387" i="2"/>
  <c r="F387" i="2"/>
  <c r="E387" i="2"/>
  <c r="D387" i="2"/>
  <c r="C387" i="2"/>
  <c r="AM386" i="2"/>
  <c r="F386" i="2"/>
  <c r="E386" i="2"/>
  <c r="D386" i="2"/>
  <c r="C386" i="2"/>
  <c r="AM385" i="2"/>
  <c r="F385" i="2"/>
  <c r="E385" i="2"/>
  <c r="D385" i="2"/>
  <c r="C385" i="2"/>
  <c r="AM384" i="2"/>
  <c r="F384" i="2"/>
  <c r="E384" i="2"/>
  <c r="D384" i="2"/>
  <c r="C384" i="2"/>
  <c r="AM383" i="2"/>
  <c r="F383" i="2"/>
  <c r="E383" i="2"/>
  <c r="D383" i="2"/>
  <c r="C383" i="2"/>
  <c r="AM382" i="2"/>
  <c r="F382" i="2"/>
  <c r="E382" i="2"/>
  <c r="D382" i="2"/>
  <c r="C382" i="2"/>
  <c r="AM381" i="2"/>
  <c r="F381" i="2"/>
  <c r="E381" i="2"/>
  <c r="D381" i="2"/>
  <c r="C381" i="2"/>
  <c r="AM380" i="2"/>
  <c r="F380" i="2"/>
  <c r="E380" i="2"/>
  <c r="D380" i="2"/>
  <c r="C380" i="2"/>
  <c r="AM379" i="2"/>
  <c r="F379" i="2"/>
  <c r="E379" i="2"/>
  <c r="D379" i="2"/>
  <c r="C379" i="2"/>
  <c r="AM378" i="2"/>
  <c r="F378" i="2"/>
  <c r="E378" i="2"/>
  <c r="D378" i="2"/>
  <c r="C378" i="2"/>
  <c r="AM377" i="2"/>
  <c r="F377" i="2"/>
  <c r="E377" i="2"/>
  <c r="D377" i="2"/>
  <c r="C377" i="2"/>
  <c r="AM376" i="2"/>
  <c r="F376" i="2"/>
  <c r="E376" i="2"/>
  <c r="D376" i="2"/>
  <c r="C376" i="2"/>
  <c r="AM375" i="2"/>
  <c r="F375" i="2"/>
  <c r="E375" i="2"/>
  <c r="D375" i="2"/>
  <c r="C375" i="2"/>
  <c r="AM374" i="2"/>
  <c r="F374" i="2"/>
  <c r="E374" i="2"/>
  <c r="D374" i="2"/>
  <c r="C374" i="2"/>
  <c r="AM373" i="2"/>
  <c r="F373" i="2"/>
  <c r="E373" i="2"/>
  <c r="D373" i="2"/>
  <c r="C373" i="2"/>
  <c r="AM372" i="2"/>
  <c r="F372" i="2"/>
  <c r="E372" i="2"/>
  <c r="D372" i="2"/>
  <c r="C372" i="2"/>
  <c r="AM371" i="2"/>
  <c r="F371" i="2"/>
  <c r="E371" i="2"/>
  <c r="D371" i="2"/>
  <c r="C371" i="2"/>
  <c r="AM370" i="2"/>
  <c r="F370" i="2"/>
  <c r="E370" i="2"/>
  <c r="D370" i="2"/>
  <c r="C370" i="2"/>
  <c r="AM369" i="2"/>
  <c r="F369" i="2"/>
  <c r="E369" i="2"/>
  <c r="D369" i="2"/>
  <c r="C369" i="2"/>
  <c r="AM368" i="2"/>
  <c r="F368" i="2"/>
  <c r="E368" i="2"/>
  <c r="D368" i="2"/>
  <c r="C368" i="2"/>
  <c r="AM367" i="2"/>
  <c r="F367" i="2"/>
  <c r="E367" i="2"/>
  <c r="D367" i="2"/>
  <c r="C367" i="2"/>
  <c r="AM366" i="2"/>
  <c r="F366" i="2"/>
  <c r="E366" i="2"/>
  <c r="D366" i="2"/>
  <c r="C366" i="2"/>
  <c r="AM365" i="2"/>
  <c r="F365" i="2"/>
  <c r="E365" i="2"/>
  <c r="D365" i="2"/>
  <c r="C365" i="2"/>
  <c r="AM364" i="2"/>
  <c r="F364" i="2"/>
  <c r="E364" i="2"/>
  <c r="D364" i="2"/>
  <c r="C364" i="2"/>
  <c r="AM363" i="2"/>
  <c r="F363" i="2"/>
  <c r="E363" i="2"/>
  <c r="D363" i="2"/>
  <c r="C363" i="2"/>
  <c r="AM362" i="2"/>
  <c r="F362" i="2"/>
  <c r="E362" i="2"/>
  <c r="D362" i="2"/>
  <c r="C362" i="2"/>
  <c r="AM361" i="2"/>
  <c r="F361" i="2"/>
  <c r="E361" i="2"/>
  <c r="D361" i="2"/>
  <c r="C361" i="2"/>
  <c r="AM360" i="2"/>
  <c r="F360" i="2"/>
  <c r="E360" i="2"/>
  <c r="D360" i="2"/>
  <c r="C360" i="2"/>
  <c r="AM359" i="2"/>
  <c r="F359" i="2"/>
  <c r="E359" i="2"/>
  <c r="D359" i="2"/>
  <c r="C359" i="2"/>
  <c r="AM358" i="2"/>
  <c r="F358" i="2"/>
  <c r="E358" i="2"/>
  <c r="D358" i="2"/>
  <c r="C358" i="2"/>
  <c r="AM357" i="2"/>
  <c r="F357" i="2"/>
  <c r="E357" i="2"/>
  <c r="D357" i="2"/>
  <c r="C357" i="2"/>
  <c r="AM356" i="2"/>
  <c r="F356" i="2"/>
  <c r="E356" i="2"/>
  <c r="D356" i="2"/>
  <c r="C356" i="2"/>
  <c r="AM355" i="2"/>
  <c r="F355" i="2"/>
  <c r="E355" i="2"/>
  <c r="D355" i="2"/>
  <c r="C355" i="2"/>
  <c r="AM354" i="2"/>
  <c r="F354" i="2"/>
  <c r="E354" i="2"/>
  <c r="D354" i="2"/>
  <c r="C354" i="2"/>
  <c r="AM353" i="2"/>
  <c r="F353" i="2"/>
  <c r="E353" i="2"/>
  <c r="D353" i="2"/>
  <c r="C353" i="2"/>
  <c r="AM352" i="2"/>
  <c r="F352" i="2"/>
  <c r="E352" i="2"/>
  <c r="D352" i="2"/>
  <c r="C352" i="2"/>
  <c r="AM351" i="2"/>
  <c r="F351" i="2"/>
  <c r="E351" i="2"/>
  <c r="D351" i="2"/>
  <c r="C351" i="2"/>
  <c r="AM350" i="2"/>
  <c r="F350" i="2"/>
  <c r="E350" i="2"/>
  <c r="D350" i="2"/>
  <c r="C350" i="2"/>
  <c r="AM349" i="2"/>
  <c r="F349" i="2"/>
  <c r="E349" i="2"/>
  <c r="D349" i="2"/>
  <c r="C349" i="2"/>
  <c r="AM348" i="2"/>
  <c r="F348" i="2"/>
  <c r="E348" i="2"/>
  <c r="D348" i="2"/>
  <c r="C348" i="2"/>
  <c r="AM347" i="2"/>
  <c r="F347" i="2"/>
  <c r="E347" i="2"/>
  <c r="D347" i="2"/>
  <c r="C347" i="2"/>
  <c r="AM346" i="2"/>
  <c r="F346" i="2"/>
  <c r="E346" i="2"/>
  <c r="D346" i="2"/>
  <c r="C346" i="2"/>
  <c r="AM345" i="2"/>
  <c r="F345" i="2"/>
  <c r="E345" i="2"/>
  <c r="D345" i="2"/>
  <c r="C345" i="2"/>
  <c r="AM344" i="2"/>
  <c r="F344" i="2"/>
  <c r="E344" i="2"/>
  <c r="D344" i="2"/>
  <c r="C344" i="2"/>
  <c r="AM343" i="2"/>
  <c r="F343" i="2"/>
  <c r="E343" i="2"/>
  <c r="D343" i="2"/>
  <c r="C343" i="2"/>
  <c r="AM342" i="2"/>
  <c r="F342" i="2"/>
  <c r="E342" i="2"/>
  <c r="D342" i="2"/>
  <c r="C342" i="2"/>
  <c r="AM341" i="2"/>
  <c r="F341" i="2"/>
  <c r="E341" i="2"/>
  <c r="D341" i="2"/>
  <c r="C341" i="2"/>
  <c r="AM340" i="2"/>
  <c r="F340" i="2"/>
  <c r="E340" i="2"/>
  <c r="D340" i="2"/>
  <c r="C340" i="2"/>
  <c r="AM339" i="2"/>
  <c r="F339" i="2"/>
  <c r="E339" i="2"/>
  <c r="D339" i="2"/>
  <c r="C339" i="2"/>
  <c r="AM338" i="2"/>
  <c r="F338" i="2"/>
  <c r="E338" i="2"/>
  <c r="D338" i="2"/>
  <c r="C338" i="2"/>
  <c r="AM337" i="2"/>
  <c r="F337" i="2"/>
  <c r="E337" i="2"/>
  <c r="D337" i="2"/>
  <c r="C337" i="2"/>
  <c r="AM336" i="2"/>
  <c r="F336" i="2"/>
  <c r="E336" i="2"/>
  <c r="D336" i="2"/>
  <c r="C336" i="2"/>
  <c r="AM335" i="2"/>
  <c r="F335" i="2"/>
  <c r="E335" i="2"/>
  <c r="D335" i="2"/>
  <c r="C335" i="2"/>
  <c r="AM334" i="2"/>
  <c r="F334" i="2"/>
  <c r="E334" i="2"/>
  <c r="D334" i="2"/>
  <c r="C334" i="2"/>
  <c r="AM333" i="2"/>
  <c r="F333" i="2"/>
  <c r="E333" i="2"/>
  <c r="D333" i="2"/>
  <c r="C333" i="2"/>
  <c r="AM332" i="2"/>
  <c r="F332" i="2"/>
  <c r="E332" i="2"/>
  <c r="D332" i="2"/>
  <c r="C332" i="2"/>
  <c r="AM331" i="2"/>
  <c r="F331" i="2"/>
  <c r="E331" i="2"/>
  <c r="D331" i="2"/>
  <c r="C331" i="2"/>
  <c r="AM330" i="2"/>
  <c r="F330" i="2"/>
  <c r="E330" i="2"/>
  <c r="D330" i="2"/>
  <c r="C330" i="2"/>
  <c r="AM329" i="2"/>
  <c r="F329" i="2"/>
  <c r="E329" i="2"/>
  <c r="D329" i="2"/>
  <c r="C329" i="2"/>
  <c r="AM328" i="2"/>
  <c r="F328" i="2"/>
  <c r="E328" i="2"/>
  <c r="D328" i="2"/>
  <c r="C328" i="2"/>
  <c r="AM327" i="2"/>
  <c r="F327" i="2"/>
  <c r="E327" i="2"/>
  <c r="D327" i="2"/>
  <c r="C327" i="2"/>
  <c r="AM326" i="2"/>
  <c r="F326" i="2"/>
  <c r="E326" i="2"/>
  <c r="D326" i="2"/>
  <c r="C326" i="2"/>
  <c r="AM325" i="2"/>
  <c r="F325" i="2"/>
  <c r="E325" i="2"/>
  <c r="D325" i="2"/>
  <c r="C325" i="2"/>
  <c r="AM324" i="2"/>
  <c r="F324" i="2"/>
  <c r="E324" i="2"/>
  <c r="D324" i="2"/>
  <c r="C324" i="2"/>
  <c r="AM323" i="2"/>
  <c r="F323" i="2"/>
  <c r="E323" i="2"/>
  <c r="D323" i="2"/>
  <c r="C323" i="2"/>
  <c r="AM322" i="2"/>
  <c r="F322" i="2"/>
  <c r="E322" i="2"/>
  <c r="D322" i="2"/>
  <c r="C322" i="2"/>
  <c r="AM321" i="2"/>
  <c r="F321" i="2"/>
  <c r="E321" i="2"/>
  <c r="D321" i="2"/>
  <c r="C321" i="2"/>
  <c r="AM320" i="2"/>
  <c r="F320" i="2"/>
  <c r="E320" i="2"/>
  <c r="D320" i="2"/>
  <c r="C320" i="2"/>
  <c r="AM319" i="2"/>
  <c r="F319" i="2"/>
  <c r="E319" i="2"/>
  <c r="D319" i="2"/>
  <c r="C319" i="2"/>
  <c r="AM318" i="2"/>
  <c r="F318" i="2"/>
  <c r="E318" i="2"/>
  <c r="D318" i="2"/>
  <c r="C318" i="2"/>
  <c r="AM317" i="2"/>
  <c r="F317" i="2"/>
  <c r="E317" i="2"/>
  <c r="D317" i="2"/>
  <c r="C317" i="2"/>
  <c r="AM316" i="2"/>
  <c r="F316" i="2"/>
  <c r="E316" i="2"/>
  <c r="D316" i="2"/>
  <c r="C316" i="2"/>
  <c r="AM315" i="2"/>
  <c r="F315" i="2"/>
  <c r="E315" i="2"/>
  <c r="D315" i="2"/>
  <c r="C315" i="2"/>
  <c r="AM314" i="2"/>
  <c r="F314" i="2"/>
  <c r="E314" i="2"/>
  <c r="D314" i="2"/>
  <c r="C314" i="2"/>
  <c r="AM313" i="2"/>
  <c r="F313" i="2"/>
  <c r="E313" i="2"/>
  <c r="D313" i="2"/>
  <c r="C313" i="2"/>
  <c r="AM312" i="2"/>
  <c r="F312" i="2"/>
  <c r="E312" i="2"/>
  <c r="D312" i="2"/>
  <c r="C312" i="2"/>
  <c r="AM311" i="2"/>
  <c r="F311" i="2"/>
  <c r="E311" i="2"/>
  <c r="D311" i="2"/>
  <c r="C311" i="2"/>
  <c r="AM310" i="2"/>
  <c r="F310" i="2"/>
  <c r="E310" i="2"/>
  <c r="D310" i="2"/>
  <c r="C310" i="2"/>
  <c r="AM309" i="2"/>
  <c r="F309" i="2"/>
  <c r="E309" i="2"/>
  <c r="D309" i="2"/>
  <c r="C309" i="2"/>
  <c r="AM308" i="2"/>
  <c r="F308" i="2"/>
  <c r="E308" i="2"/>
  <c r="D308" i="2"/>
  <c r="C308" i="2"/>
  <c r="AM307" i="2"/>
  <c r="F307" i="2"/>
  <c r="E307" i="2"/>
  <c r="D307" i="2"/>
  <c r="C307" i="2"/>
  <c r="AM306" i="2"/>
  <c r="F306" i="2"/>
  <c r="E306" i="2"/>
  <c r="D306" i="2"/>
  <c r="C306" i="2"/>
  <c r="AM305" i="2"/>
  <c r="F305" i="2"/>
  <c r="E305" i="2"/>
  <c r="D305" i="2"/>
  <c r="C305" i="2"/>
  <c r="AM304" i="2"/>
  <c r="F304" i="2"/>
  <c r="E304" i="2"/>
  <c r="D304" i="2"/>
  <c r="C304" i="2"/>
  <c r="AM303" i="2"/>
  <c r="F303" i="2"/>
  <c r="E303" i="2"/>
  <c r="D303" i="2"/>
  <c r="C303" i="2"/>
  <c r="AM302" i="2"/>
  <c r="F302" i="2"/>
  <c r="E302" i="2"/>
  <c r="D302" i="2"/>
  <c r="C302" i="2"/>
  <c r="AM301" i="2"/>
  <c r="F301" i="2"/>
  <c r="E301" i="2"/>
  <c r="D301" i="2"/>
  <c r="C301" i="2"/>
  <c r="AM300" i="2"/>
  <c r="F300" i="2"/>
  <c r="E300" i="2"/>
  <c r="D300" i="2"/>
  <c r="C300" i="2"/>
  <c r="AM299" i="2"/>
  <c r="F299" i="2"/>
  <c r="E299" i="2"/>
  <c r="D299" i="2"/>
  <c r="C299" i="2"/>
  <c r="AM298" i="2"/>
  <c r="F298" i="2"/>
  <c r="E298" i="2"/>
  <c r="D298" i="2"/>
  <c r="C298" i="2"/>
  <c r="AM297" i="2"/>
  <c r="F297" i="2"/>
  <c r="E297" i="2"/>
  <c r="D297" i="2"/>
  <c r="C297" i="2"/>
  <c r="AM296" i="2"/>
  <c r="F296" i="2"/>
  <c r="E296" i="2"/>
  <c r="D296" i="2"/>
  <c r="C296" i="2"/>
  <c r="AM295" i="2"/>
  <c r="F295" i="2"/>
  <c r="E295" i="2"/>
  <c r="D295" i="2"/>
  <c r="C295" i="2"/>
  <c r="AM294" i="2"/>
  <c r="F294" i="2"/>
  <c r="E294" i="2"/>
  <c r="D294" i="2"/>
  <c r="C294" i="2"/>
  <c r="AM293" i="2"/>
  <c r="F293" i="2"/>
  <c r="E293" i="2"/>
  <c r="D293" i="2"/>
  <c r="C293" i="2"/>
  <c r="AM292" i="2"/>
  <c r="F292" i="2"/>
  <c r="E292" i="2"/>
  <c r="D292" i="2"/>
  <c r="C292" i="2"/>
  <c r="AM291" i="2"/>
  <c r="F291" i="2"/>
  <c r="E291" i="2"/>
  <c r="D291" i="2"/>
  <c r="C291" i="2"/>
  <c r="AM290" i="2"/>
  <c r="F290" i="2"/>
  <c r="E290" i="2"/>
  <c r="D290" i="2"/>
  <c r="C290" i="2"/>
  <c r="AM289" i="2"/>
  <c r="F289" i="2"/>
  <c r="E289" i="2"/>
  <c r="D289" i="2"/>
  <c r="C289" i="2"/>
  <c r="AM288" i="2"/>
  <c r="F288" i="2"/>
  <c r="E288" i="2"/>
  <c r="D288" i="2"/>
  <c r="C288" i="2"/>
  <c r="AM287" i="2"/>
  <c r="F287" i="2"/>
  <c r="E287" i="2"/>
  <c r="D287" i="2"/>
  <c r="C287" i="2"/>
  <c r="AM286" i="2"/>
  <c r="F286" i="2"/>
  <c r="E286" i="2"/>
  <c r="D286" i="2"/>
  <c r="C286" i="2"/>
  <c r="AM285" i="2"/>
  <c r="F285" i="2"/>
  <c r="E285" i="2"/>
  <c r="D285" i="2"/>
  <c r="C285" i="2"/>
  <c r="AM284" i="2"/>
  <c r="F284" i="2"/>
  <c r="E284" i="2"/>
  <c r="D284" i="2"/>
  <c r="C284" i="2"/>
  <c r="AM283" i="2"/>
  <c r="F283" i="2"/>
  <c r="E283" i="2"/>
  <c r="D283" i="2"/>
  <c r="C283" i="2"/>
  <c r="AM282" i="2"/>
  <c r="F282" i="2"/>
  <c r="E282" i="2"/>
  <c r="D282" i="2"/>
  <c r="C282" i="2"/>
  <c r="AM281" i="2"/>
  <c r="F281" i="2"/>
  <c r="E281" i="2"/>
  <c r="D281" i="2"/>
  <c r="C281" i="2"/>
  <c r="AM280" i="2"/>
  <c r="F280" i="2"/>
  <c r="E280" i="2"/>
  <c r="D280" i="2"/>
  <c r="C280" i="2"/>
  <c r="AM279" i="2"/>
  <c r="F279" i="2"/>
  <c r="E279" i="2"/>
  <c r="D279" i="2"/>
  <c r="C279" i="2"/>
  <c r="AM278" i="2"/>
  <c r="F278" i="2"/>
  <c r="E278" i="2"/>
  <c r="D278" i="2"/>
  <c r="C278" i="2"/>
  <c r="AM277" i="2"/>
  <c r="F277" i="2"/>
  <c r="E277" i="2"/>
  <c r="D277" i="2"/>
  <c r="C277" i="2"/>
  <c r="AM276" i="2"/>
  <c r="F276" i="2"/>
  <c r="E276" i="2"/>
  <c r="D276" i="2"/>
  <c r="C276" i="2"/>
  <c r="AM275" i="2"/>
  <c r="F275" i="2"/>
  <c r="E275" i="2"/>
  <c r="D275" i="2"/>
  <c r="C275" i="2"/>
  <c r="AM274" i="2"/>
  <c r="F274" i="2"/>
  <c r="E274" i="2"/>
  <c r="D274" i="2"/>
  <c r="C274" i="2"/>
  <c r="AM273" i="2"/>
  <c r="F273" i="2"/>
  <c r="E273" i="2"/>
  <c r="D273" i="2"/>
  <c r="C273" i="2"/>
  <c r="AM272" i="2"/>
  <c r="F272" i="2"/>
  <c r="E272" i="2"/>
  <c r="D272" i="2"/>
  <c r="C272" i="2"/>
  <c r="AM271" i="2"/>
  <c r="F271" i="2"/>
  <c r="E271" i="2"/>
  <c r="D271" i="2"/>
  <c r="C271" i="2"/>
  <c r="AM270" i="2"/>
  <c r="F270" i="2"/>
  <c r="E270" i="2"/>
  <c r="D270" i="2"/>
  <c r="C270" i="2"/>
  <c r="AM269" i="2"/>
  <c r="F269" i="2"/>
  <c r="E269" i="2"/>
  <c r="D269" i="2"/>
  <c r="C269" i="2"/>
  <c r="AM268" i="2"/>
  <c r="F268" i="2"/>
  <c r="E268" i="2"/>
  <c r="D268" i="2"/>
  <c r="C268" i="2"/>
  <c r="AM267" i="2"/>
  <c r="F267" i="2"/>
  <c r="E267" i="2"/>
  <c r="D267" i="2"/>
  <c r="C267" i="2"/>
  <c r="AM266" i="2"/>
  <c r="F266" i="2"/>
  <c r="E266" i="2"/>
  <c r="D266" i="2"/>
  <c r="C266" i="2"/>
  <c r="AM265" i="2"/>
  <c r="F265" i="2"/>
  <c r="E265" i="2"/>
  <c r="D265" i="2"/>
  <c r="C265" i="2"/>
  <c r="AM264" i="2"/>
  <c r="F264" i="2"/>
  <c r="E264" i="2"/>
  <c r="D264" i="2"/>
  <c r="C264" i="2"/>
  <c r="AM263" i="2"/>
  <c r="F263" i="2"/>
  <c r="E263" i="2"/>
  <c r="D263" i="2"/>
  <c r="C263" i="2"/>
  <c r="AM262" i="2"/>
  <c r="F262" i="2"/>
  <c r="E262" i="2"/>
  <c r="D262" i="2"/>
  <c r="C262" i="2"/>
  <c r="AM261" i="2"/>
  <c r="F261" i="2"/>
  <c r="E261" i="2"/>
  <c r="D261" i="2"/>
  <c r="C261" i="2"/>
  <c r="AM260" i="2"/>
  <c r="F260" i="2"/>
  <c r="E260" i="2"/>
  <c r="D260" i="2"/>
  <c r="C260" i="2"/>
  <c r="AM259" i="2"/>
  <c r="F259" i="2"/>
  <c r="E259" i="2"/>
  <c r="D259" i="2"/>
  <c r="C259" i="2"/>
  <c r="AM258" i="2"/>
  <c r="F258" i="2"/>
  <c r="E258" i="2"/>
  <c r="D258" i="2"/>
  <c r="C258" i="2"/>
  <c r="AM257" i="2"/>
  <c r="F257" i="2"/>
  <c r="E257" i="2"/>
  <c r="D257" i="2"/>
  <c r="C257" i="2"/>
  <c r="AM256" i="2"/>
  <c r="F256" i="2"/>
  <c r="E256" i="2"/>
  <c r="D256" i="2"/>
  <c r="C256" i="2"/>
  <c r="AM255" i="2"/>
  <c r="F255" i="2"/>
  <c r="E255" i="2"/>
  <c r="D255" i="2"/>
  <c r="C255" i="2"/>
  <c r="AM254" i="2"/>
  <c r="F254" i="2"/>
  <c r="E254" i="2"/>
  <c r="D254" i="2"/>
  <c r="C254" i="2"/>
  <c r="AM253" i="2"/>
  <c r="F253" i="2"/>
  <c r="E253" i="2"/>
  <c r="D253" i="2"/>
  <c r="C253" i="2"/>
  <c r="AM252" i="2"/>
  <c r="F252" i="2"/>
  <c r="E252" i="2"/>
  <c r="D252" i="2"/>
  <c r="C252" i="2"/>
  <c r="AM251" i="2"/>
  <c r="F251" i="2"/>
  <c r="E251" i="2"/>
  <c r="D251" i="2"/>
  <c r="C251" i="2"/>
  <c r="AM250" i="2"/>
  <c r="F250" i="2"/>
  <c r="E250" i="2"/>
  <c r="D250" i="2"/>
  <c r="C250" i="2"/>
  <c r="AM249" i="2"/>
  <c r="F249" i="2"/>
  <c r="E249" i="2"/>
  <c r="D249" i="2"/>
  <c r="C249" i="2"/>
  <c r="AM248" i="2"/>
  <c r="F248" i="2"/>
  <c r="E248" i="2"/>
  <c r="D248" i="2"/>
  <c r="C248" i="2"/>
  <c r="AM247" i="2"/>
  <c r="F247" i="2"/>
  <c r="E247" i="2"/>
  <c r="D247" i="2"/>
  <c r="C247" i="2"/>
  <c r="AM246" i="2"/>
  <c r="F246" i="2"/>
  <c r="E246" i="2"/>
  <c r="D246" i="2"/>
  <c r="C246" i="2"/>
  <c r="AM245" i="2"/>
  <c r="F245" i="2"/>
  <c r="E245" i="2"/>
  <c r="D245" i="2"/>
  <c r="C245" i="2"/>
  <c r="AM244" i="2"/>
  <c r="F244" i="2"/>
  <c r="E244" i="2"/>
  <c r="D244" i="2"/>
  <c r="C244" i="2"/>
  <c r="AM243" i="2"/>
  <c r="F243" i="2"/>
  <c r="E243" i="2"/>
  <c r="D243" i="2"/>
  <c r="C243" i="2"/>
  <c r="AM242" i="2"/>
  <c r="F242" i="2"/>
  <c r="E242" i="2"/>
  <c r="D242" i="2"/>
  <c r="C242" i="2"/>
  <c r="AM241" i="2"/>
  <c r="F241" i="2"/>
  <c r="E241" i="2"/>
  <c r="D241" i="2"/>
  <c r="C241" i="2"/>
  <c r="AM240" i="2"/>
  <c r="F240" i="2"/>
  <c r="E240" i="2"/>
  <c r="D240" i="2"/>
  <c r="C240" i="2"/>
  <c r="AM239" i="2"/>
  <c r="F239" i="2"/>
  <c r="E239" i="2"/>
  <c r="D239" i="2"/>
  <c r="C239" i="2"/>
  <c r="AM238" i="2"/>
  <c r="F238" i="2"/>
  <c r="E238" i="2"/>
  <c r="D238" i="2"/>
  <c r="C238" i="2"/>
  <c r="AM237" i="2"/>
  <c r="F237" i="2"/>
  <c r="E237" i="2"/>
  <c r="D237" i="2"/>
  <c r="C237" i="2"/>
  <c r="AM236" i="2"/>
  <c r="F236" i="2"/>
  <c r="E236" i="2"/>
  <c r="D236" i="2"/>
  <c r="C236" i="2"/>
  <c r="AM235" i="2"/>
  <c r="F235" i="2"/>
  <c r="E235" i="2"/>
  <c r="D235" i="2"/>
  <c r="C235" i="2"/>
  <c r="AM234" i="2"/>
  <c r="F234" i="2"/>
  <c r="E234" i="2"/>
  <c r="D234" i="2"/>
  <c r="C234" i="2"/>
  <c r="AM233" i="2"/>
  <c r="F233" i="2"/>
  <c r="E233" i="2"/>
  <c r="D233" i="2"/>
  <c r="C233" i="2"/>
  <c r="AM232" i="2"/>
  <c r="F232" i="2"/>
  <c r="E232" i="2"/>
  <c r="D232" i="2"/>
  <c r="C232" i="2"/>
  <c r="AM231" i="2"/>
  <c r="F231" i="2"/>
  <c r="E231" i="2"/>
  <c r="D231" i="2"/>
  <c r="C231" i="2"/>
  <c r="AM230" i="2"/>
  <c r="F230" i="2"/>
  <c r="E230" i="2"/>
  <c r="D230" i="2"/>
  <c r="C230" i="2"/>
  <c r="AM229" i="2"/>
  <c r="F229" i="2"/>
  <c r="E229" i="2"/>
  <c r="D229" i="2"/>
  <c r="C229" i="2"/>
  <c r="AM228" i="2"/>
  <c r="F228" i="2"/>
  <c r="E228" i="2"/>
  <c r="D228" i="2"/>
  <c r="C228" i="2"/>
  <c r="AM227" i="2"/>
  <c r="F227" i="2"/>
  <c r="E227" i="2"/>
  <c r="D227" i="2"/>
  <c r="C227" i="2"/>
  <c r="AM226" i="2"/>
  <c r="F226" i="2"/>
  <c r="E226" i="2"/>
  <c r="D226" i="2"/>
  <c r="C226" i="2"/>
  <c r="AM225" i="2"/>
  <c r="F225" i="2"/>
  <c r="E225" i="2"/>
  <c r="D225" i="2"/>
  <c r="C225" i="2"/>
  <c r="AM224" i="2"/>
  <c r="F224" i="2"/>
  <c r="E224" i="2"/>
  <c r="D224" i="2"/>
  <c r="C224" i="2"/>
  <c r="AM223" i="2"/>
  <c r="F223" i="2"/>
  <c r="E223" i="2"/>
  <c r="D223" i="2"/>
  <c r="C223" i="2"/>
  <c r="AM222" i="2"/>
  <c r="F222" i="2"/>
  <c r="E222" i="2"/>
  <c r="D222" i="2"/>
  <c r="C222" i="2"/>
  <c r="AM221" i="2"/>
  <c r="F221" i="2"/>
  <c r="E221" i="2"/>
  <c r="D221" i="2"/>
  <c r="C221" i="2"/>
  <c r="AM220" i="2"/>
  <c r="F220" i="2"/>
  <c r="E220" i="2"/>
  <c r="D220" i="2"/>
  <c r="C220" i="2"/>
  <c r="AM219" i="2"/>
  <c r="F219" i="2"/>
  <c r="E219" i="2"/>
  <c r="D219" i="2"/>
  <c r="C219" i="2"/>
  <c r="AM218" i="2"/>
  <c r="F218" i="2"/>
  <c r="E218" i="2"/>
  <c r="D218" i="2"/>
  <c r="C218" i="2"/>
  <c r="AM217" i="2"/>
  <c r="F217" i="2"/>
  <c r="E217" i="2"/>
  <c r="D217" i="2"/>
  <c r="C217" i="2"/>
  <c r="AM216" i="2"/>
  <c r="F216" i="2"/>
  <c r="E216" i="2"/>
  <c r="D216" i="2"/>
  <c r="C216" i="2"/>
  <c r="AM215" i="2"/>
  <c r="F215" i="2"/>
  <c r="E215" i="2"/>
  <c r="D215" i="2"/>
  <c r="C215" i="2"/>
  <c r="AM214" i="2"/>
  <c r="F214" i="2"/>
  <c r="E214" i="2"/>
  <c r="D214" i="2"/>
  <c r="C214" i="2"/>
  <c r="AM213" i="2"/>
  <c r="F213" i="2"/>
  <c r="E213" i="2"/>
  <c r="D213" i="2"/>
  <c r="C213" i="2"/>
  <c r="AM212" i="2"/>
  <c r="F212" i="2"/>
  <c r="E212" i="2"/>
  <c r="D212" i="2"/>
  <c r="C212" i="2"/>
  <c r="AM211" i="2"/>
  <c r="F211" i="2"/>
  <c r="E211" i="2"/>
  <c r="D211" i="2"/>
  <c r="C211" i="2"/>
  <c r="AM210" i="2"/>
  <c r="F210" i="2"/>
  <c r="E210" i="2"/>
  <c r="D210" i="2"/>
  <c r="C210" i="2"/>
  <c r="AM209" i="2"/>
  <c r="F209" i="2"/>
  <c r="E209" i="2"/>
  <c r="D209" i="2"/>
  <c r="C209" i="2"/>
  <c r="AM208" i="2"/>
  <c r="F208" i="2"/>
  <c r="E208" i="2"/>
  <c r="D208" i="2"/>
  <c r="C208" i="2"/>
  <c r="AM207" i="2"/>
  <c r="F207" i="2"/>
  <c r="E207" i="2"/>
  <c r="D207" i="2"/>
  <c r="C207" i="2"/>
  <c r="AM206" i="2"/>
  <c r="F206" i="2"/>
  <c r="E206" i="2"/>
  <c r="D206" i="2"/>
  <c r="C206" i="2"/>
  <c r="AM205" i="2"/>
  <c r="F205" i="2"/>
  <c r="E205" i="2"/>
  <c r="D205" i="2"/>
  <c r="C205" i="2"/>
  <c r="AM204" i="2"/>
  <c r="F204" i="2"/>
  <c r="E204" i="2"/>
  <c r="D204" i="2"/>
  <c r="C204" i="2"/>
  <c r="AM203" i="2"/>
  <c r="F203" i="2"/>
  <c r="E203" i="2"/>
  <c r="D203" i="2"/>
  <c r="C203" i="2"/>
  <c r="AM202" i="2"/>
  <c r="F202" i="2"/>
  <c r="E202" i="2"/>
  <c r="D202" i="2"/>
  <c r="C202" i="2"/>
  <c r="AM201" i="2"/>
  <c r="F201" i="2"/>
  <c r="E201" i="2"/>
  <c r="D201" i="2"/>
  <c r="C201" i="2"/>
  <c r="AM200" i="2"/>
  <c r="F200" i="2"/>
  <c r="E200" i="2"/>
  <c r="D200" i="2"/>
  <c r="C200" i="2"/>
  <c r="AM199" i="2"/>
  <c r="F199" i="2"/>
  <c r="E199" i="2"/>
  <c r="D199" i="2"/>
  <c r="C199" i="2"/>
  <c r="AM198" i="2"/>
  <c r="F198" i="2"/>
  <c r="E198" i="2"/>
  <c r="D198" i="2"/>
  <c r="C198" i="2"/>
  <c r="AM197" i="2"/>
  <c r="F197" i="2"/>
  <c r="E197" i="2"/>
  <c r="D197" i="2"/>
  <c r="C197" i="2"/>
  <c r="AM196" i="2"/>
  <c r="F196" i="2"/>
  <c r="E196" i="2"/>
  <c r="D196" i="2"/>
  <c r="C196" i="2"/>
  <c r="AM195" i="2"/>
  <c r="F195" i="2"/>
  <c r="E195" i="2"/>
  <c r="D195" i="2"/>
  <c r="C195" i="2"/>
  <c r="AM194" i="2"/>
  <c r="F194" i="2"/>
  <c r="E194" i="2"/>
  <c r="D194" i="2"/>
  <c r="C194" i="2"/>
  <c r="AM193" i="2"/>
  <c r="F193" i="2"/>
  <c r="E193" i="2"/>
  <c r="D193" i="2"/>
  <c r="C193" i="2"/>
  <c r="AM192" i="2"/>
  <c r="F192" i="2"/>
  <c r="E192" i="2"/>
  <c r="D192" i="2"/>
  <c r="C192" i="2"/>
  <c r="AM191" i="2"/>
  <c r="F191" i="2"/>
  <c r="E191" i="2"/>
  <c r="D191" i="2"/>
  <c r="C191" i="2"/>
  <c r="AM190" i="2"/>
  <c r="F190" i="2"/>
  <c r="E190" i="2"/>
  <c r="D190" i="2"/>
  <c r="C190" i="2"/>
  <c r="AM189" i="2"/>
  <c r="F189" i="2"/>
  <c r="E189" i="2"/>
  <c r="D189" i="2"/>
  <c r="C189" i="2"/>
  <c r="AM188" i="2"/>
  <c r="F188" i="2"/>
  <c r="E188" i="2"/>
  <c r="D188" i="2"/>
  <c r="C188" i="2"/>
  <c r="AM187" i="2"/>
  <c r="F187" i="2"/>
  <c r="E187" i="2"/>
  <c r="D187" i="2"/>
  <c r="C187" i="2"/>
  <c r="AM186" i="2"/>
  <c r="F186" i="2"/>
  <c r="E186" i="2"/>
  <c r="D186" i="2"/>
  <c r="C186" i="2"/>
  <c r="AM185" i="2"/>
  <c r="F185" i="2"/>
  <c r="E185" i="2"/>
  <c r="D185" i="2"/>
  <c r="C185" i="2"/>
  <c r="AM184" i="2"/>
  <c r="F184" i="2"/>
  <c r="E184" i="2"/>
  <c r="D184" i="2"/>
  <c r="C184" i="2"/>
  <c r="AM183" i="2"/>
  <c r="F183" i="2"/>
  <c r="E183" i="2"/>
  <c r="D183" i="2"/>
  <c r="C183" i="2"/>
  <c r="AM182" i="2"/>
  <c r="F182" i="2"/>
  <c r="E182" i="2"/>
  <c r="D182" i="2"/>
  <c r="C182" i="2"/>
  <c r="AM181" i="2"/>
  <c r="F181" i="2"/>
  <c r="E181" i="2"/>
  <c r="D181" i="2"/>
  <c r="C181" i="2"/>
  <c r="AM180" i="2"/>
  <c r="F180" i="2"/>
  <c r="E180" i="2"/>
  <c r="D180" i="2"/>
  <c r="C180" i="2"/>
  <c r="AM179" i="2"/>
  <c r="F179" i="2"/>
  <c r="E179" i="2"/>
  <c r="D179" i="2"/>
  <c r="C179" i="2"/>
  <c r="AM178" i="2"/>
  <c r="F178" i="2"/>
  <c r="E178" i="2"/>
  <c r="D178" i="2"/>
  <c r="C178" i="2"/>
  <c r="AM177" i="2"/>
  <c r="F177" i="2"/>
  <c r="E177" i="2"/>
  <c r="D177" i="2"/>
  <c r="C177" i="2"/>
  <c r="AM176" i="2"/>
  <c r="F176" i="2"/>
  <c r="E176" i="2"/>
  <c r="D176" i="2"/>
  <c r="C176" i="2"/>
  <c r="AM175" i="2"/>
  <c r="F175" i="2"/>
  <c r="E175" i="2"/>
  <c r="D175" i="2"/>
  <c r="C175" i="2"/>
  <c r="AM174" i="2"/>
  <c r="F174" i="2"/>
  <c r="E174" i="2"/>
  <c r="D174" i="2"/>
  <c r="C174" i="2"/>
  <c r="AM173" i="2"/>
  <c r="F173" i="2"/>
  <c r="E173" i="2"/>
  <c r="D173" i="2"/>
  <c r="C173" i="2"/>
  <c r="AM172" i="2"/>
  <c r="F172" i="2"/>
  <c r="E172" i="2"/>
  <c r="D172" i="2"/>
  <c r="C172" i="2"/>
  <c r="AM171" i="2"/>
  <c r="F171" i="2"/>
  <c r="E171" i="2"/>
  <c r="D171" i="2"/>
  <c r="C171" i="2"/>
  <c r="AM170" i="2"/>
  <c r="F170" i="2"/>
  <c r="E170" i="2"/>
  <c r="D170" i="2"/>
  <c r="C170" i="2"/>
  <c r="AM169" i="2"/>
  <c r="F169" i="2"/>
  <c r="E169" i="2"/>
  <c r="D169" i="2"/>
  <c r="C169" i="2"/>
  <c r="AM168" i="2"/>
  <c r="F168" i="2"/>
  <c r="E168" i="2"/>
  <c r="D168" i="2"/>
  <c r="C168" i="2"/>
  <c r="AM167" i="2"/>
  <c r="F167" i="2"/>
  <c r="E167" i="2"/>
  <c r="D167" i="2"/>
  <c r="C167" i="2"/>
  <c r="AM166" i="2"/>
  <c r="F166" i="2"/>
  <c r="E166" i="2"/>
  <c r="D166" i="2"/>
  <c r="C166" i="2"/>
  <c r="AM165" i="2"/>
  <c r="F165" i="2"/>
  <c r="E165" i="2"/>
  <c r="D165" i="2"/>
  <c r="C165" i="2"/>
  <c r="AM164" i="2"/>
  <c r="F164" i="2"/>
  <c r="E164" i="2"/>
  <c r="D164" i="2"/>
  <c r="C164" i="2"/>
  <c r="AM163" i="2"/>
  <c r="F163" i="2"/>
  <c r="E163" i="2"/>
  <c r="D163" i="2"/>
  <c r="C163" i="2"/>
  <c r="AM162" i="2"/>
  <c r="F162" i="2"/>
  <c r="E162" i="2"/>
  <c r="D162" i="2"/>
  <c r="C162" i="2"/>
  <c r="AM161" i="2"/>
  <c r="F161" i="2"/>
  <c r="E161" i="2"/>
  <c r="D161" i="2"/>
  <c r="C161" i="2"/>
  <c r="AM160" i="2"/>
  <c r="F160" i="2"/>
  <c r="E160" i="2"/>
  <c r="D160" i="2"/>
  <c r="C160" i="2"/>
  <c r="AM159" i="2"/>
  <c r="F159" i="2"/>
  <c r="E159" i="2"/>
  <c r="D159" i="2"/>
  <c r="C159" i="2"/>
  <c r="AM158" i="2"/>
  <c r="F158" i="2"/>
  <c r="E158" i="2"/>
  <c r="D158" i="2"/>
  <c r="C158" i="2"/>
  <c r="AM157" i="2"/>
  <c r="F157" i="2"/>
  <c r="E157" i="2"/>
  <c r="D157" i="2"/>
  <c r="C157" i="2"/>
  <c r="AM156" i="2"/>
  <c r="F156" i="2"/>
  <c r="E156" i="2"/>
  <c r="D156" i="2"/>
  <c r="C156" i="2"/>
  <c r="AM155" i="2"/>
  <c r="F155" i="2"/>
  <c r="E155" i="2"/>
  <c r="D155" i="2"/>
  <c r="C155" i="2"/>
  <c r="AM154" i="2"/>
  <c r="F154" i="2"/>
  <c r="E154" i="2"/>
  <c r="D154" i="2"/>
  <c r="C154" i="2"/>
  <c r="AM153" i="2"/>
  <c r="F153" i="2"/>
  <c r="E153" i="2"/>
  <c r="D153" i="2"/>
  <c r="C153" i="2"/>
  <c r="AM152" i="2"/>
  <c r="F152" i="2"/>
  <c r="E152" i="2"/>
  <c r="D152" i="2"/>
  <c r="C152" i="2"/>
  <c r="AM151" i="2"/>
  <c r="F151" i="2"/>
  <c r="E151" i="2"/>
  <c r="D151" i="2"/>
  <c r="C151" i="2"/>
  <c r="AM150" i="2"/>
  <c r="F150" i="2"/>
  <c r="E150" i="2"/>
  <c r="D150" i="2"/>
  <c r="C150" i="2"/>
  <c r="AM149" i="2"/>
  <c r="F149" i="2"/>
  <c r="E149" i="2"/>
  <c r="D149" i="2"/>
  <c r="C149" i="2"/>
  <c r="AM148" i="2"/>
  <c r="F148" i="2"/>
  <c r="E148" i="2"/>
  <c r="D148" i="2"/>
  <c r="C148" i="2"/>
  <c r="AM147" i="2"/>
  <c r="F147" i="2"/>
  <c r="E147" i="2"/>
  <c r="D147" i="2"/>
  <c r="C147" i="2"/>
  <c r="AM146" i="2"/>
  <c r="F146" i="2"/>
  <c r="E146" i="2"/>
  <c r="D146" i="2"/>
  <c r="C146" i="2"/>
  <c r="AM145" i="2"/>
  <c r="F145" i="2"/>
  <c r="E145" i="2"/>
  <c r="D145" i="2"/>
  <c r="C145" i="2"/>
  <c r="AM144" i="2"/>
  <c r="F144" i="2"/>
  <c r="E144" i="2"/>
  <c r="D144" i="2"/>
  <c r="C144" i="2"/>
  <c r="AM143" i="2"/>
  <c r="F143" i="2"/>
  <c r="E143" i="2"/>
  <c r="D143" i="2"/>
  <c r="C143" i="2"/>
  <c r="AM142" i="2"/>
  <c r="F142" i="2"/>
  <c r="E142" i="2"/>
  <c r="D142" i="2"/>
  <c r="C142" i="2"/>
  <c r="AM141" i="2"/>
  <c r="F141" i="2"/>
  <c r="E141" i="2"/>
  <c r="D141" i="2"/>
  <c r="C141" i="2"/>
  <c r="AM140" i="2"/>
  <c r="F140" i="2"/>
  <c r="E140" i="2"/>
  <c r="D140" i="2"/>
  <c r="C140" i="2"/>
  <c r="AM139" i="2"/>
  <c r="F139" i="2"/>
  <c r="E139" i="2"/>
  <c r="D139" i="2"/>
  <c r="C139" i="2"/>
  <c r="AM138" i="2"/>
  <c r="F138" i="2"/>
  <c r="E138" i="2"/>
  <c r="D138" i="2"/>
  <c r="C138" i="2"/>
  <c r="AM137" i="2"/>
  <c r="F137" i="2"/>
  <c r="E137" i="2"/>
  <c r="D137" i="2"/>
  <c r="C137" i="2"/>
  <c r="AM136" i="2"/>
  <c r="F136" i="2"/>
  <c r="E136" i="2"/>
  <c r="D136" i="2"/>
  <c r="C136" i="2"/>
  <c r="AM135" i="2"/>
  <c r="F135" i="2"/>
  <c r="E135" i="2"/>
  <c r="D135" i="2"/>
  <c r="C135" i="2"/>
  <c r="AM134" i="2"/>
  <c r="F134" i="2"/>
  <c r="E134" i="2"/>
  <c r="D134" i="2"/>
  <c r="C134" i="2"/>
  <c r="AM133" i="2"/>
  <c r="F133" i="2"/>
  <c r="E133" i="2"/>
  <c r="D133" i="2"/>
  <c r="C133" i="2"/>
  <c r="AM132" i="2"/>
  <c r="F132" i="2"/>
  <c r="E132" i="2"/>
  <c r="D132" i="2"/>
  <c r="C132" i="2"/>
  <c r="AM131" i="2"/>
  <c r="F131" i="2"/>
  <c r="E131" i="2"/>
  <c r="D131" i="2"/>
  <c r="C131" i="2"/>
  <c r="AM130" i="2"/>
  <c r="F130" i="2"/>
  <c r="E130" i="2"/>
  <c r="D130" i="2"/>
  <c r="C130" i="2"/>
  <c r="AM129" i="2"/>
  <c r="F129" i="2"/>
  <c r="E129" i="2"/>
  <c r="D129" i="2"/>
  <c r="C129" i="2"/>
  <c r="AM128" i="2"/>
  <c r="F128" i="2"/>
  <c r="E128" i="2"/>
  <c r="D128" i="2"/>
  <c r="C128" i="2"/>
  <c r="AM127" i="2"/>
  <c r="F127" i="2"/>
  <c r="E127" i="2"/>
  <c r="D127" i="2"/>
  <c r="C127" i="2"/>
  <c r="AM126" i="2"/>
  <c r="F126" i="2"/>
  <c r="E126" i="2"/>
  <c r="D126" i="2"/>
  <c r="C126" i="2"/>
  <c r="AM125" i="2"/>
  <c r="F125" i="2"/>
  <c r="E125" i="2"/>
  <c r="D125" i="2"/>
  <c r="C125" i="2"/>
  <c r="AM124" i="2"/>
  <c r="F124" i="2"/>
  <c r="E124" i="2"/>
  <c r="D124" i="2"/>
  <c r="C124" i="2"/>
  <c r="AM123" i="2"/>
  <c r="F123" i="2"/>
  <c r="E123" i="2"/>
  <c r="D123" i="2"/>
  <c r="C123" i="2"/>
  <c r="AM122" i="2"/>
  <c r="F122" i="2"/>
  <c r="E122" i="2"/>
  <c r="D122" i="2"/>
  <c r="C122" i="2"/>
  <c r="AM121" i="2"/>
  <c r="F121" i="2"/>
  <c r="E121" i="2"/>
  <c r="D121" i="2"/>
  <c r="C121" i="2"/>
  <c r="AM120" i="2"/>
  <c r="F120" i="2"/>
  <c r="E120" i="2"/>
  <c r="D120" i="2"/>
  <c r="C120" i="2"/>
  <c r="AM119" i="2"/>
  <c r="F119" i="2"/>
  <c r="E119" i="2"/>
  <c r="D119" i="2"/>
  <c r="C119" i="2"/>
  <c r="AM118" i="2"/>
  <c r="F118" i="2"/>
  <c r="E118" i="2"/>
  <c r="D118" i="2"/>
  <c r="C118" i="2"/>
  <c r="AM117" i="2"/>
  <c r="F117" i="2"/>
  <c r="E117" i="2"/>
  <c r="D117" i="2"/>
  <c r="C117" i="2"/>
  <c r="AM116" i="2"/>
  <c r="F116" i="2"/>
  <c r="E116" i="2"/>
  <c r="D116" i="2"/>
  <c r="C116" i="2"/>
  <c r="AM115" i="2"/>
  <c r="F115" i="2"/>
  <c r="E115" i="2"/>
  <c r="D115" i="2"/>
  <c r="C115" i="2"/>
  <c r="AM114" i="2"/>
  <c r="F114" i="2"/>
  <c r="E114" i="2"/>
  <c r="D114" i="2"/>
  <c r="C114" i="2"/>
  <c r="AM113" i="2"/>
  <c r="F113" i="2"/>
  <c r="E113" i="2"/>
  <c r="D113" i="2"/>
  <c r="C113" i="2"/>
  <c r="AM112" i="2"/>
  <c r="F112" i="2"/>
  <c r="E112" i="2"/>
  <c r="D112" i="2"/>
  <c r="C112" i="2"/>
  <c r="AM111" i="2"/>
  <c r="F111" i="2"/>
  <c r="E111" i="2"/>
  <c r="D111" i="2"/>
  <c r="C111" i="2"/>
  <c r="AM110" i="2"/>
  <c r="F110" i="2"/>
  <c r="E110" i="2"/>
  <c r="D110" i="2"/>
  <c r="C110" i="2"/>
  <c r="AM109" i="2"/>
  <c r="F109" i="2"/>
  <c r="E109" i="2"/>
  <c r="D109" i="2"/>
  <c r="C109" i="2"/>
  <c r="AM108" i="2"/>
  <c r="F108" i="2"/>
  <c r="E108" i="2"/>
  <c r="D108" i="2"/>
  <c r="C108" i="2"/>
  <c r="AM107" i="2"/>
  <c r="F107" i="2"/>
  <c r="E107" i="2"/>
  <c r="D107" i="2"/>
  <c r="C107" i="2"/>
  <c r="AM106" i="2"/>
  <c r="F106" i="2"/>
  <c r="E106" i="2"/>
  <c r="D106" i="2"/>
  <c r="C106" i="2"/>
  <c r="AM105" i="2"/>
  <c r="F105" i="2"/>
  <c r="E105" i="2"/>
  <c r="D105" i="2"/>
  <c r="C105" i="2"/>
  <c r="AM104" i="2"/>
  <c r="F104" i="2"/>
  <c r="E104" i="2"/>
  <c r="D104" i="2"/>
  <c r="C104" i="2"/>
  <c r="AM103" i="2"/>
  <c r="F103" i="2"/>
  <c r="E103" i="2"/>
  <c r="D103" i="2"/>
  <c r="C103" i="2"/>
  <c r="AM102" i="2"/>
  <c r="F102" i="2"/>
  <c r="E102" i="2"/>
  <c r="D102" i="2"/>
  <c r="C102" i="2"/>
  <c r="AM101" i="2"/>
  <c r="F101" i="2"/>
  <c r="E101" i="2"/>
  <c r="D101" i="2"/>
  <c r="C101" i="2"/>
  <c r="AM100" i="2"/>
  <c r="F100" i="2"/>
  <c r="E100" i="2"/>
  <c r="D100" i="2"/>
  <c r="C100" i="2"/>
  <c r="AM99" i="2"/>
  <c r="F99" i="2"/>
  <c r="E99" i="2"/>
  <c r="D99" i="2"/>
  <c r="C99" i="2"/>
  <c r="AM98" i="2"/>
  <c r="F98" i="2"/>
  <c r="E98" i="2"/>
  <c r="D98" i="2"/>
  <c r="C98" i="2"/>
  <c r="AM97" i="2"/>
  <c r="F97" i="2"/>
  <c r="E97" i="2"/>
  <c r="D97" i="2"/>
  <c r="C97" i="2"/>
  <c r="AM96" i="2"/>
  <c r="F96" i="2"/>
  <c r="E96" i="2"/>
  <c r="D96" i="2"/>
  <c r="C96" i="2"/>
  <c r="AM95" i="2"/>
  <c r="F95" i="2"/>
  <c r="E95" i="2"/>
  <c r="D95" i="2"/>
  <c r="C95" i="2"/>
  <c r="AM94" i="2"/>
  <c r="F94" i="2"/>
  <c r="E94" i="2"/>
  <c r="D94" i="2"/>
  <c r="C94" i="2"/>
  <c r="AM93" i="2"/>
  <c r="F93" i="2"/>
  <c r="E93" i="2"/>
  <c r="D93" i="2"/>
  <c r="C93" i="2"/>
  <c r="AM92" i="2"/>
  <c r="F92" i="2"/>
  <c r="E92" i="2"/>
  <c r="D92" i="2"/>
  <c r="C92" i="2"/>
  <c r="AM91" i="2"/>
  <c r="F91" i="2"/>
  <c r="E91" i="2"/>
  <c r="D91" i="2"/>
  <c r="C91" i="2"/>
  <c r="AM90" i="2"/>
  <c r="F90" i="2"/>
  <c r="E90" i="2"/>
  <c r="D90" i="2"/>
  <c r="C90" i="2"/>
  <c r="AM89" i="2"/>
  <c r="F89" i="2"/>
  <c r="E89" i="2"/>
  <c r="D89" i="2"/>
  <c r="C89" i="2"/>
  <c r="AM88" i="2"/>
  <c r="F88" i="2"/>
  <c r="E88" i="2"/>
  <c r="D88" i="2"/>
  <c r="C88" i="2"/>
  <c r="AM87" i="2"/>
  <c r="F87" i="2"/>
  <c r="E87" i="2"/>
  <c r="D87" i="2"/>
  <c r="C87" i="2"/>
  <c r="AM86" i="2"/>
  <c r="F86" i="2"/>
  <c r="E86" i="2"/>
  <c r="D86" i="2"/>
  <c r="C86" i="2"/>
  <c r="AM85" i="2"/>
  <c r="F85" i="2"/>
  <c r="E85" i="2"/>
  <c r="D85" i="2"/>
  <c r="C85" i="2"/>
  <c r="AM84" i="2"/>
  <c r="F84" i="2"/>
  <c r="E84" i="2"/>
  <c r="D84" i="2"/>
  <c r="C84" i="2"/>
  <c r="AM83" i="2"/>
  <c r="F83" i="2"/>
  <c r="E83" i="2"/>
  <c r="D83" i="2"/>
  <c r="C83" i="2"/>
  <c r="AM82" i="2"/>
  <c r="F82" i="2"/>
  <c r="E82" i="2"/>
  <c r="D82" i="2"/>
  <c r="C82" i="2"/>
  <c r="AM81" i="2"/>
  <c r="F81" i="2"/>
  <c r="E81" i="2"/>
  <c r="D81" i="2"/>
  <c r="C81" i="2"/>
  <c r="AM80" i="2"/>
  <c r="F80" i="2"/>
  <c r="E80" i="2"/>
  <c r="D80" i="2"/>
  <c r="C80" i="2"/>
  <c r="AM79" i="2"/>
  <c r="F79" i="2"/>
  <c r="E79" i="2"/>
  <c r="D79" i="2"/>
  <c r="C79" i="2"/>
  <c r="AM78" i="2"/>
  <c r="F78" i="2"/>
  <c r="E78" i="2"/>
  <c r="D78" i="2"/>
  <c r="C78" i="2"/>
  <c r="AM77" i="2"/>
  <c r="F77" i="2"/>
  <c r="E77" i="2"/>
  <c r="D77" i="2"/>
  <c r="C77" i="2"/>
  <c r="AM76" i="2"/>
  <c r="F76" i="2"/>
  <c r="E76" i="2"/>
  <c r="D76" i="2"/>
  <c r="C76" i="2"/>
  <c r="AM75" i="2"/>
  <c r="F75" i="2"/>
  <c r="E75" i="2"/>
  <c r="D75" i="2"/>
  <c r="C75" i="2"/>
  <c r="AM74" i="2"/>
  <c r="F74" i="2"/>
  <c r="E74" i="2"/>
  <c r="D74" i="2"/>
  <c r="C74" i="2"/>
  <c r="AM73" i="2"/>
  <c r="F73" i="2"/>
  <c r="E73" i="2"/>
  <c r="D73" i="2"/>
  <c r="C73" i="2"/>
  <c r="AM72" i="2"/>
  <c r="F72" i="2"/>
  <c r="E72" i="2"/>
  <c r="D72" i="2"/>
  <c r="C72" i="2"/>
  <c r="AM71" i="2"/>
  <c r="F71" i="2"/>
  <c r="E71" i="2"/>
  <c r="D71" i="2"/>
  <c r="C71" i="2"/>
  <c r="AM70" i="2"/>
  <c r="F70" i="2"/>
  <c r="E70" i="2"/>
  <c r="D70" i="2"/>
  <c r="C70" i="2"/>
  <c r="AM69" i="2"/>
  <c r="F69" i="2"/>
  <c r="E69" i="2"/>
  <c r="D69" i="2"/>
  <c r="C69" i="2"/>
  <c r="AM68" i="2"/>
  <c r="F68" i="2"/>
  <c r="E68" i="2"/>
  <c r="D68" i="2"/>
  <c r="C68" i="2"/>
  <c r="AM67" i="2"/>
  <c r="F67" i="2"/>
  <c r="E67" i="2"/>
  <c r="D67" i="2"/>
  <c r="C67" i="2"/>
  <c r="AM66" i="2"/>
  <c r="F66" i="2"/>
  <c r="E66" i="2"/>
  <c r="D66" i="2"/>
  <c r="C66" i="2"/>
  <c r="AM65" i="2"/>
  <c r="F65" i="2"/>
  <c r="E65" i="2"/>
  <c r="D65" i="2"/>
  <c r="C65" i="2"/>
  <c r="AM64" i="2"/>
  <c r="F64" i="2"/>
  <c r="E64" i="2"/>
  <c r="D64" i="2"/>
  <c r="C64" i="2"/>
  <c r="AM63" i="2"/>
  <c r="F63" i="2"/>
  <c r="E63" i="2"/>
  <c r="D63" i="2"/>
  <c r="C63" i="2"/>
  <c r="AM62" i="2"/>
  <c r="F62" i="2"/>
  <c r="E62" i="2"/>
  <c r="D62" i="2"/>
  <c r="C62" i="2"/>
  <c r="AM61" i="2"/>
  <c r="F61" i="2"/>
  <c r="E61" i="2"/>
  <c r="D61" i="2"/>
  <c r="C61" i="2"/>
  <c r="AM60" i="2"/>
  <c r="F60" i="2"/>
  <c r="E60" i="2"/>
  <c r="D60" i="2"/>
  <c r="C60" i="2"/>
  <c r="AM59" i="2"/>
  <c r="F59" i="2"/>
  <c r="E59" i="2"/>
  <c r="D59" i="2"/>
  <c r="C59" i="2"/>
  <c r="AM58" i="2"/>
  <c r="F58" i="2"/>
  <c r="E58" i="2"/>
  <c r="D58" i="2"/>
  <c r="C58" i="2"/>
  <c r="AM57" i="2"/>
  <c r="F57" i="2"/>
  <c r="E57" i="2"/>
  <c r="D57" i="2"/>
  <c r="C57" i="2"/>
  <c r="AM56" i="2"/>
  <c r="F56" i="2"/>
  <c r="E56" i="2"/>
  <c r="D56" i="2"/>
  <c r="C56" i="2"/>
  <c r="AM55" i="2"/>
  <c r="F55" i="2"/>
  <c r="E55" i="2"/>
  <c r="D55" i="2"/>
  <c r="C55" i="2"/>
  <c r="AM54" i="2"/>
  <c r="F54" i="2"/>
  <c r="E54" i="2"/>
  <c r="D54" i="2"/>
  <c r="C54" i="2"/>
  <c r="AM53" i="2"/>
  <c r="F53" i="2"/>
  <c r="E53" i="2"/>
  <c r="D53" i="2"/>
  <c r="C53" i="2"/>
  <c r="AM52" i="2"/>
  <c r="F52" i="2"/>
  <c r="E52" i="2"/>
  <c r="D52" i="2"/>
  <c r="C52" i="2"/>
  <c r="AM51" i="2"/>
  <c r="F51" i="2"/>
  <c r="E51" i="2"/>
  <c r="D51" i="2"/>
  <c r="C51" i="2"/>
  <c r="AM50" i="2"/>
  <c r="F50" i="2"/>
  <c r="E50" i="2"/>
  <c r="D50" i="2"/>
  <c r="C50" i="2"/>
  <c r="AM49" i="2"/>
  <c r="F49" i="2"/>
  <c r="E49" i="2"/>
  <c r="D49" i="2"/>
  <c r="C49" i="2"/>
  <c r="AM48" i="2"/>
  <c r="F48" i="2"/>
  <c r="E48" i="2"/>
  <c r="D48" i="2"/>
  <c r="C48" i="2"/>
  <c r="AM47" i="2"/>
  <c r="F47" i="2"/>
  <c r="E47" i="2"/>
  <c r="D47" i="2"/>
  <c r="C47" i="2"/>
  <c r="AM46" i="2"/>
  <c r="F46" i="2"/>
  <c r="E46" i="2"/>
  <c r="D46" i="2"/>
  <c r="C46" i="2"/>
  <c r="AM45" i="2"/>
  <c r="F45" i="2"/>
  <c r="E45" i="2"/>
  <c r="D45" i="2"/>
  <c r="C45" i="2"/>
  <c r="AM44" i="2"/>
  <c r="F44" i="2"/>
  <c r="E44" i="2"/>
  <c r="D44" i="2"/>
  <c r="C44" i="2"/>
  <c r="AM43" i="2"/>
  <c r="F43" i="2"/>
  <c r="E43" i="2"/>
  <c r="D43" i="2"/>
  <c r="C43" i="2"/>
  <c r="AM42" i="2"/>
  <c r="F42" i="2"/>
  <c r="E42" i="2"/>
  <c r="D42" i="2"/>
  <c r="C42" i="2"/>
  <c r="AM41" i="2"/>
  <c r="F41" i="2"/>
  <c r="E41" i="2"/>
  <c r="D41" i="2"/>
  <c r="C41" i="2"/>
  <c r="AM40" i="2"/>
  <c r="F40" i="2"/>
  <c r="E40" i="2"/>
  <c r="D40" i="2"/>
  <c r="C40" i="2"/>
  <c r="AM39" i="2"/>
  <c r="F39" i="2"/>
  <c r="E39" i="2"/>
  <c r="D39" i="2"/>
  <c r="C39" i="2"/>
  <c r="AM38" i="2"/>
  <c r="F38" i="2"/>
  <c r="E38" i="2"/>
  <c r="D38" i="2"/>
  <c r="C38" i="2"/>
  <c r="AM37" i="2"/>
  <c r="F37" i="2"/>
  <c r="E37" i="2"/>
  <c r="D37" i="2"/>
  <c r="C37" i="2"/>
  <c r="AM36" i="2"/>
  <c r="F36" i="2"/>
  <c r="E36" i="2"/>
  <c r="D36" i="2"/>
  <c r="C36" i="2"/>
  <c r="AM35" i="2"/>
  <c r="F35" i="2"/>
  <c r="E35" i="2"/>
  <c r="D35" i="2"/>
  <c r="C35" i="2"/>
  <c r="AM34" i="2"/>
  <c r="F34" i="2"/>
  <c r="E34" i="2"/>
  <c r="D34" i="2"/>
  <c r="C34" i="2"/>
  <c r="AM33" i="2"/>
  <c r="F33" i="2"/>
  <c r="E33" i="2"/>
  <c r="D33" i="2"/>
  <c r="C33" i="2"/>
  <c r="AM32" i="2"/>
  <c r="F32" i="2"/>
  <c r="E32" i="2"/>
  <c r="D32" i="2"/>
  <c r="C32" i="2"/>
  <c r="AM31" i="2"/>
  <c r="F31" i="2"/>
  <c r="E31" i="2"/>
  <c r="D31" i="2"/>
  <c r="C31" i="2"/>
  <c r="AM30" i="2"/>
  <c r="F30" i="2"/>
  <c r="E30" i="2"/>
  <c r="D30" i="2"/>
  <c r="C30" i="2"/>
  <c r="AM29" i="2"/>
  <c r="F29" i="2"/>
  <c r="E29" i="2"/>
  <c r="D29" i="2"/>
  <c r="C29" i="2"/>
  <c r="AM28" i="2"/>
  <c r="F28" i="2"/>
  <c r="E28" i="2"/>
  <c r="D28" i="2"/>
  <c r="C28" i="2"/>
  <c r="AM27" i="2"/>
  <c r="F27" i="2"/>
  <c r="E27" i="2"/>
  <c r="D27" i="2"/>
  <c r="C27" i="2"/>
  <c r="AM26" i="2"/>
  <c r="F26" i="2"/>
  <c r="E26" i="2"/>
  <c r="D26" i="2"/>
  <c r="C26" i="2"/>
  <c r="AM25" i="2"/>
  <c r="F25" i="2"/>
  <c r="E25" i="2"/>
  <c r="D25" i="2"/>
  <c r="C25" i="2"/>
  <c r="AM24" i="2"/>
  <c r="F24" i="2"/>
  <c r="E24" i="2"/>
  <c r="D24" i="2"/>
  <c r="C24" i="2"/>
  <c r="AM23" i="2"/>
  <c r="F23" i="2"/>
  <c r="E23" i="2"/>
  <c r="D23" i="2"/>
  <c r="C23" i="2"/>
  <c r="AM22" i="2"/>
  <c r="F22" i="2"/>
  <c r="E22" i="2"/>
  <c r="D22" i="2"/>
  <c r="C22" i="2"/>
  <c r="AM21" i="2"/>
  <c r="F21" i="2"/>
  <c r="E21" i="2"/>
  <c r="D21" i="2"/>
  <c r="C21" i="2"/>
  <c r="AM20" i="2"/>
  <c r="F20" i="2"/>
  <c r="E20" i="2"/>
  <c r="D20" i="2"/>
  <c r="C20" i="2"/>
  <c r="AM19" i="2"/>
  <c r="F19" i="2"/>
  <c r="E19" i="2"/>
  <c r="D19" i="2"/>
  <c r="C19" i="2"/>
  <c r="AM18" i="2"/>
  <c r="F18" i="2"/>
  <c r="E18" i="2"/>
  <c r="D18" i="2"/>
  <c r="C18" i="2"/>
  <c r="AM17" i="2"/>
  <c r="F17" i="2"/>
  <c r="E17" i="2"/>
  <c r="D17" i="2"/>
  <c r="C17" i="2"/>
  <c r="AM16" i="2"/>
  <c r="F16" i="2"/>
  <c r="E16" i="2"/>
  <c r="D16" i="2"/>
  <c r="C16" i="2"/>
  <c r="AM15" i="2"/>
  <c r="F15" i="2"/>
  <c r="E15" i="2"/>
  <c r="D15" i="2"/>
  <c r="C15" i="2"/>
  <c r="AM14" i="2"/>
  <c r="F14" i="2"/>
  <c r="E14" i="2"/>
  <c r="D14" i="2"/>
  <c r="C14" i="2"/>
  <c r="AM13" i="2"/>
  <c r="F13" i="2"/>
  <c r="E13" i="2"/>
  <c r="D13" i="2"/>
  <c r="C13" i="2"/>
  <c r="AM12" i="2"/>
  <c r="F12" i="2"/>
  <c r="E12" i="2"/>
  <c r="D12" i="2"/>
  <c r="C12" i="2"/>
  <c r="AM11" i="2"/>
  <c r="F11" i="2"/>
  <c r="E11" i="2"/>
  <c r="D11" i="2"/>
  <c r="C11" i="2"/>
  <c r="AM10" i="2"/>
  <c r="F10" i="2"/>
  <c r="E10" i="2"/>
  <c r="D10" i="2"/>
  <c r="C10" i="2"/>
  <c r="AM9" i="2"/>
  <c r="F9" i="2"/>
  <c r="E9" i="2"/>
  <c r="D9" i="2"/>
  <c r="C9" i="2"/>
  <c r="AM8" i="2"/>
  <c r="F8" i="2"/>
  <c r="E8" i="2"/>
  <c r="D8" i="2"/>
  <c r="C8" i="2"/>
  <c r="AK507" i="4"/>
  <c r="AJ507" i="4"/>
  <c r="AI507" i="4"/>
  <c r="AH507" i="4"/>
  <c r="AG507" i="4"/>
  <c r="AF507" i="4"/>
  <c r="AE507" i="4"/>
  <c r="AK506" i="4"/>
  <c r="AJ506" i="4"/>
  <c r="AI506" i="4"/>
  <c r="AH506" i="4"/>
  <c r="AG506" i="4"/>
  <c r="AF506" i="4"/>
  <c r="AE506" i="4"/>
  <c r="AK505" i="4"/>
  <c r="AJ505" i="4"/>
  <c r="AI505" i="4"/>
  <c r="AH505" i="4"/>
  <c r="AG505" i="4"/>
  <c r="AF505" i="4"/>
  <c r="AE505" i="4"/>
  <c r="AK504" i="4"/>
  <c r="AJ504" i="4"/>
  <c r="AI504" i="4"/>
  <c r="AH504" i="4"/>
  <c r="AG504" i="4"/>
  <c r="AF504" i="4"/>
  <c r="AE504" i="4"/>
  <c r="AK503" i="4"/>
  <c r="AJ503" i="4"/>
  <c r="AI503" i="4"/>
  <c r="AH503" i="4"/>
  <c r="AG503" i="4"/>
  <c r="AF503" i="4"/>
  <c r="AE503" i="4"/>
  <c r="AK502" i="4"/>
  <c r="AJ502" i="4"/>
  <c r="AI502" i="4"/>
  <c r="AH502" i="4"/>
  <c r="AG502" i="4"/>
  <c r="AF502" i="4"/>
  <c r="AE502" i="4"/>
  <c r="AK501" i="4"/>
  <c r="AJ501" i="4"/>
  <c r="AI501" i="4"/>
  <c r="AH501" i="4"/>
  <c r="AG501" i="4"/>
  <c r="AF501" i="4"/>
  <c r="AE501" i="4"/>
  <c r="AK500" i="4"/>
  <c r="AJ500" i="4"/>
  <c r="AI500" i="4"/>
  <c r="AH500" i="4"/>
  <c r="AG500" i="4"/>
  <c r="AF500" i="4"/>
  <c r="AE500" i="4"/>
  <c r="AK499" i="4"/>
  <c r="AJ499" i="4"/>
  <c r="AI499" i="4"/>
  <c r="AH499" i="4"/>
  <c r="AG499" i="4"/>
  <c r="AF499" i="4"/>
  <c r="AE499" i="4"/>
  <c r="AK498" i="4"/>
  <c r="AJ498" i="4"/>
  <c r="AI498" i="4"/>
  <c r="AH498" i="4"/>
  <c r="AG498" i="4"/>
  <c r="AF498" i="4"/>
  <c r="AE498" i="4"/>
  <c r="AK497" i="4"/>
  <c r="AJ497" i="4"/>
  <c r="AI497" i="4"/>
  <c r="AH497" i="4"/>
  <c r="AG497" i="4"/>
  <c r="AF497" i="4"/>
  <c r="AE497" i="4"/>
  <c r="AK496" i="4"/>
  <c r="AJ496" i="4"/>
  <c r="AI496" i="4"/>
  <c r="AH496" i="4"/>
  <c r="AG496" i="4"/>
  <c r="AF496" i="4"/>
  <c r="AE496" i="4"/>
  <c r="AK495" i="4"/>
  <c r="AJ495" i="4"/>
  <c r="AI495" i="4"/>
  <c r="AH495" i="4"/>
  <c r="AG495" i="4"/>
  <c r="AF495" i="4"/>
  <c r="AE495" i="4"/>
  <c r="AK494" i="4"/>
  <c r="AJ494" i="4"/>
  <c r="AI494" i="4"/>
  <c r="AH494" i="4"/>
  <c r="AG494" i="4"/>
  <c r="AF494" i="4"/>
  <c r="AE494" i="4"/>
  <c r="AK493" i="4"/>
  <c r="AJ493" i="4"/>
  <c r="AI493" i="4"/>
  <c r="AH493" i="4"/>
  <c r="AG493" i="4"/>
  <c r="AF493" i="4"/>
  <c r="AE493" i="4"/>
  <c r="AK492" i="4"/>
  <c r="AJ492" i="4"/>
  <c r="AI492" i="4"/>
  <c r="AH492" i="4"/>
  <c r="AG492" i="4"/>
  <c r="AF492" i="4"/>
  <c r="AE492" i="4"/>
  <c r="AK491" i="4"/>
  <c r="AJ491" i="4"/>
  <c r="AI491" i="4"/>
  <c r="AH491" i="4"/>
  <c r="AG491" i="4"/>
  <c r="AF491" i="4"/>
  <c r="AE491" i="4"/>
  <c r="AK490" i="4"/>
  <c r="AJ490" i="4"/>
  <c r="AI490" i="4"/>
  <c r="AH490" i="4"/>
  <c r="AG490" i="4"/>
  <c r="AF490" i="4"/>
  <c r="AE490" i="4"/>
  <c r="AK489" i="4"/>
  <c r="AJ489" i="4"/>
  <c r="AI489" i="4"/>
  <c r="AH489" i="4"/>
  <c r="AG489" i="4"/>
  <c r="AF489" i="4"/>
  <c r="AE489" i="4"/>
  <c r="AK488" i="4"/>
  <c r="AJ488" i="4"/>
  <c r="AI488" i="4"/>
  <c r="AH488" i="4"/>
  <c r="AG488" i="4"/>
  <c r="AF488" i="4"/>
  <c r="AE488" i="4"/>
  <c r="AK487" i="4"/>
  <c r="AJ487" i="4"/>
  <c r="AI487" i="4"/>
  <c r="AH487" i="4"/>
  <c r="AG487" i="4"/>
  <c r="AF487" i="4"/>
  <c r="AE487" i="4"/>
  <c r="AK486" i="4"/>
  <c r="AJ486" i="4"/>
  <c r="AI486" i="4"/>
  <c r="AH486" i="4"/>
  <c r="AG486" i="4"/>
  <c r="AF486" i="4"/>
  <c r="AE486" i="4"/>
  <c r="AK485" i="4"/>
  <c r="AJ485" i="4"/>
  <c r="AI485" i="4"/>
  <c r="AH485" i="4"/>
  <c r="AG485" i="4"/>
  <c r="AF485" i="4"/>
  <c r="AE485" i="4"/>
  <c r="AK484" i="4"/>
  <c r="AJ484" i="4"/>
  <c r="AI484" i="4"/>
  <c r="AH484" i="4"/>
  <c r="AG484" i="4"/>
  <c r="AF484" i="4"/>
  <c r="AE484" i="4"/>
  <c r="AK483" i="4"/>
  <c r="AJ483" i="4"/>
  <c r="AI483" i="4"/>
  <c r="AH483" i="4"/>
  <c r="AG483" i="4"/>
  <c r="AF483" i="4"/>
  <c r="AE483" i="4"/>
  <c r="AK482" i="4"/>
  <c r="AJ482" i="4"/>
  <c r="AI482" i="4"/>
  <c r="AH482" i="4"/>
  <c r="AG482" i="4"/>
  <c r="AF482" i="4"/>
  <c r="AE482" i="4"/>
  <c r="AK481" i="4"/>
  <c r="AJ481" i="4"/>
  <c r="AI481" i="4"/>
  <c r="AH481" i="4"/>
  <c r="AG481" i="4"/>
  <c r="AF481" i="4"/>
  <c r="AE481" i="4"/>
  <c r="AK480" i="4"/>
  <c r="AJ480" i="4"/>
  <c r="AI480" i="4"/>
  <c r="AH480" i="4"/>
  <c r="AG480" i="4"/>
  <c r="AF480" i="4"/>
  <c r="AE480" i="4"/>
  <c r="AK479" i="4"/>
  <c r="AJ479" i="4"/>
  <c r="AI479" i="4"/>
  <c r="AH479" i="4"/>
  <c r="AG479" i="4"/>
  <c r="AF479" i="4"/>
  <c r="AE479" i="4"/>
  <c r="AK478" i="4"/>
  <c r="AJ478" i="4"/>
  <c r="AI478" i="4"/>
  <c r="AH478" i="4"/>
  <c r="AG478" i="4"/>
  <c r="AF478" i="4"/>
  <c r="AE478" i="4"/>
  <c r="AK477" i="4"/>
  <c r="AJ477" i="4"/>
  <c r="AI477" i="4"/>
  <c r="AH477" i="4"/>
  <c r="AG477" i="4"/>
  <c r="AF477" i="4"/>
  <c r="AE477" i="4"/>
  <c r="AK476" i="4"/>
  <c r="AJ476" i="4"/>
  <c r="AI476" i="4"/>
  <c r="AH476" i="4"/>
  <c r="AG476" i="4"/>
  <c r="AF476" i="4"/>
  <c r="AE476" i="4"/>
  <c r="AK475" i="4"/>
  <c r="AJ475" i="4"/>
  <c r="AI475" i="4"/>
  <c r="AH475" i="4"/>
  <c r="AG475" i="4"/>
  <c r="AF475" i="4"/>
  <c r="AE475" i="4"/>
  <c r="AK474" i="4"/>
  <c r="AJ474" i="4"/>
  <c r="AI474" i="4"/>
  <c r="AH474" i="4"/>
  <c r="AG474" i="4"/>
  <c r="AF474" i="4"/>
  <c r="AE474" i="4"/>
  <c r="AK473" i="4"/>
  <c r="AJ473" i="4"/>
  <c r="AI473" i="4"/>
  <c r="AH473" i="4"/>
  <c r="AG473" i="4"/>
  <c r="AF473" i="4"/>
  <c r="AE473" i="4"/>
  <c r="AK472" i="4"/>
  <c r="AJ472" i="4"/>
  <c r="AI472" i="4"/>
  <c r="AH472" i="4"/>
  <c r="AG472" i="4"/>
  <c r="AF472" i="4"/>
  <c r="AE472" i="4"/>
  <c r="AK471" i="4"/>
  <c r="AJ471" i="4"/>
  <c r="AI471" i="4"/>
  <c r="AH471" i="4"/>
  <c r="AG471" i="4"/>
  <c r="AF471" i="4"/>
  <c r="AE471" i="4"/>
  <c r="AK470" i="4"/>
  <c r="AJ470" i="4"/>
  <c r="AI470" i="4"/>
  <c r="AH470" i="4"/>
  <c r="AG470" i="4"/>
  <c r="AF470" i="4"/>
  <c r="AE470" i="4"/>
  <c r="AK469" i="4"/>
  <c r="AJ469" i="4"/>
  <c r="AI469" i="4"/>
  <c r="AH469" i="4"/>
  <c r="AG469" i="4"/>
  <c r="AF469" i="4"/>
  <c r="AE469" i="4"/>
  <c r="AK468" i="4"/>
  <c r="AJ468" i="4"/>
  <c r="AI468" i="4"/>
  <c r="AH468" i="4"/>
  <c r="AG468" i="4"/>
  <c r="AF468" i="4"/>
  <c r="AE468" i="4"/>
  <c r="AK467" i="4"/>
  <c r="AJ467" i="4"/>
  <c r="AI467" i="4"/>
  <c r="AH467" i="4"/>
  <c r="AG467" i="4"/>
  <c r="AF467" i="4"/>
  <c r="AE467" i="4"/>
  <c r="AK466" i="4"/>
  <c r="AJ466" i="4"/>
  <c r="AI466" i="4"/>
  <c r="AH466" i="4"/>
  <c r="AG466" i="4"/>
  <c r="AF466" i="4"/>
  <c r="AE466" i="4"/>
  <c r="AK465" i="4"/>
  <c r="AJ465" i="4"/>
  <c r="AI465" i="4"/>
  <c r="AH465" i="4"/>
  <c r="AG465" i="4"/>
  <c r="AF465" i="4"/>
  <c r="AE465" i="4"/>
  <c r="AK464" i="4"/>
  <c r="AJ464" i="4"/>
  <c r="AI464" i="4"/>
  <c r="AH464" i="4"/>
  <c r="AG464" i="4"/>
  <c r="AF464" i="4"/>
  <c r="AE464" i="4"/>
  <c r="AK463" i="4"/>
  <c r="AJ463" i="4"/>
  <c r="AI463" i="4"/>
  <c r="AH463" i="4"/>
  <c r="AG463" i="4"/>
  <c r="AF463" i="4"/>
  <c r="AE463" i="4"/>
  <c r="AK462" i="4"/>
  <c r="AJ462" i="4"/>
  <c r="AI462" i="4"/>
  <c r="AH462" i="4"/>
  <c r="AG462" i="4"/>
  <c r="AF462" i="4"/>
  <c r="AE462" i="4"/>
  <c r="AK461" i="4"/>
  <c r="AJ461" i="4"/>
  <c r="AI461" i="4"/>
  <c r="AH461" i="4"/>
  <c r="AG461" i="4"/>
  <c r="AF461" i="4"/>
  <c r="AE461" i="4"/>
  <c r="AK460" i="4"/>
  <c r="AJ460" i="4"/>
  <c r="AI460" i="4"/>
  <c r="AH460" i="4"/>
  <c r="AG460" i="4"/>
  <c r="AF460" i="4"/>
  <c r="AE460" i="4"/>
  <c r="AK459" i="4"/>
  <c r="AJ459" i="4"/>
  <c r="AI459" i="4"/>
  <c r="AH459" i="4"/>
  <c r="AG459" i="4"/>
  <c r="AF459" i="4"/>
  <c r="AE459" i="4"/>
  <c r="AK458" i="4"/>
  <c r="AJ458" i="4"/>
  <c r="AI458" i="4"/>
  <c r="AH458" i="4"/>
  <c r="AG458" i="4"/>
  <c r="AF458" i="4"/>
  <c r="AE458" i="4"/>
  <c r="AK457" i="4"/>
  <c r="AJ457" i="4"/>
  <c r="AI457" i="4"/>
  <c r="AH457" i="4"/>
  <c r="AG457" i="4"/>
  <c r="AF457" i="4"/>
  <c r="AE457" i="4"/>
  <c r="AK456" i="4"/>
  <c r="AJ456" i="4"/>
  <c r="AI456" i="4"/>
  <c r="AH456" i="4"/>
  <c r="AG456" i="4"/>
  <c r="AF456" i="4"/>
  <c r="AE456" i="4"/>
  <c r="AK455" i="4"/>
  <c r="AJ455" i="4"/>
  <c r="AI455" i="4"/>
  <c r="AH455" i="4"/>
  <c r="AG455" i="4"/>
  <c r="AF455" i="4"/>
  <c r="AE455" i="4"/>
  <c r="AK454" i="4"/>
  <c r="AJ454" i="4"/>
  <c r="AI454" i="4"/>
  <c r="AH454" i="4"/>
  <c r="AG454" i="4"/>
  <c r="AF454" i="4"/>
  <c r="AE454" i="4"/>
  <c r="AK453" i="4"/>
  <c r="AJ453" i="4"/>
  <c r="AI453" i="4"/>
  <c r="AH453" i="4"/>
  <c r="AG453" i="4"/>
  <c r="AF453" i="4"/>
  <c r="AE453" i="4"/>
  <c r="AK452" i="4"/>
  <c r="AJ452" i="4"/>
  <c r="AI452" i="4"/>
  <c r="AH452" i="4"/>
  <c r="AG452" i="4"/>
  <c r="AF452" i="4"/>
  <c r="AE452" i="4"/>
  <c r="AK451" i="4"/>
  <c r="AJ451" i="4"/>
  <c r="AI451" i="4"/>
  <c r="AH451" i="4"/>
  <c r="AG451" i="4"/>
  <c r="AF451" i="4"/>
  <c r="AE451" i="4"/>
  <c r="AK450" i="4"/>
  <c r="AJ450" i="4"/>
  <c r="AI450" i="4"/>
  <c r="AH450" i="4"/>
  <c r="AG450" i="4"/>
  <c r="AF450" i="4"/>
  <c r="AE450" i="4"/>
  <c r="AK449" i="4"/>
  <c r="AJ449" i="4"/>
  <c r="AI449" i="4"/>
  <c r="AH449" i="4"/>
  <c r="AG449" i="4"/>
  <c r="AF449" i="4"/>
  <c r="AE449" i="4"/>
  <c r="AK448" i="4"/>
  <c r="AJ448" i="4"/>
  <c r="AI448" i="4"/>
  <c r="AH448" i="4"/>
  <c r="AG448" i="4"/>
  <c r="AF448" i="4"/>
  <c r="AE448" i="4"/>
  <c r="AK447" i="4"/>
  <c r="AJ447" i="4"/>
  <c r="AI447" i="4"/>
  <c r="AH447" i="4"/>
  <c r="AG447" i="4"/>
  <c r="AF447" i="4"/>
  <c r="AE447" i="4"/>
  <c r="AK446" i="4"/>
  <c r="AJ446" i="4"/>
  <c r="AI446" i="4"/>
  <c r="AH446" i="4"/>
  <c r="AG446" i="4"/>
  <c r="AF446" i="4"/>
  <c r="AE446" i="4"/>
  <c r="AK445" i="4"/>
  <c r="AJ445" i="4"/>
  <c r="AI445" i="4"/>
  <c r="AH445" i="4"/>
  <c r="AG445" i="4"/>
  <c r="AF445" i="4"/>
  <c r="AE445" i="4"/>
  <c r="AK444" i="4"/>
  <c r="AJ444" i="4"/>
  <c r="AI444" i="4"/>
  <c r="AH444" i="4"/>
  <c r="AG444" i="4"/>
  <c r="AF444" i="4"/>
  <c r="AE444" i="4"/>
  <c r="AK443" i="4"/>
  <c r="AJ443" i="4"/>
  <c r="AI443" i="4"/>
  <c r="AH443" i="4"/>
  <c r="AG443" i="4"/>
  <c r="AF443" i="4"/>
  <c r="AE443" i="4"/>
  <c r="AK442" i="4"/>
  <c r="AJ442" i="4"/>
  <c r="AI442" i="4"/>
  <c r="AH442" i="4"/>
  <c r="AG442" i="4"/>
  <c r="AF442" i="4"/>
  <c r="AE442" i="4"/>
  <c r="AK441" i="4"/>
  <c r="AJ441" i="4"/>
  <c r="AI441" i="4"/>
  <c r="AH441" i="4"/>
  <c r="AG441" i="4"/>
  <c r="AF441" i="4"/>
  <c r="AE441" i="4"/>
  <c r="AK440" i="4"/>
  <c r="AJ440" i="4"/>
  <c r="AI440" i="4"/>
  <c r="AH440" i="4"/>
  <c r="AG440" i="4"/>
  <c r="AF440" i="4"/>
  <c r="AE440" i="4"/>
  <c r="AK439" i="4"/>
  <c r="AJ439" i="4"/>
  <c r="AI439" i="4"/>
  <c r="AH439" i="4"/>
  <c r="AG439" i="4"/>
  <c r="AF439" i="4"/>
  <c r="AE439" i="4"/>
  <c r="AK438" i="4"/>
  <c r="AJ438" i="4"/>
  <c r="AI438" i="4"/>
  <c r="AH438" i="4"/>
  <c r="AG438" i="4"/>
  <c r="AF438" i="4"/>
  <c r="AE438" i="4"/>
  <c r="AK437" i="4"/>
  <c r="AJ437" i="4"/>
  <c r="AI437" i="4"/>
  <c r="AH437" i="4"/>
  <c r="AG437" i="4"/>
  <c r="AF437" i="4"/>
  <c r="AE437" i="4"/>
  <c r="AK436" i="4"/>
  <c r="AJ436" i="4"/>
  <c r="AI436" i="4"/>
  <c r="AH436" i="4"/>
  <c r="AG436" i="4"/>
  <c r="AF436" i="4"/>
  <c r="AE436" i="4"/>
  <c r="AK435" i="4"/>
  <c r="AJ435" i="4"/>
  <c r="AI435" i="4"/>
  <c r="AH435" i="4"/>
  <c r="AG435" i="4"/>
  <c r="AF435" i="4"/>
  <c r="AE435" i="4"/>
  <c r="AK434" i="4"/>
  <c r="AJ434" i="4"/>
  <c r="AI434" i="4"/>
  <c r="AH434" i="4"/>
  <c r="AG434" i="4"/>
  <c r="AF434" i="4"/>
  <c r="AE434" i="4"/>
  <c r="AK433" i="4"/>
  <c r="AJ433" i="4"/>
  <c r="AI433" i="4"/>
  <c r="AH433" i="4"/>
  <c r="AG433" i="4"/>
  <c r="AF433" i="4"/>
  <c r="AE433" i="4"/>
  <c r="AK432" i="4"/>
  <c r="AJ432" i="4"/>
  <c r="AI432" i="4"/>
  <c r="AH432" i="4"/>
  <c r="AG432" i="4"/>
  <c r="AF432" i="4"/>
  <c r="AE432" i="4"/>
  <c r="AK431" i="4"/>
  <c r="AJ431" i="4"/>
  <c r="AI431" i="4"/>
  <c r="AH431" i="4"/>
  <c r="AG431" i="4"/>
  <c r="AF431" i="4"/>
  <c r="AE431" i="4"/>
  <c r="AK430" i="4"/>
  <c r="AJ430" i="4"/>
  <c r="AI430" i="4"/>
  <c r="AH430" i="4"/>
  <c r="AG430" i="4"/>
  <c r="AF430" i="4"/>
  <c r="AE430" i="4"/>
  <c r="AK429" i="4"/>
  <c r="AJ429" i="4"/>
  <c r="AI429" i="4"/>
  <c r="AH429" i="4"/>
  <c r="AG429" i="4"/>
  <c r="AF429" i="4"/>
  <c r="AE429" i="4"/>
  <c r="AK428" i="4"/>
  <c r="AJ428" i="4"/>
  <c r="AI428" i="4"/>
  <c r="AH428" i="4"/>
  <c r="AG428" i="4"/>
  <c r="AF428" i="4"/>
  <c r="AE428" i="4"/>
  <c r="AK427" i="4"/>
  <c r="AJ427" i="4"/>
  <c r="AI427" i="4"/>
  <c r="AH427" i="4"/>
  <c r="AG427" i="4"/>
  <c r="AF427" i="4"/>
  <c r="AE427" i="4"/>
  <c r="AK426" i="4"/>
  <c r="AJ426" i="4"/>
  <c r="AI426" i="4"/>
  <c r="AH426" i="4"/>
  <c r="AG426" i="4"/>
  <c r="AF426" i="4"/>
  <c r="AE426" i="4"/>
  <c r="AK425" i="4"/>
  <c r="AJ425" i="4"/>
  <c r="AI425" i="4"/>
  <c r="AH425" i="4"/>
  <c r="AG425" i="4"/>
  <c r="AF425" i="4"/>
  <c r="AE425" i="4"/>
  <c r="AK424" i="4"/>
  <c r="AJ424" i="4"/>
  <c r="AI424" i="4"/>
  <c r="AH424" i="4"/>
  <c r="AG424" i="4"/>
  <c r="AF424" i="4"/>
  <c r="AE424" i="4"/>
  <c r="AK423" i="4"/>
  <c r="AJ423" i="4"/>
  <c r="AI423" i="4"/>
  <c r="AH423" i="4"/>
  <c r="AG423" i="4"/>
  <c r="AF423" i="4"/>
  <c r="AE423" i="4"/>
  <c r="AK422" i="4"/>
  <c r="AJ422" i="4"/>
  <c r="AI422" i="4"/>
  <c r="AH422" i="4"/>
  <c r="AG422" i="4"/>
  <c r="AF422" i="4"/>
  <c r="AE422" i="4"/>
  <c r="AK421" i="4"/>
  <c r="AJ421" i="4"/>
  <c r="AI421" i="4"/>
  <c r="AH421" i="4"/>
  <c r="AG421" i="4"/>
  <c r="AF421" i="4"/>
  <c r="AE421" i="4"/>
  <c r="AK420" i="4"/>
  <c r="AJ420" i="4"/>
  <c r="AI420" i="4"/>
  <c r="AH420" i="4"/>
  <c r="AG420" i="4"/>
  <c r="AF420" i="4"/>
  <c r="AE420" i="4"/>
  <c r="AK419" i="4"/>
  <c r="AJ419" i="4"/>
  <c r="AI419" i="4"/>
  <c r="AH419" i="4"/>
  <c r="AG419" i="4"/>
  <c r="AF419" i="4"/>
  <c r="AE419" i="4"/>
  <c r="AK418" i="4"/>
  <c r="AJ418" i="4"/>
  <c r="AI418" i="4"/>
  <c r="AH418" i="4"/>
  <c r="AG418" i="4"/>
  <c r="AF418" i="4"/>
  <c r="AE418" i="4"/>
  <c r="AK417" i="4"/>
  <c r="AJ417" i="4"/>
  <c r="AI417" i="4"/>
  <c r="AH417" i="4"/>
  <c r="AG417" i="4"/>
  <c r="AF417" i="4"/>
  <c r="AE417" i="4"/>
  <c r="AK416" i="4"/>
  <c r="AJ416" i="4"/>
  <c r="AI416" i="4"/>
  <c r="AH416" i="4"/>
  <c r="AG416" i="4"/>
  <c r="AF416" i="4"/>
  <c r="AE416" i="4"/>
  <c r="AK415" i="4"/>
  <c r="AJ415" i="4"/>
  <c r="AI415" i="4"/>
  <c r="AH415" i="4"/>
  <c r="AG415" i="4"/>
  <c r="AF415" i="4"/>
  <c r="AE415" i="4"/>
  <c r="AK414" i="4"/>
  <c r="AJ414" i="4"/>
  <c r="AI414" i="4"/>
  <c r="AH414" i="4"/>
  <c r="AG414" i="4"/>
  <c r="AF414" i="4"/>
  <c r="AE414" i="4"/>
  <c r="AK413" i="4"/>
  <c r="AJ413" i="4"/>
  <c r="AI413" i="4"/>
  <c r="AH413" i="4"/>
  <c r="AG413" i="4"/>
  <c r="AF413" i="4"/>
  <c r="AE413" i="4"/>
  <c r="AK412" i="4"/>
  <c r="AJ412" i="4"/>
  <c r="AI412" i="4"/>
  <c r="AH412" i="4"/>
  <c r="AG412" i="4"/>
  <c r="AF412" i="4"/>
  <c r="AE412" i="4"/>
  <c r="AK411" i="4"/>
  <c r="AJ411" i="4"/>
  <c r="AI411" i="4"/>
  <c r="AH411" i="4"/>
  <c r="AG411" i="4"/>
  <c r="AF411" i="4"/>
  <c r="AE411" i="4"/>
  <c r="AK410" i="4"/>
  <c r="AJ410" i="4"/>
  <c r="AI410" i="4"/>
  <c r="AH410" i="4"/>
  <c r="AG410" i="4"/>
  <c r="AF410" i="4"/>
  <c r="AE410" i="4"/>
  <c r="AK409" i="4"/>
  <c r="AJ409" i="4"/>
  <c r="AI409" i="4"/>
  <c r="AH409" i="4"/>
  <c r="AG409" i="4"/>
  <c r="AF409" i="4"/>
  <c r="AE409" i="4"/>
  <c r="AK408" i="4"/>
  <c r="AJ408" i="4"/>
  <c r="AI408" i="4"/>
  <c r="AH408" i="4"/>
  <c r="AG408" i="4"/>
  <c r="AF408" i="4"/>
  <c r="AE408" i="4"/>
  <c r="AK407" i="4"/>
  <c r="AJ407" i="4"/>
  <c r="AI407" i="4"/>
  <c r="AH407" i="4"/>
  <c r="AG407" i="4"/>
  <c r="AF407" i="4"/>
  <c r="AE407" i="4"/>
  <c r="AK406" i="4"/>
  <c r="AJ406" i="4"/>
  <c r="AI406" i="4"/>
  <c r="AH406" i="4"/>
  <c r="AG406" i="4"/>
  <c r="AF406" i="4"/>
  <c r="AE406" i="4"/>
  <c r="AK405" i="4"/>
  <c r="AJ405" i="4"/>
  <c r="AI405" i="4"/>
  <c r="AH405" i="4"/>
  <c r="AG405" i="4"/>
  <c r="AF405" i="4"/>
  <c r="AE405" i="4"/>
  <c r="AK404" i="4"/>
  <c r="AJ404" i="4"/>
  <c r="AI404" i="4"/>
  <c r="AH404" i="4"/>
  <c r="AG404" i="4"/>
  <c r="AF404" i="4"/>
  <c r="AE404" i="4"/>
  <c r="AK403" i="4"/>
  <c r="AJ403" i="4"/>
  <c r="AI403" i="4"/>
  <c r="AH403" i="4"/>
  <c r="AG403" i="4"/>
  <c r="AF403" i="4"/>
  <c r="AE403" i="4"/>
  <c r="AK402" i="4"/>
  <c r="AJ402" i="4"/>
  <c r="AI402" i="4"/>
  <c r="AH402" i="4"/>
  <c r="AG402" i="4"/>
  <c r="AF402" i="4"/>
  <c r="AE402" i="4"/>
  <c r="AK401" i="4"/>
  <c r="AJ401" i="4"/>
  <c r="AI401" i="4"/>
  <c r="AH401" i="4"/>
  <c r="AG401" i="4"/>
  <c r="AF401" i="4"/>
  <c r="AE401" i="4"/>
  <c r="AK400" i="4"/>
  <c r="AJ400" i="4"/>
  <c r="AI400" i="4"/>
  <c r="AH400" i="4"/>
  <c r="AG400" i="4"/>
  <c r="AF400" i="4"/>
  <c r="AE400" i="4"/>
  <c r="AK399" i="4"/>
  <c r="AJ399" i="4"/>
  <c r="AI399" i="4"/>
  <c r="AH399" i="4"/>
  <c r="AG399" i="4"/>
  <c r="AF399" i="4"/>
  <c r="AE399" i="4"/>
  <c r="AK398" i="4"/>
  <c r="AJ398" i="4"/>
  <c r="AI398" i="4"/>
  <c r="AH398" i="4"/>
  <c r="AG398" i="4"/>
  <c r="AF398" i="4"/>
  <c r="AE398" i="4"/>
  <c r="AK397" i="4"/>
  <c r="AJ397" i="4"/>
  <c r="AI397" i="4"/>
  <c r="AH397" i="4"/>
  <c r="AG397" i="4"/>
  <c r="AF397" i="4"/>
  <c r="AE397" i="4"/>
  <c r="AK396" i="4"/>
  <c r="AJ396" i="4"/>
  <c r="AI396" i="4"/>
  <c r="AH396" i="4"/>
  <c r="AG396" i="4"/>
  <c r="AF396" i="4"/>
  <c r="AE396" i="4"/>
  <c r="AK395" i="4"/>
  <c r="AJ395" i="4"/>
  <c r="AI395" i="4"/>
  <c r="AH395" i="4"/>
  <c r="AG395" i="4"/>
  <c r="AF395" i="4"/>
  <c r="AE395" i="4"/>
  <c r="AK394" i="4"/>
  <c r="AJ394" i="4"/>
  <c r="AI394" i="4"/>
  <c r="AH394" i="4"/>
  <c r="AG394" i="4"/>
  <c r="AF394" i="4"/>
  <c r="AE394" i="4"/>
  <c r="AK393" i="4"/>
  <c r="AJ393" i="4"/>
  <c r="AI393" i="4"/>
  <c r="AH393" i="4"/>
  <c r="AG393" i="4"/>
  <c r="AF393" i="4"/>
  <c r="AE393" i="4"/>
  <c r="AK392" i="4"/>
  <c r="AJ392" i="4"/>
  <c r="AI392" i="4"/>
  <c r="AH392" i="4"/>
  <c r="AG392" i="4"/>
  <c r="AF392" i="4"/>
  <c r="AE392" i="4"/>
  <c r="AK391" i="4"/>
  <c r="AJ391" i="4"/>
  <c r="AI391" i="4"/>
  <c r="AH391" i="4"/>
  <c r="AG391" i="4"/>
  <c r="AF391" i="4"/>
  <c r="AE391" i="4"/>
  <c r="AK390" i="4"/>
  <c r="AJ390" i="4"/>
  <c r="AI390" i="4"/>
  <c r="AH390" i="4"/>
  <c r="AG390" i="4"/>
  <c r="AF390" i="4"/>
  <c r="AE390" i="4"/>
  <c r="AK389" i="4"/>
  <c r="AJ389" i="4"/>
  <c r="AI389" i="4"/>
  <c r="AH389" i="4"/>
  <c r="AG389" i="4"/>
  <c r="AF389" i="4"/>
  <c r="AE389" i="4"/>
  <c r="AK388" i="4"/>
  <c r="AJ388" i="4"/>
  <c r="AI388" i="4"/>
  <c r="AH388" i="4"/>
  <c r="AG388" i="4"/>
  <c r="AF388" i="4"/>
  <c r="AE388" i="4"/>
  <c r="AK387" i="4"/>
  <c r="AJ387" i="4"/>
  <c r="AI387" i="4"/>
  <c r="AH387" i="4"/>
  <c r="AG387" i="4"/>
  <c r="AF387" i="4"/>
  <c r="AE387" i="4"/>
  <c r="AK386" i="4"/>
  <c r="AJ386" i="4"/>
  <c r="AI386" i="4"/>
  <c r="AH386" i="4"/>
  <c r="AG386" i="4"/>
  <c r="AF386" i="4"/>
  <c r="AE386" i="4"/>
  <c r="AK385" i="4"/>
  <c r="AJ385" i="4"/>
  <c r="AI385" i="4"/>
  <c r="AH385" i="4"/>
  <c r="AG385" i="4"/>
  <c r="AF385" i="4"/>
  <c r="AE385" i="4"/>
  <c r="AK384" i="4"/>
  <c r="AJ384" i="4"/>
  <c r="AI384" i="4"/>
  <c r="AH384" i="4"/>
  <c r="AG384" i="4"/>
  <c r="AF384" i="4"/>
  <c r="AE384" i="4"/>
  <c r="AK383" i="4"/>
  <c r="AJ383" i="4"/>
  <c r="AI383" i="4"/>
  <c r="AH383" i="4"/>
  <c r="AG383" i="4"/>
  <c r="AF383" i="4"/>
  <c r="AE383" i="4"/>
  <c r="AK382" i="4"/>
  <c r="AJ382" i="4"/>
  <c r="AI382" i="4"/>
  <c r="AH382" i="4"/>
  <c r="AG382" i="4"/>
  <c r="AF382" i="4"/>
  <c r="AE382" i="4"/>
  <c r="AK381" i="4"/>
  <c r="AJ381" i="4"/>
  <c r="AI381" i="4"/>
  <c r="AH381" i="4"/>
  <c r="AG381" i="4"/>
  <c r="AF381" i="4"/>
  <c r="AE381" i="4"/>
  <c r="AK380" i="4"/>
  <c r="AJ380" i="4"/>
  <c r="AI380" i="4"/>
  <c r="AH380" i="4"/>
  <c r="AG380" i="4"/>
  <c r="AF380" i="4"/>
  <c r="AE380" i="4"/>
  <c r="AK379" i="4"/>
  <c r="AJ379" i="4"/>
  <c r="AI379" i="4"/>
  <c r="AH379" i="4"/>
  <c r="AG379" i="4"/>
  <c r="AF379" i="4"/>
  <c r="AE379" i="4"/>
  <c r="AK378" i="4"/>
  <c r="AJ378" i="4"/>
  <c r="AI378" i="4"/>
  <c r="AH378" i="4"/>
  <c r="AG378" i="4"/>
  <c r="AF378" i="4"/>
  <c r="AE378" i="4"/>
  <c r="AK377" i="4"/>
  <c r="AJ377" i="4"/>
  <c r="AI377" i="4"/>
  <c r="AH377" i="4"/>
  <c r="AG377" i="4"/>
  <c r="AF377" i="4"/>
  <c r="AE377" i="4"/>
  <c r="AK376" i="4"/>
  <c r="AJ376" i="4"/>
  <c r="AI376" i="4"/>
  <c r="AH376" i="4"/>
  <c r="AG376" i="4"/>
  <c r="AF376" i="4"/>
  <c r="AE376" i="4"/>
  <c r="AK375" i="4"/>
  <c r="AJ375" i="4"/>
  <c r="AI375" i="4"/>
  <c r="AH375" i="4"/>
  <c r="AG375" i="4"/>
  <c r="AF375" i="4"/>
  <c r="AE375" i="4"/>
  <c r="AK374" i="4"/>
  <c r="AJ374" i="4"/>
  <c r="AI374" i="4"/>
  <c r="AH374" i="4"/>
  <c r="AG374" i="4"/>
  <c r="AF374" i="4"/>
  <c r="AE374" i="4"/>
  <c r="AK373" i="4"/>
  <c r="AJ373" i="4"/>
  <c r="AI373" i="4"/>
  <c r="AH373" i="4"/>
  <c r="AG373" i="4"/>
  <c r="AF373" i="4"/>
  <c r="AE373" i="4"/>
  <c r="AK372" i="4"/>
  <c r="AJ372" i="4"/>
  <c r="AI372" i="4"/>
  <c r="AH372" i="4"/>
  <c r="AG372" i="4"/>
  <c r="AF372" i="4"/>
  <c r="AE372" i="4"/>
  <c r="AK371" i="4"/>
  <c r="AJ371" i="4"/>
  <c r="AI371" i="4"/>
  <c r="AH371" i="4"/>
  <c r="AG371" i="4"/>
  <c r="AF371" i="4"/>
  <c r="AE371" i="4"/>
  <c r="AK370" i="4"/>
  <c r="AJ370" i="4"/>
  <c r="AI370" i="4"/>
  <c r="AH370" i="4"/>
  <c r="AG370" i="4"/>
  <c r="AF370" i="4"/>
  <c r="AE370" i="4"/>
  <c r="AK369" i="4"/>
  <c r="AJ369" i="4"/>
  <c r="AI369" i="4"/>
  <c r="AH369" i="4"/>
  <c r="AG369" i="4"/>
  <c r="AF369" i="4"/>
  <c r="AE369" i="4"/>
  <c r="AK368" i="4"/>
  <c r="AJ368" i="4"/>
  <c r="AI368" i="4"/>
  <c r="AH368" i="4"/>
  <c r="AG368" i="4"/>
  <c r="AF368" i="4"/>
  <c r="AE368" i="4"/>
  <c r="AK367" i="4"/>
  <c r="AJ367" i="4"/>
  <c r="AI367" i="4"/>
  <c r="AH367" i="4"/>
  <c r="AG367" i="4"/>
  <c r="AF367" i="4"/>
  <c r="AE367" i="4"/>
  <c r="AK366" i="4"/>
  <c r="AJ366" i="4"/>
  <c r="AI366" i="4"/>
  <c r="AH366" i="4"/>
  <c r="AG366" i="4"/>
  <c r="AF366" i="4"/>
  <c r="AE366" i="4"/>
  <c r="AK365" i="4"/>
  <c r="AJ365" i="4"/>
  <c r="AI365" i="4"/>
  <c r="AH365" i="4"/>
  <c r="AG365" i="4"/>
  <c r="AF365" i="4"/>
  <c r="AE365" i="4"/>
  <c r="AK364" i="4"/>
  <c r="AJ364" i="4"/>
  <c r="AI364" i="4"/>
  <c r="AH364" i="4"/>
  <c r="AG364" i="4"/>
  <c r="AF364" i="4"/>
  <c r="AE364" i="4"/>
  <c r="AK363" i="4"/>
  <c r="AJ363" i="4"/>
  <c r="AI363" i="4"/>
  <c r="AH363" i="4"/>
  <c r="AG363" i="4"/>
  <c r="AF363" i="4"/>
  <c r="AE363" i="4"/>
  <c r="AK362" i="4"/>
  <c r="AJ362" i="4"/>
  <c r="AI362" i="4"/>
  <c r="AH362" i="4"/>
  <c r="AG362" i="4"/>
  <c r="AF362" i="4"/>
  <c r="AE362" i="4"/>
  <c r="AK361" i="4"/>
  <c r="AJ361" i="4"/>
  <c r="AI361" i="4"/>
  <c r="AH361" i="4"/>
  <c r="AG361" i="4"/>
  <c r="AF361" i="4"/>
  <c r="AE361" i="4"/>
  <c r="AK360" i="4"/>
  <c r="AJ360" i="4"/>
  <c r="AI360" i="4"/>
  <c r="AH360" i="4"/>
  <c r="AG360" i="4"/>
  <c r="AF360" i="4"/>
  <c r="AE360" i="4"/>
  <c r="AK359" i="4"/>
  <c r="AJ359" i="4"/>
  <c r="AI359" i="4"/>
  <c r="AH359" i="4"/>
  <c r="AG359" i="4"/>
  <c r="AF359" i="4"/>
  <c r="AE359" i="4"/>
  <c r="AK358" i="4"/>
  <c r="AJ358" i="4"/>
  <c r="AI358" i="4"/>
  <c r="AH358" i="4"/>
  <c r="AG358" i="4"/>
  <c r="AF358" i="4"/>
  <c r="AE358" i="4"/>
  <c r="AK357" i="4"/>
  <c r="AJ357" i="4"/>
  <c r="AI357" i="4"/>
  <c r="AH357" i="4"/>
  <c r="AG357" i="4"/>
  <c r="AF357" i="4"/>
  <c r="AE357" i="4"/>
  <c r="AK356" i="4"/>
  <c r="AJ356" i="4"/>
  <c r="AI356" i="4"/>
  <c r="AH356" i="4"/>
  <c r="AG356" i="4"/>
  <c r="AF356" i="4"/>
  <c r="AE356" i="4"/>
  <c r="AK355" i="4"/>
  <c r="AJ355" i="4"/>
  <c r="AI355" i="4"/>
  <c r="AH355" i="4"/>
  <c r="AG355" i="4"/>
  <c r="AF355" i="4"/>
  <c r="AE355" i="4"/>
  <c r="AK354" i="4"/>
  <c r="AJ354" i="4"/>
  <c r="AI354" i="4"/>
  <c r="AH354" i="4"/>
  <c r="AG354" i="4"/>
  <c r="AF354" i="4"/>
  <c r="AE354" i="4"/>
  <c r="AK353" i="4"/>
  <c r="AJ353" i="4"/>
  <c r="AI353" i="4"/>
  <c r="AH353" i="4"/>
  <c r="AG353" i="4"/>
  <c r="AF353" i="4"/>
  <c r="AE353" i="4"/>
  <c r="AK352" i="4"/>
  <c r="AJ352" i="4"/>
  <c r="AI352" i="4"/>
  <c r="AH352" i="4"/>
  <c r="AG352" i="4"/>
  <c r="AF352" i="4"/>
  <c r="AE352" i="4"/>
  <c r="AK351" i="4"/>
  <c r="AJ351" i="4"/>
  <c r="AI351" i="4"/>
  <c r="AH351" i="4"/>
  <c r="AG351" i="4"/>
  <c r="AF351" i="4"/>
  <c r="AE351" i="4"/>
  <c r="AK350" i="4"/>
  <c r="AJ350" i="4"/>
  <c r="AI350" i="4"/>
  <c r="AH350" i="4"/>
  <c r="AG350" i="4"/>
  <c r="AF350" i="4"/>
  <c r="AE350" i="4"/>
  <c r="AK349" i="4"/>
  <c r="AJ349" i="4"/>
  <c r="AI349" i="4"/>
  <c r="AH349" i="4"/>
  <c r="AG349" i="4"/>
  <c r="AF349" i="4"/>
  <c r="AE349" i="4"/>
  <c r="AK348" i="4"/>
  <c r="AJ348" i="4"/>
  <c r="AI348" i="4"/>
  <c r="AH348" i="4"/>
  <c r="AG348" i="4"/>
  <c r="AF348" i="4"/>
  <c r="AE348" i="4"/>
  <c r="AK347" i="4"/>
  <c r="AJ347" i="4"/>
  <c r="AI347" i="4"/>
  <c r="AH347" i="4"/>
  <c r="AG347" i="4"/>
  <c r="AF347" i="4"/>
  <c r="AE347" i="4"/>
  <c r="AK346" i="4"/>
  <c r="AJ346" i="4"/>
  <c r="AI346" i="4"/>
  <c r="AH346" i="4"/>
  <c r="AG346" i="4"/>
  <c r="AF346" i="4"/>
  <c r="AE346" i="4"/>
  <c r="AK345" i="4"/>
  <c r="AJ345" i="4"/>
  <c r="AI345" i="4"/>
  <c r="AH345" i="4"/>
  <c r="AG345" i="4"/>
  <c r="AF345" i="4"/>
  <c r="AE345" i="4"/>
  <c r="AK344" i="4"/>
  <c r="AJ344" i="4"/>
  <c r="AI344" i="4"/>
  <c r="AH344" i="4"/>
  <c r="AG344" i="4"/>
  <c r="AF344" i="4"/>
  <c r="AE344" i="4"/>
  <c r="AK343" i="4"/>
  <c r="AJ343" i="4"/>
  <c r="AI343" i="4"/>
  <c r="AH343" i="4"/>
  <c r="AG343" i="4"/>
  <c r="AF343" i="4"/>
  <c r="AE343" i="4"/>
  <c r="AK342" i="4"/>
  <c r="AJ342" i="4"/>
  <c r="AI342" i="4"/>
  <c r="AH342" i="4"/>
  <c r="AG342" i="4"/>
  <c r="AF342" i="4"/>
  <c r="AE342" i="4"/>
  <c r="AK341" i="4"/>
  <c r="AJ341" i="4"/>
  <c r="AI341" i="4"/>
  <c r="AH341" i="4"/>
  <c r="AG341" i="4"/>
  <c r="AF341" i="4"/>
  <c r="AE341" i="4"/>
  <c r="AK340" i="4"/>
  <c r="AJ340" i="4"/>
  <c r="AI340" i="4"/>
  <c r="AH340" i="4"/>
  <c r="AG340" i="4"/>
  <c r="AF340" i="4"/>
  <c r="AE340" i="4"/>
  <c r="AK339" i="4"/>
  <c r="AJ339" i="4"/>
  <c r="AI339" i="4"/>
  <c r="AH339" i="4"/>
  <c r="AG339" i="4"/>
  <c r="AF339" i="4"/>
  <c r="AE339" i="4"/>
  <c r="AK338" i="4"/>
  <c r="AJ338" i="4"/>
  <c r="AI338" i="4"/>
  <c r="AH338" i="4"/>
  <c r="AG338" i="4"/>
  <c r="AF338" i="4"/>
  <c r="AE338" i="4"/>
  <c r="AK337" i="4"/>
  <c r="AJ337" i="4"/>
  <c r="AI337" i="4"/>
  <c r="AH337" i="4"/>
  <c r="AG337" i="4"/>
  <c r="AF337" i="4"/>
  <c r="AE337" i="4"/>
  <c r="AK336" i="4"/>
  <c r="AJ336" i="4"/>
  <c r="AI336" i="4"/>
  <c r="AH336" i="4"/>
  <c r="AG336" i="4"/>
  <c r="AF336" i="4"/>
  <c r="AE336" i="4"/>
  <c r="AK335" i="4"/>
  <c r="AJ335" i="4"/>
  <c r="AI335" i="4"/>
  <c r="AH335" i="4"/>
  <c r="AG335" i="4"/>
  <c r="AF335" i="4"/>
  <c r="AE335" i="4"/>
  <c r="AK334" i="4"/>
  <c r="AJ334" i="4"/>
  <c r="AI334" i="4"/>
  <c r="AH334" i="4"/>
  <c r="AG334" i="4"/>
  <c r="AF334" i="4"/>
  <c r="AE334" i="4"/>
  <c r="AK333" i="4"/>
  <c r="AJ333" i="4"/>
  <c r="AI333" i="4"/>
  <c r="AH333" i="4"/>
  <c r="AG333" i="4"/>
  <c r="AF333" i="4"/>
  <c r="AE333" i="4"/>
  <c r="AK332" i="4"/>
  <c r="AJ332" i="4"/>
  <c r="AI332" i="4"/>
  <c r="AH332" i="4"/>
  <c r="AG332" i="4"/>
  <c r="AF332" i="4"/>
  <c r="AE332" i="4"/>
  <c r="AK331" i="4"/>
  <c r="AJ331" i="4"/>
  <c r="AI331" i="4"/>
  <c r="AH331" i="4"/>
  <c r="AG331" i="4"/>
  <c r="AF331" i="4"/>
  <c r="AE331" i="4"/>
  <c r="AK330" i="4"/>
  <c r="AJ330" i="4"/>
  <c r="AI330" i="4"/>
  <c r="AH330" i="4"/>
  <c r="AG330" i="4"/>
  <c r="AF330" i="4"/>
  <c r="AE330" i="4"/>
  <c r="AK329" i="4"/>
  <c r="AJ329" i="4"/>
  <c r="AI329" i="4"/>
  <c r="AH329" i="4"/>
  <c r="AG329" i="4"/>
  <c r="AF329" i="4"/>
  <c r="AE329" i="4"/>
  <c r="AK328" i="4"/>
  <c r="AJ328" i="4"/>
  <c r="AI328" i="4"/>
  <c r="AH328" i="4"/>
  <c r="AG328" i="4"/>
  <c r="AF328" i="4"/>
  <c r="AE328" i="4"/>
  <c r="AK327" i="4"/>
  <c r="AJ327" i="4"/>
  <c r="AI327" i="4"/>
  <c r="AH327" i="4"/>
  <c r="AG327" i="4"/>
  <c r="AF327" i="4"/>
  <c r="AE327" i="4"/>
  <c r="AK326" i="4"/>
  <c r="AJ326" i="4"/>
  <c r="AI326" i="4"/>
  <c r="AH326" i="4"/>
  <c r="AG326" i="4"/>
  <c r="AF326" i="4"/>
  <c r="AE326" i="4"/>
  <c r="AK325" i="4"/>
  <c r="AJ325" i="4"/>
  <c r="AI325" i="4"/>
  <c r="AH325" i="4"/>
  <c r="AG325" i="4"/>
  <c r="AF325" i="4"/>
  <c r="AE325" i="4"/>
  <c r="AK324" i="4"/>
  <c r="AJ324" i="4"/>
  <c r="AI324" i="4"/>
  <c r="AH324" i="4"/>
  <c r="AG324" i="4"/>
  <c r="AF324" i="4"/>
  <c r="AE324" i="4"/>
  <c r="AK323" i="4"/>
  <c r="AJ323" i="4"/>
  <c r="AI323" i="4"/>
  <c r="AH323" i="4"/>
  <c r="AG323" i="4"/>
  <c r="AF323" i="4"/>
  <c r="AE323" i="4"/>
  <c r="AK322" i="4"/>
  <c r="AJ322" i="4"/>
  <c r="AI322" i="4"/>
  <c r="AH322" i="4"/>
  <c r="AG322" i="4"/>
  <c r="AF322" i="4"/>
  <c r="AE322" i="4"/>
  <c r="AK321" i="4"/>
  <c r="AJ321" i="4"/>
  <c r="AI321" i="4"/>
  <c r="AH321" i="4"/>
  <c r="AG321" i="4"/>
  <c r="AF321" i="4"/>
  <c r="AE321" i="4"/>
  <c r="AK320" i="4"/>
  <c r="AJ320" i="4"/>
  <c r="AI320" i="4"/>
  <c r="AH320" i="4"/>
  <c r="AG320" i="4"/>
  <c r="AF320" i="4"/>
  <c r="AE320" i="4"/>
  <c r="AK319" i="4"/>
  <c r="AJ319" i="4"/>
  <c r="AI319" i="4"/>
  <c r="AH319" i="4"/>
  <c r="AG319" i="4"/>
  <c r="AF319" i="4"/>
  <c r="AE319" i="4"/>
  <c r="AK318" i="4"/>
  <c r="AJ318" i="4"/>
  <c r="AI318" i="4"/>
  <c r="AH318" i="4"/>
  <c r="AG318" i="4"/>
  <c r="AF318" i="4"/>
  <c r="AE318" i="4"/>
  <c r="AK317" i="4"/>
  <c r="AJ317" i="4"/>
  <c r="AI317" i="4"/>
  <c r="AH317" i="4"/>
  <c r="AG317" i="4"/>
  <c r="AF317" i="4"/>
  <c r="AE317" i="4"/>
  <c r="AK316" i="4"/>
  <c r="AJ316" i="4"/>
  <c r="AI316" i="4"/>
  <c r="AH316" i="4"/>
  <c r="AG316" i="4"/>
  <c r="AF316" i="4"/>
  <c r="AE316" i="4"/>
  <c r="AK315" i="4"/>
  <c r="AJ315" i="4"/>
  <c r="AI315" i="4"/>
  <c r="AH315" i="4"/>
  <c r="AG315" i="4"/>
  <c r="AF315" i="4"/>
  <c r="AE315" i="4"/>
  <c r="AK314" i="4"/>
  <c r="AJ314" i="4"/>
  <c r="AI314" i="4"/>
  <c r="AH314" i="4"/>
  <c r="AG314" i="4"/>
  <c r="AF314" i="4"/>
  <c r="AE314" i="4"/>
  <c r="AK313" i="4"/>
  <c r="AJ313" i="4"/>
  <c r="AI313" i="4"/>
  <c r="AH313" i="4"/>
  <c r="AG313" i="4"/>
  <c r="AF313" i="4"/>
  <c r="AE313" i="4"/>
  <c r="AK312" i="4"/>
  <c r="AJ312" i="4"/>
  <c r="AI312" i="4"/>
  <c r="AH312" i="4"/>
  <c r="AG312" i="4"/>
  <c r="AF312" i="4"/>
  <c r="AE312" i="4"/>
  <c r="AK311" i="4"/>
  <c r="AJ311" i="4"/>
  <c r="AI311" i="4"/>
  <c r="AH311" i="4"/>
  <c r="AG311" i="4"/>
  <c r="AF311" i="4"/>
  <c r="AE311" i="4"/>
  <c r="AK310" i="4"/>
  <c r="AJ310" i="4"/>
  <c r="AI310" i="4"/>
  <c r="AH310" i="4"/>
  <c r="AG310" i="4"/>
  <c r="AF310" i="4"/>
  <c r="AE310" i="4"/>
  <c r="AK309" i="4"/>
  <c r="AJ309" i="4"/>
  <c r="AI309" i="4"/>
  <c r="AH309" i="4"/>
  <c r="AG309" i="4"/>
  <c r="AF309" i="4"/>
  <c r="AE309" i="4"/>
  <c r="AK308" i="4"/>
  <c r="AJ308" i="4"/>
  <c r="AI308" i="4"/>
  <c r="AH308" i="4"/>
  <c r="AG308" i="4"/>
  <c r="AF308" i="4"/>
  <c r="AE308" i="4"/>
  <c r="AK307" i="4"/>
  <c r="AJ307" i="4"/>
  <c r="AI307" i="4"/>
  <c r="AH307" i="4"/>
  <c r="AG307" i="4"/>
  <c r="AF307" i="4"/>
  <c r="AE307" i="4"/>
  <c r="AK306" i="4"/>
  <c r="AJ306" i="4"/>
  <c r="AI306" i="4"/>
  <c r="AH306" i="4"/>
  <c r="AG306" i="4"/>
  <c r="AF306" i="4"/>
  <c r="AE306" i="4"/>
  <c r="AK305" i="4"/>
  <c r="AJ305" i="4"/>
  <c r="AI305" i="4"/>
  <c r="AH305" i="4"/>
  <c r="AG305" i="4"/>
  <c r="AF305" i="4"/>
  <c r="AE305" i="4"/>
  <c r="AK304" i="4"/>
  <c r="AJ304" i="4"/>
  <c r="AI304" i="4"/>
  <c r="AH304" i="4"/>
  <c r="AG304" i="4"/>
  <c r="AF304" i="4"/>
  <c r="AE304" i="4"/>
  <c r="AK303" i="4"/>
  <c r="AJ303" i="4"/>
  <c r="AI303" i="4"/>
  <c r="AH303" i="4"/>
  <c r="AG303" i="4"/>
  <c r="AF303" i="4"/>
  <c r="AE303" i="4"/>
  <c r="AK302" i="4"/>
  <c r="AJ302" i="4"/>
  <c r="AI302" i="4"/>
  <c r="AH302" i="4"/>
  <c r="AG302" i="4"/>
  <c r="AF302" i="4"/>
  <c r="AE302" i="4"/>
  <c r="AK301" i="4"/>
  <c r="AJ301" i="4"/>
  <c r="AI301" i="4"/>
  <c r="AH301" i="4"/>
  <c r="AG301" i="4"/>
  <c r="AF301" i="4"/>
  <c r="AE301" i="4"/>
  <c r="AK300" i="4"/>
  <c r="AJ300" i="4"/>
  <c r="AI300" i="4"/>
  <c r="AH300" i="4"/>
  <c r="AG300" i="4"/>
  <c r="AF300" i="4"/>
  <c r="AE300" i="4"/>
  <c r="AK299" i="4"/>
  <c r="AJ299" i="4"/>
  <c r="AI299" i="4"/>
  <c r="AH299" i="4"/>
  <c r="AG299" i="4"/>
  <c r="AF299" i="4"/>
  <c r="AE299" i="4"/>
  <c r="AK298" i="4"/>
  <c r="AJ298" i="4"/>
  <c r="AI298" i="4"/>
  <c r="AH298" i="4"/>
  <c r="AG298" i="4"/>
  <c r="AF298" i="4"/>
  <c r="AE298" i="4"/>
  <c r="AK297" i="4"/>
  <c r="AJ297" i="4"/>
  <c r="AI297" i="4"/>
  <c r="AH297" i="4"/>
  <c r="AG297" i="4"/>
  <c r="AF297" i="4"/>
  <c r="AE297" i="4"/>
  <c r="AK296" i="4"/>
  <c r="AJ296" i="4"/>
  <c r="AI296" i="4"/>
  <c r="AH296" i="4"/>
  <c r="AG296" i="4"/>
  <c r="AF296" i="4"/>
  <c r="AE296" i="4"/>
  <c r="AK295" i="4"/>
  <c r="AJ295" i="4"/>
  <c r="AI295" i="4"/>
  <c r="AH295" i="4"/>
  <c r="AG295" i="4"/>
  <c r="AF295" i="4"/>
  <c r="AE295" i="4"/>
  <c r="AK294" i="4"/>
  <c r="AJ294" i="4"/>
  <c r="AI294" i="4"/>
  <c r="AH294" i="4"/>
  <c r="AG294" i="4"/>
  <c r="AF294" i="4"/>
  <c r="AE294" i="4"/>
  <c r="AK293" i="4"/>
  <c r="AJ293" i="4"/>
  <c r="AI293" i="4"/>
  <c r="AH293" i="4"/>
  <c r="AG293" i="4"/>
  <c r="AF293" i="4"/>
  <c r="AE293" i="4"/>
  <c r="AK292" i="4"/>
  <c r="AJ292" i="4"/>
  <c r="AI292" i="4"/>
  <c r="AH292" i="4"/>
  <c r="AG292" i="4"/>
  <c r="AF292" i="4"/>
  <c r="AE292" i="4"/>
  <c r="AK291" i="4"/>
  <c r="AJ291" i="4"/>
  <c r="AI291" i="4"/>
  <c r="AH291" i="4"/>
  <c r="AG291" i="4"/>
  <c r="AF291" i="4"/>
  <c r="AE291" i="4"/>
  <c r="AK290" i="4"/>
  <c r="AJ290" i="4"/>
  <c r="AI290" i="4"/>
  <c r="AH290" i="4"/>
  <c r="AG290" i="4"/>
  <c r="AF290" i="4"/>
  <c r="AE290" i="4"/>
  <c r="AK289" i="4"/>
  <c r="AJ289" i="4"/>
  <c r="AI289" i="4"/>
  <c r="AH289" i="4"/>
  <c r="AG289" i="4"/>
  <c r="AF289" i="4"/>
  <c r="AE289" i="4"/>
  <c r="AK288" i="4"/>
  <c r="AJ288" i="4"/>
  <c r="AI288" i="4"/>
  <c r="AH288" i="4"/>
  <c r="AG288" i="4"/>
  <c r="AF288" i="4"/>
  <c r="AE288" i="4"/>
  <c r="AK287" i="4"/>
  <c r="AJ287" i="4"/>
  <c r="AI287" i="4"/>
  <c r="AH287" i="4"/>
  <c r="AG287" i="4"/>
  <c r="AF287" i="4"/>
  <c r="AE287" i="4"/>
  <c r="AK286" i="4"/>
  <c r="AJ286" i="4"/>
  <c r="AI286" i="4"/>
  <c r="AH286" i="4"/>
  <c r="AG286" i="4"/>
  <c r="AF286" i="4"/>
  <c r="AE286" i="4"/>
  <c r="AK285" i="4"/>
  <c r="AJ285" i="4"/>
  <c r="AI285" i="4"/>
  <c r="AH285" i="4"/>
  <c r="AG285" i="4"/>
  <c r="AF285" i="4"/>
  <c r="AE285" i="4"/>
  <c r="AK284" i="4"/>
  <c r="AJ284" i="4"/>
  <c r="AI284" i="4"/>
  <c r="AH284" i="4"/>
  <c r="AG284" i="4"/>
  <c r="AF284" i="4"/>
  <c r="AE284" i="4"/>
  <c r="AK283" i="4"/>
  <c r="AJ283" i="4"/>
  <c r="AI283" i="4"/>
  <c r="AH283" i="4"/>
  <c r="AG283" i="4"/>
  <c r="AF283" i="4"/>
  <c r="AE283" i="4"/>
  <c r="AK282" i="4"/>
  <c r="AJ282" i="4"/>
  <c r="AI282" i="4"/>
  <c r="AH282" i="4"/>
  <c r="AG282" i="4"/>
  <c r="AF282" i="4"/>
  <c r="AE282" i="4"/>
  <c r="AK281" i="4"/>
  <c r="AJ281" i="4"/>
  <c r="AI281" i="4"/>
  <c r="AH281" i="4"/>
  <c r="AG281" i="4"/>
  <c r="AF281" i="4"/>
  <c r="AE281" i="4"/>
  <c r="AK280" i="4"/>
  <c r="AJ280" i="4"/>
  <c r="AI280" i="4"/>
  <c r="AH280" i="4"/>
  <c r="AG280" i="4"/>
  <c r="AF280" i="4"/>
  <c r="AE280" i="4"/>
  <c r="AK279" i="4"/>
  <c r="AJ279" i="4"/>
  <c r="AI279" i="4"/>
  <c r="AH279" i="4"/>
  <c r="AG279" i="4"/>
  <c r="AF279" i="4"/>
  <c r="AE279" i="4"/>
  <c r="AK278" i="4"/>
  <c r="AJ278" i="4"/>
  <c r="AI278" i="4"/>
  <c r="AH278" i="4"/>
  <c r="AG278" i="4"/>
  <c r="AF278" i="4"/>
  <c r="AE278" i="4"/>
  <c r="AK277" i="4"/>
  <c r="AJ277" i="4"/>
  <c r="AI277" i="4"/>
  <c r="AH277" i="4"/>
  <c r="AG277" i="4"/>
  <c r="AF277" i="4"/>
  <c r="AE277" i="4"/>
  <c r="AK276" i="4"/>
  <c r="AJ276" i="4"/>
  <c r="AI276" i="4"/>
  <c r="AH276" i="4"/>
  <c r="AG276" i="4"/>
  <c r="AF276" i="4"/>
  <c r="AE276" i="4"/>
  <c r="AK275" i="4"/>
  <c r="AJ275" i="4"/>
  <c r="AI275" i="4"/>
  <c r="AH275" i="4"/>
  <c r="AG275" i="4"/>
  <c r="AF275" i="4"/>
  <c r="AE275" i="4"/>
  <c r="AK274" i="4"/>
  <c r="AJ274" i="4"/>
  <c r="AI274" i="4"/>
  <c r="AH274" i="4"/>
  <c r="AG274" i="4"/>
  <c r="AF274" i="4"/>
  <c r="AE274" i="4"/>
  <c r="AK273" i="4"/>
  <c r="AJ273" i="4"/>
  <c r="AI273" i="4"/>
  <c r="AH273" i="4"/>
  <c r="AG273" i="4"/>
  <c r="AF273" i="4"/>
  <c r="AE273" i="4"/>
  <c r="AK272" i="4"/>
  <c r="AJ272" i="4"/>
  <c r="AI272" i="4"/>
  <c r="AH272" i="4"/>
  <c r="AG272" i="4"/>
  <c r="AF272" i="4"/>
  <c r="AE272" i="4"/>
  <c r="AK271" i="4"/>
  <c r="AJ271" i="4"/>
  <c r="AI271" i="4"/>
  <c r="AH271" i="4"/>
  <c r="AG271" i="4"/>
  <c r="AF271" i="4"/>
  <c r="AE271" i="4"/>
  <c r="AK270" i="4"/>
  <c r="AJ270" i="4"/>
  <c r="AI270" i="4"/>
  <c r="AH270" i="4"/>
  <c r="AG270" i="4"/>
  <c r="AF270" i="4"/>
  <c r="AE270" i="4"/>
  <c r="AK269" i="4"/>
  <c r="AJ269" i="4"/>
  <c r="AI269" i="4"/>
  <c r="AH269" i="4"/>
  <c r="AG269" i="4"/>
  <c r="AF269" i="4"/>
  <c r="AE269" i="4"/>
  <c r="AK268" i="4"/>
  <c r="AJ268" i="4"/>
  <c r="AI268" i="4"/>
  <c r="AH268" i="4"/>
  <c r="AG268" i="4"/>
  <c r="AF268" i="4"/>
  <c r="AE268" i="4"/>
  <c r="AK267" i="4"/>
  <c r="AJ267" i="4"/>
  <c r="AI267" i="4"/>
  <c r="AH267" i="4"/>
  <c r="AG267" i="4"/>
  <c r="AF267" i="4"/>
  <c r="AE267" i="4"/>
  <c r="AK266" i="4"/>
  <c r="AJ266" i="4"/>
  <c r="AI266" i="4"/>
  <c r="AH266" i="4"/>
  <c r="AG266" i="4"/>
  <c r="AF266" i="4"/>
  <c r="AE266" i="4"/>
  <c r="AK265" i="4"/>
  <c r="AJ265" i="4"/>
  <c r="AI265" i="4"/>
  <c r="AH265" i="4"/>
  <c r="AG265" i="4"/>
  <c r="AF265" i="4"/>
  <c r="AE265" i="4"/>
  <c r="AK264" i="4"/>
  <c r="AJ264" i="4"/>
  <c r="AI264" i="4"/>
  <c r="AH264" i="4"/>
  <c r="AG264" i="4"/>
  <c r="AF264" i="4"/>
  <c r="AE264" i="4"/>
  <c r="AK263" i="4"/>
  <c r="AJ263" i="4"/>
  <c r="AI263" i="4"/>
  <c r="AH263" i="4"/>
  <c r="AG263" i="4"/>
  <c r="AF263" i="4"/>
  <c r="AE263" i="4"/>
  <c r="AK262" i="4"/>
  <c r="AJ262" i="4"/>
  <c r="AI262" i="4"/>
  <c r="AH262" i="4"/>
  <c r="AG262" i="4"/>
  <c r="AF262" i="4"/>
  <c r="AE262" i="4"/>
  <c r="AK261" i="4"/>
  <c r="AJ261" i="4"/>
  <c r="AI261" i="4"/>
  <c r="AH261" i="4"/>
  <c r="AG261" i="4"/>
  <c r="AF261" i="4"/>
  <c r="AE261" i="4"/>
  <c r="AK260" i="4"/>
  <c r="AJ260" i="4"/>
  <c r="AI260" i="4"/>
  <c r="AH260" i="4"/>
  <c r="AG260" i="4"/>
  <c r="AF260" i="4"/>
  <c r="AE260" i="4"/>
  <c r="AK259" i="4"/>
  <c r="AJ259" i="4"/>
  <c r="AI259" i="4"/>
  <c r="AH259" i="4"/>
  <c r="AG259" i="4"/>
  <c r="AF259" i="4"/>
  <c r="AE259" i="4"/>
  <c r="AK258" i="4"/>
  <c r="AJ258" i="4"/>
  <c r="AI258" i="4"/>
  <c r="AH258" i="4"/>
  <c r="AG258" i="4"/>
  <c r="AF258" i="4"/>
  <c r="AE258" i="4"/>
  <c r="AK257" i="4"/>
  <c r="AJ257" i="4"/>
  <c r="AI257" i="4"/>
  <c r="AH257" i="4"/>
  <c r="AG257" i="4"/>
  <c r="AF257" i="4"/>
  <c r="AE257" i="4"/>
  <c r="AK256" i="4"/>
  <c r="AJ256" i="4"/>
  <c r="AI256" i="4"/>
  <c r="AH256" i="4"/>
  <c r="AG256" i="4"/>
  <c r="AF256" i="4"/>
  <c r="AE256" i="4"/>
  <c r="AK255" i="4"/>
  <c r="AJ255" i="4"/>
  <c r="AI255" i="4"/>
  <c r="AH255" i="4"/>
  <c r="AG255" i="4"/>
  <c r="AF255" i="4"/>
  <c r="AE255" i="4"/>
  <c r="AK254" i="4"/>
  <c r="AJ254" i="4"/>
  <c r="AI254" i="4"/>
  <c r="AH254" i="4"/>
  <c r="AG254" i="4"/>
  <c r="AF254" i="4"/>
  <c r="AE254" i="4"/>
  <c r="AK253" i="4"/>
  <c r="AJ253" i="4"/>
  <c r="AI253" i="4"/>
  <c r="AH253" i="4"/>
  <c r="AG253" i="4"/>
  <c r="AF253" i="4"/>
  <c r="AE253" i="4"/>
  <c r="AK252" i="4"/>
  <c r="AJ252" i="4"/>
  <c r="AI252" i="4"/>
  <c r="AH252" i="4"/>
  <c r="AG252" i="4"/>
  <c r="AF252" i="4"/>
  <c r="AE252" i="4"/>
  <c r="AK251" i="4"/>
  <c r="AJ251" i="4"/>
  <c r="AI251" i="4"/>
  <c r="AH251" i="4"/>
  <c r="AG251" i="4"/>
  <c r="AF251" i="4"/>
  <c r="AE251" i="4"/>
  <c r="AK250" i="4"/>
  <c r="AJ250" i="4"/>
  <c r="AI250" i="4"/>
  <c r="AH250" i="4"/>
  <c r="AG250" i="4"/>
  <c r="AF250" i="4"/>
  <c r="AE250" i="4"/>
  <c r="AK249" i="4"/>
  <c r="AJ249" i="4"/>
  <c r="AI249" i="4"/>
  <c r="AH249" i="4"/>
  <c r="AG249" i="4"/>
  <c r="AF249" i="4"/>
  <c r="AE249" i="4"/>
  <c r="AK248" i="4"/>
  <c r="AJ248" i="4"/>
  <c r="AI248" i="4"/>
  <c r="AH248" i="4"/>
  <c r="AG248" i="4"/>
  <c r="AF248" i="4"/>
  <c r="AE248" i="4"/>
  <c r="AK247" i="4"/>
  <c r="AJ247" i="4"/>
  <c r="AI247" i="4"/>
  <c r="AH247" i="4"/>
  <c r="AG247" i="4"/>
  <c r="AF247" i="4"/>
  <c r="AE247" i="4"/>
  <c r="AK246" i="4"/>
  <c r="AJ246" i="4"/>
  <c r="AI246" i="4"/>
  <c r="AH246" i="4"/>
  <c r="AG246" i="4"/>
  <c r="AF246" i="4"/>
  <c r="AE246" i="4"/>
  <c r="AK245" i="4"/>
  <c r="AJ245" i="4"/>
  <c r="AI245" i="4"/>
  <c r="AH245" i="4"/>
  <c r="AG245" i="4"/>
  <c r="AF245" i="4"/>
  <c r="AE245" i="4"/>
  <c r="AK244" i="4"/>
  <c r="AJ244" i="4"/>
  <c r="AI244" i="4"/>
  <c r="AH244" i="4"/>
  <c r="AG244" i="4"/>
  <c r="AF244" i="4"/>
  <c r="AE244" i="4"/>
  <c r="AK243" i="4"/>
  <c r="AJ243" i="4"/>
  <c r="AI243" i="4"/>
  <c r="AH243" i="4"/>
  <c r="AG243" i="4"/>
  <c r="AF243" i="4"/>
  <c r="AE243" i="4"/>
  <c r="AK242" i="4"/>
  <c r="AJ242" i="4"/>
  <c r="AI242" i="4"/>
  <c r="AH242" i="4"/>
  <c r="AG242" i="4"/>
  <c r="AF242" i="4"/>
  <c r="AE242" i="4"/>
  <c r="AK241" i="4"/>
  <c r="AJ241" i="4"/>
  <c r="AI241" i="4"/>
  <c r="AH241" i="4"/>
  <c r="AG241" i="4"/>
  <c r="AF241" i="4"/>
  <c r="AE241" i="4"/>
  <c r="AK240" i="4"/>
  <c r="AJ240" i="4"/>
  <c r="AI240" i="4"/>
  <c r="AH240" i="4"/>
  <c r="AG240" i="4"/>
  <c r="AF240" i="4"/>
  <c r="AE240" i="4"/>
  <c r="AK239" i="4"/>
  <c r="AJ239" i="4"/>
  <c r="AI239" i="4"/>
  <c r="AH239" i="4"/>
  <c r="AG239" i="4"/>
  <c r="AF239" i="4"/>
  <c r="AE239" i="4"/>
  <c r="AK238" i="4"/>
  <c r="AJ238" i="4"/>
  <c r="AI238" i="4"/>
  <c r="AH238" i="4"/>
  <c r="AG238" i="4"/>
  <c r="AF238" i="4"/>
  <c r="AE238" i="4"/>
  <c r="AK237" i="4"/>
  <c r="AJ237" i="4"/>
  <c r="AI237" i="4"/>
  <c r="AH237" i="4"/>
  <c r="AG237" i="4"/>
  <c r="AF237" i="4"/>
  <c r="AE237" i="4"/>
  <c r="AK236" i="4"/>
  <c r="AJ236" i="4"/>
  <c r="AI236" i="4"/>
  <c r="AH236" i="4"/>
  <c r="AG236" i="4"/>
  <c r="AF236" i="4"/>
  <c r="AE236" i="4"/>
  <c r="AK235" i="4"/>
  <c r="AJ235" i="4"/>
  <c r="AI235" i="4"/>
  <c r="AH235" i="4"/>
  <c r="AG235" i="4"/>
  <c r="AF235" i="4"/>
  <c r="AE235" i="4"/>
  <c r="AK234" i="4"/>
  <c r="AJ234" i="4"/>
  <c r="AI234" i="4"/>
  <c r="AH234" i="4"/>
  <c r="AG234" i="4"/>
  <c r="AF234" i="4"/>
  <c r="AE234" i="4"/>
  <c r="AK233" i="4"/>
  <c r="AJ233" i="4"/>
  <c r="AI233" i="4"/>
  <c r="AH233" i="4"/>
  <c r="AG233" i="4"/>
  <c r="AF233" i="4"/>
  <c r="AE233" i="4"/>
  <c r="AK232" i="4"/>
  <c r="AJ232" i="4"/>
  <c r="AI232" i="4"/>
  <c r="AH232" i="4"/>
  <c r="AG232" i="4"/>
  <c r="AF232" i="4"/>
  <c r="AE232" i="4"/>
  <c r="AK231" i="4"/>
  <c r="AJ231" i="4"/>
  <c r="AI231" i="4"/>
  <c r="AH231" i="4"/>
  <c r="AG231" i="4"/>
  <c r="AF231" i="4"/>
  <c r="AE231" i="4"/>
  <c r="AK230" i="4"/>
  <c r="AJ230" i="4"/>
  <c r="AI230" i="4"/>
  <c r="AH230" i="4"/>
  <c r="AG230" i="4"/>
  <c r="AF230" i="4"/>
  <c r="AE230" i="4"/>
  <c r="AK229" i="4"/>
  <c r="AJ229" i="4"/>
  <c r="AI229" i="4"/>
  <c r="AH229" i="4"/>
  <c r="AG229" i="4"/>
  <c r="AF229" i="4"/>
  <c r="AE229" i="4"/>
  <c r="AK228" i="4"/>
  <c r="AJ228" i="4"/>
  <c r="AI228" i="4"/>
  <c r="AH228" i="4"/>
  <c r="AG228" i="4"/>
  <c r="AF228" i="4"/>
  <c r="AE228" i="4"/>
  <c r="AK227" i="4"/>
  <c r="AJ227" i="4"/>
  <c r="AI227" i="4"/>
  <c r="AH227" i="4"/>
  <c r="AG227" i="4"/>
  <c r="AF227" i="4"/>
  <c r="AE227" i="4"/>
  <c r="AK226" i="4"/>
  <c r="AJ226" i="4"/>
  <c r="AI226" i="4"/>
  <c r="AH226" i="4"/>
  <c r="AG226" i="4"/>
  <c r="AF226" i="4"/>
  <c r="AE226" i="4"/>
  <c r="AK225" i="4"/>
  <c r="AJ225" i="4"/>
  <c r="AI225" i="4"/>
  <c r="AH225" i="4"/>
  <c r="AG225" i="4"/>
  <c r="AF225" i="4"/>
  <c r="AE225" i="4"/>
  <c r="AK224" i="4"/>
  <c r="AJ224" i="4"/>
  <c r="AI224" i="4"/>
  <c r="AH224" i="4"/>
  <c r="AG224" i="4"/>
  <c r="AF224" i="4"/>
  <c r="AE224" i="4"/>
  <c r="AK223" i="4"/>
  <c r="AJ223" i="4"/>
  <c r="AI223" i="4"/>
  <c r="AH223" i="4"/>
  <c r="AG223" i="4"/>
  <c r="AF223" i="4"/>
  <c r="AE223" i="4"/>
  <c r="AK222" i="4"/>
  <c r="AJ222" i="4"/>
  <c r="AI222" i="4"/>
  <c r="AH222" i="4"/>
  <c r="AG222" i="4"/>
  <c r="AF222" i="4"/>
  <c r="AE222" i="4"/>
  <c r="AK221" i="4"/>
  <c r="AJ221" i="4"/>
  <c r="AI221" i="4"/>
  <c r="AH221" i="4"/>
  <c r="AG221" i="4"/>
  <c r="AF221" i="4"/>
  <c r="AE221" i="4"/>
  <c r="AK220" i="4"/>
  <c r="AJ220" i="4"/>
  <c r="AI220" i="4"/>
  <c r="AH220" i="4"/>
  <c r="AG220" i="4"/>
  <c r="AF220" i="4"/>
  <c r="AE220" i="4"/>
  <c r="AK219" i="4"/>
  <c r="AJ219" i="4"/>
  <c r="AI219" i="4"/>
  <c r="AH219" i="4"/>
  <c r="AG219" i="4"/>
  <c r="AF219" i="4"/>
  <c r="AE219" i="4"/>
  <c r="AK218" i="4"/>
  <c r="AJ218" i="4"/>
  <c r="AI218" i="4"/>
  <c r="AH218" i="4"/>
  <c r="AG218" i="4"/>
  <c r="AF218" i="4"/>
  <c r="AE218" i="4"/>
  <c r="AK217" i="4"/>
  <c r="AJ217" i="4"/>
  <c r="AI217" i="4"/>
  <c r="AH217" i="4"/>
  <c r="AG217" i="4"/>
  <c r="AF217" i="4"/>
  <c r="AE217" i="4"/>
  <c r="AK216" i="4"/>
  <c r="AJ216" i="4"/>
  <c r="AI216" i="4"/>
  <c r="AH216" i="4"/>
  <c r="AG216" i="4"/>
  <c r="AF216" i="4"/>
  <c r="AE216" i="4"/>
  <c r="AK215" i="4"/>
  <c r="AJ215" i="4"/>
  <c r="AI215" i="4"/>
  <c r="AH215" i="4"/>
  <c r="AG215" i="4"/>
  <c r="AF215" i="4"/>
  <c r="AE215" i="4"/>
  <c r="AK214" i="4"/>
  <c r="AJ214" i="4"/>
  <c r="AI214" i="4"/>
  <c r="AH214" i="4"/>
  <c r="AG214" i="4"/>
  <c r="AF214" i="4"/>
  <c r="AE214" i="4"/>
  <c r="AK213" i="4"/>
  <c r="AJ213" i="4"/>
  <c r="AI213" i="4"/>
  <c r="AH213" i="4"/>
  <c r="AG213" i="4"/>
  <c r="AF213" i="4"/>
  <c r="AE213" i="4"/>
  <c r="AK212" i="4"/>
  <c r="AJ212" i="4"/>
  <c r="AI212" i="4"/>
  <c r="AH212" i="4"/>
  <c r="AG212" i="4"/>
  <c r="AF212" i="4"/>
  <c r="AE212" i="4"/>
  <c r="AK211" i="4"/>
  <c r="AJ211" i="4"/>
  <c r="AI211" i="4"/>
  <c r="AH211" i="4"/>
  <c r="AG211" i="4"/>
  <c r="AF211" i="4"/>
  <c r="AE211" i="4"/>
  <c r="AK210" i="4"/>
  <c r="AJ210" i="4"/>
  <c r="AI210" i="4"/>
  <c r="AH210" i="4"/>
  <c r="AG210" i="4"/>
  <c r="AF210" i="4"/>
  <c r="AE210" i="4"/>
  <c r="AK209" i="4"/>
  <c r="AJ209" i="4"/>
  <c r="AI209" i="4"/>
  <c r="AH209" i="4"/>
  <c r="AG209" i="4"/>
  <c r="AF209" i="4"/>
  <c r="AE209" i="4"/>
  <c r="AK208" i="4"/>
  <c r="AJ208" i="4"/>
  <c r="AI208" i="4"/>
  <c r="AH208" i="4"/>
  <c r="AG208" i="4"/>
  <c r="AF208" i="4"/>
  <c r="AE208" i="4"/>
  <c r="AK207" i="4"/>
  <c r="AJ207" i="4"/>
  <c r="AI207" i="4"/>
  <c r="AH207" i="4"/>
  <c r="AG207" i="4"/>
  <c r="AF207" i="4"/>
  <c r="AE207" i="4"/>
  <c r="AK206" i="4"/>
  <c r="AJ206" i="4"/>
  <c r="AI206" i="4"/>
  <c r="AH206" i="4"/>
  <c r="AG206" i="4"/>
  <c r="AF206" i="4"/>
  <c r="AE206" i="4"/>
  <c r="AK205" i="4"/>
  <c r="AJ205" i="4"/>
  <c r="AI205" i="4"/>
  <c r="AH205" i="4"/>
  <c r="AG205" i="4"/>
  <c r="AF205" i="4"/>
  <c r="AE205" i="4"/>
  <c r="AK204" i="4"/>
  <c r="AJ204" i="4"/>
  <c r="AI204" i="4"/>
  <c r="AH204" i="4"/>
  <c r="AG204" i="4"/>
  <c r="AF204" i="4"/>
  <c r="AE204" i="4"/>
  <c r="AK203" i="4"/>
  <c r="AJ203" i="4"/>
  <c r="AI203" i="4"/>
  <c r="AH203" i="4"/>
  <c r="AG203" i="4"/>
  <c r="AF203" i="4"/>
  <c r="AE203" i="4"/>
  <c r="AK202" i="4"/>
  <c r="AJ202" i="4"/>
  <c r="AI202" i="4"/>
  <c r="AH202" i="4"/>
  <c r="AG202" i="4"/>
  <c r="AF202" i="4"/>
  <c r="AE202" i="4"/>
  <c r="AK201" i="4"/>
  <c r="AJ201" i="4"/>
  <c r="AI201" i="4"/>
  <c r="AH201" i="4"/>
  <c r="AG201" i="4"/>
  <c r="AF201" i="4"/>
  <c r="AE201" i="4"/>
  <c r="AK200" i="4"/>
  <c r="AJ200" i="4"/>
  <c r="AI200" i="4"/>
  <c r="AH200" i="4"/>
  <c r="AG200" i="4"/>
  <c r="AF200" i="4"/>
  <c r="AE200" i="4"/>
  <c r="AK199" i="4"/>
  <c r="AJ199" i="4"/>
  <c r="AI199" i="4"/>
  <c r="AH199" i="4"/>
  <c r="AG199" i="4"/>
  <c r="AF199" i="4"/>
  <c r="AE199" i="4"/>
  <c r="AK198" i="4"/>
  <c r="AJ198" i="4"/>
  <c r="AI198" i="4"/>
  <c r="AH198" i="4"/>
  <c r="AG198" i="4"/>
  <c r="AF198" i="4"/>
  <c r="AE198" i="4"/>
  <c r="AK197" i="4"/>
  <c r="AJ197" i="4"/>
  <c r="AI197" i="4"/>
  <c r="AH197" i="4"/>
  <c r="AG197" i="4"/>
  <c r="AF197" i="4"/>
  <c r="AE197" i="4"/>
  <c r="AK196" i="4"/>
  <c r="AJ196" i="4"/>
  <c r="AI196" i="4"/>
  <c r="AH196" i="4"/>
  <c r="AG196" i="4"/>
  <c r="AF196" i="4"/>
  <c r="AE196" i="4"/>
  <c r="AK195" i="4"/>
  <c r="AJ195" i="4"/>
  <c r="AI195" i="4"/>
  <c r="AH195" i="4"/>
  <c r="AG195" i="4"/>
  <c r="AF195" i="4"/>
  <c r="AE195" i="4"/>
  <c r="AK194" i="4"/>
  <c r="AJ194" i="4"/>
  <c r="AI194" i="4"/>
  <c r="AH194" i="4"/>
  <c r="AG194" i="4"/>
  <c r="AF194" i="4"/>
  <c r="AE194" i="4"/>
  <c r="AK193" i="4"/>
  <c r="AJ193" i="4"/>
  <c r="AI193" i="4"/>
  <c r="AH193" i="4"/>
  <c r="AG193" i="4"/>
  <c r="AF193" i="4"/>
  <c r="AE193" i="4"/>
  <c r="AK192" i="4"/>
  <c r="AJ192" i="4"/>
  <c r="AI192" i="4"/>
  <c r="AH192" i="4"/>
  <c r="AG192" i="4"/>
  <c r="AF192" i="4"/>
  <c r="AE192" i="4"/>
  <c r="AK191" i="4"/>
  <c r="AJ191" i="4"/>
  <c r="AI191" i="4"/>
  <c r="AH191" i="4"/>
  <c r="AG191" i="4"/>
  <c r="AF191" i="4"/>
  <c r="AE191" i="4"/>
  <c r="AK190" i="4"/>
  <c r="AJ190" i="4"/>
  <c r="AI190" i="4"/>
  <c r="AH190" i="4"/>
  <c r="AG190" i="4"/>
  <c r="AF190" i="4"/>
  <c r="AE190" i="4"/>
  <c r="AK189" i="4"/>
  <c r="AJ189" i="4"/>
  <c r="AI189" i="4"/>
  <c r="AH189" i="4"/>
  <c r="AG189" i="4"/>
  <c r="AF189" i="4"/>
  <c r="AE189" i="4"/>
  <c r="AK188" i="4"/>
  <c r="AJ188" i="4"/>
  <c r="AI188" i="4"/>
  <c r="AH188" i="4"/>
  <c r="AG188" i="4"/>
  <c r="AF188" i="4"/>
  <c r="AE188" i="4"/>
  <c r="AK187" i="4"/>
  <c r="AJ187" i="4"/>
  <c r="AI187" i="4"/>
  <c r="AH187" i="4"/>
  <c r="AG187" i="4"/>
  <c r="AF187" i="4"/>
  <c r="AE187" i="4"/>
  <c r="AK186" i="4"/>
  <c r="AJ186" i="4"/>
  <c r="AI186" i="4"/>
  <c r="AH186" i="4"/>
  <c r="AG186" i="4"/>
  <c r="AF186" i="4"/>
  <c r="AE186" i="4"/>
  <c r="AK185" i="4"/>
  <c r="AJ185" i="4"/>
  <c r="AI185" i="4"/>
  <c r="AH185" i="4"/>
  <c r="AG185" i="4"/>
  <c r="AF185" i="4"/>
  <c r="AE185" i="4"/>
  <c r="AK184" i="4"/>
  <c r="AJ184" i="4"/>
  <c r="AI184" i="4"/>
  <c r="AH184" i="4"/>
  <c r="AG184" i="4"/>
  <c r="AF184" i="4"/>
  <c r="AE184" i="4"/>
  <c r="AK183" i="4"/>
  <c r="AJ183" i="4"/>
  <c r="AI183" i="4"/>
  <c r="AH183" i="4"/>
  <c r="AG183" i="4"/>
  <c r="AF183" i="4"/>
  <c r="AE183" i="4"/>
  <c r="AK182" i="4"/>
  <c r="AJ182" i="4"/>
  <c r="AI182" i="4"/>
  <c r="AH182" i="4"/>
  <c r="AG182" i="4"/>
  <c r="AF182" i="4"/>
  <c r="AE182" i="4"/>
  <c r="AK181" i="4"/>
  <c r="AJ181" i="4"/>
  <c r="AI181" i="4"/>
  <c r="AH181" i="4"/>
  <c r="AG181" i="4"/>
  <c r="AF181" i="4"/>
  <c r="AE181" i="4"/>
  <c r="AK180" i="4"/>
  <c r="AJ180" i="4"/>
  <c r="AI180" i="4"/>
  <c r="AH180" i="4"/>
  <c r="AG180" i="4"/>
  <c r="AF180" i="4"/>
  <c r="AE180" i="4"/>
  <c r="AK179" i="4"/>
  <c r="AJ179" i="4"/>
  <c r="AI179" i="4"/>
  <c r="AH179" i="4"/>
  <c r="AG179" i="4"/>
  <c r="AF179" i="4"/>
  <c r="AE179" i="4"/>
  <c r="AK178" i="4"/>
  <c r="AJ178" i="4"/>
  <c r="AI178" i="4"/>
  <c r="AH178" i="4"/>
  <c r="AG178" i="4"/>
  <c r="AF178" i="4"/>
  <c r="AE178" i="4"/>
  <c r="AK177" i="4"/>
  <c r="AJ177" i="4"/>
  <c r="AI177" i="4"/>
  <c r="AH177" i="4"/>
  <c r="AG177" i="4"/>
  <c r="AF177" i="4"/>
  <c r="AE177" i="4"/>
  <c r="AK176" i="4"/>
  <c r="AJ176" i="4"/>
  <c r="AI176" i="4"/>
  <c r="AH176" i="4"/>
  <c r="AG176" i="4"/>
  <c r="AF176" i="4"/>
  <c r="AE176" i="4"/>
  <c r="AK175" i="4"/>
  <c r="AJ175" i="4"/>
  <c r="AI175" i="4"/>
  <c r="AH175" i="4"/>
  <c r="AG175" i="4"/>
  <c r="AF175" i="4"/>
  <c r="AE175" i="4"/>
  <c r="AK174" i="4"/>
  <c r="AJ174" i="4"/>
  <c r="AI174" i="4"/>
  <c r="AH174" i="4"/>
  <c r="AG174" i="4"/>
  <c r="AF174" i="4"/>
  <c r="AE174" i="4"/>
  <c r="AK173" i="4"/>
  <c r="AJ173" i="4"/>
  <c r="AI173" i="4"/>
  <c r="AH173" i="4"/>
  <c r="AG173" i="4"/>
  <c r="AF173" i="4"/>
  <c r="AE173" i="4"/>
  <c r="AK172" i="4"/>
  <c r="AJ172" i="4"/>
  <c r="AI172" i="4"/>
  <c r="AH172" i="4"/>
  <c r="AG172" i="4"/>
  <c r="AF172" i="4"/>
  <c r="AE172" i="4"/>
  <c r="AK171" i="4"/>
  <c r="AJ171" i="4"/>
  <c r="AI171" i="4"/>
  <c r="AH171" i="4"/>
  <c r="AG171" i="4"/>
  <c r="AF171" i="4"/>
  <c r="AE171" i="4"/>
  <c r="AK170" i="4"/>
  <c r="AJ170" i="4"/>
  <c r="AI170" i="4"/>
  <c r="AH170" i="4"/>
  <c r="AG170" i="4"/>
  <c r="AF170" i="4"/>
  <c r="AE170" i="4"/>
  <c r="AK169" i="4"/>
  <c r="AJ169" i="4"/>
  <c r="AI169" i="4"/>
  <c r="AH169" i="4"/>
  <c r="AG169" i="4"/>
  <c r="AF169" i="4"/>
  <c r="AE169" i="4"/>
  <c r="AK168" i="4"/>
  <c r="AJ168" i="4"/>
  <c r="AI168" i="4"/>
  <c r="AH168" i="4"/>
  <c r="AG168" i="4"/>
  <c r="AF168" i="4"/>
  <c r="AE168" i="4"/>
  <c r="AK167" i="4"/>
  <c r="AJ167" i="4"/>
  <c r="AI167" i="4"/>
  <c r="AH167" i="4"/>
  <c r="AG167" i="4"/>
  <c r="AF167" i="4"/>
  <c r="AE167" i="4"/>
  <c r="AK166" i="4"/>
  <c r="AJ166" i="4"/>
  <c r="AI166" i="4"/>
  <c r="AH166" i="4"/>
  <c r="AG166" i="4"/>
  <c r="AF166" i="4"/>
  <c r="AE166" i="4"/>
  <c r="AK165" i="4"/>
  <c r="AJ165" i="4"/>
  <c r="AI165" i="4"/>
  <c r="AH165" i="4"/>
  <c r="AG165" i="4"/>
  <c r="AF165" i="4"/>
  <c r="AE165" i="4"/>
  <c r="AK164" i="4"/>
  <c r="AJ164" i="4"/>
  <c r="AI164" i="4"/>
  <c r="AH164" i="4"/>
  <c r="AG164" i="4"/>
  <c r="AF164" i="4"/>
  <c r="AE164" i="4"/>
  <c r="AK163" i="4"/>
  <c r="AJ163" i="4"/>
  <c r="AI163" i="4"/>
  <c r="AH163" i="4"/>
  <c r="AG163" i="4"/>
  <c r="AF163" i="4"/>
  <c r="AE163" i="4"/>
  <c r="AK162" i="4"/>
  <c r="AJ162" i="4"/>
  <c r="AI162" i="4"/>
  <c r="AH162" i="4"/>
  <c r="AG162" i="4"/>
  <c r="AF162" i="4"/>
  <c r="AE162" i="4"/>
  <c r="AK161" i="4"/>
  <c r="AJ161" i="4"/>
  <c r="AI161" i="4"/>
  <c r="AH161" i="4"/>
  <c r="AG161" i="4"/>
  <c r="AF161" i="4"/>
  <c r="AE161" i="4"/>
  <c r="AK160" i="4"/>
  <c r="AJ160" i="4"/>
  <c r="AI160" i="4"/>
  <c r="AH160" i="4"/>
  <c r="AG160" i="4"/>
  <c r="AF160" i="4"/>
  <c r="AE160" i="4"/>
  <c r="AK159" i="4"/>
  <c r="AJ159" i="4"/>
  <c r="AI159" i="4"/>
  <c r="AH159" i="4"/>
  <c r="AG159" i="4"/>
  <c r="AF159" i="4"/>
  <c r="AE159" i="4"/>
  <c r="AK158" i="4"/>
  <c r="AJ158" i="4"/>
  <c r="AI158" i="4"/>
  <c r="AH158" i="4"/>
  <c r="AG158" i="4"/>
  <c r="AF158" i="4"/>
  <c r="AE158" i="4"/>
  <c r="AK157" i="4"/>
  <c r="AJ157" i="4"/>
  <c r="AI157" i="4"/>
  <c r="AH157" i="4"/>
  <c r="AG157" i="4"/>
  <c r="AF157" i="4"/>
  <c r="AE157" i="4"/>
  <c r="AK156" i="4"/>
  <c r="AJ156" i="4"/>
  <c r="AI156" i="4"/>
  <c r="AH156" i="4"/>
  <c r="AG156" i="4"/>
  <c r="AF156" i="4"/>
  <c r="AE156" i="4"/>
  <c r="AK155" i="4"/>
  <c r="AJ155" i="4"/>
  <c r="AI155" i="4"/>
  <c r="AH155" i="4"/>
  <c r="AG155" i="4"/>
  <c r="AF155" i="4"/>
  <c r="AE155" i="4"/>
  <c r="AK154" i="4"/>
  <c r="AJ154" i="4"/>
  <c r="AI154" i="4"/>
  <c r="AH154" i="4"/>
  <c r="AG154" i="4"/>
  <c r="AF154" i="4"/>
  <c r="AE154" i="4"/>
  <c r="AK153" i="4"/>
  <c r="AJ153" i="4"/>
  <c r="AI153" i="4"/>
  <c r="AH153" i="4"/>
  <c r="AG153" i="4"/>
  <c r="AF153" i="4"/>
  <c r="AE153" i="4"/>
  <c r="AK152" i="4"/>
  <c r="AJ152" i="4"/>
  <c r="AI152" i="4"/>
  <c r="AH152" i="4"/>
  <c r="AG152" i="4"/>
  <c r="AF152" i="4"/>
  <c r="AE152" i="4"/>
  <c r="AK151" i="4"/>
  <c r="AJ151" i="4"/>
  <c r="AI151" i="4"/>
  <c r="AH151" i="4"/>
  <c r="AG151" i="4"/>
  <c r="AF151" i="4"/>
  <c r="AE151" i="4"/>
  <c r="AK150" i="4"/>
  <c r="AJ150" i="4"/>
  <c r="AI150" i="4"/>
  <c r="AH150" i="4"/>
  <c r="AG150" i="4"/>
  <c r="AF150" i="4"/>
  <c r="AE150" i="4"/>
  <c r="AK149" i="4"/>
  <c r="AJ149" i="4"/>
  <c r="AI149" i="4"/>
  <c r="AH149" i="4"/>
  <c r="AG149" i="4"/>
  <c r="AF149" i="4"/>
  <c r="AE149" i="4"/>
  <c r="AK148" i="4"/>
  <c r="AJ148" i="4"/>
  <c r="AI148" i="4"/>
  <c r="AH148" i="4"/>
  <c r="AG148" i="4"/>
  <c r="AF148" i="4"/>
  <c r="AE148" i="4"/>
  <c r="AK147" i="4"/>
  <c r="AJ147" i="4"/>
  <c r="AI147" i="4"/>
  <c r="AH147" i="4"/>
  <c r="AG147" i="4"/>
  <c r="AF147" i="4"/>
  <c r="AE147" i="4"/>
  <c r="AK146" i="4"/>
  <c r="AJ146" i="4"/>
  <c r="AI146" i="4"/>
  <c r="AH146" i="4"/>
  <c r="AG146" i="4"/>
  <c r="AF146" i="4"/>
  <c r="AE146" i="4"/>
  <c r="AK145" i="4"/>
  <c r="AJ145" i="4"/>
  <c r="AI145" i="4"/>
  <c r="AH145" i="4"/>
  <c r="AG145" i="4"/>
  <c r="AF145" i="4"/>
  <c r="AE145" i="4"/>
  <c r="AK144" i="4"/>
  <c r="AJ144" i="4"/>
  <c r="AI144" i="4"/>
  <c r="AH144" i="4"/>
  <c r="AG144" i="4"/>
  <c r="AF144" i="4"/>
  <c r="AE144" i="4"/>
  <c r="AK143" i="4"/>
  <c r="AJ143" i="4"/>
  <c r="AI143" i="4"/>
  <c r="AH143" i="4"/>
  <c r="AG143" i="4"/>
  <c r="AF143" i="4"/>
  <c r="AE143" i="4"/>
  <c r="AK142" i="4"/>
  <c r="AJ142" i="4"/>
  <c r="AI142" i="4"/>
  <c r="AH142" i="4"/>
  <c r="AG142" i="4"/>
  <c r="AF142" i="4"/>
  <c r="AE142" i="4"/>
  <c r="AK141" i="4"/>
  <c r="AJ141" i="4"/>
  <c r="AI141" i="4"/>
  <c r="AH141" i="4"/>
  <c r="AG141" i="4"/>
  <c r="AF141" i="4"/>
  <c r="AE141" i="4"/>
  <c r="AK140" i="4"/>
  <c r="AJ140" i="4"/>
  <c r="AI140" i="4"/>
  <c r="AH140" i="4"/>
  <c r="AG140" i="4"/>
  <c r="AF140" i="4"/>
  <c r="AE140" i="4"/>
  <c r="AK139" i="4"/>
  <c r="AJ139" i="4"/>
  <c r="AI139" i="4"/>
  <c r="AH139" i="4"/>
  <c r="AG139" i="4"/>
  <c r="AF139" i="4"/>
  <c r="AE139" i="4"/>
  <c r="AK138" i="4"/>
  <c r="AJ138" i="4"/>
  <c r="AI138" i="4"/>
  <c r="AH138" i="4"/>
  <c r="AG138" i="4"/>
  <c r="AF138" i="4"/>
  <c r="AE138" i="4"/>
  <c r="AK137" i="4"/>
  <c r="AJ137" i="4"/>
  <c r="AI137" i="4"/>
  <c r="AH137" i="4"/>
  <c r="AG137" i="4"/>
  <c r="AF137" i="4"/>
  <c r="AE137" i="4"/>
  <c r="AK136" i="4"/>
  <c r="AJ136" i="4"/>
  <c r="AI136" i="4"/>
  <c r="AH136" i="4"/>
  <c r="AG136" i="4"/>
  <c r="AF136" i="4"/>
  <c r="AE136" i="4"/>
  <c r="AK135" i="4"/>
  <c r="AJ135" i="4"/>
  <c r="AI135" i="4"/>
  <c r="AH135" i="4"/>
  <c r="AG135" i="4"/>
  <c r="AF135" i="4"/>
  <c r="AE135" i="4"/>
  <c r="AK134" i="4"/>
  <c r="AJ134" i="4"/>
  <c r="AI134" i="4"/>
  <c r="AH134" i="4"/>
  <c r="AG134" i="4"/>
  <c r="AF134" i="4"/>
  <c r="AE134" i="4"/>
  <c r="AK133" i="4"/>
  <c r="AJ133" i="4"/>
  <c r="AI133" i="4"/>
  <c r="AH133" i="4"/>
  <c r="AG133" i="4"/>
  <c r="AF133" i="4"/>
  <c r="AE133" i="4"/>
  <c r="AK132" i="4"/>
  <c r="AJ132" i="4"/>
  <c r="AI132" i="4"/>
  <c r="AH132" i="4"/>
  <c r="AG132" i="4"/>
  <c r="AF132" i="4"/>
  <c r="AE132" i="4"/>
  <c r="AK131" i="4"/>
  <c r="AJ131" i="4"/>
  <c r="AI131" i="4"/>
  <c r="AH131" i="4"/>
  <c r="AG131" i="4"/>
  <c r="AF131" i="4"/>
  <c r="AE131" i="4"/>
  <c r="AK130" i="4"/>
  <c r="AJ130" i="4"/>
  <c r="AI130" i="4"/>
  <c r="AH130" i="4"/>
  <c r="AG130" i="4"/>
  <c r="AF130" i="4"/>
  <c r="AE130" i="4"/>
  <c r="AK129" i="4"/>
  <c r="AJ129" i="4"/>
  <c r="AI129" i="4"/>
  <c r="AH129" i="4"/>
  <c r="AG129" i="4"/>
  <c r="AF129" i="4"/>
  <c r="AE129" i="4"/>
  <c r="AK128" i="4"/>
  <c r="AJ128" i="4"/>
  <c r="AI128" i="4"/>
  <c r="AH128" i="4"/>
  <c r="AG128" i="4"/>
  <c r="AF128" i="4"/>
  <c r="AE128" i="4"/>
  <c r="AK127" i="4"/>
  <c r="AJ127" i="4"/>
  <c r="AI127" i="4"/>
  <c r="AH127" i="4"/>
  <c r="AG127" i="4"/>
  <c r="AF127" i="4"/>
  <c r="AE127" i="4"/>
  <c r="AK126" i="4"/>
  <c r="AJ126" i="4"/>
  <c r="AI126" i="4"/>
  <c r="AH126" i="4"/>
  <c r="AG126" i="4"/>
  <c r="AF126" i="4"/>
  <c r="AE126" i="4"/>
  <c r="AK125" i="4"/>
  <c r="AJ125" i="4"/>
  <c r="AI125" i="4"/>
  <c r="AH125" i="4"/>
  <c r="AG125" i="4"/>
  <c r="AF125" i="4"/>
  <c r="AE125" i="4"/>
  <c r="AK124" i="4"/>
  <c r="AJ124" i="4"/>
  <c r="AI124" i="4"/>
  <c r="AH124" i="4"/>
  <c r="AG124" i="4"/>
  <c r="AF124" i="4"/>
  <c r="AE124" i="4"/>
  <c r="AK123" i="4"/>
  <c r="AJ123" i="4"/>
  <c r="AI123" i="4"/>
  <c r="AH123" i="4"/>
  <c r="AG123" i="4"/>
  <c r="AF123" i="4"/>
  <c r="AE123" i="4"/>
  <c r="AK122" i="4"/>
  <c r="AJ122" i="4"/>
  <c r="AI122" i="4"/>
  <c r="AH122" i="4"/>
  <c r="AG122" i="4"/>
  <c r="AF122" i="4"/>
  <c r="AE122" i="4"/>
  <c r="AK121" i="4"/>
  <c r="AJ121" i="4"/>
  <c r="AI121" i="4"/>
  <c r="AH121" i="4"/>
  <c r="AG121" i="4"/>
  <c r="AF121" i="4"/>
  <c r="AE121" i="4"/>
  <c r="AK120" i="4"/>
  <c r="AJ120" i="4"/>
  <c r="AI120" i="4"/>
  <c r="AH120" i="4"/>
  <c r="AG120" i="4"/>
  <c r="AF120" i="4"/>
  <c r="AE120" i="4"/>
  <c r="AK119" i="4"/>
  <c r="AJ119" i="4"/>
  <c r="AI119" i="4"/>
  <c r="AH119" i="4"/>
  <c r="AG119" i="4"/>
  <c r="AF119" i="4"/>
  <c r="AE119" i="4"/>
  <c r="AK118" i="4"/>
  <c r="AJ118" i="4"/>
  <c r="AI118" i="4"/>
  <c r="AH118" i="4"/>
  <c r="AG118" i="4"/>
  <c r="AF118" i="4"/>
  <c r="AE118" i="4"/>
  <c r="AK117" i="4"/>
  <c r="AJ117" i="4"/>
  <c r="AI117" i="4"/>
  <c r="AH117" i="4"/>
  <c r="AG117" i="4"/>
  <c r="AF117" i="4"/>
  <c r="AE117" i="4"/>
  <c r="AK116" i="4"/>
  <c r="AJ116" i="4"/>
  <c r="AI116" i="4"/>
  <c r="AH116" i="4"/>
  <c r="AG116" i="4"/>
  <c r="AF116" i="4"/>
  <c r="AE116" i="4"/>
  <c r="AK115" i="4"/>
  <c r="AJ115" i="4"/>
  <c r="AI115" i="4"/>
  <c r="AH115" i="4"/>
  <c r="AG115" i="4"/>
  <c r="AF115" i="4"/>
  <c r="AE115" i="4"/>
  <c r="AK114" i="4"/>
  <c r="AJ114" i="4"/>
  <c r="AI114" i="4"/>
  <c r="AH114" i="4"/>
  <c r="AG114" i="4"/>
  <c r="AF114" i="4"/>
  <c r="AE114" i="4"/>
  <c r="AK113" i="4"/>
  <c r="AJ113" i="4"/>
  <c r="AI113" i="4"/>
  <c r="AH113" i="4"/>
  <c r="AG113" i="4"/>
  <c r="AF113" i="4"/>
  <c r="AE113" i="4"/>
  <c r="AK112" i="4"/>
  <c r="AJ112" i="4"/>
  <c r="AI112" i="4"/>
  <c r="AH112" i="4"/>
  <c r="AG112" i="4"/>
  <c r="AF112" i="4"/>
  <c r="AE112" i="4"/>
  <c r="AK111" i="4"/>
  <c r="AJ111" i="4"/>
  <c r="AI111" i="4"/>
  <c r="AH111" i="4"/>
  <c r="AG111" i="4"/>
  <c r="AF111" i="4"/>
  <c r="AE111" i="4"/>
  <c r="AK110" i="4"/>
  <c r="AJ110" i="4"/>
  <c r="AI110" i="4"/>
  <c r="AH110" i="4"/>
  <c r="AG110" i="4"/>
  <c r="AF110" i="4"/>
  <c r="AE110" i="4"/>
  <c r="AK109" i="4"/>
  <c r="AJ109" i="4"/>
  <c r="AI109" i="4"/>
  <c r="AH109" i="4"/>
  <c r="AG109" i="4"/>
  <c r="AF109" i="4"/>
  <c r="AE109" i="4"/>
  <c r="AK108" i="4"/>
  <c r="AJ108" i="4"/>
  <c r="AI108" i="4"/>
  <c r="AH108" i="4"/>
  <c r="AG108" i="4"/>
  <c r="AF108" i="4"/>
  <c r="AE108" i="4"/>
  <c r="AK107" i="4"/>
  <c r="AJ107" i="4"/>
  <c r="AI107" i="4"/>
  <c r="AH107" i="4"/>
  <c r="AG107" i="4"/>
  <c r="AF107" i="4"/>
  <c r="AE107" i="4"/>
  <c r="AK106" i="4"/>
  <c r="AJ106" i="4"/>
  <c r="AI106" i="4"/>
  <c r="AH106" i="4"/>
  <c r="AG106" i="4"/>
  <c r="AF106" i="4"/>
  <c r="AE106" i="4"/>
  <c r="AK105" i="4"/>
  <c r="AJ105" i="4"/>
  <c r="AI105" i="4"/>
  <c r="AH105" i="4"/>
  <c r="AG105" i="4"/>
  <c r="AF105" i="4"/>
  <c r="AE105" i="4"/>
  <c r="AK104" i="4"/>
  <c r="AJ104" i="4"/>
  <c r="AI104" i="4"/>
  <c r="AH104" i="4"/>
  <c r="AG104" i="4"/>
  <c r="AF104" i="4"/>
  <c r="AE104" i="4"/>
  <c r="AK103" i="4"/>
  <c r="AJ103" i="4"/>
  <c r="AI103" i="4"/>
  <c r="AH103" i="4"/>
  <c r="AG103" i="4"/>
  <c r="AF103" i="4"/>
  <c r="AE103" i="4"/>
  <c r="AK102" i="4"/>
  <c r="AJ102" i="4"/>
  <c r="AI102" i="4"/>
  <c r="AH102" i="4"/>
  <c r="AG102" i="4"/>
  <c r="AF102" i="4"/>
  <c r="AE102" i="4"/>
  <c r="AK101" i="4"/>
  <c r="AJ101" i="4"/>
  <c r="AI101" i="4"/>
  <c r="AH101" i="4"/>
  <c r="AG101" i="4"/>
  <c r="AF101" i="4"/>
  <c r="AE101" i="4"/>
  <c r="AK100" i="4"/>
  <c r="AJ100" i="4"/>
  <c r="AI100" i="4"/>
  <c r="AH100" i="4"/>
  <c r="AG100" i="4"/>
  <c r="AF100" i="4"/>
  <c r="AE100" i="4"/>
  <c r="AK99" i="4"/>
  <c r="AJ99" i="4"/>
  <c r="AI99" i="4"/>
  <c r="AH99" i="4"/>
  <c r="AG99" i="4"/>
  <c r="AF99" i="4"/>
  <c r="AE99" i="4"/>
  <c r="AK98" i="4"/>
  <c r="AJ98" i="4"/>
  <c r="AI98" i="4"/>
  <c r="AH98" i="4"/>
  <c r="AG98" i="4"/>
  <c r="AF98" i="4"/>
  <c r="AE98" i="4"/>
  <c r="AK97" i="4"/>
  <c r="AJ97" i="4"/>
  <c r="AI97" i="4"/>
  <c r="AH97" i="4"/>
  <c r="AG97" i="4"/>
  <c r="AF97" i="4"/>
  <c r="AE97" i="4"/>
  <c r="AK96" i="4"/>
  <c r="AJ96" i="4"/>
  <c r="AI96" i="4"/>
  <c r="AH96" i="4"/>
  <c r="AG96" i="4"/>
  <c r="AF96" i="4"/>
  <c r="AE96" i="4"/>
  <c r="AK95" i="4"/>
  <c r="AJ95" i="4"/>
  <c r="AI95" i="4"/>
  <c r="AH95" i="4"/>
  <c r="AG95" i="4"/>
  <c r="AF95" i="4"/>
  <c r="AE95" i="4"/>
  <c r="AK94" i="4"/>
  <c r="AJ94" i="4"/>
  <c r="AI94" i="4"/>
  <c r="AH94" i="4"/>
  <c r="AG94" i="4"/>
  <c r="AF94" i="4"/>
  <c r="AE94" i="4"/>
  <c r="AK93" i="4"/>
  <c r="AJ93" i="4"/>
  <c r="AI93" i="4"/>
  <c r="AH93" i="4"/>
  <c r="AG93" i="4"/>
  <c r="AF93" i="4"/>
  <c r="AE93" i="4"/>
  <c r="AK92" i="4"/>
  <c r="AJ92" i="4"/>
  <c r="AI92" i="4"/>
  <c r="AH92" i="4"/>
  <c r="AG92" i="4"/>
  <c r="AF92" i="4"/>
  <c r="AE92" i="4"/>
  <c r="AK91" i="4"/>
  <c r="AJ91" i="4"/>
  <c r="AI91" i="4"/>
  <c r="AH91" i="4"/>
  <c r="AG91" i="4"/>
  <c r="AF91" i="4"/>
  <c r="AE91" i="4"/>
  <c r="AK90" i="4"/>
  <c r="AJ90" i="4"/>
  <c r="AI90" i="4"/>
  <c r="AH90" i="4"/>
  <c r="AG90" i="4"/>
  <c r="AF90" i="4"/>
  <c r="AE90" i="4"/>
  <c r="AK89" i="4"/>
  <c r="AJ89" i="4"/>
  <c r="AI89" i="4"/>
  <c r="AH89" i="4"/>
  <c r="AG89" i="4"/>
  <c r="AF89" i="4"/>
  <c r="AE89" i="4"/>
  <c r="AK88" i="4"/>
  <c r="AJ88" i="4"/>
  <c r="AI88" i="4"/>
  <c r="AH88" i="4"/>
  <c r="AG88" i="4"/>
  <c r="AF88" i="4"/>
  <c r="AE88" i="4"/>
  <c r="AK87" i="4"/>
  <c r="AJ87" i="4"/>
  <c r="AI87" i="4"/>
  <c r="AH87" i="4"/>
  <c r="AG87" i="4"/>
  <c r="AF87" i="4"/>
  <c r="AE87" i="4"/>
  <c r="AK86" i="4"/>
  <c r="AJ86" i="4"/>
  <c r="AI86" i="4"/>
  <c r="AH86" i="4"/>
  <c r="AG86" i="4"/>
  <c r="AF86" i="4"/>
  <c r="AE86" i="4"/>
  <c r="AK85" i="4"/>
  <c r="AJ85" i="4"/>
  <c r="AI85" i="4"/>
  <c r="AH85" i="4"/>
  <c r="AG85" i="4"/>
  <c r="AF85" i="4"/>
  <c r="AE85" i="4"/>
  <c r="AK84" i="4"/>
  <c r="AJ84" i="4"/>
  <c r="AI84" i="4"/>
  <c r="AH84" i="4"/>
  <c r="AG84" i="4"/>
  <c r="AF84" i="4"/>
  <c r="AE84" i="4"/>
  <c r="AK83" i="4"/>
  <c r="AJ83" i="4"/>
  <c r="AI83" i="4"/>
  <c r="AH83" i="4"/>
  <c r="AG83" i="4"/>
  <c r="AF83" i="4"/>
  <c r="AE83" i="4"/>
  <c r="AK82" i="4"/>
  <c r="AJ82" i="4"/>
  <c r="AI82" i="4"/>
  <c r="AH82" i="4"/>
  <c r="AG82" i="4"/>
  <c r="AF82" i="4"/>
  <c r="AE82" i="4"/>
  <c r="AK81" i="4"/>
  <c r="AJ81" i="4"/>
  <c r="AI81" i="4"/>
  <c r="AH81" i="4"/>
  <c r="AG81" i="4"/>
  <c r="AF81" i="4"/>
  <c r="AE81" i="4"/>
  <c r="AK80" i="4"/>
  <c r="AJ80" i="4"/>
  <c r="AI80" i="4"/>
  <c r="AH80" i="4"/>
  <c r="AG80" i="4"/>
  <c r="AF80" i="4"/>
  <c r="AE80" i="4"/>
  <c r="AK79" i="4"/>
  <c r="AJ79" i="4"/>
  <c r="AI79" i="4"/>
  <c r="AH79" i="4"/>
  <c r="AG79" i="4"/>
  <c r="AF79" i="4"/>
  <c r="AE79" i="4"/>
  <c r="AK78" i="4"/>
  <c r="AJ78" i="4"/>
  <c r="AI78" i="4"/>
  <c r="AH78" i="4"/>
  <c r="AG78" i="4"/>
  <c r="AF78" i="4"/>
  <c r="AE78" i="4"/>
  <c r="AK77" i="4"/>
  <c r="AJ77" i="4"/>
  <c r="AI77" i="4"/>
  <c r="AH77" i="4"/>
  <c r="AG77" i="4"/>
  <c r="AF77" i="4"/>
  <c r="AE77" i="4"/>
  <c r="AK76" i="4"/>
  <c r="AJ76" i="4"/>
  <c r="AI76" i="4"/>
  <c r="AH76" i="4"/>
  <c r="AG76" i="4"/>
  <c r="AF76" i="4"/>
  <c r="AE76" i="4"/>
  <c r="AK75" i="4"/>
  <c r="AJ75" i="4"/>
  <c r="AI75" i="4"/>
  <c r="AH75" i="4"/>
  <c r="AG75" i="4"/>
  <c r="AF75" i="4"/>
  <c r="AE75" i="4"/>
  <c r="AK74" i="4"/>
  <c r="AJ74" i="4"/>
  <c r="AI74" i="4"/>
  <c r="AH74" i="4"/>
  <c r="AG74" i="4"/>
  <c r="AF74" i="4"/>
  <c r="AE74" i="4"/>
  <c r="AK73" i="4"/>
  <c r="AJ73" i="4"/>
  <c r="AI73" i="4"/>
  <c r="AH73" i="4"/>
  <c r="AG73" i="4"/>
  <c r="AF73" i="4"/>
  <c r="AE73" i="4"/>
  <c r="AK72" i="4"/>
  <c r="AJ72" i="4"/>
  <c r="AI72" i="4"/>
  <c r="AH72" i="4"/>
  <c r="AG72" i="4"/>
  <c r="AF72" i="4"/>
  <c r="AE72" i="4"/>
  <c r="AK71" i="4"/>
  <c r="AJ71" i="4"/>
  <c r="AI71" i="4"/>
  <c r="AH71" i="4"/>
  <c r="AG71" i="4"/>
  <c r="AF71" i="4"/>
  <c r="AE71" i="4"/>
  <c r="AK70" i="4"/>
  <c r="AJ70" i="4"/>
  <c r="AI70" i="4"/>
  <c r="AH70" i="4"/>
  <c r="AG70" i="4"/>
  <c r="AF70" i="4"/>
  <c r="AE70" i="4"/>
  <c r="AK69" i="4"/>
  <c r="AJ69" i="4"/>
  <c r="AI69" i="4"/>
  <c r="AH69" i="4"/>
  <c r="AG69" i="4"/>
  <c r="AF69" i="4"/>
  <c r="AE69" i="4"/>
  <c r="AK68" i="4"/>
  <c r="AJ68" i="4"/>
  <c r="AI68" i="4"/>
  <c r="AH68" i="4"/>
  <c r="AG68" i="4"/>
  <c r="AF68" i="4"/>
  <c r="AE68" i="4"/>
  <c r="AK67" i="4"/>
  <c r="AJ67" i="4"/>
  <c r="AI67" i="4"/>
  <c r="AH67" i="4"/>
  <c r="AG67" i="4"/>
  <c r="AF67" i="4"/>
  <c r="AE67" i="4"/>
  <c r="AK66" i="4"/>
  <c r="AJ66" i="4"/>
  <c r="AI66" i="4"/>
  <c r="AH66" i="4"/>
  <c r="AG66" i="4"/>
  <c r="AF66" i="4"/>
  <c r="AE66" i="4"/>
  <c r="AK65" i="4"/>
  <c r="AJ65" i="4"/>
  <c r="AI65" i="4"/>
  <c r="AH65" i="4"/>
  <c r="AG65" i="4"/>
  <c r="AF65" i="4"/>
  <c r="AE65" i="4"/>
  <c r="AK64" i="4"/>
  <c r="AJ64" i="4"/>
  <c r="AI64" i="4"/>
  <c r="AH64" i="4"/>
  <c r="AG64" i="4"/>
  <c r="AF64" i="4"/>
  <c r="AE64" i="4"/>
  <c r="AK63" i="4"/>
  <c r="AJ63" i="4"/>
  <c r="AI63" i="4"/>
  <c r="AH63" i="4"/>
  <c r="AG63" i="4"/>
  <c r="AF63" i="4"/>
  <c r="AE63" i="4"/>
  <c r="AK62" i="4"/>
  <c r="AJ62" i="4"/>
  <c r="AI62" i="4"/>
  <c r="AH62" i="4"/>
  <c r="AG62" i="4"/>
  <c r="AF62" i="4"/>
  <c r="AE62" i="4"/>
  <c r="AK61" i="4"/>
  <c r="AJ61" i="4"/>
  <c r="AI61" i="4"/>
  <c r="AH61" i="4"/>
  <c r="AG61" i="4"/>
  <c r="AF61" i="4"/>
  <c r="AE61" i="4"/>
  <c r="AK60" i="4"/>
  <c r="AJ60" i="4"/>
  <c r="AI60" i="4"/>
  <c r="AH60" i="4"/>
  <c r="AG60" i="4"/>
  <c r="AF60" i="4"/>
  <c r="AE60" i="4"/>
  <c r="AK59" i="4"/>
  <c r="AJ59" i="4"/>
  <c r="AI59" i="4"/>
  <c r="AH59" i="4"/>
  <c r="AG59" i="4"/>
  <c r="AF59" i="4"/>
  <c r="AE59" i="4"/>
  <c r="AK58" i="4"/>
  <c r="AJ58" i="4"/>
  <c r="AI58" i="4"/>
  <c r="AH58" i="4"/>
  <c r="AG58" i="4"/>
  <c r="AF58" i="4"/>
  <c r="AE58" i="4"/>
  <c r="AK57" i="4"/>
  <c r="AJ57" i="4"/>
  <c r="AI57" i="4"/>
  <c r="AH57" i="4"/>
  <c r="AG57" i="4"/>
  <c r="AF57" i="4"/>
  <c r="AE57" i="4"/>
  <c r="AK56" i="4"/>
  <c r="AJ56" i="4"/>
  <c r="AI56" i="4"/>
  <c r="AH56" i="4"/>
  <c r="AG56" i="4"/>
  <c r="AF56" i="4"/>
  <c r="AE56" i="4"/>
  <c r="AK55" i="4"/>
  <c r="AJ55" i="4"/>
  <c r="AI55" i="4"/>
  <c r="AH55" i="4"/>
  <c r="AG55" i="4"/>
  <c r="AF55" i="4"/>
  <c r="AE55" i="4"/>
  <c r="AK54" i="4"/>
  <c r="AJ54" i="4"/>
  <c r="AI54" i="4"/>
  <c r="AH54" i="4"/>
  <c r="AG54" i="4"/>
  <c r="AF54" i="4"/>
  <c r="AE54" i="4"/>
  <c r="AK53" i="4"/>
  <c r="AJ53" i="4"/>
  <c r="AI53" i="4"/>
  <c r="AH53" i="4"/>
  <c r="AG53" i="4"/>
  <c r="AF53" i="4"/>
  <c r="AE53" i="4"/>
  <c r="AK52" i="4"/>
  <c r="AJ52" i="4"/>
  <c r="AI52" i="4"/>
  <c r="AH52" i="4"/>
  <c r="AG52" i="4"/>
  <c r="AF52" i="4"/>
  <c r="AE52" i="4"/>
  <c r="AK51" i="4"/>
  <c r="AJ51" i="4"/>
  <c r="AI51" i="4"/>
  <c r="AH51" i="4"/>
  <c r="AG51" i="4"/>
  <c r="AF51" i="4"/>
  <c r="AE51" i="4"/>
  <c r="AK50" i="4"/>
  <c r="AJ50" i="4"/>
  <c r="AI50" i="4"/>
  <c r="AH50" i="4"/>
  <c r="AG50" i="4"/>
  <c r="AF50" i="4"/>
  <c r="AE50" i="4"/>
  <c r="AK49" i="4"/>
  <c r="AJ49" i="4"/>
  <c r="AI49" i="4"/>
  <c r="AH49" i="4"/>
  <c r="AG49" i="4"/>
  <c r="AF49" i="4"/>
  <c r="AE49" i="4"/>
  <c r="AK48" i="4"/>
  <c r="AJ48" i="4"/>
  <c r="AI48" i="4"/>
  <c r="AH48" i="4"/>
  <c r="AG48" i="4"/>
  <c r="AF48" i="4"/>
  <c r="AE48" i="4"/>
  <c r="AK47" i="4"/>
  <c r="AJ47" i="4"/>
  <c r="AI47" i="4"/>
  <c r="AH47" i="4"/>
  <c r="AG47" i="4"/>
  <c r="AF47" i="4"/>
  <c r="AE47" i="4"/>
  <c r="AK46" i="4"/>
  <c r="AJ46" i="4"/>
  <c r="AI46" i="4"/>
  <c r="AH46" i="4"/>
  <c r="AG46" i="4"/>
  <c r="AF46" i="4"/>
  <c r="AE46" i="4"/>
  <c r="AK45" i="4"/>
  <c r="AJ45" i="4"/>
  <c r="AI45" i="4"/>
  <c r="AH45" i="4"/>
  <c r="AG45" i="4"/>
  <c r="AF45" i="4"/>
  <c r="AE45" i="4"/>
  <c r="AK44" i="4"/>
  <c r="AJ44" i="4"/>
  <c r="AI44" i="4"/>
  <c r="AH44" i="4"/>
  <c r="AG44" i="4"/>
  <c r="AF44" i="4"/>
  <c r="AE44" i="4"/>
  <c r="AK43" i="4"/>
  <c r="AJ43" i="4"/>
  <c r="AI43" i="4"/>
  <c r="AH43" i="4"/>
  <c r="AG43" i="4"/>
  <c r="AF43" i="4"/>
  <c r="AE43" i="4"/>
  <c r="AK42" i="4"/>
  <c r="AJ42" i="4"/>
  <c r="AI42" i="4"/>
  <c r="AH42" i="4"/>
  <c r="AG42" i="4"/>
  <c r="AF42" i="4"/>
  <c r="AE42" i="4"/>
  <c r="AK41" i="4"/>
  <c r="AJ41" i="4"/>
  <c r="AI41" i="4"/>
  <c r="AH41" i="4"/>
  <c r="AG41" i="4"/>
  <c r="AF41" i="4"/>
  <c r="AE41" i="4"/>
  <c r="AK40" i="4"/>
  <c r="AJ40" i="4"/>
  <c r="AI40" i="4"/>
  <c r="AH40" i="4"/>
  <c r="AG40" i="4"/>
  <c r="AF40" i="4"/>
  <c r="AE40" i="4"/>
  <c r="AK39" i="4"/>
  <c r="AJ39" i="4"/>
  <c r="AI39" i="4"/>
  <c r="AH39" i="4"/>
  <c r="AG39" i="4"/>
  <c r="AF39" i="4"/>
  <c r="AE39" i="4"/>
  <c r="AK38" i="4"/>
  <c r="AJ38" i="4"/>
  <c r="AI38" i="4"/>
  <c r="AH38" i="4"/>
  <c r="AG38" i="4"/>
  <c r="AF38" i="4"/>
  <c r="AE38" i="4"/>
  <c r="AK37" i="4"/>
  <c r="AJ37" i="4"/>
  <c r="AI37" i="4"/>
  <c r="AH37" i="4"/>
  <c r="AG37" i="4"/>
  <c r="AF37" i="4"/>
  <c r="AE37" i="4"/>
  <c r="AK36" i="4"/>
  <c r="AJ36" i="4"/>
  <c r="AI36" i="4"/>
  <c r="AH36" i="4"/>
  <c r="AG36" i="4"/>
  <c r="AF36" i="4"/>
  <c r="AE36" i="4"/>
  <c r="AK35" i="4"/>
  <c r="AJ35" i="4"/>
  <c r="AI35" i="4"/>
  <c r="AH35" i="4"/>
  <c r="AG35" i="4"/>
  <c r="AF35" i="4"/>
  <c r="AE35" i="4"/>
  <c r="AK34" i="4"/>
  <c r="AJ34" i="4"/>
  <c r="AI34" i="4"/>
  <c r="AH34" i="4"/>
  <c r="AG34" i="4"/>
  <c r="AF34" i="4"/>
  <c r="AE34" i="4"/>
  <c r="AK33" i="4"/>
  <c r="AJ33" i="4"/>
  <c r="AI33" i="4"/>
  <c r="AH33" i="4"/>
  <c r="AG33" i="4"/>
  <c r="AF33" i="4"/>
  <c r="AE33" i="4"/>
  <c r="AK32" i="4"/>
  <c r="AJ32" i="4"/>
  <c r="AI32" i="4"/>
  <c r="AH32" i="4"/>
  <c r="AG32" i="4"/>
  <c r="AF32" i="4"/>
  <c r="AE32" i="4"/>
  <c r="AK31" i="4"/>
  <c r="AJ31" i="4"/>
  <c r="AI31" i="4"/>
  <c r="AH31" i="4"/>
  <c r="AG31" i="4"/>
  <c r="AF31" i="4"/>
  <c r="AE31" i="4"/>
  <c r="AK30" i="4"/>
  <c r="AJ30" i="4"/>
  <c r="AI30" i="4"/>
  <c r="AH30" i="4"/>
  <c r="AG30" i="4"/>
  <c r="AF30" i="4"/>
  <c r="AE30" i="4"/>
  <c r="AK29" i="4"/>
  <c r="AJ29" i="4"/>
  <c r="AI29" i="4"/>
  <c r="AH29" i="4"/>
  <c r="AG29" i="4"/>
  <c r="AF29" i="4"/>
  <c r="AE29" i="4"/>
  <c r="AK28" i="4"/>
  <c r="AJ28" i="4"/>
  <c r="AI28" i="4"/>
  <c r="AH28" i="4"/>
  <c r="AG28" i="4"/>
  <c r="AF28" i="4"/>
  <c r="AE28" i="4"/>
  <c r="AK27" i="4"/>
  <c r="AJ27" i="4"/>
  <c r="AI27" i="4"/>
  <c r="AH27" i="4"/>
  <c r="AG27" i="4"/>
  <c r="AF27" i="4"/>
  <c r="AE27" i="4"/>
  <c r="AK26" i="4"/>
  <c r="AJ26" i="4"/>
  <c r="AI26" i="4"/>
  <c r="AH26" i="4"/>
  <c r="AG26" i="4"/>
  <c r="AF26" i="4"/>
  <c r="AE26" i="4"/>
  <c r="AK25" i="4"/>
  <c r="AJ25" i="4"/>
  <c r="AI25" i="4"/>
  <c r="AH25" i="4"/>
  <c r="AG25" i="4"/>
  <c r="AF25" i="4"/>
  <c r="AE25" i="4"/>
  <c r="AK24" i="4"/>
  <c r="AJ24" i="4"/>
  <c r="AI24" i="4"/>
  <c r="AH24" i="4"/>
  <c r="AG24" i="4"/>
  <c r="AF24" i="4"/>
  <c r="AE24" i="4"/>
  <c r="AK23" i="4"/>
  <c r="AJ23" i="4"/>
  <c r="AI23" i="4"/>
  <c r="AH23" i="4"/>
  <c r="AG23" i="4"/>
  <c r="AF23" i="4"/>
  <c r="AE23" i="4"/>
  <c r="AK22" i="4"/>
  <c r="AJ22" i="4"/>
  <c r="AI22" i="4"/>
  <c r="AH22" i="4"/>
  <c r="AG22" i="4"/>
  <c r="AF22" i="4"/>
  <c r="AE22" i="4"/>
  <c r="AK21" i="4"/>
  <c r="AJ21" i="4"/>
  <c r="AI21" i="4"/>
  <c r="AH21" i="4"/>
  <c r="AG21" i="4"/>
  <c r="AF21" i="4"/>
  <c r="AE21" i="4"/>
  <c r="AK20" i="4"/>
  <c r="AJ20" i="4"/>
  <c r="AI20" i="4"/>
  <c r="AH20" i="4"/>
  <c r="AG20" i="4"/>
  <c r="AF20" i="4"/>
  <c r="AE20" i="4"/>
  <c r="AK19" i="4"/>
  <c r="AJ19" i="4"/>
  <c r="AI19" i="4"/>
  <c r="AH19" i="4"/>
  <c r="AG19" i="4"/>
  <c r="AF19" i="4"/>
  <c r="AE19" i="4"/>
  <c r="AK18" i="4"/>
  <c r="AJ18" i="4"/>
  <c r="AI18" i="4"/>
  <c r="AH18" i="4"/>
  <c r="AG18" i="4"/>
  <c r="AF18" i="4"/>
  <c r="AE18" i="4"/>
  <c r="AK17" i="4"/>
  <c r="AJ17" i="4"/>
  <c r="AI17" i="4"/>
  <c r="AH17" i="4"/>
  <c r="AG17" i="4"/>
  <c r="AF17" i="4"/>
  <c r="AE17" i="4"/>
  <c r="AK16" i="4"/>
  <c r="AJ16" i="4"/>
  <c r="AI16" i="4"/>
  <c r="AH16" i="4"/>
  <c r="AG16" i="4"/>
  <c r="AF16" i="4"/>
  <c r="AE16" i="4"/>
  <c r="AK15" i="4"/>
  <c r="AJ15" i="4"/>
  <c r="AI15" i="4"/>
  <c r="AH15" i="4"/>
  <c r="AG15" i="4"/>
  <c r="AF15" i="4"/>
  <c r="AE15" i="4"/>
  <c r="AK14" i="4"/>
  <c r="AJ14" i="4"/>
  <c r="AI14" i="4"/>
  <c r="AH14" i="4"/>
  <c r="AG14" i="4"/>
  <c r="AF14" i="4"/>
  <c r="AE14" i="4"/>
  <c r="AK13" i="4"/>
  <c r="AJ13" i="4"/>
  <c r="AI13" i="4"/>
  <c r="AH13" i="4"/>
  <c r="AG13" i="4"/>
  <c r="AF13" i="4"/>
  <c r="AE13" i="4"/>
  <c r="AK12" i="4"/>
  <c r="AJ12" i="4"/>
  <c r="AI12" i="4"/>
  <c r="AH12" i="4"/>
  <c r="AG12" i="4"/>
  <c r="AF12" i="4"/>
  <c r="AE12" i="4"/>
  <c r="AK11" i="4"/>
  <c r="AJ11" i="4"/>
  <c r="AI11" i="4"/>
  <c r="AH11" i="4"/>
  <c r="AG11" i="4"/>
  <c r="AF11" i="4"/>
  <c r="AE11" i="4"/>
  <c r="AK10" i="4"/>
  <c r="AJ10" i="4"/>
  <c r="AI10" i="4"/>
  <c r="AH10" i="4"/>
  <c r="AG10" i="4"/>
  <c r="AF10" i="4"/>
  <c r="AE10" i="4"/>
  <c r="AK9" i="4"/>
  <c r="AJ9" i="4"/>
  <c r="AI9" i="4"/>
  <c r="AH9" i="4"/>
  <c r="AG9" i="4"/>
  <c r="AF9" i="4"/>
  <c r="AE9" i="4"/>
  <c r="AK8" i="4"/>
  <c r="AJ8" i="4"/>
  <c r="AI8" i="4"/>
  <c r="AH8" i="4"/>
  <c r="AG8" i="4"/>
  <c r="AF8" i="4"/>
  <c r="AE8" i="4"/>
  <c r="AK507" i="3"/>
  <c r="AJ507" i="3"/>
  <c r="AI507" i="3"/>
  <c r="AH507" i="3"/>
  <c r="AG507" i="3"/>
  <c r="AF507" i="3"/>
  <c r="AE507" i="3"/>
  <c r="AK506" i="3"/>
  <c r="AJ506" i="3"/>
  <c r="AI506" i="3"/>
  <c r="AH506" i="3"/>
  <c r="AG506" i="3"/>
  <c r="AF506" i="3"/>
  <c r="AE506" i="3"/>
  <c r="AK505" i="3"/>
  <c r="AJ505" i="3"/>
  <c r="AI505" i="3"/>
  <c r="AH505" i="3"/>
  <c r="AG505" i="3"/>
  <c r="AF505" i="3"/>
  <c r="AE505" i="3"/>
  <c r="AK504" i="3"/>
  <c r="AJ504" i="3"/>
  <c r="AI504" i="3"/>
  <c r="AH504" i="3"/>
  <c r="AG504" i="3"/>
  <c r="AF504" i="3"/>
  <c r="AE504" i="3"/>
  <c r="AK503" i="3"/>
  <c r="AJ503" i="3"/>
  <c r="AI503" i="3"/>
  <c r="AH503" i="3"/>
  <c r="AG503" i="3"/>
  <c r="AF503" i="3"/>
  <c r="AE503" i="3"/>
  <c r="AK502" i="3"/>
  <c r="AJ502" i="3"/>
  <c r="AI502" i="3"/>
  <c r="AH502" i="3"/>
  <c r="AG502" i="3"/>
  <c r="AF502" i="3"/>
  <c r="AE502" i="3"/>
  <c r="AK501" i="3"/>
  <c r="AJ501" i="3"/>
  <c r="AI501" i="3"/>
  <c r="AH501" i="3"/>
  <c r="AG501" i="3"/>
  <c r="AF501" i="3"/>
  <c r="AE501" i="3"/>
  <c r="AK500" i="3"/>
  <c r="AJ500" i="3"/>
  <c r="AI500" i="3"/>
  <c r="AH500" i="3"/>
  <c r="AG500" i="3"/>
  <c r="AF500" i="3"/>
  <c r="AE500" i="3"/>
  <c r="AK499" i="3"/>
  <c r="AJ499" i="3"/>
  <c r="AI499" i="3"/>
  <c r="AH499" i="3"/>
  <c r="AG499" i="3"/>
  <c r="AF499" i="3"/>
  <c r="AE499" i="3"/>
  <c r="AK498" i="3"/>
  <c r="AJ498" i="3"/>
  <c r="AI498" i="3"/>
  <c r="AH498" i="3"/>
  <c r="AG498" i="3"/>
  <c r="AF498" i="3"/>
  <c r="AE498" i="3"/>
  <c r="AK497" i="3"/>
  <c r="AJ497" i="3"/>
  <c r="AI497" i="3"/>
  <c r="AH497" i="3"/>
  <c r="AG497" i="3"/>
  <c r="AF497" i="3"/>
  <c r="AE497" i="3"/>
  <c r="AK496" i="3"/>
  <c r="AJ496" i="3"/>
  <c r="AI496" i="3"/>
  <c r="AH496" i="3"/>
  <c r="AG496" i="3"/>
  <c r="AF496" i="3"/>
  <c r="AE496" i="3"/>
  <c r="AK495" i="3"/>
  <c r="AJ495" i="3"/>
  <c r="AI495" i="3"/>
  <c r="AH495" i="3"/>
  <c r="AG495" i="3"/>
  <c r="AF495" i="3"/>
  <c r="AE495" i="3"/>
  <c r="AK494" i="3"/>
  <c r="AJ494" i="3"/>
  <c r="AI494" i="3"/>
  <c r="AH494" i="3"/>
  <c r="AG494" i="3"/>
  <c r="AF494" i="3"/>
  <c r="AE494" i="3"/>
  <c r="AK493" i="3"/>
  <c r="AJ493" i="3"/>
  <c r="AI493" i="3"/>
  <c r="AH493" i="3"/>
  <c r="AG493" i="3"/>
  <c r="AF493" i="3"/>
  <c r="AE493" i="3"/>
  <c r="AK492" i="3"/>
  <c r="AJ492" i="3"/>
  <c r="AI492" i="3"/>
  <c r="AH492" i="3"/>
  <c r="AG492" i="3"/>
  <c r="AF492" i="3"/>
  <c r="AE492" i="3"/>
  <c r="AK491" i="3"/>
  <c r="AJ491" i="3"/>
  <c r="AI491" i="3"/>
  <c r="AH491" i="3"/>
  <c r="AG491" i="3"/>
  <c r="AF491" i="3"/>
  <c r="AE491" i="3"/>
  <c r="AK490" i="3"/>
  <c r="AJ490" i="3"/>
  <c r="AI490" i="3"/>
  <c r="AH490" i="3"/>
  <c r="AG490" i="3"/>
  <c r="AF490" i="3"/>
  <c r="AE490" i="3"/>
  <c r="AK489" i="3"/>
  <c r="AJ489" i="3"/>
  <c r="AI489" i="3"/>
  <c r="AH489" i="3"/>
  <c r="AG489" i="3"/>
  <c r="AF489" i="3"/>
  <c r="AE489" i="3"/>
  <c r="AK488" i="3"/>
  <c r="AJ488" i="3"/>
  <c r="AI488" i="3"/>
  <c r="AH488" i="3"/>
  <c r="AG488" i="3"/>
  <c r="AF488" i="3"/>
  <c r="AE488" i="3"/>
  <c r="AK487" i="3"/>
  <c r="AJ487" i="3"/>
  <c r="AI487" i="3"/>
  <c r="AH487" i="3"/>
  <c r="AG487" i="3"/>
  <c r="AF487" i="3"/>
  <c r="AE487" i="3"/>
  <c r="AK486" i="3"/>
  <c r="AJ486" i="3"/>
  <c r="AI486" i="3"/>
  <c r="AH486" i="3"/>
  <c r="AG486" i="3"/>
  <c r="AF486" i="3"/>
  <c r="AE486" i="3"/>
  <c r="AK485" i="3"/>
  <c r="AJ485" i="3"/>
  <c r="AI485" i="3"/>
  <c r="AH485" i="3"/>
  <c r="AG485" i="3"/>
  <c r="AF485" i="3"/>
  <c r="AE485" i="3"/>
  <c r="AK484" i="3"/>
  <c r="AJ484" i="3"/>
  <c r="AI484" i="3"/>
  <c r="AH484" i="3"/>
  <c r="AG484" i="3"/>
  <c r="AF484" i="3"/>
  <c r="AE484" i="3"/>
  <c r="AK483" i="3"/>
  <c r="AJ483" i="3"/>
  <c r="AI483" i="3"/>
  <c r="AH483" i="3"/>
  <c r="AG483" i="3"/>
  <c r="AF483" i="3"/>
  <c r="AE483" i="3"/>
  <c r="AK482" i="3"/>
  <c r="AJ482" i="3"/>
  <c r="AI482" i="3"/>
  <c r="AH482" i="3"/>
  <c r="AG482" i="3"/>
  <c r="AF482" i="3"/>
  <c r="AE482" i="3"/>
  <c r="AK481" i="3"/>
  <c r="AJ481" i="3"/>
  <c r="AI481" i="3"/>
  <c r="AH481" i="3"/>
  <c r="AG481" i="3"/>
  <c r="AF481" i="3"/>
  <c r="AE481" i="3"/>
  <c r="AK480" i="3"/>
  <c r="AJ480" i="3"/>
  <c r="AI480" i="3"/>
  <c r="AH480" i="3"/>
  <c r="AG480" i="3"/>
  <c r="AF480" i="3"/>
  <c r="AE480" i="3"/>
  <c r="AK479" i="3"/>
  <c r="AJ479" i="3"/>
  <c r="AI479" i="3"/>
  <c r="AH479" i="3"/>
  <c r="AG479" i="3"/>
  <c r="AF479" i="3"/>
  <c r="AE479" i="3"/>
  <c r="AK478" i="3"/>
  <c r="AJ478" i="3"/>
  <c r="AI478" i="3"/>
  <c r="AH478" i="3"/>
  <c r="AG478" i="3"/>
  <c r="AF478" i="3"/>
  <c r="AE478" i="3"/>
  <c r="AK477" i="3"/>
  <c r="AJ477" i="3"/>
  <c r="AI477" i="3"/>
  <c r="AH477" i="3"/>
  <c r="AG477" i="3"/>
  <c r="AF477" i="3"/>
  <c r="AE477" i="3"/>
  <c r="AK476" i="3"/>
  <c r="AJ476" i="3"/>
  <c r="AI476" i="3"/>
  <c r="AH476" i="3"/>
  <c r="AG476" i="3"/>
  <c r="AF476" i="3"/>
  <c r="AE476" i="3"/>
  <c r="AK475" i="3"/>
  <c r="AJ475" i="3"/>
  <c r="AI475" i="3"/>
  <c r="AH475" i="3"/>
  <c r="AG475" i="3"/>
  <c r="AF475" i="3"/>
  <c r="AE475" i="3"/>
  <c r="AK474" i="3"/>
  <c r="AJ474" i="3"/>
  <c r="AI474" i="3"/>
  <c r="AH474" i="3"/>
  <c r="AG474" i="3"/>
  <c r="AF474" i="3"/>
  <c r="AE474" i="3"/>
  <c r="AK473" i="3"/>
  <c r="AJ473" i="3"/>
  <c r="AI473" i="3"/>
  <c r="AH473" i="3"/>
  <c r="AG473" i="3"/>
  <c r="AF473" i="3"/>
  <c r="AE473" i="3"/>
  <c r="AK472" i="3"/>
  <c r="AJ472" i="3"/>
  <c r="AI472" i="3"/>
  <c r="AH472" i="3"/>
  <c r="AG472" i="3"/>
  <c r="AF472" i="3"/>
  <c r="AE472" i="3"/>
  <c r="AK471" i="3"/>
  <c r="AJ471" i="3"/>
  <c r="AI471" i="3"/>
  <c r="AH471" i="3"/>
  <c r="AG471" i="3"/>
  <c r="AF471" i="3"/>
  <c r="AE471" i="3"/>
  <c r="AK470" i="3"/>
  <c r="AJ470" i="3"/>
  <c r="AI470" i="3"/>
  <c r="AH470" i="3"/>
  <c r="AG470" i="3"/>
  <c r="AF470" i="3"/>
  <c r="AE470" i="3"/>
  <c r="AK469" i="3"/>
  <c r="AJ469" i="3"/>
  <c r="AI469" i="3"/>
  <c r="AH469" i="3"/>
  <c r="AG469" i="3"/>
  <c r="AF469" i="3"/>
  <c r="AE469" i="3"/>
  <c r="AK468" i="3"/>
  <c r="AJ468" i="3"/>
  <c r="AI468" i="3"/>
  <c r="AH468" i="3"/>
  <c r="AG468" i="3"/>
  <c r="AF468" i="3"/>
  <c r="AE468" i="3"/>
  <c r="AK467" i="3"/>
  <c r="AJ467" i="3"/>
  <c r="AI467" i="3"/>
  <c r="AH467" i="3"/>
  <c r="AG467" i="3"/>
  <c r="AF467" i="3"/>
  <c r="AE467" i="3"/>
  <c r="AK466" i="3"/>
  <c r="AJ466" i="3"/>
  <c r="AI466" i="3"/>
  <c r="AH466" i="3"/>
  <c r="AG466" i="3"/>
  <c r="AF466" i="3"/>
  <c r="AE466" i="3"/>
  <c r="AK465" i="3"/>
  <c r="AJ465" i="3"/>
  <c r="AI465" i="3"/>
  <c r="AH465" i="3"/>
  <c r="AG465" i="3"/>
  <c r="AF465" i="3"/>
  <c r="AE465" i="3"/>
  <c r="AK464" i="3"/>
  <c r="AJ464" i="3"/>
  <c r="AI464" i="3"/>
  <c r="AH464" i="3"/>
  <c r="AG464" i="3"/>
  <c r="AF464" i="3"/>
  <c r="AE464" i="3"/>
  <c r="AK463" i="3"/>
  <c r="AJ463" i="3"/>
  <c r="AI463" i="3"/>
  <c r="AH463" i="3"/>
  <c r="AG463" i="3"/>
  <c r="AF463" i="3"/>
  <c r="AE463" i="3"/>
  <c r="AK462" i="3"/>
  <c r="AJ462" i="3"/>
  <c r="AI462" i="3"/>
  <c r="AH462" i="3"/>
  <c r="AG462" i="3"/>
  <c r="AF462" i="3"/>
  <c r="AE462" i="3"/>
  <c r="AK461" i="3"/>
  <c r="AJ461" i="3"/>
  <c r="AI461" i="3"/>
  <c r="AH461" i="3"/>
  <c r="AG461" i="3"/>
  <c r="AF461" i="3"/>
  <c r="AE461" i="3"/>
  <c r="AK460" i="3"/>
  <c r="AJ460" i="3"/>
  <c r="AI460" i="3"/>
  <c r="AH460" i="3"/>
  <c r="AG460" i="3"/>
  <c r="AF460" i="3"/>
  <c r="AE460" i="3"/>
  <c r="AK459" i="3"/>
  <c r="AJ459" i="3"/>
  <c r="AI459" i="3"/>
  <c r="AH459" i="3"/>
  <c r="AG459" i="3"/>
  <c r="AF459" i="3"/>
  <c r="AE459" i="3"/>
  <c r="AK458" i="3"/>
  <c r="AJ458" i="3"/>
  <c r="AI458" i="3"/>
  <c r="AH458" i="3"/>
  <c r="AG458" i="3"/>
  <c r="AF458" i="3"/>
  <c r="AE458" i="3"/>
  <c r="AK457" i="3"/>
  <c r="AJ457" i="3"/>
  <c r="AI457" i="3"/>
  <c r="AH457" i="3"/>
  <c r="AG457" i="3"/>
  <c r="AF457" i="3"/>
  <c r="AE457" i="3"/>
  <c r="AK456" i="3"/>
  <c r="AJ456" i="3"/>
  <c r="AI456" i="3"/>
  <c r="AH456" i="3"/>
  <c r="AG456" i="3"/>
  <c r="AF456" i="3"/>
  <c r="AE456" i="3"/>
  <c r="AK455" i="3"/>
  <c r="AJ455" i="3"/>
  <c r="AI455" i="3"/>
  <c r="AH455" i="3"/>
  <c r="AG455" i="3"/>
  <c r="AF455" i="3"/>
  <c r="AE455" i="3"/>
  <c r="AK454" i="3"/>
  <c r="AJ454" i="3"/>
  <c r="AI454" i="3"/>
  <c r="AH454" i="3"/>
  <c r="AG454" i="3"/>
  <c r="AF454" i="3"/>
  <c r="AE454" i="3"/>
  <c r="AK453" i="3"/>
  <c r="AJ453" i="3"/>
  <c r="AI453" i="3"/>
  <c r="AH453" i="3"/>
  <c r="AG453" i="3"/>
  <c r="AF453" i="3"/>
  <c r="AE453" i="3"/>
  <c r="AK452" i="3"/>
  <c r="AJ452" i="3"/>
  <c r="AI452" i="3"/>
  <c r="AH452" i="3"/>
  <c r="AG452" i="3"/>
  <c r="AF452" i="3"/>
  <c r="AE452" i="3"/>
  <c r="AK451" i="3"/>
  <c r="AJ451" i="3"/>
  <c r="AI451" i="3"/>
  <c r="AH451" i="3"/>
  <c r="AG451" i="3"/>
  <c r="AF451" i="3"/>
  <c r="AE451" i="3"/>
  <c r="AK450" i="3"/>
  <c r="AJ450" i="3"/>
  <c r="AI450" i="3"/>
  <c r="AH450" i="3"/>
  <c r="AG450" i="3"/>
  <c r="AF450" i="3"/>
  <c r="AE450" i="3"/>
  <c r="AK449" i="3"/>
  <c r="AJ449" i="3"/>
  <c r="AI449" i="3"/>
  <c r="AH449" i="3"/>
  <c r="AG449" i="3"/>
  <c r="AF449" i="3"/>
  <c r="AE449" i="3"/>
  <c r="AK448" i="3"/>
  <c r="AJ448" i="3"/>
  <c r="AI448" i="3"/>
  <c r="AH448" i="3"/>
  <c r="AG448" i="3"/>
  <c r="AF448" i="3"/>
  <c r="AE448" i="3"/>
  <c r="AK447" i="3"/>
  <c r="AJ447" i="3"/>
  <c r="AI447" i="3"/>
  <c r="AH447" i="3"/>
  <c r="AG447" i="3"/>
  <c r="AF447" i="3"/>
  <c r="AE447" i="3"/>
  <c r="AK446" i="3"/>
  <c r="AJ446" i="3"/>
  <c r="AI446" i="3"/>
  <c r="AH446" i="3"/>
  <c r="AG446" i="3"/>
  <c r="AF446" i="3"/>
  <c r="AE446" i="3"/>
  <c r="AK445" i="3"/>
  <c r="AJ445" i="3"/>
  <c r="AI445" i="3"/>
  <c r="AH445" i="3"/>
  <c r="AG445" i="3"/>
  <c r="AF445" i="3"/>
  <c r="AE445" i="3"/>
  <c r="AK444" i="3"/>
  <c r="AJ444" i="3"/>
  <c r="AI444" i="3"/>
  <c r="AH444" i="3"/>
  <c r="AG444" i="3"/>
  <c r="AF444" i="3"/>
  <c r="AE444" i="3"/>
  <c r="AK443" i="3"/>
  <c r="AJ443" i="3"/>
  <c r="AI443" i="3"/>
  <c r="AH443" i="3"/>
  <c r="AG443" i="3"/>
  <c r="AF443" i="3"/>
  <c r="AE443" i="3"/>
  <c r="AK442" i="3"/>
  <c r="AJ442" i="3"/>
  <c r="AI442" i="3"/>
  <c r="AH442" i="3"/>
  <c r="AG442" i="3"/>
  <c r="AF442" i="3"/>
  <c r="AE442" i="3"/>
  <c r="AK441" i="3"/>
  <c r="AJ441" i="3"/>
  <c r="AI441" i="3"/>
  <c r="AH441" i="3"/>
  <c r="AG441" i="3"/>
  <c r="AF441" i="3"/>
  <c r="AE441" i="3"/>
  <c r="AK440" i="3"/>
  <c r="AJ440" i="3"/>
  <c r="AI440" i="3"/>
  <c r="AH440" i="3"/>
  <c r="AG440" i="3"/>
  <c r="AF440" i="3"/>
  <c r="AE440" i="3"/>
  <c r="AK439" i="3"/>
  <c r="AJ439" i="3"/>
  <c r="AI439" i="3"/>
  <c r="AH439" i="3"/>
  <c r="AG439" i="3"/>
  <c r="AF439" i="3"/>
  <c r="AE439" i="3"/>
  <c r="AK438" i="3"/>
  <c r="AJ438" i="3"/>
  <c r="AI438" i="3"/>
  <c r="AH438" i="3"/>
  <c r="AG438" i="3"/>
  <c r="AF438" i="3"/>
  <c r="AE438" i="3"/>
  <c r="AK437" i="3"/>
  <c r="AJ437" i="3"/>
  <c r="AI437" i="3"/>
  <c r="AH437" i="3"/>
  <c r="AG437" i="3"/>
  <c r="AF437" i="3"/>
  <c r="AE437" i="3"/>
  <c r="AK436" i="3"/>
  <c r="AJ436" i="3"/>
  <c r="AI436" i="3"/>
  <c r="AH436" i="3"/>
  <c r="AG436" i="3"/>
  <c r="AF436" i="3"/>
  <c r="AE436" i="3"/>
  <c r="AK435" i="3"/>
  <c r="AJ435" i="3"/>
  <c r="AI435" i="3"/>
  <c r="AH435" i="3"/>
  <c r="AG435" i="3"/>
  <c r="AF435" i="3"/>
  <c r="AE435" i="3"/>
  <c r="AK434" i="3"/>
  <c r="AJ434" i="3"/>
  <c r="AI434" i="3"/>
  <c r="AH434" i="3"/>
  <c r="AG434" i="3"/>
  <c r="AF434" i="3"/>
  <c r="AE434" i="3"/>
  <c r="AK433" i="3"/>
  <c r="AJ433" i="3"/>
  <c r="AI433" i="3"/>
  <c r="AH433" i="3"/>
  <c r="AG433" i="3"/>
  <c r="AF433" i="3"/>
  <c r="AE433" i="3"/>
  <c r="AK432" i="3"/>
  <c r="AJ432" i="3"/>
  <c r="AI432" i="3"/>
  <c r="AH432" i="3"/>
  <c r="AG432" i="3"/>
  <c r="AF432" i="3"/>
  <c r="AE432" i="3"/>
  <c r="AK431" i="3"/>
  <c r="AJ431" i="3"/>
  <c r="AI431" i="3"/>
  <c r="AH431" i="3"/>
  <c r="AG431" i="3"/>
  <c r="AF431" i="3"/>
  <c r="AE431" i="3"/>
  <c r="AK430" i="3"/>
  <c r="AJ430" i="3"/>
  <c r="AI430" i="3"/>
  <c r="AH430" i="3"/>
  <c r="AG430" i="3"/>
  <c r="AF430" i="3"/>
  <c r="AE430" i="3"/>
  <c r="AK429" i="3"/>
  <c r="AJ429" i="3"/>
  <c r="AI429" i="3"/>
  <c r="AH429" i="3"/>
  <c r="AG429" i="3"/>
  <c r="AF429" i="3"/>
  <c r="AE429" i="3"/>
  <c r="AK428" i="3"/>
  <c r="AJ428" i="3"/>
  <c r="AI428" i="3"/>
  <c r="AH428" i="3"/>
  <c r="AG428" i="3"/>
  <c r="AF428" i="3"/>
  <c r="AE428" i="3"/>
  <c r="AK427" i="3"/>
  <c r="AJ427" i="3"/>
  <c r="AI427" i="3"/>
  <c r="AH427" i="3"/>
  <c r="AG427" i="3"/>
  <c r="AF427" i="3"/>
  <c r="AE427" i="3"/>
  <c r="AK426" i="3"/>
  <c r="AJ426" i="3"/>
  <c r="AI426" i="3"/>
  <c r="AH426" i="3"/>
  <c r="AG426" i="3"/>
  <c r="AF426" i="3"/>
  <c r="AE426" i="3"/>
  <c r="AK425" i="3"/>
  <c r="AJ425" i="3"/>
  <c r="AI425" i="3"/>
  <c r="AH425" i="3"/>
  <c r="AG425" i="3"/>
  <c r="AF425" i="3"/>
  <c r="AE425" i="3"/>
  <c r="AK424" i="3"/>
  <c r="AJ424" i="3"/>
  <c r="AI424" i="3"/>
  <c r="AH424" i="3"/>
  <c r="AG424" i="3"/>
  <c r="AF424" i="3"/>
  <c r="AE424" i="3"/>
  <c r="AK423" i="3"/>
  <c r="AJ423" i="3"/>
  <c r="AI423" i="3"/>
  <c r="AH423" i="3"/>
  <c r="AG423" i="3"/>
  <c r="AF423" i="3"/>
  <c r="AE423" i="3"/>
  <c r="AK422" i="3"/>
  <c r="AJ422" i="3"/>
  <c r="AI422" i="3"/>
  <c r="AH422" i="3"/>
  <c r="AG422" i="3"/>
  <c r="AF422" i="3"/>
  <c r="AE422" i="3"/>
  <c r="AK421" i="3"/>
  <c r="AJ421" i="3"/>
  <c r="AI421" i="3"/>
  <c r="AH421" i="3"/>
  <c r="AG421" i="3"/>
  <c r="AF421" i="3"/>
  <c r="AE421" i="3"/>
  <c r="AK420" i="3"/>
  <c r="AJ420" i="3"/>
  <c r="AI420" i="3"/>
  <c r="AH420" i="3"/>
  <c r="AG420" i="3"/>
  <c r="AF420" i="3"/>
  <c r="AE420" i="3"/>
  <c r="AK419" i="3"/>
  <c r="AJ419" i="3"/>
  <c r="AI419" i="3"/>
  <c r="AH419" i="3"/>
  <c r="AG419" i="3"/>
  <c r="AF419" i="3"/>
  <c r="AE419" i="3"/>
  <c r="AK418" i="3"/>
  <c r="AJ418" i="3"/>
  <c r="AI418" i="3"/>
  <c r="AH418" i="3"/>
  <c r="AG418" i="3"/>
  <c r="AF418" i="3"/>
  <c r="AE418" i="3"/>
  <c r="AK417" i="3"/>
  <c r="AJ417" i="3"/>
  <c r="AI417" i="3"/>
  <c r="AH417" i="3"/>
  <c r="AG417" i="3"/>
  <c r="AF417" i="3"/>
  <c r="AE417" i="3"/>
  <c r="AK416" i="3"/>
  <c r="AJ416" i="3"/>
  <c r="AI416" i="3"/>
  <c r="AH416" i="3"/>
  <c r="AG416" i="3"/>
  <c r="AF416" i="3"/>
  <c r="AE416" i="3"/>
  <c r="AK415" i="3"/>
  <c r="AJ415" i="3"/>
  <c r="AI415" i="3"/>
  <c r="AH415" i="3"/>
  <c r="AG415" i="3"/>
  <c r="AF415" i="3"/>
  <c r="AE415" i="3"/>
  <c r="AK414" i="3"/>
  <c r="AJ414" i="3"/>
  <c r="AI414" i="3"/>
  <c r="AH414" i="3"/>
  <c r="AG414" i="3"/>
  <c r="AF414" i="3"/>
  <c r="AE414" i="3"/>
  <c r="AK413" i="3"/>
  <c r="AJ413" i="3"/>
  <c r="AI413" i="3"/>
  <c r="AH413" i="3"/>
  <c r="AG413" i="3"/>
  <c r="AF413" i="3"/>
  <c r="AE413" i="3"/>
  <c r="AK412" i="3"/>
  <c r="AJ412" i="3"/>
  <c r="AI412" i="3"/>
  <c r="AH412" i="3"/>
  <c r="AG412" i="3"/>
  <c r="AF412" i="3"/>
  <c r="AE412" i="3"/>
  <c r="AK411" i="3"/>
  <c r="AJ411" i="3"/>
  <c r="AI411" i="3"/>
  <c r="AH411" i="3"/>
  <c r="AG411" i="3"/>
  <c r="AF411" i="3"/>
  <c r="AE411" i="3"/>
  <c r="AK410" i="3"/>
  <c r="AJ410" i="3"/>
  <c r="AI410" i="3"/>
  <c r="AH410" i="3"/>
  <c r="AG410" i="3"/>
  <c r="AF410" i="3"/>
  <c r="AE410" i="3"/>
  <c r="AK409" i="3"/>
  <c r="AJ409" i="3"/>
  <c r="AI409" i="3"/>
  <c r="AH409" i="3"/>
  <c r="AG409" i="3"/>
  <c r="AF409" i="3"/>
  <c r="AE409" i="3"/>
  <c r="AK408" i="3"/>
  <c r="AJ408" i="3"/>
  <c r="AI408" i="3"/>
  <c r="AH408" i="3"/>
  <c r="AG408" i="3"/>
  <c r="AF408" i="3"/>
  <c r="AE408" i="3"/>
  <c r="AK407" i="3"/>
  <c r="AJ407" i="3"/>
  <c r="AI407" i="3"/>
  <c r="AH407" i="3"/>
  <c r="AG407" i="3"/>
  <c r="AF407" i="3"/>
  <c r="AE407" i="3"/>
  <c r="AK406" i="3"/>
  <c r="AJ406" i="3"/>
  <c r="AI406" i="3"/>
  <c r="AH406" i="3"/>
  <c r="AG406" i="3"/>
  <c r="AF406" i="3"/>
  <c r="AE406" i="3"/>
  <c r="AK405" i="3"/>
  <c r="AJ405" i="3"/>
  <c r="AI405" i="3"/>
  <c r="AH405" i="3"/>
  <c r="AG405" i="3"/>
  <c r="AF405" i="3"/>
  <c r="AE405" i="3"/>
  <c r="AK404" i="3"/>
  <c r="AJ404" i="3"/>
  <c r="AI404" i="3"/>
  <c r="AH404" i="3"/>
  <c r="AG404" i="3"/>
  <c r="AF404" i="3"/>
  <c r="AE404" i="3"/>
  <c r="AK403" i="3"/>
  <c r="AJ403" i="3"/>
  <c r="AI403" i="3"/>
  <c r="AH403" i="3"/>
  <c r="AG403" i="3"/>
  <c r="AF403" i="3"/>
  <c r="AE403" i="3"/>
  <c r="AK402" i="3"/>
  <c r="AJ402" i="3"/>
  <c r="AI402" i="3"/>
  <c r="AH402" i="3"/>
  <c r="AG402" i="3"/>
  <c r="AF402" i="3"/>
  <c r="AE402" i="3"/>
  <c r="AK401" i="3"/>
  <c r="AJ401" i="3"/>
  <c r="AI401" i="3"/>
  <c r="AH401" i="3"/>
  <c r="AG401" i="3"/>
  <c r="AF401" i="3"/>
  <c r="AE401" i="3"/>
  <c r="AK400" i="3"/>
  <c r="AJ400" i="3"/>
  <c r="AI400" i="3"/>
  <c r="AH400" i="3"/>
  <c r="AG400" i="3"/>
  <c r="AF400" i="3"/>
  <c r="AE400" i="3"/>
  <c r="AK399" i="3"/>
  <c r="AJ399" i="3"/>
  <c r="AI399" i="3"/>
  <c r="AH399" i="3"/>
  <c r="AG399" i="3"/>
  <c r="AF399" i="3"/>
  <c r="AE399" i="3"/>
  <c r="AK398" i="3"/>
  <c r="AJ398" i="3"/>
  <c r="AI398" i="3"/>
  <c r="AH398" i="3"/>
  <c r="AG398" i="3"/>
  <c r="AF398" i="3"/>
  <c r="AE398" i="3"/>
  <c r="AK397" i="3"/>
  <c r="AJ397" i="3"/>
  <c r="AI397" i="3"/>
  <c r="AH397" i="3"/>
  <c r="AG397" i="3"/>
  <c r="AF397" i="3"/>
  <c r="AE397" i="3"/>
  <c r="AK396" i="3"/>
  <c r="AJ396" i="3"/>
  <c r="AI396" i="3"/>
  <c r="AH396" i="3"/>
  <c r="AG396" i="3"/>
  <c r="AF396" i="3"/>
  <c r="AE396" i="3"/>
  <c r="AK395" i="3"/>
  <c r="AJ395" i="3"/>
  <c r="AI395" i="3"/>
  <c r="AH395" i="3"/>
  <c r="AG395" i="3"/>
  <c r="AF395" i="3"/>
  <c r="AE395" i="3"/>
  <c r="AK394" i="3"/>
  <c r="AJ394" i="3"/>
  <c r="AI394" i="3"/>
  <c r="AH394" i="3"/>
  <c r="AG394" i="3"/>
  <c r="AF394" i="3"/>
  <c r="AE394" i="3"/>
  <c r="AK393" i="3"/>
  <c r="AJ393" i="3"/>
  <c r="AI393" i="3"/>
  <c r="AH393" i="3"/>
  <c r="AG393" i="3"/>
  <c r="AF393" i="3"/>
  <c r="AE393" i="3"/>
  <c r="AK392" i="3"/>
  <c r="AJ392" i="3"/>
  <c r="AI392" i="3"/>
  <c r="AH392" i="3"/>
  <c r="AG392" i="3"/>
  <c r="AF392" i="3"/>
  <c r="AE392" i="3"/>
  <c r="AK391" i="3"/>
  <c r="AJ391" i="3"/>
  <c r="AI391" i="3"/>
  <c r="AH391" i="3"/>
  <c r="AG391" i="3"/>
  <c r="AF391" i="3"/>
  <c r="AE391" i="3"/>
  <c r="AK390" i="3"/>
  <c r="AJ390" i="3"/>
  <c r="AI390" i="3"/>
  <c r="AH390" i="3"/>
  <c r="AG390" i="3"/>
  <c r="AF390" i="3"/>
  <c r="AE390" i="3"/>
  <c r="AK389" i="3"/>
  <c r="AJ389" i="3"/>
  <c r="AI389" i="3"/>
  <c r="AH389" i="3"/>
  <c r="AG389" i="3"/>
  <c r="AF389" i="3"/>
  <c r="AE389" i="3"/>
  <c r="AK388" i="3"/>
  <c r="AJ388" i="3"/>
  <c r="AI388" i="3"/>
  <c r="AH388" i="3"/>
  <c r="AG388" i="3"/>
  <c r="AF388" i="3"/>
  <c r="AE388" i="3"/>
  <c r="AK387" i="3"/>
  <c r="AJ387" i="3"/>
  <c r="AI387" i="3"/>
  <c r="AH387" i="3"/>
  <c r="AG387" i="3"/>
  <c r="AF387" i="3"/>
  <c r="AE387" i="3"/>
  <c r="AK386" i="3"/>
  <c r="AJ386" i="3"/>
  <c r="AI386" i="3"/>
  <c r="AH386" i="3"/>
  <c r="AG386" i="3"/>
  <c r="AF386" i="3"/>
  <c r="AE386" i="3"/>
  <c r="AK385" i="3"/>
  <c r="AJ385" i="3"/>
  <c r="AI385" i="3"/>
  <c r="AH385" i="3"/>
  <c r="AG385" i="3"/>
  <c r="AF385" i="3"/>
  <c r="AE385" i="3"/>
  <c r="AK384" i="3"/>
  <c r="AJ384" i="3"/>
  <c r="AI384" i="3"/>
  <c r="AH384" i="3"/>
  <c r="AG384" i="3"/>
  <c r="AF384" i="3"/>
  <c r="AE384" i="3"/>
  <c r="AK383" i="3"/>
  <c r="AJ383" i="3"/>
  <c r="AI383" i="3"/>
  <c r="AH383" i="3"/>
  <c r="AG383" i="3"/>
  <c r="AF383" i="3"/>
  <c r="AE383" i="3"/>
  <c r="AK382" i="3"/>
  <c r="AJ382" i="3"/>
  <c r="AI382" i="3"/>
  <c r="AH382" i="3"/>
  <c r="AG382" i="3"/>
  <c r="AF382" i="3"/>
  <c r="AE382" i="3"/>
  <c r="AK381" i="3"/>
  <c r="AJ381" i="3"/>
  <c r="AI381" i="3"/>
  <c r="AH381" i="3"/>
  <c r="AG381" i="3"/>
  <c r="AF381" i="3"/>
  <c r="AE381" i="3"/>
  <c r="AK380" i="3"/>
  <c r="AJ380" i="3"/>
  <c r="AI380" i="3"/>
  <c r="AH380" i="3"/>
  <c r="AG380" i="3"/>
  <c r="AF380" i="3"/>
  <c r="AE380" i="3"/>
  <c r="AK379" i="3"/>
  <c r="AJ379" i="3"/>
  <c r="AI379" i="3"/>
  <c r="AH379" i="3"/>
  <c r="AG379" i="3"/>
  <c r="AF379" i="3"/>
  <c r="AE379" i="3"/>
  <c r="AK378" i="3"/>
  <c r="AJ378" i="3"/>
  <c r="AI378" i="3"/>
  <c r="AH378" i="3"/>
  <c r="AG378" i="3"/>
  <c r="AF378" i="3"/>
  <c r="AE378" i="3"/>
  <c r="AK377" i="3"/>
  <c r="AJ377" i="3"/>
  <c r="AI377" i="3"/>
  <c r="AH377" i="3"/>
  <c r="AG377" i="3"/>
  <c r="AF377" i="3"/>
  <c r="AE377" i="3"/>
  <c r="AK376" i="3"/>
  <c r="AJ376" i="3"/>
  <c r="AI376" i="3"/>
  <c r="AH376" i="3"/>
  <c r="AG376" i="3"/>
  <c r="AF376" i="3"/>
  <c r="AE376" i="3"/>
  <c r="AK375" i="3"/>
  <c r="AJ375" i="3"/>
  <c r="AI375" i="3"/>
  <c r="AH375" i="3"/>
  <c r="AG375" i="3"/>
  <c r="AF375" i="3"/>
  <c r="AE375" i="3"/>
  <c r="AK374" i="3"/>
  <c r="AJ374" i="3"/>
  <c r="AI374" i="3"/>
  <c r="AH374" i="3"/>
  <c r="AG374" i="3"/>
  <c r="AF374" i="3"/>
  <c r="AE374" i="3"/>
  <c r="AK373" i="3"/>
  <c r="AJ373" i="3"/>
  <c r="AI373" i="3"/>
  <c r="AH373" i="3"/>
  <c r="AG373" i="3"/>
  <c r="AF373" i="3"/>
  <c r="AE373" i="3"/>
  <c r="AK372" i="3"/>
  <c r="AJ372" i="3"/>
  <c r="AI372" i="3"/>
  <c r="AH372" i="3"/>
  <c r="AG372" i="3"/>
  <c r="AF372" i="3"/>
  <c r="AE372" i="3"/>
  <c r="AK371" i="3"/>
  <c r="AJ371" i="3"/>
  <c r="AI371" i="3"/>
  <c r="AH371" i="3"/>
  <c r="AG371" i="3"/>
  <c r="AF371" i="3"/>
  <c r="AE371" i="3"/>
  <c r="AK370" i="3"/>
  <c r="AJ370" i="3"/>
  <c r="AI370" i="3"/>
  <c r="AH370" i="3"/>
  <c r="AG370" i="3"/>
  <c r="AF370" i="3"/>
  <c r="AE370" i="3"/>
  <c r="AK369" i="3"/>
  <c r="AJ369" i="3"/>
  <c r="AI369" i="3"/>
  <c r="AH369" i="3"/>
  <c r="AG369" i="3"/>
  <c r="AF369" i="3"/>
  <c r="AE369" i="3"/>
  <c r="AK368" i="3"/>
  <c r="AJ368" i="3"/>
  <c r="AI368" i="3"/>
  <c r="AH368" i="3"/>
  <c r="AG368" i="3"/>
  <c r="AF368" i="3"/>
  <c r="AE368" i="3"/>
  <c r="AK367" i="3"/>
  <c r="AJ367" i="3"/>
  <c r="AI367" i="3"/>
  <c r="AH367" i="3"/>
  <c r="AG367" i="3"/>
  <c r="AF367" i="3"/>
  <c r="AE367" i="3"/>
  <c r="AK366" i="3"/>
  <c r="AJ366" i="3"/>
  <c r="AI366" i="3"/>
  <c r="AH366" i="3"/>
  <c r="AG366" i="3"/>
  <c r="AF366" i="3"/>
  <c r="AE366" i="3"/>
  <c r="AK365" i="3"/>
  <c r="AJ365" i="3"/>
  <c r="AI365" i="3"/>
  <c r="AH365" i="3"/>
  <c r="AG365" i="3"/>
  <c r="AF365" i="3"/>
  <c r="AE365" i="3"/>
  <c r="AK364" i="3"/>
  <c r="AJ364" i="3"/>
  <c r="AI364" i="3"/>
  <c r="AH364" i="3"/>
  <c r="AG364" i="3"/>
  <c r="AF364" i="3"/>
  <c r="AE364" i="3"/>
  <c r="AK363" i="3"/>
  <c r="AJ363" i="3"/>
  <c r="AI363" i="3"/>
  <c r="AH363" i="3"/>
  <c r="AG363" i="3"/>
  <c r="AF363" i="3"/>
  <c r="AE363" i="3"/>
  <c r="AK362" i="3"/>
  <c r="AJ362" i="3"/>
  <c r="AI362" i="3"/>
  <c r="AH362" i="3"/>
  <c r="AG362" i="3"/>
  <c r="AF362" i="3"/>
  <c r="AE362" i="3"/>
  <c r="AK361" i="3"/>
  <c r="AJ361" i="3"/>
  <c r="AI361" i="3"/>
  <c r="AH361" i="3"/>
  <c r="AG361" i="3"/>
  <c r="AF361" i="3"/>
  <c r="AE361" i="3"/>
  <c r="AK360" i="3"/>
  <c r="AJ360" i="3"/>
  <c r="AI360" i="3"/>
  <c r="AH360" i="3"/>
  <c r="AG360" i="3"/>
  <c r="AF360" i="3"/>
  <c r="AE360" i="3"/>
  <c r="AK359" i="3"/>
  <c r="AJ359" i="3"/>
  <c r="AI359" i="3"/>
  <c r="AH359" i="3"/>
  <c r="AG359" i="3"/>
  <c r="AF359" i="3"/>
  <c r="AE359" i="3"/>
  <c r="AK358" i="3"/>
  <c r="AJ358" i="3"/>
  <c r="AI358" i="3"/>
  <c r="AH358" i="3"/>
  <c r="AG358" i="3"/>
  <c r="AF358" i="3"/>
  <c r="AE358" i="3"/>
  <c r="AK357" i="3"/>
  <c r="AJ357" i="3"/>
  <c r="AI357" i="3"/>
  <c r="AH357" i="3"/>
  <c r="AG357" i="3"/>
  <c r="AF357" i="3"/>
  <c r="AE357" i="3"/>
  <c r="AK356" i="3"/>
  <c r="AJ356" i="3"/>
  <c r="AI356" i="3"/>
  <c r="AH356" i="3"/>
  <c r="AG356" i="3"/>
  <c r="AF356" i="3"/>
  <c r="AE356" i="3"/>
  <c r="AK355" i="3"/>
  <c r="AJ355" i="3"/>
  <c r="AI355" i="3"/>
  <c r="AH355" i="3"/>
  <c r="AG355" i="3"/>
  <c r="AF355" i="3"/>
  <c r="AE355" i="3"/>
  <c r="AK354" i="3"/>
  <c r="AJ354" i="3"/>
  <c r="AI354" i="3"/>
  <c r="AH354" i="3"/>
  <c r="AG354" i="3"/>
  <c r="AF354" i="3"/>
  <c r="AE354" i="3"/>
  <c r="AK353" i="3"/>
  <c r="AJ353" i="3"/>
  <c r="AI353" i="3"/>
  <c r="AH353" i="3"/>
  <c r="AG353" i="3"/>
  <c r="AF353" i="3"/>
  <c r="AE353" i="3"/>
  <c r="AK352" i="3"/>
  <c r="AJ352" i="3"/>
  <c r="AI352" i="3"/>
  <c r="AH352" i="3"/>
  <c r="AG352" i="3"/>
  <c r="AF352" i="3"/>
  <c r="AE352" i="3"/>
  <c r="AK351" i="3"/>
  <c r="AJ351" i="3"/>
  <c r="AI351" i="3"/>
  <c r="AH351" i="3"/>
  <c r="AG351" i="3"/>
  <c r="AF351" i="3"/>
  <c r="AE351" i="3"/>
  <c r="AK350" i="3"/>
  <c r="AJ350" i="3"/>
  <c r="AI350" i="3"/>
  <c r="AH350" i="3"/>
  <c r="AG350" i="3"/>
  <c r="AF350" i="3"/>
  <c r="AE350" i="3"/>
  <c r="AK349" i="3"/>
  <c r="AJ349" i="3"/>
  <c r="AI349" i="3"/>
  <c r="AH349" i="3"/>
  <c r="AG349" i="3"/>
  <c r="AF349" i="3"/>
  <c r="AE349" i="3"/>
  <c r="AK348" i="3"/>
  <c r="AJ348" i="3"/>
  <c r="AI348" i="3"/>
  <c r="AH348" i="3"/>
  <c r="AG348" i="3"/>
  <c r="AF348" i="3"/>
  <c r="AE348" i="3"/>
  <c r="AK347" i="3"/>
  <c r="AJ347" i="3"/>
  <c r="AI347" i="3"/>
  <c r="AH347" i="3"/>
  <c r="AG347" i="3"/>
  <c r="AF347" i="3"/>
  <c r="AE347" i="3"/>
  <c r="AK346" i="3"/>
  <c r="AJ346" i="3"/>
  <c r="AI346" i="3"/>
  <c r="AH346" i="3"/>
  <c r="AG346" i="3"/>
  <c r="AF346" i="3"/>
  <c r="AE346" i="3"/>
  <c r="AK345" i="3"/>
  <c r="AJ345" i="3"/>
  <c r="AI345" i="3"/>
  <c r="AH345" i="3"/>
  <c r="AG345" i="3"/>
  <c r="AF345" i="3"/>
  <c r="AE345" i="3"/>
  <c r="AK344" i="3"/>
  <c r="AJ344" i="3"/>
  <c r="AI344" i="3"/>
  <c r="AH344" i="3"/>
  <c r="AG344" i="3"/>
  <c r="AF344" i="3"/>
  <c r="AE344" i="3"/>
  <c r="AK343" i="3"/>
  <c r="AJ343" i="3"/>
  <c r="AI343" i="3"/>
  <c r="AH343" i="3"/>
  <c r="AG343" i="3"/>
  <c r="AF343" i="3"/>
  <c r="AE343" i="3"/>
  <c r="AK342" i="3"/>
  <c r="AJ342" i="3"/>
  <c r="AI342" i="3"/>
  <c r="AH342" i="3"/>
  <c r="AG342" i="3"/>
  <c r="AF342" i="3"/>
  <c r="AE342" i="3"/>
  <c r="AK341" i="3"/>
  <c r="AJ341" i="3"/>
  <c r="AI341" i="3"/>
  <c r="AH341" i="3"/>
  <c r="AG341" i="3"/>
  <c r="AF341" i="3"/>
  <c r="AE341" i="3"/>
  <c r="AK340" i="3"/>
  <c r="AJ340" i="3"/>
  <c r="AI340" i="3"/>
  <c r="AH340" i="3"/>
  <c r="AG340" i="3"/>
  <c r="AF340" i="3"/>
  <c r="AE340" i="3"/>
  <c r="AK339" i="3"/>
  <c r="AJ339" i="3"/>
  <c r="AI339" i="3"/>
  <c r="AH339" i="3"/>
  <c r="AG339" i="3"/>
  <c r="AF339" i="3"/>
  <c r="AE339" i="3"/>
  <c r="AK338" i="3"/>
  <c r="AJ338" i="3"/>
  <c r="AI338" i="3"/>
  <c r="AH338" i="3"/>
  <c r="AG338" i="3"/>
  <c r="AF338" i="3"/>
  <c r="AE338" i="3"/>
  <c r="AK337" i="3"/>
  <c r="AJ337" i="3"/>
  <c r="AI337" i="3"/>
  <c r="AH337" i="3"/>
  <c r="AG337" i="3"/>
  <c r="AF337" i="3"/>
  <c r="AE337" i="3"/>
  <c r="AK336" i="3"/>
  <c r="AJ336" i="3"/>
  <c r="AI336" i="3"/>
  <c r="AH336" i="3"/>
  <c r="AG336" i="3"/>
  <c r="AF336" i="3"/>
  <c r="AE336" i="3"/>
  <c r="AK335" i="3"/>
  <c r="AJ335" i="3"/>
  <c r="AI335" i="3"/>
  <c r="AH335" i="3"/>
  <c r="AG335" i="3"/>
  <c r="AF335" i="3"/>
  <c r="AE335" i="3"/>
  <c r="AK334" i="3"/>
  <c r="AJ334" i="3"/>
  <c r="AI334" i="3"/>
  <c r="AH334" i="3"/>
  <c r="AG334" i="3"/>
  <c r="AF334" i="3"/>
  <c r="AE334" i="3"/>
  <c r="AK333" i="3"/>
  <c r="AJ333" i="3"/>
  <c r="AI333" i="3"/>
  <c r="AH333" i="3"/>
  <c r="AG333" i="3"/>
  <c r="AF333" i="3"/>
  <c r="AE333" i="3"/>
  <c r="AK332" i="3"/>
  <c r="AJ332" i="3"/>
  <c r="AI332" i="3"/>
  <c r="AH332" i="3"/>
  <c r="AG332" i="3"/>
  <c r="AF332" i="3"/>
  <c r="AE332" i="3"/>
  <c r="AK331" i="3"/>
  <c r="AJ331" i="3"/>
  <c r="AI331" i="3"/>
  <c r="AH331" i="3"/>
  <c r="AG331" i="3"/>
  <c r="AF331" i="3"/>
  <c r="AE331" i="3"/>
  <c r="AK330" i="3"/>
  <c r="AJ330" i="3"/>
  <c r="AI330" i="3"/>
  <c r="AH330" i="3"/>
  <c r="AG330" i="3"/>
  <c r="AF330" i="3"/>
  <c r="AE330" i="3"/>
  <c r="AK329" i="3"/>
  <c r="AJ329" i="3"/>
  <c r="AI329" i="3"/>
  <c r="AH329" i="3"/>
  <c r="AG329" i="3"/>
  <c r="AF329" i="3"/>
  <c r="AE329" i="3"/>
  <c r="AK328" i="3"/>
  <c r="AJ328" i="3"/>
  <c r="AI328" i="3"/>
  <c r="AH328" i="3"/>
  <c r="AG328" i="3"/>
  <c r="AF328" i="3"/>
  <c r="AE328" i="3"/>
  <c r="AK327" i="3"/>
  <c r="AJ327" i="3"/>
  <c r="AI327" i="3"/>
  <c r="AH327" i="3"/>
  <c r="AG327" i="3"/>
  <c r="AF327" i="3"/>
  <c r="AE327" i="3"/>
  <c r="AK326" i="3"/>
  <c r="AJ326" i="3"/>
  <c r="AI326" i="3"/>
  <c r="AH326" i="3"/>
  <c r="AG326" i="3"/>
  <c r="AF326" i="3"/>
  <c r="AE326" i="3"/>
  <c r="AK325" i="3"/>
  <c r="AJ325" i="3"/>
  <c r="AI325" i="3"/>
  <c r="AH325" i="3"/>
  <c r="AG325" i="3"/>
  <c r="AF325" i="3"/>
  <c r="AE325" i="3"/>
  <c r="AK324" i="3"/>
  <c r="AJ324" i="3"/>
  <c r="AI324" i="3"/>
  <c r="AH324" i="3"/>
  <c r="AG324" i="3"/>
  <c r="AF324" i="3"/>
  <c r="AE324" i="3"/>
  <c r="AK323" i="3"/>
  <c r="AJ323" i="3"/>
  <c r="AI323" i="3"/>
  <c r="AH323" i="3"/>
  <c r="AG323" i="3"/>
  <c r="AF323" i="3"/>
  <c r="AE323" i="3"/>
  <c r="AK322" i="3"/>
  <c r="AJ322" i="3"/>
  <c r="AI322" i="3"/>
  <c r="AH322" i="3"/>
  <c r="AG322" i="3"/>
  <c r="AF322" i="3"/>
  <c r="AE322" i="3"/>
  <c r="AK321" i="3"/>
  <c r="AJ321" i="3"/>
  <c r="AI321" i="3"/>
  <c r="AH321" i="3"/>
  <c r="AG321" i="3"/>
  <c r="AF321" i="3"/>
  <c r="AE321" i="3"/>
  <c r="AK320" i="3"/>
  <c r="AJ320" i="3"/>
  <c r="AI320" i="3"/>
  <c r="AH320" i="3"/>
  <c r="AG320" i="3"/>
  <c r="AF320" i="3"/>
  <c r="AE320" i="3"/>
  <c r="AK319" i="3"/>
  <c r="AJ319" i="3"/>
  <c r="AI319" i="3"/>
  <c r="AH319" i="3"/>
  <c r="AG319" i="3"/>
  <c r="AF319" i="3"/>
  <c r="AE319" i="3"/>
  <c r="AK318" i="3"/>
  <c r="AJ318" i="3"/>
  <c r="AI318" i="3"/>
  <c r="AH318" i="3"/>
  <c r="AG318" i="3"/>
  <c r="AF318" i="3"/>
  <c r="AE318" i="3"/>
  <c r="AK317" i="3"/>
  <c r="AJ317" i="3"/>
  <c r="AI317" i="3"/>
  <c r="AH317" i="3"/>
  <c r="AG317" i="3"/>
  <c r="AF317" i="3"/>
  <c r="AE317" i="3"/>
  <c r="AK316" i="3"/>
  <c r="AJ316" i="3"/>
  <c r="AI316" i="3"/>
  <c r="AH316" i="3"/>
  <c r="AG316" i="3"/>
  <c r="AF316" i="3"/>
  <c r="AE316" i="3"/>
  <c r="AK315" i="3"/>
  <c r="AJ315" i="3"/>
  <c r="AI315" i="3"/>
  <c r="AH315" i="3"/>
  <c r="AG315" i="3"/>
  <c r="AF315" i="3"/>
  <c r="AE315" i="3"/>
  <c r="AK314" i="3"/>
  <c r="AJ314" i="3"/>
  <c r="AI314" i="3"/>
  <c r="AH314" i="3"/>
  <c r="AG314" i="3"/>
  <c r="AF314" i="3"/>
  <c r="AE314" i="3"/>
  <c r="AK313" i="3"/>
  <c r="AJ313" i="3"/>
  <c r="AI313" i="3"/>
  <c r="AH313" i="3"/>
  <c r="AG313" i="3"/>
  <c r="AF313" i="3"/>
  <c r="AE313" i="3"/>
  <c r="AK312" i="3"/>
  <c r="AJ312" i="3"/>
  <c r="AI312" i="3"/>
  <c r="AH312" i="3"/>
  <c r="AG312" i="3"/>
  <c r="AF312" i="3"/>
  <c r="AE312" i="3"/>
  <c r="AK311" i="3"/>
  <c r="AJ311" i="3"/>
  <c r="AI311" i="3"/>
  <c r="AH311" i="3"/>
  <c r="AG311" i="3"/>
  <c r="AF311" i="3"/>
  <c r="AE311" i="3"/>
  <c r="AK310" i="3"/>
  <c r="AJ310" i="3"/>
  <c r="AI310" i="3"/>
  <c r="AH310" i="3"/>
  <c r="AG310" i="3"/>
  <c r="AF310" i="3"/>
  <c r="AE310" i="3"/>
  <c r="AK309" i="3"/>
  <c r="AJ309" i="3"/>
  <c r="AI309" i="3"/>
  <c r="AH309" i="3"/>
  <c r="AG309" i="3"/>
  <c r="AF309" i="3"/>
  <c r="AE309" i="3"/>
  <c r="AK308" i="3"/>
  <c r="AJ308" i="3"/>
  <c r="AI308" i="3"/>
  <c r="AH308" i="3"/>
  <c r="AG308" i="3"/>
  <c r="AF308" i="3"/>
  <c r="AE308" i="3"/>
  <c r="AK307" i="3"/>
  <c r="AJ307" i="3"/>
  <c r="AI307" i="3"/>
  <c r="AH307" i="3"/>
  <c r="AG307" i="3"/>
  <c r="AF307" i="3"/>
  <c r="AE307" i="3"/>
  <c r="AK306" i="3"/>
  <c r="AJ306" i="3"/>
  <c r="AI306" i="3"/>
  <c r="AH306" i="3"/>
  <c r="AG306" i="3"/>
  <c r="AF306" i="3"/>
  <c r="AE306" i="3"/>
  <c r="AK305" i="3"/>
  <c r="AJ305" i="3"/>
  <c r="AI305" i="3"/>
  <c r="AH305" i="3"/>
  <c r="AG305" i="3"/>
  <c r="AF305" i="3"/>
  <c r="AE305" i="3"/>
  <c r="AK304" i="3"/>
  <c r="AJ304" i="3"/>
  <c r="AI304" i="3"/>
  <c r="AH304" i="3"/>
  <c r="AG304" i="3"/>
  <c r="AF304" i="3"/>
  <c r="AE304" i="3"/>
  <c r="AK303" i="3"/>
  <c r="AJ303" i="3"/>
  <c r="AI303" i="3"/>
  <c r="AH303" i="3"/>
  <c r="AG303" i="3"/>
  <c r="AF303" i="3"/>
  <c r="AE303" i="3"/>
  <c r="AK302" i="3"/>
  <c r="AJ302" i="3"/>
  <c r="AI302" i="3"/>
  <c r="AH302" i="3"/>
  <c r="AG302" i="3"/>
  <c r="AF302" i="3"/>
  <c r="AE302" i="3"/>
  <c r="AK301" i="3"/>
  <c r="AJ301" i="3"/>
  <c r="AI301" i="3"/>
  <c r="AH301" i="3"/>
  <c r="AG301" i="3"/>
  <c r="AF301" i="3"/>
  <c r="AE301" i="3"/>
  <c r="AK300" i="3"/>
  <c r="AJ300" i="3"/>
  <c r="AI300" i="3"/>
  <c r="AH300" i="3"/>
  <c r="AG300" i="3"/>
  <c r="AF300" i="3"/>
  <c r="AE300" i="3"/>
  <c r="AK299" i="3"/>
  <c r="AJ299" i="3"/>
  <c r="AI299" i="3"/>
  <c r="AH299" i="3"/>
  <c r="AG299" i="3"/>
  <c r="AF299" i="3"/>
  <c r="AE299" i="3"/>
  <c r="AK298" i="3"/>
  <c r="AJ298" i="3"/>
  <c r="AI298" i="3"/>
  <c r="AH298" i="3"/>
  <c r="AG298" i="3"/>
  <c r="AF298" i="3"/>
  <c r="AE298" i="3"/>
  <c r="AK297" i="3"/>
  <c r="AJ297" i="3"/>
  <c r="AI297" i="3"/>
  <c r="AH297" i="3"/>
  <c r="AG297" i="3"/>
  <c r="AF297" i="3"/>
  <c r="AE297" i="3"/>
  <c r="AK296" i="3"/>
  <c r="AJ296" i="3"/>
  <c r="AI296" i="3"/>
  <c r="AH296" i="3"/>
  <c r="AG296" i="3"/>
  <c r="AF296" i="3"/>
  <c r="AE296" i="3"/>
  <c r="AK295" i="3"/>
  <c r="AJ295" i="3"/>
  <c r="AI295" i="3"/>
  <c r="AH295" i="3"/>
  <c r="AG295" i="3"/>
  <c r="AF295" i="3"/>
  <c r="AE295" i="3"/>
  <c r="AK294" i="3"/>
  <c r="AJ294" i="3"/>
  <c r="AI294" i="3"/>
  <c r="AH294" i="3"/>
  <c r="AG294" i="3"/>
  <c r="AF294" i="3"/>
  <c r="AE294" i="3"/>
  <c r="AK293" i="3"/>
  <c r="AJ293" i="3"/>
  <c r="AI293" i="3"/>
  <c r="AH293" i="3"/>
  <c r="AG293" i="3"/>
  <c r="AF293" i="3"/>
  <c r="AE293" i="3"/>
  <c r="AK292" i="3"/>
  <c r="AJ292" i="3"/>
  <c r="AI292" i="3"/>
  <c r="AH292" i="3"/>
  <c r="AG292" i="3"/>
  <c r="AF292" i="3"/>
  <c r="AE292" i="3"/>
  <c r="AK291" i="3"/>
  <c r="AJ291" i="3"/>
  <c r="AI291" i="3"/>
  <c r="AH291" i="3"/>
  <c r="AG291" i="3"/>
  <c r="AF291" i="3"/>
  <c r="AE291" i="3"/>
  <c r="AK290" i="3"/>
  <c r="AJ290" i="3"/>
  <c r="AI290" i="3"/>
  <c r="AH290" i="3"/>
  <c r="AG290" i="3"/>
  <c r="AF290" i="3"/>
  <c r="AE290" i="3"/>
  <c r="AK289" i="3"/>
  <c r="AJ289" i="3"/>
  <c r="AI289" i="3"/>
  <c r="AH289" i="3"/>
  <c r="AG289" i="3"/>
  <c r="AF289" i="3"/>
  <c r="AE289" i="3"/>
  <c r="AK288" i="3"/>
  <c r="AJ288" i="3"/>
  <c r="AI288" i="3"/>
  <c r="AH288" i="3"/>
  <c r="AG288" i="3"/>
  <c r="AF288" i="3"/>
  <c r="AE288" i="3"/>
  <c r="AK287" i="3"/>
  <c r="AJ287" i="3"/>
  <c r="AI287" i="3"/>
  <c r="AH287" i="3"/>
  <c r="AG287" i="3"/>
  <c r="AF287" i="3"/>
  <c r="AE287" i="3"/>
  <c r="AK286" i="3"/>
  <c r="AJ286" i="3"/>
  <c r="AI286" i="3"/>
  <c r="AH286" i="3"/>
  <c r="AG286" i="3"/>
  <c r="AF286" i="3"/>
  <c r="AE286" i="3"/>
  <c r="AK285" i="3"/>
  <c r="AJ285" i="3"/>
  <c r="AI285" i="3"/>
  <c r="AH285" i="3"/>
  <c r="AG285" i="3"/>
  <c r="AF285" i="3"/>
  <c r="AE285" i="3"/>
  <c r="AK284" i="3"/>
  <c r="AJ284" i="3"/>
  <c r="AI284" i="3"/>
  <c r="AH284" i="3"/>
  <c r="AG284" i="3"/>
  <c r="AF284" i="3"/>
  <c r="AE284" i="3"/>
  <c r="AK283" i="3"/>
  <c r="AJ283" i="3"/>
  <c r="AI283" i="3"/>
  <c r="AH283" i="3"/>
  <c r="AG283" i="3"/>
  <c r="AF283" i="3"/>
  <c r="AE283" i="3"/>
  <c r="AK282" i="3"/>
  <c r="AJ282" i="3"/>
  <c r="AI282" i="3"/>
  <c r="AH282" i="3"/>
  <c r="AG282" i="3"/>
  <c r="AF282" i="3"/>
  <c r="AE282" i="3"/>
  <c r="AK281" i="3"/>
  <c r="AJ281" i="3"/>
  <c r="AI281" i="3"/>
  <c r="AH281" i="3"/>
  <c r="AG281" i="3"/>
  <c r="AF281" i="3"/>
  <c r="AE281" i="3"/>
  <c r="AK280" i="3"/>
  <c r="AJ280" i="3"/>
  <c r="AI280" i="3"/>
  <c r="AH280" i="3"/>
  <c r="AG280" i="3"/>
  <c r="AF280" i="3"/>
  <c r="AE280" i="3"/>
  <c r="AK279" i="3"/>
  <c r="AJ279" i="3"/>
  <c r="AI279" i="3"/>
  <c r="AH279" i="3"/>
  <c r="AG279" i="3"/>
  <c r="AF279" i="3"/>
  <c r="AE279" i="3"/>
  <c r="AK278" i="3"/>
  <c r="AJ278" i="3"/>
  <c r="AI278" i="3"/>
  <c r="AH278" i="3"/>
  <c r="AG278" i="3"/>
  <c r="AF278" i="3"/>
  <c r="AE278" i="3"/>
  <c r="AK277" i="3"/>
  <c r="AJ277" i="3"/>
  <c r="AI277" i="3"/>
  <c r="AH277" i="3"/>
  <c r="AG277" i="3"/>
  <c r="AF277" i="3"/>
  <c r="AE277" i="3"/>
  <c r="AK276" i="3"/>
  <c r="AJ276" i="3"/>
  <c r="AI276" i="3"/>
  <c r="AH276" i="3"/>
  <c r="AG276" i="3"/>
  <c r="AF276" i="3"/>
  <c r="AE276" i="3"/>
  <c r="AK275" i="3"/>
  <c r="AJ275" i="3"/>
  <c r="AI275" i="3"/>
  <c r="AH275" i="3"/>
  <c r="AG275" i="3"/>
  <c r="AF275" i="3"/>
  <c r="AE275" i="3"/>
  <c r="AK274" i="3"/>
  <c r="AJ274" i="3"/>
  <c r="AI274" i="3"/>
  <c r="AH274" i="3"/>
  <c r="AG274" i="3"/>
  <c r="AF274" i="3"/>
  <c r="AE274" i="3"/>
  <c r="AK273" i="3"/>
  <c r="AJ273" i="3"/>
  <c r="AI273" i="3"/>
  <c r="AH273" i="3"/>
  <c r="AG273" i="3"/>
  <c r="AF273" i="3"/>
  <c r="AE273" i="3"/>
  <c r="AK272" i="3"/>
  <c r="AJ272" i="3"/>
  <c r="AI272" i="3"/>
  <c r="AH272" i="3"/>
  <c r="AG272" i="3"/>
  <c r="AF272" i="3"/>
  <c r="AE272" i="3"/>
  <c r="AK271" i="3"/>
  <c r="AJ271" i="3"/>
  <c r="AI271" i="3"/>
  <c r="AH271" i="3"/>
  <c r="AG271" i="3"/>
  <c r="AF271" i="3"/>
  <c r="AE271" i="3"/>
  <c r="AK270" i="3"/>
  <c r="AJ270" i="3"/>
  <c r="AI270" i="3"/>
  <c r="AH270" i="3"/>
  <c r="AG270" i="3"/>
  <c r="AF270" i="3"/>
  <c r="AE270" i="3"/>
  <c r="AK269" i="3"/>
  <c r="AJ269" i="3"/>
  <c r="AI269" i="3"/>
  <c r="AH269" i="3"/>
  <c r="AG269" i="3"/>
  <c r="AF269" i="3"/>
  <c r="AE269" i="3"/>
  <c r="AK268" i="3"/>
  <c r="AJ268" i="3"/>
  <c r="AI268" i="3"/>
  <c r="AH268" i="3"/>
  <c r="AG268" i="3"/>
  <c r="AF268" i="3"/>
  <c r="AE268" i="3"/>
  <c r="AK267" i="3"/>
  <c r="AJ267" i="3"/>
  <c r="AI267" i="3"/>
  <c r="AH267" i="3"/>
  <c r="AG267" i="3"/>
  <c r="AF267" i="3"/>
  <c r="AE267" i="3"/>
  <c r="AK266" i="3"/>
  <c r="AJ266" i="3"/>
  <c r="AI266" i="3"/>
  <c r="AH266" i="3"/>
  <c r="AG266" i="3"/>
  <c r="AF266" i="3"/>
  <c r="AE266" i="3"/>
  <c r="AK265" i="3"/>
  <c r="AJ265" i="3"/>
  <c r="AI265" i="3"/>
  <c r="AH265" i="3"/>
  <c r="AG265" i="3"/>
  <c r="AF265" i="3"/>
  <c r="AE265" i="3"/>
  <c r="AK264" i="3"/>
  <c r="AJ264" i="3"/>
  <c r="AI264" i="3"/>
  <c r="AH264" i="3"/>
  <c r="AG264" i="3"/>
  <c r="AF264" i="3"/>
  <c r="AE264" i="3"/>
  <c r="AK263" i="3"/>
  <c r="AJ263" i="3"/>
  <c r="AI263" i="3"/>
  <c r="AH263" i="3"/>
  <c r="AG263" i="3"/>
  <c r="AF263" i="3"/>
  <c r="AE263" i="3"/>
  <c r="AK262" i="3"/>
  <c r="AJ262" i="3"/>
  <c r="AI262" i="3"/>
  <c r="AH262" i="3"/>
  <c r="AG262" i="3"/>
  <c r="AF262" i="3"/>
  <c r="AE262" i="3"/>
  <c r="AK261" i="3"/>
  <c r="AJ261" i="3"/>
  <c r="AI261" i="3"/>
  <c r="AH261" i="3"/>
  <c r="AG261" i="3"/>
  <c r="AF261" i="3"/>
  <c r="AE261" i="3"/>
  <c r="AK260" i="3"/>
  <c r="AJ260" i="3"/>
  <c r="AI260" i="3"/>
  <c r="AH260" i="3"/>
  <c r="AG260" i="3"/>
  <c r="AF260" i="3"/>
  <c r="AE260" i="3"/>
  <c r="AK259" i="3"/>
  <c r="AJ259" i="3"/>
  <c r="AI259" i="3"/>
  <c r="AH259" i="3"/>
  <c r="AG259" i="3"/>
  <c r="AF259" i="3"/>
  <c r="AE259" i="3"/>
  <c r="AK258" i="3"/>
  <c r="AJ258" i="3"/>
  <c r="AI258" i="3"/>
  <c r="AH258" i="3"/>
  <c r="AG258" i="3"/>
  <c r="AF258" i="3"/>
  <c r="AE258" i="3"/>
  <c r="AK257" i="3"/>
  <c r="AJ257" i="3"/>
  <c r="AI257" i="3"/>
  <c r="AH257" i="3"/>
  <c r="AG257" i="3"/>
  <c r="AF257" i="3"/>
  <c r="AE257" i="3"/>
  <c r="AK256" i="3"/>
  <c r="AJ256" i="3"/>
  <c r="AI256" i="3"/>
  <c r="AH256" i="3"/>
  <c r="AG256" i="3"/>
  <c r="AF256" i="3"/>
  <c r="AE256" i="3"/>
  <c r="AK255" i="3"/>
  <c r="AJ255" i="3"/>
  <c r="AI255" i="3"/>
  <c r="AH255" i="3"/>
  <c r="AG255" i="3"/>
  <c r="AF255" i="3"/>
  <c r="AE255" i="3"/>
  <c r="AK254" i="3"/>
  <c r="AJ254" i="3"/>
  <c r="AI254" i="3"/>
  <c r="AH254" i="3"/>
  <c r="AG254" i="3"/>
  <c r="AF254" i="3"/>
  <c r="AE254" i="3"/>
  <c r="AK253" i="3"/>
  <c r="AJ253" i="3"/>
  <c r="AI253" i="3"/>
  <c r="AH253" i="3"/>
  <c r="AG253" i="3"/>
  <c r="AF253" i="3"/>
  <c r="AE253" i="3"/>
  <c r="AK252" i="3"/>
  <c r="AJ252" i="3"/>
  <c r="AI252" i="3"/>
  <c r="AH252" i="3"/>
  <c r="AG252" i="3"/>
  <c r="AF252" i="3"/>
  <c r="AE252" i="3"/>
  <c r="AK251" i="3"/>
  <c r="AJ251" i="3"/>
  <c r="AI251" i="3"/>
  <c r="AH251" i="3"/>
  <c r="AG251" i="3"/>
  <c r="AF251" i="3"/>
  <c r="AE251" i="3"/>
  <c r="AK250" i="3"/>
  <c r="AJ250" i="3"/>
  <c r="AI250" i="3"/>
  <c r="AH250" i="3"/>
  <c r="AG250" i="3"/>
  <c r="AF250" i="3"/>
  <c r="AE250" i="3"/>
  <c r="AK249" i="3"/>
  <c r="AJ249" i="3"/>
  <c r="AI249" i="3"/>
  <c r="AH249" i="3"/>
  <c r="AG249" i="3"/>
  <c r="AF249" i="3"/>
  <c r="AE249" i="3"/>
  <c r="AK248" i="3"/>
  <c r="AJ248" i="3"/>
  <c r="AI248" i="3"/>
  <c r="AH248" i="3"/>
  <c r="AG248" i="3"/>
  <c r="AF248" i="3"/>
  <c r="AE248" i="3"/>
  <c r="AK247" i="3"/>
  <c r="AJ247" i="3"/>
  <c r="AI247" i="3"/>
  <c r="AH247" i="3"/>
  <c r="AG247" i="3"/>
  <c r="AF247" i="3"/>
  <c r="AE247" i="3"/>
  <c r="AK246" i="3"/>
  <c r="AJ246" i="3"/>
  <c r="AI246" i="3"/>
  <c r="AH246" i="3"/>
  <c r="AG246" i="3"/>
  <c r="AF246" i="3"/>
  <c r="AE246" i="3"/>
  <c r="AK245" i="3"/>
  <c r="AJ245" i="3"/>
  <c r="AI245" i="3"/>
  <c r="AH245" i="3"/>
  <c r="AG245" i="3"/>
  <c r="AF245" i="3"/>
  <c r="AE245" i="3"/>
  <c r="AK244" i="3"/>
  <c r="AJ244" i="3"/>
  <c r="AI244" i="3"/>
  <c r="AH244" i="3"/>
  <c r="AG244" i="3"/>
  <c r="AF244" i="3"/>
  <c r="AE244" i="3"/>
  <c r="AK243" i="3"/>
  <c r="AJ243" i="3"/>
  <c r="AI243" i="3"/>
  <c r="AH243" i="3"/>
  <c r="AG243" i="3"/>
  <c r="AF243" i="3"/>
  <c r="AE243" i="3"/>
  <c r="AK242" i="3"/>
  <c r="AJ242" i="3"/>
  <c r="AI242" i="3"/>
  <c r="AH242" i="3"/>
  <c r="AG242" i="3"/>
  <c r="AF242" i="3"/>
  <c r="AE242" i="3"/>
  <c r="AK241" i="3"/>
  <c r="AJ241" i="3"/>
  <c r="AI241" i="3"/>
  <c r="AH241" i="3"/>
  <c r="AG241" i="3"/>
  <c r="AF241" i="3"/>
  <c r="AE241" i="3"/>
  <c r="AK240" i="3"/>
  <c r="AJ240" i="3"/>
  <c r="AI240" i="3"/>
  <c r="AH240" i="3"/>
  <c r="AG240" i="3"/>
  <c r="AF240" i="3"/>
  <c r="AE240" i="3"/>
  <c r="AK239" i="3"/>
  <c r="AJ239" i="3"/>
  <c r="AI239" i="3"/>
  <c r="AH239" i="3"/>
  <c r="AG239" i="3"/>
  <c r="AF239" i="3"/>
  <c r="AE239" i="3"/>
  <c r="AK238" i="3"/>
  <c r="AJ238" i="3"/>
  <c r="AI238" i="3"/>
  <c r="AH238" i="3"/>
  <c r="AG238" i="3"/>
  <c r="AF238" i="3"/>
  <c r="AE238" i="3"/>
  <c r="AK237" i="3"/>
  <c r="AJ237" i="3"/>
  <c r="AI237" i="3"/>
  <c r="AH237" i="3"/>
  <c r="AG237" i="3"/>
  <c r="AF237" i="3"/>
  <c r="AE237" i="3"/>
  <c r="AK236" i="3"/>
  <c r="AJ236" i="3"/>
  <c r="AI236" i="3"/>
  <c r="AH236" i="3"/>
  <c r="AG236" i="3"/>
  <c r="AF236" i="3"/>
  <c r="AE236" i="3"/>
  <c r="AK235" i="3"/>
  <c r="AJ235" i="3"/>
  <c r="AI235" i="3"/>
  <c r="AH235" i="3"/>
  <c r="AG235" i="3"/>
  <c r="AF235" i="3"/>
  <c r="AE235" i="3"/>
  <c r="AK234" i="3"/>
  <c r="AJ234" i="3"/>
  <c r="AI234" i="3"/>
  <c r="AH234" i="3"/>
  <c r="AG234" i="3"/>
  <c r="AF234" i="3"/>
  <c r="AE234" i="3"/>
  <c r="AK233" i="3"/>
  <c r="AJ233" i="3"/>
  <c r="AI233" i="3"/>
  <c r="AH233" i="3"/>
  <c r="AG233" i="3"/>
  <c r="AF233" i="3"/>
  <c r="AE233" i="3"/>
  <c r="AK232" i="3"/>
  <c r="AJ232" i="3"/>
  <c r="AI232" i="3"/>
  <c r="AH232" i="3"/>
  <c r="AG232" i="3"/>
  <c r="AF232" i="3"/>
  <c r="AE232" i="3"/>
  <c r="AK231" i="3"/>
  <c r="AJ231" i="3"/>
  <c r="AI231" i="3"/>
  <c r="AH231" i="3"/>
  <c r="AG231" i="3"/>
  <c r="AF231" i="3"/>
  <c r="AE231" i="3"/>
  <c r="AK230" i="3"/>
  <c r="AJ230" i="3"/>
  <c r="AI230" i="3"/>
  <c r="AH230" i="3"/>
  <c r="AG230" i="3"/>
  <c r="AF230" i="3"/>
  <c r="AE230" i="3"/>
  <c r="AK229" i="3"/>
  <c r="AJ229" i="3"/>
  <c r="AI229" i="3"/>
  <c r="AH229" i="3"/>
  <c r="AG229" i="3"/>
  <c r="AF229" i="3"/>
  <c r="AE229" i="3"/>
  <c r="AK228" i="3"/>
  <c r="AJ228" i="3"/>
  <c r="AI228" i="3"/>
  <c r="AH228" i="3"/>
  <c r="AG228" i="3"/>
  <c r="AF228" i="3"/>
  <c r="AE228" i="3"/>
  <c r="AK227" i="3"/>
  <c r="AJ227" i="3"/>
  <c r="AI227" i="3"/>
  <c r="AH227" i="3"/>
  <c r="AG227" i="3"/>
  <c r="AF227" i="3"/>
  <c r="AE227" i="3"/>
  <c r="AK226" i="3"/>
  <c r="AJ226" i="3"/>
  <c r="AI226" i="3"/>
  <c r="AH226" i="3"/>
  <c r="AG226" i="3"/>
  <c r="AF226" i="3"/>
  <c r="AE226" i="3"/>
  <c r="AK225" i="3"/>
  <c r="AJ225" i="3"/>
  <c r="AI225" i="3"/>
  <c r="AH225" i="3"/>
  <c r="AG225" i="3"/>
  <c r="AF225" i="3"/>
  <c r="AE225" i="3"/>
  <c r="AK224" i="3"/>
  <c r="AJ224" i="3"/>
  <c r="AI224" i="3"/>
  <c r="AH224" i="3"/>
  <c r="AG224" i="3"/>
  <c r="AF224" i="3"/>
  <c r="AE224" i="3"/>
  <c r="AK223" i="3"/>
  <c r="AJ223" i="3"/>
  <c r="AI223" i="3"/>
  <c r="AH223" i="3"/>
  <c r="AG223" i="3"/>
  <c r="AF223" i="3"/>
  <c r="AE223" i="3"/>
  <c r="AK222" i="3"/>
  <c r="AJ222" i="3"/>
  <c r="AI222" i="3"/>
  <c r="AH222" i="3"/>
  <c r="AG222" i="3"/>
  <c r="AF222" i="3"/>
  <c r="AE222" i="3"/>
  <c r="AK221" i="3"/>
  <c r="AJ221" i="3"/>
  <c r="AI221" i="3"/>
  <c r="AH221" i="3"/>
  <c r="AG221" i="3"/>
  <c r="AF221" i="3"/>
  <c r="AE221" i="3"/>
  <c r="AK220" i="3"/>
  <c r="AJ220" i="3"/>
  <c r="AI220" i="3"/>
  <c r="AH220" i="3"/>
  <c r="AG220" i="3"/>
  <c r="AF220" i="3"/>
  <c r="AE220" i="3"/>
  <c r="AK219" i="3"/>
  <c r="AJ219" i="3"/>
  <c r="AI219" i="3"/>
  <c r="AH219" i="3"/>
  <c r="AG219" i="3"/>
  <c r="AF219" i="3"/>
  <c r="AE219" i="3"/>
  <c r="AK218" i="3"/>
  <c r="AJ218" i="3"/>
  <c r="AI218" i="3"/>
  <c r="AH218" i="3"/>
  <c r="AG218" i="3"/>
  <c r="AF218" i="3"/>
  <c r="AE218" i="3"/>
  <c r="AK217" i="3"/>
  <c r="AJ217" i="3"/>
  <c r="AI217" i="3"/>
  <c r="AH217" i="3"/>
  <c r="AG217" i="3"/>
  <c r="AF217" i="3"/>
  <c r="AE217" i="3"/>
  <c r="AK216" i="3"/>
  <c r="AJ216" i="3"/>
  <c r="AI216" i="3"/>
  <c r="AH216" i="3"/>
  <c r="AG216" i="3"/>
  <c r="AF216" i="3"/>
  <c r="AE216" i="3"/>
  <c r="AK215" i="3"/>
  <c r="AJ215" i="3"/>
  <c r="AI215" i="3"/>
  <c r="AH215" i="3"/>
  <c r="AG215" i="3"/>
  <c r="AF215" i="3"/>
  <c r="AE215" i="3"/>
  <c r="AK214" i="3"/>
  <c r="AJ214" i="3"/>
  <c r="AI214" i="3"/>
  <c r="AH214" i="3"/>
  <c r="AG214" i="3"/>
  <c r="AF214" i="3"/>
  <c r="AE214" i="3"/>
  <c r="AK213" i="3"/>
  <c r="AJ213" i="3"/>
  <c r="AI213" i="3"/>
  <c r="AH213" i="3"/>
  <c r="AG213" i="3"/>
  <c r="AF213" i="3"/>
  <c r="AE213" i="3"/>
  <c r="AK212" i="3"/>
  <c r="AJ212" i="3"/>
  <c r="AI212" i="3"/>
  <c r="AH212" i="3"/>
  <c r="AG212" i="3"/>
  <c r="AF212" i="3"/>
  <c r="AE212" i="3"/>
  <c r="AK211" i="3"/>
  <c r="AJ211" i="3"/>
  <c r="AI211" i="3"/>
  <c r="AH211" i="3"/>
  <c r="AG211" i="3"/>
  <c r="AF211" i="3"/>
  <c r="AE211" i="3"/>
  <c r="AK210" i="3"/>
  <c r="AJ210" i="3"/>
  <c r="AI210" i="3"/>
  <c r="AH210" i="3"/>
  <c r="AG210" i="3"/>
  <c r="AF210" i="3"/>
  <c r="AE210" i="3"/>
  <c r="AK209" i="3"/>
  <c r="AJ209" i="3"/>
  <c r="AI209" i="3"/>
  <c r="AH209" i="3"/>
  <c r="AG209" i="3"/>
  <c r="AF209" i="3"/>
  <c r="AE209" i="3"/>
  <c r="AK208" i="3"/>
  <c r="AJ208" i="3"/>
  <c r="AI208" i="3"/>
  <c r="AH208" i="3"/>
  <c r="AG208" i="3"/>
  <c r="AF208" i="3"/>
  <c r="AE208" i="3"/>
  <c r="AK207" i="3"/>
  <c r="AJ207" i="3"/>
  <c r="AI207" i="3"/>
  <c r="AH207" i="3"/>
  <c r="AG207" i="3"/>
  <c r="AF207" i="3"/>
  <c r="AE207" i="3"/>
  <c r="AK206" i="3"/>
  <c r="AJ206" i="3"/>
  <c r="AI206" i="3"/>
  <c r="AH206" i="3"/>
  <c r="AG206" i="3"/>
  <c r="AF206" i="3"/>
  <c r="AE206" i="3"/>
  <c r="AK205" i="3"/>
  <c r="AJ205" i="3"/>
  <c r="AI205" i="3"/>
  <c r="AH205" i="3"/>
  <c r="AG205" i="3"/>
  <c r="AF205" i="3"/>
  <c r="AE205" i="3"/>
  <c r="AK204" i="3"/>
  <c r="AJ204" i="3"/>
  <c r="AI204" i="3"/>
  <c r="AH204" i="3"/>
  <c r="AG204" i="3"/>
  <c r="AF204" i="3"/>
  <c r="AE204" i="3"/>
  <c r="AK203" i="3"/>
  <c r="AJ203" i="3"/>
  <c r="AI203" i="3"/>
  <c r="AH203" i="3"/>
  <c r="AG203" i="3"/>
  <c r="AF203" i="3"/>
  <c r="AE203" i="3"/>
  <c r="AK202" i="3"/>
  <c r="AJ202" i="3"/>
  <c r="AI202" i="3"/>
  <c r="AH202" i="3"/>
  <c r="AG202" i="3"/>
  <c r="AF202" i="3"/>
  <c r="AE202" i="3"/>
  <c r="AK201" i="3"/>
  <c r="AJ201" i="3"/>
  <c r="AI201" i="3"/>
  <c r="AH201" i="3"/>
  <c r="AG201" i="3"/>
  <c r="AF201" i="3"/>
  <c r="AE201" i="3"/>
  <c r="AK200" i="3"/>
  <c r="AJ200" i="3"/>
  <c r="AI200" i="3"/>
  <c r="AH200" i="3"/>
  <c r="AG200" i="3"/>
  <c r="AF200" i="3"/>
  <c r="AE200" i="3"/>
  <c r="AK199" i="3"/>
  <c r="AJ199" i="3"/>
  <c r="AI199" i="3"/>
  <c r="AH199" i="3"/>
  <c r="AG199" i="3"/>
  <c r="AF199" i="3"/>
  <c r="AE199" i="3"/>
  <c r="AK198" i="3"/>
  <c r="AJ198" i="3"/>
  <c r="AI198" i="3"/>
  <c r="AH198" i="3"/>
  <c r="AG198" i="3"/>
  <c r="AF198" i="3"/>
  <c r="AE198" i="3"/>
  <c r="AK197" i="3"/>
  <c r="AJ197" i="3"/>
  <c r="AI197" i="3"/>
  <c r="AH197" i="3"/>
  <c r="AG197" i="3"/>
  <c r="AF197" i="3"/>
  <c r="AE197" i="3"/>
  <c r="AK196" i="3"/>
  <c r="AJ196" i="3"/>
  <c r="AI196" i="3"/>
  <c r="AH196" i="3"/>
  <c r="AG196" i="3"/>
  <c r="AF196" i="3"/>
  <c r="AE196" i="3"/>
  <c r="AK195" i="3"/>
  <c r="AJ195" i="3"/>
  <c r="AI195" i="3"/>
  <c r="AH195" i="3"/>
  <c r="AG195" i="3"/>
  <c r="AF195" i="3"/>
  <c r="AE195" i="3"/>
  <c r="AK194" i="3"/>
  <c r="AJ194" i="3"/>
  <c r="AI194" i="3"/>
  <c r="AH194" i="3"/>
  <c r="AG194" i="3"/>
  <c r="AF194" i="3"/>
  <c r="AE194" i="3"/>
  <c r="AK193" i="3"/>
  <c r="AJ193" i="3"/>
  <c r="AI193" i="3"/>
  <c r="AH193" i="3"/>
  <c r="AG193" i="3"/>
  <c r="AF193" i="3"/>
  <c r="AE193" i="3"/>
  <c r="AK192" i="3"/>
  <c r="AJ192" i="3"/>
  <c r="AI192" i="3"/>
  <c r="AH192" i="3"/>
  <c r="AG192" i="3"/>
  <c r="AF192" i="3"/>
  <c r="AE192" i="3"/>
  <c r="AK191" i="3"/>
  <c r="AJ191" i="3"/>
  <c r="AI191" i="3"/>
  <c r="AH191" i="3"/>
  <c r="AG191" i="3"/>
  <c r="AF191" i="3"/>
  <c r="AE191" i="3"/>
  <c r="AK190" i="3"/>
  <c r="AJ190" i="3"/>
  <c r="AI190" i="3"/>
  <c r="AH190" i="3"/>
  <c r="AG190" i="3"/>
  <c r="AF190" i="3"/>
  <c r="AE190" i="3"/>
  <c r="AK189" i="3"/>
  <c r="AJ189" i="3"/>
  <c r="AI189" i="3"/>
  <c r="AH189" i="3"/>
  <c r="AG189" i="3"/>
  <c r="AF189" i="3"/>
  <c r="AE189" i="3"/>
  <c r="AK188" i="3"/>
  <c r="AJ188" i="3"/>
  <c r="AI188" i="3"/>
  <c r="AH188" i="3"/>
  <c r="AG188" i="3"/>
  <c r="AF188" i="3"/>
  <c r="AE188" i="3"/>
  <c r="AK187" i="3"/>
  <c r="AJ187" i="3"/>
  <c r="AI187" i="3"/>
  <c r="AH187" i="3"/>
  <c r="AG187" i="3"/>
  <c r="AF187" i="3"/>
  <c r="AE187" i="3"/>
  <c r="AK186" i="3"/>
  <c r="AJ186" i="3"/>
  <c r="AI186" i="3"/>
  <c r="AH186" i="3"/>
  <c r="AG186" i="3"/>
  <c r="AF186" i="3"/>
  <c r="AE186" i="3"/>
  <c r="AK185" i="3"/>
  <c r="AJ185" i="3"/>
  <c r="AI185" i="3"/>
  <c r="AH185" i="3"/>
  <c r="AG185" i="3"/>
  <c r="AF185" i="3"/>
  <c r="AE185" i="3"/>
  <c r="AK184" i="3"/>
  <c r="AJ184" i="3"/>
  <c r="AI184" i="3"/>
  <c r="AH184" i="3"/>
  <c r="AG184" i="3"/>
  <c r="AF184" i="3"/>
  <c r="AE184" i="3"/>
  <c r="AK183" i="3"/>
  <c r="AJ183" i="3"/>
  <c r="AI183" i="3"/>
  <c r="AH183" i="3"/>
  <c r="AG183" i="3"/>
  <c r="AF183" i="3"/>
  <c r="AE183" i="3"/>
  <c r="AK182" i="3"/>
  <c r="AJ182" i="3"/>
  <c r="AI182" i="3"/>
  <c r="AH182" i="3"/>
  <c r="AG182" i="3"/>
  <c r="AF182" i="3"/>
  <c r="AE182" i="3"/>
  <c r="AK181" i="3"/>
  <c r="AJ181" i="3"/>
  <c r="AI181" i="3"/>
  <c r="AH181" i="3"/>
  <c r="AG181" i="3"/>
  <c r="AF181" i="3"/>
  <c r="AE181" i="3"/>
  <c r="AK180" i="3"/>
  <c r="AJ180" i="3"/>
  <c r="AI180" i="3"/>
  <c r="AH180" i="3"/>
  <c r="AG180" i="3"/>
  <c r="AF180" i="3"/>
  <c r="AE180" i="3"/>
  <c r="AK179" i="3"/>
  <c r="AJ179" i="3"/>
  <c r="AI179" i="3"/>
  <c r="AH179" i="3"/>
  <c r="AG179" i="3"/>
  <c r="AF179" i="3"/>
  <c r="AE179" i="3"/>
  <c r="AK178" i="3"/>
  <c r="AJ178" i="3"/>
  <c r="AI178" i="3"/>
  <c r="AH178" i="3"/>
  <c r="AG178" i="3"/>
  <c r="AF178" i="3"/>
  <c r="AE178" i="3"/>
  <c r="AK177" i="3"/>
  <c r="AJ177" i="3"/>
  <c r="AI177" i="3"/>
  <c r="AH177" i="3"/>
  <c r="AG177" i="3"/>
  <c r="AF177" i="3"/>
  <c r="AE177" i="3"/>
  <c r="AK176" i="3"/>
  <c r="AJ176" i="3"/>
  <c r="AI176" i="3"/>
  <c r="AH176" i="3"/>
  <c r="AG176" i="3"/>
  <c r="AF176" i="3"/>
  <c r="AE176" i="3"/>
  <c r="AK175" i="3"/>
  <c r="AJ175" i="3"/>
  <c r="AI175" i="3"/>
  <c r="AH175" i="3"/>
  <c r="AG175" i="3"/>
  <c r="AF175" i="3"/>
  <c r="AE175" i="3"/>
  <c r="AK174" i="3"/>
  <c r="AJ174" i="3"/>
  <c r="AI174" i="3"/>
  <c r="AH174" i="3"/>
  <c r="AG174" i="3"/>
  <c r="AF174" i="3"/>
  <c r="AE174" i="3"/>
  <c r="AK173" i="3"/>
  <c r="AJ173" i="3"/>
  <c r="AI173" i="3"/>
  <c r="AH173" i="3"/>
  <c r="AG173" i="3"/>
  <c r="AF173" i="3"/>
  <c r="AE173" i="3"/>
  <c r="AK172" i="3"/>
  <c r="AJ172" i="3"/>
  <c r="AI172" i="3"/>
  <c r="AH172" i="3"/>
  <c r="AG172" i="3"/>
  <c r="AF172" i="3"/>
  <c r="AE172" i="3"/>
  <c r="AK171" i="3"/>
  <c r="AJ171" i="3"/>
  <c r="AI171" i="3"/>
  <c r="AH171" i="3"/>
  <c r="AG171" i="3"/>
  <c r="AF171" i="3"/>
  <c r="AE171" i="3"/>
  <c r="AK170" i="3"/>
  <c r="AJ170" i="3"/>
  <c r="AI170" i="3"/>
  <c r="AH170" i="3"/>
  <c r="AG170" i="3"/>
  <c r="AF170" i="3"/>
  <c r="AE170" i="3"/>
  <c r="AK169" i="3"/>
  <c r="AJ169" i="3"/>
  <c r="AI169" i="3"/>
  <c r="AH169" i="3"/>
  <c r="AG169" i="3"/>
  <c r="AF169" i="3"/>
  <c r="AE169" i="3"/>
  <c r="AK168" i="3"/>
  <c r="AJ168" i="3"/>
  <c r="AI168" i="3"/>
  <c r="AH168" i="3"/>
  <c r="AG168" i="3"/>
  <c r="AF168" i="3"/>
  <c r="AE168" i="3"/>
  <c r="AK167" i="3"/>
  <c r="AJ167" i="3"/>
  <c r="AI167" i="3"/>
  <c r="AH167" i="3"/>
  <c r="AG167" i="3"/>
  <c r="AF167" i="3"/>
  <c r="AE167" i="3"/>
  <c r="AK166" i="3"/>
  <c r="AJ166" i="3"/>
  <c r="AI166" i="3"/>
  <c r="AH166" i="3"/>
  <c r="AG166" i="3"/>
  <c r="AF166" i="3"/>
  <c r="AE166" i="3"/>
  <c r="AK165" i="3"/>
  <c r="AJ165" i="3"/>
  <c r="AI165" i="3"/>
  <c r="AH165" i="3"/>
  <c r="AG165" i="3"/>
  <c r="AF165" i="3"/>
  <c r="AE165" i="3"/>
  <c r="AK164" i="3"/>
  <c r="AJ164" i="3"/>
  <c r="AI164" i="3"/>
  <c r="AH164" i="3"/>
  <c r="AG164" i="3"/>
  <c r="AF164" i="3"/>
  <c r="AE164" i="3"/>
  <c r="AK163" i="3"/>
  <c r="AJ163" i="3"/>
  <c r="AI163" i="3"/>
  <c r="AH163" i="3"/>
  <c r="AG163" i="3"/>
  <c r="AF163" i="3"/>
  <c r="AE163" i="3"/>
  <c r="AK162" i="3"/>
  <c r="AJ162" i="3"/>
  <c r="AI162" i="3"/>
  <c r="AH162" i="3"/>
  <c r="AG162" i="3"/>
  <c r="AF162" i="3"/>
  <c r="AE162" i="3"/>
  <c r="AK161" i="3"/>
  <c r="AJ161" i="3"/>
  <c r="AI161" i="3"/>
  <c r="AH161" i="3"/>
  <c r="AG161" i="3"/>
  <c r="AF161" i="3"/>
  <c r="AE161" i="3"/>
  <c r="AK160" i="3"/>
  <c r="AJ160" i="3"/>
  <c r="AI160" i="3"/>
  <c r="AH160" i="3"/>
  <c r="AG160" i="3"/>
  <c r="AF160" i="3"/>
  <c r="AE160" i="3"/>
  <c r="AK159" i="3"/>
  <c r="AJ159" i="3"/>
  <c r="AI159" i="3"/>
  <c r="AH159" i="3"/>
  <c r="AG159" i="3"/>
  <c r="AF159" i="3"/>
  <c r="AE159" i="3"/>
  <c r="AK158" i="3"/>
  <c r="AJ158" i="3"/>
  <c r="AI158" i="3"/>
  <c r="AH158" i="3"/>
  <c r="AG158" i="3"/>
  <c r="AF158" i="3"/>
  <c r="AE158" i="3"/>
  <c r="AK157" i="3"/>
  <c r="AJ157" i="3"/>
  <c r="AI157" i="3"/>
  <c r="AH157" i="3"/>
  <c r="AG157" i="3"/>
  <c r="AF157" i="3"/>
  <c r="AE157" i="3"/>
  <c r="AK156" i="3"/>
  <c r="AJ156" i="3"/>
  <c r="AI156" i="3"/>
  <c r="AH156" i="3"/>
  <c r="AG156" i="3"/>
  <c r="AF156" i="3"/>
  <c r="AE156" i="3"/>
  <c r="AK155" i="3"/>
  <c r="AJ155" i="3"/>
  <c r="AI155" i="3"/>
  <c r="AH155" i="3"/>
  <c r="AG155" i="3"/>
  <c r="AF155" i="3"/>
  <c r="AE155" i="3"/>
  <c r="AK154" i="3"/>
  <c r="AJ154" i="3"/>
  <c r="AI154" i="3"/>
  <c r="AH154" i="3"/>
  <c r="AG154" i="3"/>
  <c r="AF154" i="3"/>
  <c r="AE154" i="3"/>
  <c r="AK153" i="3"/>
  <c r="AJ153" i="3"/>
  <c r="AI153" i="3"/>
  <c r="AH153" i="3"/>
  <c r="AG153" i="3"/>
  <c r="AF153" i="3"/>
  <c r="AE153" i="3"/>
  <c r="AK152" i="3"/>
  <c r="AJ152" i="3"/>
  <c r="AI152" i="3"/>
  <c r="AH152" i="3"/>
  <c r="AG152" i="3"/>
  <c r="AF152" i="3"/>
  <c r="AE152" i="3"/>
  <c r="AK151" i="3"/>
  <c r="AJ151" i="3"/>
  <c r="AI151" i="3"/>
  <c r="AH151" i="3"/>
  <c r="AG151" i="3"/>
  <c r="AF151" i="3"/>
  <c r="AE151" i="3"/>
  <c r="AK150" i="3"/>
  <c r="AJ150" i="3"/>
  <c r="AI150" i="3"/>
  <c r="AH150" i="3"/>
  <c r="AG150" i="3"/>
  <c r="AF150" i="3"/>
  <c r="AE150" i="3"/>
  <c r="AK149" i="3"/>
  <c r="AJ149" i="3"/>
  <c r="AI149" i="3"/>
  <c r="AH149" i="3"/>
  <c r="AG149" i="3"/>
  <c r="AF149" i="3"/>
  <c r="AE149" i="3"/>
  <c r="AK148" i="3"/>
  <c r="AJ148" i="3"/>
  <c r="AI148" i="3"/>
  <c r="AH148" i="3"/>
  <c r="AG148" i="3"/>
  <c r="AF148" i="3"/>
  <c r="AE148" i="3"/>
  <c r="AK147" i="3"/>
  <c r="AJ147" i="3"/>
  <c r="AI147" i="3"/>
  <c r="AH147" i="3"/>
  <c r="AG147" i="3"/>
  <c r="AF147" i="3"/>
  <c r="AE147" i="3"/>
  <c r="AK146" i="3"/>
  <c r="AJ146" i="3"/>
  <c r="AI146" i="3"/>
  <c r="AH146" i="3"/>
  <c r="AG146" i="3"/>
  <c r="AF146" i="3"/>
  <c r="AE146" i="3"/>
  <c r="AK145" i="3"/>
  <c r="AJ145" i="3"/>
  <c r="AI145" i="3"/>
  <c r="AH145" i="3"/>
  <c r="AG145" i="3"/>
  <c r="AF145" i="3"/>
  <c r="AE145" i="3"/>
  <c r="AK144" i="3"/>
  <c r="AJ144" i="3"/>
  <c r="AI144" i="3"/>
  <c r="AH144" i="3"/>
  <c r="AG144" i="3"/>
  <c r="AF144" i="3"/>
  <c r="AE144" i="3"/>
  <c r="AK143" i="3"/>
  <c r="AJ143" i="3"/>
  <c r="AI143" i="3"/>
  <c r="AH143" i="3"/>
  <c r="AG143" i="3"/>
  <c r="AF143" i="3"/>
  <c r="AE143" i="3"/>
  <c r="AK142" i="3"/>
  <c r="AJ142" i="3"/>
  <c r="AI142" i="3"/>
  <c r="AH142" i="3"/>
  <c r="AG142" i="3"/>
  <c r="AF142" i="3"/>
  <c r="AE142" i="3"/>
  <c r="AK141" i="3"/>
  <c r="AJ141" i="3"/>
  <c r="AI141" i="3"/>
  <c r="AH141" i="3"/>
  <c r="AG141" i="3"/>
  <c r="AF141" i="3"/>
  <c r="AE141" i="3"/>
  <c r="AK140" i="3"/>
  <c r="AJ140" i="3"/>
  <c r="AI140" i="3"/>
  <c r="AH140" i="3"/>
  <c r="AG140" i="3"/>
  <c r="AF140" i="3"/>
  <c r="AE140" i="3"/>
  <c r="AK139" i="3"/>
  <c r="AJ139" i="3"/>
  <c r="AI139" i="3"/>
  <c r="AH139" i="3"/>
  <c r="AG139" i="3"/>
  <c r="AF139" i="3"/>
  <c r="AE139" i="3"/>
  <c r="AK138" i="3"/>
  <c r="AJ138" i="3"/>
  <c r="AI138" i="3"/>
  <c r="AH138" i="3"/>
  <c r="AG138" i="3"/>
  <c r="AF138" i="3"/>
  <c r="AE138" i="3"/>
  <c r="AK137" i="3"/>
  <c r="AJ137" i="3"/>
  <c r="AI137" i="3"/>
  <c r="AH137" i="3"/>
  <c r="AG137" i="3"/>
  <c r="AF137" i="3"/>
  <c r="AE137" i="3"/>
  <c r="AK136" i="3"/>
  <c r="AJ136" i="3"/>
  <c r="AI136" i="3"/>
  <c r="AH136" i="3"/>
  <c r="AG136" i="3"/>
  <c r="AF136" i="3"/>
  <c r="AE136" i="3"/>
  <c r="AK135" i="3"/>
  <c r="AJ135" i="3"/>
  <c r="AI135" i="3"/>
  <c r="AH135" i="3"/>
  <c r="AG135" i="3"/>
  <c r="AF135" i="3"/>
  <c r="AE135" i="3"/>
  <c r="AK134" i="3"/>
  <c r="AJ134" i="3"/>
  <c r="AI134" i="3"/>
  <c r="AH134" i="3"/>
  <c r="AG134" i="3"/>
  <c r="AF134" i="3"/>
  <c r="AE134" i="3"/>
  <c r="AK133" i="3"/>
  <c r="AJ133" i="3"/>
  <c r="AI133" i="3"/>
  <c r="AH133" i="3"/>
  <c r="AG133" i="3"/>
  <c r="AF133" i="3"/>
  <c r="AE133" i="3"/>
  <c r="AK132" i="3"/>
  <c r="AJ132" i="3"/>
  <c r="AI132" i="3"/>
  <c r="AH132" i="3"/>
  <c r="AG132" i="3"/>
  <c r="AF132" i="3"/>
  <c r="AE132" i="3"/>
  <c r="AK131" i="3"/>
  <c r="AJ131" i="3"/>
  <c r="AI131" i="3"/>
  <c r="AH131" i="3"/>
  <c r="AG131" i="3"/>
  <c r="AF131" i="3"/>
  <c r="AE131" i="3"/>
  <c r="AK130" i="3"/>
  <c r="AJ130" i="3"/>
  <c r="AI130" i="3"/>
  <c r="AH130" i="3"/>
  <c r="AG130" i="3"/>
  <c r="AF130" i="3"/>
  <c r="AE130" i="3"/>
  <c r="AK129" i="3"/>
  <c r="AJ129" i="3"/>
  <c r="AI129" i="3"/>
  <c r="AH129" i="3"/>
  <c r="AG129" i="3"/>
  <c r="AF129" i="3"/>
  <c r="AE129" i="3"/>
  <c r="AK128" i="3"/>
  <c r="AJ128" i="3"/>
  <c r="AI128" i="3"/>
  <c r="AH128" i="3"/>
  <c r="AG128" i="3"/>
  <c r="AF128" i="3"/>
  <c r="AE128" i="3"/>
  <c r="AK127" i="3"/>
  <c r="AJ127" i="3"/>
  <c r="AI127" i="3"/>
  <c r="AH127" i="3"/>
  <c r="AG127" i="3"/>
  <c r="AF127" i="3"/>
  <c r="AE127" i="3"/>
  <c r="AK126" i="3"/>
  <c r="AJ126" i="3"/>
  <c r="AI126" i="3"/>
  <c r="AH126" i="3"/>
  <c r="AG126" i="3"/>
  <c r="AF126" i="3"/>
  <c r="AE126" i="3"/>
  <c r="AK125" i="3"/>
  <c r="AJ125" i="3"/>
  <c r="AI125" i="3"/>
  <c r="AH125" i="3"/>
  <c r="AG125" i="3"/>
  <c r="AF125" i="3"/>
  <c r="AE125" i="3"/>
  <c r="AK124" i="3"/>
  <c r="AJ124" i="3"/>
  <c r="AI124" i="3"/>
  <c r="AH124" i="3"/>
  <c r="AG124" i="3"/>
  <c r="AF124" i="3"/>
  <c r="AE124" i="3"/>
  <c r="AK123" i="3"/>
  <c r="AJ123" i="3"/>
  <c r="AI123" i="3"/>
  <c r="AH123" i="3"/>
  <c r="AG123" i="3"/>
  <c r="AF123" i="3"/>
  <c r="AE123" i="3"/>
  <c r="AK122" i="3"/>
  <c r="AJ122" i="3"/>
  <c r="AI122" i="3"/>
  <c r="AH122" i="3"/>
  <c r="AG122" i="3"/>
  <c r="AF122" i="3"/>
  <c r="AE122" i="3"/>
  <c r="AK121" i="3"/>
  <c r="AJ121" i="3"/>
  <c r="AI121" i="3"/>
  <c r="AH121" i="3"/>
  <c r="AG121" i="3"/>
  <c r="AF121" i="3"/>
  <c r="AE121" i="3"/>
  <c r="AK120" i="3"/>
  <c r="AJ120" i="3"/>
  <c r="AI120" i="3"/>
  <c r="AH120" i="3"/>
  <c r="AG120" i="3"/>
  <c r="AF120" i="3"/>
  <c r="AE120" i="3"/>
  <c r="AK119" i="3"/>
  <c r="AJ119" i="3"/>
  <c r="AI119" i="3"/>
  <c r="AH119" i="3"/>
  <c r="AG119" i="3"/>
  <c r="AF119" i="3"/>
  <c r="AE119" i="3"/>
  <c r="AK118" i="3"/>
  <c r="AJ118" i="3"/>
  <c r="AI118" i="3"/>
  <c r="AH118" i="3"/>
  <c r="AG118" i="3"/>
  <c r="AF118" i="3"/>
  <c r="AE118" i="3"/>
  <c r="AK117" i="3"/>
  <c r="AJ117" i="3"/>
  <c r="AI117" i="3"/>
  <c r="AH117" i="3"/>
  <c r="AG117" i="3"/>
  <c r="AF117" i="3"/>
  <c r="AE117" i="3"/>
  <c r="AK116" i="3"/>
  <c r="AJ116" i="3"/>
  <c r="AI116" i="3"/>
  <c r="AH116" i="3"/>
  <c r="AG116" i="3"/>
  <c r="AF116" i="3"/>
  <c r="AE116" i="3"/>
  <c r="AK115" i="3"/>
  <c r="AJ115" i="3"/>
  <c r="AI115" i="3"/>
  <c r="AH115" i="3"/>
  <c r="AG115" i="3"/>
  <c r="AF115" i="3"/>
  <c r="AE115" i="3"/>
  <c r="AK114" i="3"/>
  <c r="AJ114" i="3"/>
  <c r="AI114" i="3"/>
  <c r="AH114" i="3"/>
  <c r="AG114" i="3"/>
  <c r="AF114" i="3"/>
  <c r="AE114" i="3"/>
  <c r="AK113" i="3"/>
  <c r="AJ113" i="3"/>
  <c r="AI113" i="3"/>
  <c r="AH113" i="3"/>
  <c r="AG113" i="3"/>
  <c r="AF113" i="3"/>
  <c r="AE113" i="3"/>
  <c r="AK112" i="3"/>
  <c r="AJ112" i="3"/>
  <c r="AI112" i="3"/>
  <c r="AH112" i="3"/>
  <c r="AG112" i="3"/>
  <c r="AF112" i="3"/>
  <c r="AE112" i="3"/>
  <c r="AK111" i="3"/>
  <c r="AJ111" i="3"/>
  <c r="AI111" i="3"/>
  <c r="AH111" i="3"/>
  <c r="AG111" i="3"/>
  <c r="AF111" i="3"/>
  <c r="AE111" i="3"/>
  <c r="AK110" i="3"/>
  <c r="AJ110" i="3"/>
  <c r="AI110" i="3"/>
  <c r="AH110" i="3"/>
  <c r="AG110" i="3"/>
  <c r="AF110" i="3"/>
  <c r="AE110" i="3"/>
  <c r="AK109" i="3"/>
  <c r="AJ109" i="3"/>
  <c r="AI109" i="3"/>
  <c r="AH109" i="3"/>
  <c r="AG109" i="3"/>
  <c r="AF109" i="3"/>
  <c r="AE109" i="3"/>
  <c r="AK108" i="3"/>
  <c r="AJ108" i="3"/>
  <c r="AI108" i="3"/>
  <c r="AH108" i="3"/>
  <c r="AG108" i="3"/>
  <c r="AF108" i="3"/>
  <c r="AE108" i="3"/>
  <c r="AK107" i="3"/>
  <c r="AJ107" i="3"/>
  <c r="AI107" i="3"/>
  <c r="AH107" i="3"/>
  <c r="AG107" i="3"/>
  <c r="AF107" i="3"/>
  <c r="AE107" i="3"/>
  <c r="AK106" i="3"/>
  <c r="AJ106" i="3"/>
  <c r="AI106" i="3"/>
  <c r="AH106" i="3"/>
  <c r="AG106" i="3"/>
  <c r="AF106" i="3"/>
  <c r="AE106" i="3"/>
  <c r="AK105" i="3"/>
  <c r="AJ105" i="3"/>
  <c r="AI105" i="3"/>
  <c r="AH105" i="3"/>
  <c r="AG105" i="3"/>
  <c r="AF105" i="3"/>
  <c r="AE105" i="3"/>
  <c r="AK104" i="3"/>
  <c r="AJ104" i="3"/>
  <c r="AI104" i="3"/>
  <c r="AH104" i="3"/>
  <c r="AG104" i="3"/>
  <c r="AF104" i="3"/>
  <c r="AE104" i="3"/>
  <c r="AK103" i="3"/>
  <c r="AJ103" i="3"/>
  <c r="AI103" i="3"/>
  <c r="AH103" i="3"/>
  <c r="AG103" i="3"/>
  <c r="AF103" i="3"/>
  <c r="AE103" i="3"/>
  <c r="AK102" i="3"/>
  <c r="AJ102" i="3"/>
  <c r="AI102" i="3"/>
  <c r="AH102" i="3"/>
  <c r="AG102" i="3"/>
  <c r="AF102" i="3"/>
  <c r="AE102" i="3"/>
  <c r="AK101" i="3"/>
  <c r="AJ101" i="3"/>
  <c r="AI101" i="3"/>
  <c r="AH101" i="3"/>
  <c r="AG101" i="3"/>
  <c r="AF101" i="3"/>
  <c r="AE101" i="3"/>
  <c r="AK100" i="3"/>
  <c r="AJ100" i="3"/>
  <c r="AI100" i="3"/>
  <c r="AH100" i="3"/>
  <c r="AG100" i="3"/>
  <c r="AF100" i="3"/>
  <c r="AE100" i="3"/>
  <c r="AK99" i="3"/>
  <c r="AJ99" i="3"/>
  <c r="AI99" i="3"/>
  <c r="AH99" i="3"/>
  <c r="AG99" i="3"/>
  <c r="AF99" i="3"/>
  <c r="AE99" i="3"/>
  <c r="AK98" i="3"/>
  <c r="AJ98" i="3"/>
  <c r="AI98" i="3"/>
  <c r="AH98" i="3"/>
  <c r="AG98" i="3"/>
  <c r="AF98" i="3"/>
  <c r="AE98" i="3"/>
  <c r="AK97" i="3"/>
  <c r="AJ97" i="3"/>
  <c r="AI97" i="3"/>
  <c r="AH97" i="3"/>
  <c r="AG97" i="3"/>
  <c r="AF97" i="3"/>
  <c r="AE97" i="3"/>
  <c r="AK96" i="3"/>
  <c r="AJ96" i="3"/>
  <c r="AI96" i="3"/>
  <c r="AH96" i="3"/>
  <c r="AG96" i="3"/>
  <c r="AF96" i="3"/>
  <c r="AE96" i="3"/>
  <c r="AK95" i="3"/>
  <c r="AJ95" i="3"/>
  <c r="AI95" i="3"/>
  <c r="AH95" i="3"/>
  <c r="AG95" i="3"/>
  <c r="AF95" i="3"/>
  <c r="AE95" i="3"/>
  <c r="AK94" i="3"/>
  <c r="AJ94" i="3"/>
  <c r="AI94" i="3"/>
  <c r="AH94" i="3"/>
  <c r="AG94" i="3"/>
  <c r="AF94" i="3"/>
  <c r="AE94" i="3"/>
  <c r="AK93" i="3"/>
  <c r="AJ93" i="3"/>
  <c r="AI93" i="3"/>
  <c r="AH93" i="3"/>
  <c r="AG93" i="3"/>
  <c r="AF93" i="3"/>
  <c r="AE93" i="3"/>
  <c r="AK92" i="3"/>
  <c r="AJ92" i="3"/>
  <c r="AI92" i="3"/>
  <c r="AH92" i="3"/>
  <c r="AG92" i="3"/>
  <c r="AF92" i="3"/>
  <c r="AE92" i="3"/>
  <c r="AK91" i="3"/>
  <c r="AJ91" i="3"/>
  <c r="AI91" i="3"/>
  <c r="AH91" i="3"/>
  <c r="AG91" i="3"/>
  <c r="AF91" i="3"/>
  <c r="AE91" i="3"/>
  <c r="AK90" i="3"/>
  <c r="AJ90" i="3"/>
  <c r="AI90" i="3"/>
  <c r="AH90" i="3"/>
  <c r="AG90" i="3"/>
  <c r="AF90" i="3"/>
  <c r="AE90" i="3"/>
  <c r="AK89" i="3"/>
  <c r="AJ89" i="3"/>
  <c r="AI89" i="3"/>
  <c r="AH89" i="3"/>
  <c r="AG89" i="3"/>
  <c r="AF89" i="3"/>
  <c r="AE89" i="3"/>
  <c r="AK88" i="3"/>
  <c r="AJ88" i="3"/>
  <c r="AI88" i="3"/>
  <c r="AH88" i="3"/>
  <c r="AG88" i="3"/>
  <c r="AF88" i="3"/>
  <c r="AE88" i="3"/>
  <c r="AK87" i="3"/>
  <c r="AJ87" i="3"/>
  <c r="AI87" i="3"/>
  <c r="AH87" i="3"/>
  <c r="AG87" i="3"/>
  <c r="AF87" i="3"/>
  <c r="AE87" i="3"/>
  <c r="AK86" i="3"/>
  <c r="AJ86" i="3"/>
  <c r="AI86" i="3"/>
  <c r="AH86" i="3"/>
  <c r="AG86" i="3"/>
  <c r="AF86" i="3"/>
  <c r="AE86" i="3"/>
  <c r="AK85" i="3"/>
  <c r="AJ85" i="3"/>
  <c r="AI85" i="3"/>
  <c r="AH85" i="3"/>
  <c r="AG85" i="3"/>
  <c r="AF85" i="3"/>
  <c r="AE85" i="3"/>
  <c r="AK84" i="3"/>
  <c r="AJ84" i="3"/>
  <c r="AI84" i="3"/>
  <c r="AH84" i="3"/>
  <c r="AG84" i="3"/>
  <c r="AF84" i="3"/>
  <c r="AE84" i="3"/>
  <c r="AK83" i="3"/>
  <c r="AJ83" i="3"/>
  <c r="AI83" i="3"/>
  <c r="AH83" i="3"/>
  <c r="AG83" i="3"/>
  <c r="AF83" i="3"/>
  <c r="AE83" i="3"/>
  <c r="AK82" i="3"/>
  <c r="AJ82" i="3"/>
  <c r="AI82" i="3"/>
  <c r="AH82" i="3"/>
  <c r="AG82" i="3"/>
  <c r="AF82" i="3"/>
  <c r="AE82" i="3"/>
  <c r="AK81" i="3"/>
  <c r="AJ81" i="3"/>
  <c r="AI81" i="3"/>
  <c r="AH81" i="3"/>
  <c r="AG81" i="3"/>
  <c r="AF81" i="3"/>
  <c r="AE81" i="3"/>
  <c r="AK80" i="3"/>
  <c r="AJ80" i="3"/>
  <c r="AI80" i="3"/>
  <c r="AH80" i="3"/>
  <c r="AG80" i="3"/>
  <c r="AF80" i="3"/>
  <c r="AE80" i="3"/>
  <c r="AK79" i="3"/>
  <c r="AJ79" i="3"/>
  <c r="AI79" i="3"/>
  <c r="AH79" i="3"/>
  <c r="AG79" i="3"/>
  <c r="AF79" i="3"/>
  <c r="AE79" i="3"/>
  <c r="AK78" i="3"/>
  <c r="AJ78" i="3"/>
  <c r="AI78" i="3"/>
  <c r="AH78" i="3"/>
  <c r="AG78" i="3"/>
  <c r="AF78" i="3"/>
  <c r="AE78" i="3"/>
  <c r="AK77" i="3"/>
  <c r="AJ77" i="3"/>
  <c r="AI77" i="3"/>
  <c r="AH77" i="3"/>
  <c r="AG77" i="3"/>
  <c r="AF77" i="3"/>
  <c r="AE77" i="3"/>
  <c r="AK76" i="3"/>
  <c r="AJ76" i="3"/>
  <c r="AI76" i="3"/>
  <c r="AH76" i="3"/>
  <c r="AG76" i="3"/>
  <c r="AF76" i="3"/>
  <c r="AE76" i="3"/>
  <c r="AK75" i="3"/>
  <c r="AJ75" i="3"/>
  <c r="AI75" i="3"/>
  <c r="AH75" i="3"/>
  <c r="AG75" i="3"/>
  <c r="AF75" i="3"/>
  <c r="AE75" i="3"/>
  <c r="AK74" i="3"/>
  <c r="AJ74" i="3"/>
  <c r="AI74" i="3"/>
  <c r="AH74" i="3"/>
  <c r="AG74" i="3"/>
  <c r="AF74" i="3"/>
  <c r="AE74" i="3"/>
  <c r="AK73" i="3"/>
  <c r="AJ73" i="3"/>
  <c r="AI73" i="3"/>
  <c r="AH73" i="3"/>
  <c r="AG73" i="3"/>
  <c r="AF73" i="3"/>
  <c r="AE73" i="3"/>
  <c r="AK72" i="3"/>
  <c r="AJ72" i="3"/>
  <c r="AI72" i="3"/>
  <c r="AH72" i="3"/>
  <c r="AG72" i="3"/>
  <c r="AF72" i="3"/>
  <c r="AE72" i="3"/>
  <c r="AK71" i="3"/>
  <c r="AJ71" i="3"/>
  <c r="AI71" i="3"/>
  <c r="AH71" i="3"/>
  <c r="AG71" i="3"/>
  <c r="AF71" i="3"/>
  <c r="AE71" i="3"/>
  <c r="AK70" i="3"/>
  <c r="AJ70" i="3"/>
  <c r="AI70" i="3"/>
  <c r="AH70" i="3"/>
  <c r="AG70" i="3"/>
  <c r="AF70" i="3"/>
  <c r="AE70" i="3"/>
  <c r="AK69" i="3"/>
  <c r="AJ69" i="3"/>
  <c r="AI69" i="3"/>
  <c r="AH69" i="3"/>
  <c r="AG69" i="3"/>
  <c r="AF69" i="3"/>
  <c r="AE69" i="3"/>
  <c r="AK68" i="3"/>
  <c r="AJ68" i="3"/>
  <c r="AI68" i="3"/>
  <c r="AH68" i="3"/>
  <c r="AG68" i="3"/>
  <c r="AF68" i="3"/>
  <c r="AE68" i="3"/>
  <c r="AK67" i="3"/>
  <c r="AJ67" i="3"/>
  <c r="AI67" i="3"/>
  <c r="AH67" i="3"/>
  <c r="AG67" i="3"/>
  <c r="AF67" i="3"/>
  <c r="AE67" i="3"/>
  <c r="AK66" i="3"/>
  <c r="AJ66" i="3"/>
  <c r="AI66" i="3"/>
  <c r="AH66" i="3"/>
  <c r="AG66" i="3"/>
  <c r="AF66" i="3"/>
  <c r="AE66" i="3"/>
  <c r="AK65" i="3"/>
  <c r="AJ65" i="3"/>
  <c r="AI65" i="3"/>
  <c r="AH65" i="3"/>
  <c r="AG65" i="3"/>
  <c r="AF65" i="3"/>
  <c r="AE65" i="3"/>
  <c r="AK64" i="3"/>
  <c r="AJ64" i="3"/>
  <c r="AI64" i="3"/>
  <c r="AH64" i="3"/>
  <c r="AG64" i="3"/>
  <c r="AF64" i="3"/>
  <c r="AE64" i="3"/>
  <c r="AK63" i="3"/>
  <c r="AJ63" i="3"/>
  <c r="AI63" i="3"/>
  <c r="AH63" i="3"/>
  <c r="AG63" i="3"/>
  <c r="AF63" i="3"/>
  <c r="AE63" i="3"/>
  <c r="AK62" i="3"/>
  <c r="AJ62" i="3"/>
  <c r="AI62" i="3"/>
  <c r="AH62" i="3"/>
  <c r="AG62" i="3"/>
  <c r="AF62" i="3"/>
  <c r="AE62" i="3"/>
  <c r="AK61" i="3"/>
  <c r="AJ61" i="3"/>
  <c r="AI61" i="3"/>
  <c r="AH61" i="3"/>
  <c r="AG61" i="3"/>
  <c r="AF61" i="3"/>
  <c r="AE61" i="3"/>
  <c r="AK60" i="3"/>
  <c r="AJ60" i="3"/>
  <c r="AI60" i="3"/>
  <c r="AH60" i="3"/>
  <c r="AG60" i="3"/>
  <c r="AF60" i="3"/>
  <c r="AE60" i="3"/>
  <c r="AK59" i="3"/>
  <c r="AJ59" i="3"/>
  <c r="AI59" i="3"/>
  <c r="AH59" i="3"/>
  <c r="AG59" i="3"/>
  <c r="AF59" i="3"/>
  <c r="AE59" i="3"/>
  <c r="AK58" i="3"/>
  <c r="AJ58" i="3"/>
  <c r="AI58" i="3"/>
  <c r="AH58" i="3"/>
  <c r="AG58" i="3"/>
  <c r="AF58" i="3"/>
  <c r="AE58" i="3"/>
  <c r="AK57" i="3"/>
  <c r="AJ57" i="3"/>
  <c r="AI57" i="3"/>
  <c r="AH57" i="3"/>
  <c r="AG57" i="3"/>
  <c r="AF57" i="3"/>
  <c r="AE57" i="3"/>
  <c r="AK56" i="3"/>
  <c r="AJ56" i="3"/>
  <c r="AI56" i="3"/>
  <c r="AH56" i="3"/>
  <c r="AG56" i="3"/>
  <c r="AF56" i="3"/>
  <c r="AE56" i="3"/>
  <c r="AK55" i="3"/>
  <c r="AJ55" i="3"/>
  <c r="AI55" i="3"/>
  <c r="AH55" i="3"/>
  <c r="AG55" i="3"/>
  <c r="AF55" i="3"/>
  <c r="AE55" i="3"/>
  <c r="AK54" i="3"/>
  <c r="AJ54" i="3"/>
  <c r="AI54" i="3"/>
  <c r="AH54" i="3"/>
  <c r="AG54" i="3"/>
  <c r="AF54" i="3"/>
  <c r="AE54" i="3"/>
  <c r="AK53" i="3"/>
  <c r="AJ53" i="3"/>
  <c r="AI53" i="3"/>
  <c r="AH53" i="3"/>
  <c r="AG53" i="3"/>
  <c r="AF53" i="3"/>
  <c r="AE53" i="3"/>
  <c r="AK52" i="3"/>
  <c r="AJ52" i="3"/>
  <c r="AI52" i="3"/>
  <c r="AH52" i="3"/>
  <c r="AG52" i="3"/>
  <c r="AF52" i="3"/>
  <c r="AE52" i="3"/>
  <c r="AK51" i="3"/>
  <c r="AJ51" i="3"/>
  <c r="AI51" i="3"/>
  <c r="AH51" i="3"/>
  <c r="AG51" i="3"/>
  <c r="AF51" i="3"/>
  <c r="AE51" i="3"/>
  <c r="AK50" i="3"/>
  <c r="AJ50" i="3"/>
  <c r="AI50" i="3"/>
  <c r="AH50" i="3"/>
  <c r="AG50" i="3"/>
  <c r="AF50" i="3"/>
  <c r="AE50" i="3"/>
  <c r="AK49" i="3"/>
  <c r="AJ49" i="3"/>
  <c r="AI49" i="3"/>
  <c r="AH49" i="3"/>
  <c r="AG49" i="3"/>
  <c r="AF49" i="3"/>
  <c r="AE49" i="3"/>
  <c r="AK48" i="3"/>
  <c r="AJ48" i="3"/>
  <c r="AI48" i="3"/>
  <c r="AH48" i="3"/>
  <c r="AG48" i="3"/>
  <c r="AF48" i="3"/>
  <c r="AE48" i="3"/>
  <c r="AK47" i="3"/>
  <c r="AJ47" i="3"/>
  <c r="AI47" i="3"/>
  <c r="AH47" i="3"/>
  <c r="AG47" i="3"/>
  <c r="AF47" i="3"/>
  <c r="AE47" i="3"/>
  <c r="AK46" i="3"/>
  <c r="AJ46" i="3"/>
  <c r="AI46" i="3"/>
  <c r="AH46" i="3"/>
  <c r="AG46" i="3"/>
  <c r="AF46" i="3"/>
  <c r="AE46" i="3"/>
  <c r="AK45" i="3"/>
  <c r="AJ45" i="3"/>
  <c r="AI45" i="3"/>
  <c r="AH45" i="3"/>
  <c r="AG45" i="3"/>
  <c r="AF45" i="3"/>
  <c r="AE45" i="3"/>
  <c r="AK44" i="3"/>
  <c r="AJ44" i="3"/>
  <c r="AI44" i="3"/>
  <c r="AH44" i="3"/>
  <c r="AG44" i="3"/>
  <c r="AF44" i="3"/>
  <c r="AE44" i="3"/>
  <c r="AK43" i="3"/>
  <c r="AJ43" i="3"/>
  <c r="AI43" i="3"/>
  <c r="AH43" i="3"/>
  <c r="AG43" i="3"/>
  <c r="AF43" i="3"/>
  <c r="AE43" i="3"/>
  <c r="AK42" i="3"/>
  <c r="AJ42" i="3"/>
  <c r="AI42" i="3"/>
  <c r="AH42" i="3"/>
  <c r="AG42" i="3"/>
  <c r="AF42" i="3"/>
  <c r="AE42" i="3"/>
  <c r="AK41" i="3"/>
  <c r="AJ41" i="3"/>
  <c r="AI41" i="3"/>
  <c r="AH41" i="3"/>
  <c r="AG41" i="3"/>
  <c r="AF41" i="3"/>
  <c r="AE41" i="3"/>
  <c r="AK40" i="3"/>
  <c r="AJ40" i="3"/>
  <c r="AI40" i="3"/>
  <c r="AH40" i="3"/>
  <c r="AG40" i="3"/>
  <c r="AF40" i="3"/>
  <c r="AE40" i="3"/>
  <c r="AK39" i="3"/>
  <c r="AJ39" i="3"/>
  <c r="AI39" i="3"/>
  <c r="AH39" i="3"/>
  <c r="AG39" i="3"/>
  <c r="AF39" i="3"/>
  <c r="AE39" i="3"/>
  <c r="AK38" i="3"/>
  <c r="AJ38" i="3"/>
  <c r="AI38" i="3"/>
  <c r="AH38" i="3"/>
  <c r="AG38" i="3"/>
  <c r="AF38" i="3"/>
  <c r="AE38" i="3"/>
  <c r="AK37" i="3"/>
  <c r="AJ37" i="3"/>
  <c r="AI37" i="3"/>
  <c r="AH37" i="3"/>
  <c r="AG37" i="3"/>
  <c r="AF37" i="3"/>
  <c r="AE37" i="3"/>
  <c r="AK36" i="3"/>
  <c r="AJ36" i="3"/>
  <c r="AI36" i="3"/>
  <c r="AH36" i="3"/>
  <c r="AG36" i="3"/>
  <c r="AF36" i="3"/>
  <c r="AE36" i="3"/>
  <c r="AK35" i="3"/>
  <c r="AJ35" i="3"/>
  <c r="AI35" i="3"/>
  <c r="AH35" i="3"/>
  <c r="AG35" i="3"/>
  <c r="AF35" i="3"/>
  <c r="AE35" i="3"/>
  <c r="AK34" i="3"/>
  <c r="AJ34" i="3"/>
  <c r="AI34" i="3"/>
  <c r="AH34" i="3"/>
  <c r="AG34" i="3"/>
  <c r="AF34" i="3"/>
  <c r="AE34" i="3"/>
  <c r="AK33" i="3"/>
  <c r="AJ33" i="3"/>
  <c r="AI33" i="3"/>
  <c r="AH33" i="3"/>
  <c r="AG33" i="3"/>
  <c r="AF33" i="3"/>
  <c r="AE33" i="3"/>
  <c r="AK32" i="3"/>
  <c r="AJ32" i="3"/>
  <c r="AI32" i="3"/>
  <c r="AH32" i="3"/>
  <c r="AG32" i="3"/>
  <c r="AF32" i="3"/>
  <c r="AE32" i="3"/>
  <c r="AK31" i="3"/>
  <c r="AJ31" i="3"/>
  <c r="AI31" i="3"/>
  <c r="AH31" i="3"/>
  <c r="AG31" i="3"/>
  <c r="AF31" i="3"/>
  <c r="AE31" i="3"/>
  <c r="AK30" i="3"/>
  <c r="AJ30" i="3"/>
  <c r="AI30" i="3"/>
  <c r="AH30" i="3"/>
  <c r="AG30" i="3"/>
  <c r="AF30" i="3"/>
  <c r="AE30" i="3"/>
  <c r="AK29" i="3"/>
  <c r="AJ29" i="3"/>
  <c r="AI29" i="3"/>
  <c r="AH29" i="3"/>
  <c r="AG29" i="3"/>
  <c r="AF29" i="3"/>
  <c r="AE29" i="3"/>
  <c r="AK28" i="3"/>
  <c r="AJ28" i="3"/>
  <c r="AI28" i="3"/>
  <c r="AH28" i="3"/>
  <c r="AG28" i="3"/>
  <c r="AF28" i="3"/>
  <c r="AE28" i="3"/>
  <c r="AK27" i="3"/>
  <c r="AJ27" i="3"/>
  <c r="AI27" i="3"/>
  <c r="AH27" i="3"/>
  <c r="AG27" i="3"/>
  <c r="AF27" i="3"/>
  <c r="AE27" i="3"/>
  <c r="AK26" i="3"/>
  <c r="AJ26" i="3"/>
  <c r="AI26" i="3"/>
  <c r="AH26" i="3"/>
  <c r="AG26" i="3"/>
  <c r="AF26" i="3"/>
  <c r="AE26" i="3"/>
  <c r="AK25" i="3"/>
  <c r="AJ25" i="3"/>
  <c r="AI25" i="3"/>
  <c r="AH25" i="3"/>
  <c r="AG25" i="3"/>
  <c r="AF25" i="3"/>
  <c r="AE25" i="3"/>
  <c r="AK24" i="3"/>
  <c r="AJ24" i="3"/>
  <c r="AI24" i="3"/>
  <c r="AH24" i="3"/>
  <c r="AG24" i="3"/>
  <c r="AF24" i="3"/>
  <c r="AE24" i="3"/>
  <c r="AK23" i="3"/>
  <c r="AJ23" i="3"/>
  <c r="AI23" i="3"/>
  <c r="AH23" i="3"/>
  <c r="AG23" i="3"/>
  <c r="AF23" i="3"/>
  <c r="AE23" i="3"/>
  <c r="AK22" i="3"/>
  <c r="AJ22" i="3"/>
  <c r="AI22" i="3"/>
  <c r="AH22" i="3"/>
  <c r="AG22" i="3"/>
  <c r="AF22" i="3"/>
  <c r="AE22" i="3"/>
  <c r="AK21" i="3"/>
  <c r="AJ21" i="3"/>
  <c r="AI21" i="3"/>
  <c r="AH21" i="3"/>
  <c r="AG21" i="3"/>
  <c r="AF21" i="3"/>
  <c r="AE21" i="3"/>
  <c r="AK20" i="3"/>
  <c r="AJ20" i="3"/>
  <c r="AI20" i="3"/>
  <c r="AH20" i="3"/>
  <c r="AG20" i="3"/>
  <c r="AF20" i="3"/>
  <c r="AE20" i="3"/>
  <c r="AK19" i="3"/>
  <c r="AJ19" i="3"/>
  <c r="AI19" i="3"/>
  <c r="AH19" i="3"/>
  <c r="AG19" i="3"/>
  <c r="AF19" i="3"/>
  <c r="AE19" i="3"/>
  <c r="AK18" i="3"/>
  <c r="AJ18" i="3"/>
  <c r="AI18" i="3"/>
  <c r="AH18" i="3"/>
  <c r="AG18" i="3"/>
  <c r="AF18" i="3"/>
  <c r="AE18" i="3"/>
  <c r="AK17" i="3"/>
  <c r="AJ17" i="3"/>
  <c r="AI17" i="3"/>
  <c r="AH17" i="3"/>
  <c r="AG17" i="3"/>
  <c r="AF17" i="3"/>
  <c r="AE17" i="3"/>
  <c r="AK16" i="3"/>
  <c r="AJ16" i="3"/>
  <c r="AI16" i="3"/>
  <c r="AH16" i="3"/>
  <c r="AG16" i="3"/>
  <c r="AF16" i="3"/>
  <c r="AE16" i="3"/>
  <c r="AK15" i="3"/>
  <c r="AJ15" i="3"/>
  <c r="AI15" i="3"/>
  <c r="AH15" i="3"/>
  <c r="AG15" i="3"/>
  <c r="AF15" i="3"/>
  <c r="AE15" i="3"/>
  <c r="AK14" i="3"/>
  <c r="AJ14" i="3"/>
  <c r="AI14" i="3"/>
  <c r="AH14" i="3"/>
  <c r="AG14" i="3"/>
  <c r="AF14" i="3"/>
  <c r="AE14" i="3"/>
  <c r="AK13" i="3"/>
  <c r="AJ13" i="3"/>
  <c r="AI13" i="3"/>
  <c r="AH13" i="3"/>
  <c r="AG13" i="3"/>
  <c r="AF13" i="3"/>
  <c r="AE13" i="3"/>
  <c r="AK12" i="3"/>
  <c r="AJ12" i="3"/>
  <c r="AI12" i="3"/>
  <c r="AH12" i="3"/>
  <c r="AG12" i="3"/>
  <c r="AF12" i="3"/>
  <c r="AE12" i="3"/>
  <c r="AK11" i="3"/>
  <c r="AJ11" i="3"/>
  <c r="AI11" i="3"/>
  <c r="AH11" i="3"/>
  <c r="AG11" i="3"/>
  <c r="AF11" i="3"/>
  <c r="AE11" i="3"/>
  <c r="AK10" i="3"/>
  <c r="AJ10" i="3"/>
  <c r="AI10" i="3"/>
  <c r="AH10" i="3"/>
  <c r="AG10" i="3"/>
  <c r="AF10" i="3"/>
  <c r="AE10" i="3"/>
  <c r="AK9" i="3"/>
  <c r="AJ9" i="3"/>
  <c r="AI9" i="3"/>
  <c r="AH9" i="3"/>
  <c r="AG9" i="3"/>
  <c r="AF9" i="3"/>
  <c r="AE9" i="3"/>
  <c r="AK8" i="3"/>
  <c r="AJ8" i="3"/>
  <c r="AI8" i="3"/>
  <c r="AH8" i="3"/>
  <c r="AG8" i="3"/>
  <c r="AF8" i="3"/>
  <c r="AE8" i="3"/>
  <c r="AL507" i="2"/>
  <c r="AK507" i="2"/>
  <c r="AJ507" i="2"/>
  <c r="AI507" i="2"/>
  <c r="AH507" i="2"/>
  <c r="AG507" i="2"/>
  <c r="AF507" i="2"/>
  <c r="AL506" i="2"/>
  <c r="AK506" i="2"/>
  <c r="AJ506" i="2"/>
  <c r="AI506" i="2"/>
  <c r="AH506" i="2"/>
  <c r="AG506" i="2"/>
  <c r="AF506" i="2"/>
  <c r="AL505" i="2"/>
  <c r="AK505" i="2"/>
  <c r="AJ505" i="2"/>
  <c r="AI505" i="2"/>
  <c r="AH505" i="2"/>
  <c r="AG505" i="2"/>
  <c r="AF505" i="2"/>
  <c r="AL504" i="2"/>
  <c r="AK504" i="2"/>
  <c r="AJ504" i="2"/>
  <c r="AI504" i="2"/>
  <c r="AH504" i="2"/>
  <c r="AG504" i="2"/>
  <c r="AF504" i="2"/>
  <c r="AL503" i="2"/>
  <c r="AK503" i="2"/>
  <c r="AJ503" i="2"/>
  <c r="AI503" i="2"/>
  <c r="AH503" i="2"/>
  <c r="AG503" i="2"/>
  <c r="AF503" i="2"/>
  <c r="AL502" i="2"/>
  <c r="AK502" i="2"/>
  <c r="AJ502" i="2"/>
  <c r="AI502" i="2"/>
  <c r="AH502" i="2"/>
  <c r="AG502" i="2"/>
  <c r="AF502" i="2"/>
  <c r="AL501" i="2"/>
  <c r="AK501" i="2"/>
  <c r="AJ501" i="2"/>
  <c r="AI501" i="2"/>
  <c r="AH501" i="2"/>
  <c r="AG501" i="2"/>
  <c r="AF501" i="2"/>
  <c r="AL500" i="2"/>
  <c r="AK500" i="2"/>
  <c r="AJ500" i="2"/>
  <c r="AI500" i="2"/>
  <c r="AH500" i="2"/>
  <c r="AG500" i="2"/>
  <c r="AF500" i="2"/>
  <c r="AL499" i="2"/>
  <c r="AK499" i="2"/>
  <c r="AJ499" i="2"/>
  <c r="AI499" i="2"/>
  <c r="AH499" i="2"/>
  <c r="AG499" i="2"/>
  <c r="AF499" i="2"/>
  <c r="AL498" i="2"/>
  <c r="AK498" i="2"/>
  <c r="AJ498" i="2"/>
  <c r="AI498" i="2"/>
  <c r="AH498" i="2"/>
  <c r="AG498" i="2"/>
  <c r="AF498" i="2"/>
  <c r="AL497" i="2"/>
  <c r="AK497" i="2"/>
  <c r="AJ497" i="2"/>
  <c r="AI497" i="2"/>
  <c r="AH497" i="2"/>
  <c r="AG497" i="2"/>
  <c r="AF497" i="2"/>
  <c r="AL496" i="2"/>
  <c r="AK496" i="2"/>
  <c r="AJ496" i="2"/>
  <c r="AI496" i="2"/>
  <c r="AH496" i="2"/>
  <c r="AG496" i="2"/>
  <c r="AF496" i="2"/>
  <c r="AL495" i="2"/>
  <c r="AK495" i="2"/>
  <c r="AJ495" i="2"/>
  <c r="AI495" i="2"/>
  <c r="AH495" i="2"/>
  <c r="AG495" i="2"/>
  <c r="AF495" i="2"/>
  <c r="AL494" i="2"/>
  <c r="AK494" i="2"/>
  <c r="AJ494" i="2"/>
  <c r="AI494" i="2"/>
  <c r="AH494" i="2"/>
  <c r="AG494" i="2"/>
  <c r="AF494" i="2"/>
  <c r="AL493" i="2"/>
  <c r="AK493" i="2"/>
  <c r="AJ493" i="2"/>
  <c r="AI493" i="2"/>
  <c r="AH493" i="2"/>
  <c r="AG493" i="2"/>
  <c r="AF493" i="2"/>
  <c r="AL492" i="2"/>
  <c r="AK492" i="2"/>
  <c r="AJ492" i="2"/>
  <c r="AI492" i="2"/>
  <c r="AH492" i="2"/>
  <c r="AG492" i="2"/>
  <c r="AF492" i="2"/>
  <c r="AL491" i="2"/>
  <c r="AK491" i="2"/>
  <c r="AJ491" i="2"/>
  <c r="AI491" i="2"/>
  <c r="AH491" i="2"/>
  <c r="AG491" i="2"/>
  <c r="AF491" i="2"/>
  <c r="AL490" i="2"/>
  <c r="AK490" i="2"/>
  <c r="AJ490" i="2"/>
  <c r="AI490" i="2"/>
  <c r="AH490" i="2"/>
  <c r="AG490" i="2"/>
  <c r="AF490" i="2"/>
  <c r="AL489" i="2"/>
  <c r="AK489" i="2"/>
  <c r="AJ489" i="2"/>
  <c r="AI489" i="2"/>
  <c r="AH489" i="2"/>
  <c r="AG489" i="2"/>
  <c r="AF489" i="2"/>
  <c r="AL488" i="2"/>
  <c r="AK488" i="2"/>
  <c r="AJ488" i="2"/>
  <c r="AI488" i="2"/>
  <c r="AH488" i="2"/>
  <c r="AG488" i="2"/>
  <c r="AF488" i="2"/>
  <c r="AL487" i="2"/>
  <c r="AK487" i="2"/>
  <c r="AJ487" i="2"/>
  <c r="AI487" i="2"/>
  <c r="AH487" i="2"/>
  <c r="AG487" i="2"/>
  <c r="AF487" i="2"/>
  <c r="AL486" i="2"/>
  <c r="AK486" i="2"/>
  <c r="AJ486" i="2"/>
  <c r="AI486" i="2"/>
  <c r="AH486" i="2"/>
  <c r="AG486" i="2"/>
  <c r="AF486" i="2"/>
  <c r="AL485" i="2"/>
  <c r="AK485" i="2"/>
  <c r="AJ485" i="2"/>
  <c r="AI485" i="2"/>
  <c r="AH485" i="2"/>
  <c r="AG485" i="2"/>
  <c r="AF485" i="2"/>
  <c r="AL484" i="2"/>
  <c r="AK484" i="2"/>
  <c r="AJ484" i="2"/>
  <c r="AI484" i="2"/>
  <c r="AH484" i="2"/>
  <c r="AG484" i="2"/>
  <c r="AF484" i="2"/>
  <c r="AL483" i="2"/>
  <c r="AK483" i="2"/>
  <c r="AJ483" i="2"/>
  <c r="AI483" i="2"/>
  <c r="AH483" i="2"/>
  <c r="AG483" i="2"/>
  <c r="AF483" i="2"/>
  <c r="AL482" i="2"/>
  <c r="AK482" i="2"/>
  <c r="AJ482" i="2"/>
  <c r="AI482" i="2"/>
  <c r="AH482" i="2"/>
  <c r="AG482" i="2"/>
  <c r="AF482" i="2"/>
  <c r="AL481" i="2"/>
  <c r="AK481" i="2"/>
  <c r="AJ481" i="2"/>
  <c r="AI481" i="2"/>
  <c r="AH481" i="2"/>
  <c r="AG481" i="2"/>
  <c r="AF481" i="2"/>
  <c r="AL480" i="2"/>
  <c r="AK480" i="2"/>
  <c r="AJ480" i="2"/>
  <c r="AI480" i="2"/>
  <c r="AH480" i="2"/>
  <c r="AG480" i="2"/>
  <c r="AF480" i="2"/>
  <c r="AL479" i="2"/>
  <c r="AK479" i="2"/>
  <c r="AJ479" i="2"/>
  <c r="AI479" i="2"/>
  <c r="AH479" i="2"/>
  <c r="AG479" i="2"/>
  <c r="AF479" i="2"/>
  <c r="AL478" i="2"/>
  <c r="AK478" i="2"/>
  <c r="AJ478" i="2"/>
  <c r="AI478" i="2"/>
  <c r="AH478" i="2"/>
  <c r="AG478" i="2"/>
  <c r="AF478" i="2"/>
  <c r="AL477" i="2"/>
  <c r="AK477" i="2"/>
  <c r="AJ477" i="2"/>
  <c r="AI477" i="2"/>
  <c r="AH477" i="2"/>
  <c r="AG477" i="2"/>
  <c r="AF477" i="2"/>
  <c r="AL476" i="2"/>
  <c r="AK476" i="2"/>
  <c r="AJ476" i="2"/>
  <c r="AI476" i="2"/>
  <c r="AH476" i="2"/>
  <c r="AG476" i="2"/>
  <c r="AF476" i="2"/>
  <c r="AL475" i="2"/>
  <c r="AK475" i="2"/>
  <c r="AJ475" i="2"/>
  <c r="AI475" i="2"/>
  <c r="AH475" i="2"/>
  <c r="AG475" i="2"/>
  <c r="AF475" i="2"/>
  <c r="AL474" i="2"/>
  <c r="AK474" i="2"/>
  <c r="AJ474" i="2"/>
  <c r="AI474" i="2"/>
  <c r="AH474" i="2"/>
  <c r="AG474" i="2"/>
  <c r="AF474" i="2"/>
  <c r="AL473" i="2"/>
  <c r="AK473" i="2"/>
  <c r="AJ473" i="2"/>
  <c r="AI473" i="2"/>
  <c r="AH473" i="2"/>
  <c r="AG473" i="2"/>
  <c r="AF473" i="2"/>
  <c r="AL472" i="2"/>
  <c r="AK472" i="2"/>
  <c r="AJ472" i="2"/>
  <c r="AI472" i="2"/>
  <c r="AH472" i="2"/>
  <c r="AG472" i="2"/>
  <c r="AF472" i="2"/>
  <c r="AL471" i="2"/>
  <c r="AK471" i="2"/>
  <c r="AJ471" i="2"/>
  <c r="AI471" i="2"/>
  <c r="AH471" i="2"/>
  <c r="AG471" i="2"/>
  <c r="AF471" i="2"/>
  <c r="AL470" i="2"/>
  <c r="AK470" i="2"/>
  <c r="AJ470" i="2"/>
  <c r="AI470" i="2"/>
  <c r="AH470" i="2"/>
  <c r="AG470" i="2"/>
  <c r="AF470" i="2"/>
  <c r="AL469" i="2"/>
  <c r="AK469" i="2"/>
  <c r="AJ469" i="2"/>
  <c r="AI469" i="2"/>
  <c r="AH469" i="2"/>
  <c r="AG469" i="2"/>
  <c r="AF469" i="2"/>
  <c r="AL468" i="2"/>
  <c r="AK468" i="2"/>
  <c r="AJ468" i="2"/>
  <c r="AI468" i="2"/>
  <c r="AH468" i="2"/>
  <c r="AG468" i="2"/>
  <c r="AF468" i="2"/>
  <c r="AL467" i="2"/>
  <c r="AK467" i="2"/>
  <c r="AJ467" i="2"/>
  <c r="AI467" i="2"/>
  <c r="AH467" i="2"/>
  <c r="AG467" i="2"/>
  <c r="AF467" i="2"/>
  <c r="AL466" i="2"/>
  <c r="AK466" i="2"/>
  <c r="AJ466" i="2"/>
  <c r="AI466" i="2"/>
  <c r="AH466" i="2"/>
  <c r="AG466" i="2"/>
  <c r="AF466" i="2"/>
  <c r="AL465" i="2"/>
  <c r="AK465" i="2"/>
  <c r="AJ465" i="2"/>
  <c r="AI465" i="2"/>
  <c r="AH465" i="2"/>
  <c r="AG465" i="2"/>
  <c r="AF465" i="2"/>
  <c r="AL464" i="2"/>
  <c r="AK464" i="2"/>
  <c r="AJ464" i="2"/>
  <c r="AI464" i="2"/>
  <c r="AH464" i="2"/>
  <c r="AG464" i="2"/>
  <c r="AF464" i="2"/>
  <c r="AL463" i="2"/>
  <c r="AK463" i="2"/>
  <c r="AJ463" i="2"/>
  <c r="AI463" i="2"/>
  <c r="AH463" i="2"/>
  <c r="AG463" i="2"/>
  <c r="AF463" i="2"/>
  <c r="AL462" i="2"/>
  <c r="AK462" i="2"/>
  <c r="AJ462" i="2"/>
  <c r="AI462" i="2"/>
  <c r="AH462" i="2"/>
  <c r="AG462" i="2"/>
  <c r="AF462" i="2"/>
  <c r="AL461" i="2"/>
  <c r="AK461" i="2"/>
  <c r="AJ461" i="2"/>
  <c r="AI461" i="2"/>
  <c r="AH461" i="2"/>
  <c r="AG461" i="2"/>
  <c r="AF461" i="2"/>
  <c r="AL460" i="2"/>
  <c r="AK460" i="2"/>
  <c r="AJ460" i="2"/>
  <c r="AI460" i="2"/>
  <c r="AH460" i="2"/>
  <c r="AG460" i="2"/>
  <c r="AF460" i="2"/>
  <c r="AL459" i="2"/>
  <c r="AK459" i="2"/>
  <c r="AJ459" i="2"/>
  <c r="AI459" i="2"/>
  <c r="AH459" i="2"/>
  <c r="AG459" i="2"/>
  <c r="AF459" i="2"/>
  <c r="AL458" i="2"/>
  <c r="AK458" i="2"/>
  <c r="AJ458" i="2"/>
  <c r="AI458" i="2"/>
  <c r="AH458" i="2"/>
  <c r="AG458" i="2"/>
  <c r="AF458" i="2"/>
  <c r="AL457" i="2"/>
  <c r="AK457" i="2"/>
  <c r="AJ457" i="2"/>
  <c r="AI457" i="2"/>
  <c r="AH457" i="2"/>
  <c r="AG457" i="2"/>
  <c r="AF457" i="2"/>
  <c r="AL456" i="2"/>
  <c r="AK456" i="2"/>
  <c r="AJ456" i="2"/>
  <c r="AI456" i="2"/>
  <c r="AH456" i="2"/>
  <c r="AG456" i="2"/>
  <c r="AF456" i="2"/>
  <c r="AL455" i="2"/>
  <c r="AK455" i="2"/>
  <c r="AJ455" i="2"/>
  <c r="AI455" i="2"/>
  <c r="AH455" i="2"/>
  <c r="AG455" i="2"/>
  <c r="AF455" i="2"/>
  <c r="AL454" i="2"/>
  <c r="AK454" i="2"/>
  <c r="AJ454" i="2"/>
  <c r="AI454" i="2"/>
  <c r="AH454" i="2"/>
  <c r="AG454" i="2"/>
  <c r="AF454" i="2"/>
  <c r="AL453" i="2"/>
  <c r="AK453" i="2"/>
  <c r="AJ453" i="2"/>
  <c r="AI453" i="2"/>
  <c r="AH453" i="2"/>
  <c r="AG453" i="2"/>
  <c r="AF453" i="2"/>
  <c r="AL452" i="2"/>
  <c r="AK452" i="2"/>
  <c r="AJ452" i="2"/>
  <c r="AI452" i="2"/>
  <c r="AH452" i="2"/>
  <c r="AG452" i="2"/>
  <c r="AF452" i="2"/>
  <c r="AL451" i="2"/>
  <c r="AK451" i="2"/>
  <c r="AJ451" i="2"/>
  <c r="AI451" i="2"/>
  <c r="AH451" i="2"/>
  <c r="AG451" i="2"/>
  <c r="AF451" i="2"/>
  <c r="AL450" i="2"/>
  <c r="AK450" i="2"/>
  <c r="AJ450" i="2"/>
  <c r="AI450" i="2"/>
  <c r="AH450" i="2"/>
  <c r="AG450" i="2"/>
  <c r="AF450" i="2"/>
  <c r="AL449" i="2"/>
  <c r="AK449" i="2"/>
  <c r="AJ449" i="2"/>
  <c r="AI449" i="2"/>
  <c r="AH449" i="2"/>
  <c r="AG449" i="2"/>
  <c r="AF449" i="2"/>
  <c r="AL448" i="2"/>
  <c r="AK448" i="2"/>
  <c r="AJ448" i="2"/>
  <c r="AI448" i="2"/>
  <c r="AH448" i="2"/>
  <c r="AG448" i="2"/>
  <c r="AF448" i="2"/>
  <c r="AL447" i="2"/>
  <c r="AK447" i="2"/>
  <c r="AJ447" i="2"/>
  <c r="AI447" i="2"/>
  <c r="AH447" i="2"/>
  <c r="AG447" i="2"/>
  <c r="AF447" i="2"/>
  <c r="AL446" i="2"/>
  <c r="AK446" i="2"/>
  <c r="AJ446" i="2"/>
  <c r="AI446" i="2"/>
  <c r="AH446" i="2"/>
  <c r="AG446" i="2"/>
  <c r="AF446" i="2"/>
  <c r="AL445" i="2"/>
  <c r="AK445" i="2"/>
  <c r="AJ445" i="2"/>
  <c r="AI445" i="2"/>
  <c r="AH445" i="2"/>
  <c r="AG445" i="2"/>
  <c r="AF445" i="2"/>
  <c r="AL444" i="2"/>
  <c r="AK444" i="2"/>
  <c r="AJ444" i="2"/>
  <c r="AI444" i="2"/>
  <c r="AH444" i="2"/>
  <c r="AG444" i="2"/>
  <c r="AF444" i="2"/>
  <c r="AL443" i="2"/>
  <c r="AK443" i="2"/>
  <c r="AJ443" i="2"/>
  <c r="AI443" i="2"/>
  <c r="AH443" i="2"/>
  <c r="AG443" i="2"/>
  <c r="AF443" i="2"/>
  <c r="AL442" i="2"/>
  <c r="AK442" i="2"/>
  <c r="AJ442" i="2"/>
  <c r="AI442" i="2"/>
  <c r="AH442" i="2"/>
  <c r="AG442" i="2"/>
  <c r="AF442" i="2"/>
  <c r="AL441" i="2"/>
  <c r="AK441" i="2"/>
  <c r="AJ441" i="2"/>
  <c r="AI441" i="2"/>
  <c r="AH441" i="2"/>
  <c r="AG441" i="2"/>
  <c r="AF441" i="2"/>
  <c r="AL440" i="2"/>
  <c r="AK440" i="2"/>
  <c r="AJ440" i="2"/>
  <c r="AI440" i="2"/>
  <c r="AH440" i="2"/>
  <c r="AG440" i="2"/>
  <c r="AF440" i="2"/>
  <c r="AL439" i="2"/>
  <c r="AK439" i="2"/>
  <c r="AJ439" i="2"/>
  <c r="AI439" i="2"/>
  <c r="AH439" i="2"/>
  <c r="AG439" i="2"/>
  <c r="AF439" i="2"/>
  <c r="AL438" i="2"/>
  <c r="AK438" i="2"/>
  <c r="AJ438" i="2"/>
  <c r="AI438" i="2"/>
  <c r="AH438" i="2"/>
  <c r="AG438" i="2"/>
  <c r="AF438" i="2"/>
  <c r="AL437" i="2"/>
  <c r="AK437" i="2"/>
  <c r="AJ437" i="2"/>
  <c r="AI437" i="2"/>
  <c r="AH437" i="2"/>
  <c r="AG437" i="2"/>
  <c r="AF437" i="2"/>
  <c r="AL436" i="2"/>
  <c r="AK436" i="2"/>
  <c r="AJ436" i="2"/>
  <c r="AI436" i="2"/>
  <c r="AH436" i="2"/>
  <c r="AG436" i="2"/>
  <c r="AF436" i="2"/>
  <c r="AL435" i="2"/>
  <c r="AK435" i="2"/>
  <c r="AJ435" i="2"/>
  <c r="AI435" i="2"/>
  <c r="AH435" i="2"/>
  <c r="AG435" i="2"/>
  <c r="AF435" i="2"/>
  <c r="AL434" i="2"/>
  <c r="AK434" i="2"/>
  <c r="AJ434" i="2"/>
  <c r="AI434" i="2"/>
  <c r="AH434" i="2"/>
  <c r="AG434" i="2"/>
  <c r="AF434" i="2"/>
  <c r="AL433" i="2"/>
  <c r="AK433" i="2"/>
  <c r="AJ433" i="2"/>
  <c r="AI433" i="2"/>
  <c r="AH433" i="2"/>
  <c r="AG433" i="2"/>
  <c r="AF433" i="2"/>
  <c r="AL432" i="2"/>
  <c r="AK432" i="2"/>
  <c r="AJ432" i="2"/>
  <c r="AI432" i="2"/>
  <c r="AH432" i="2"/>
  <c r="AG432" i="2"/>
  <c r="AF432" i="2"/>
  <c r="AL431" i="2"/>
  <c r="AK431" i="2"/>
  <c r="AJ431" i="2"/>
  <c r="AI431" i="2"/>
  <c r="AH431" i="2"/>
  <c r="AG431" i="2"/>
  <c r="AF431" i="2"/>
  <c r="AL430" i="2"/>
  <c r="AK430" i="2"/>
  <c r="AJ430" i="2"/>
  <c r="AI430" i="2"/>
  <c r="AH430" i="2"/>
  <c r="AG430" i="2"/>
  <c r="AF430" i="2"/>
  <c r="AL429" i="2"/>
  <c r="AK429" i="2"/>
  <c r="AJ429" i="2"/>
  <c r="AI429" i="2"/>
  <c r="AH429" i="2"/>
  <c r="AG429" i="2"/>
  <c r="AF429" i="2"/>
  <c r="AL428" i="2"/>
  <c r="AK428" i="2"/>
  <c r="AJ428" i="2"/>
  <c r="AI428" i="2"/>
  <c r="AH428" i="2"/>
  <c r="AG428" i="2"/>
  <c r="AF428" i="2"/>
  <c r="AL427" i="2"/>
  <c r="AK427" i="2"/>
  <c r="AJ427" i="2"/>
  <c r="AI427" i="2"/>
  <c r="AH427" i="2"/>
  <c r="AG427" i="2"/>
  <c r="AF427" i="2"/>
  <c r="AL426" i="2"/>
  <c r="AK426" i="2"/>
  <c r="AJ426" i="2"/>
  <c r="AI426" i="2"/>
  <c r="AH426" i="2"/>
  <c r="AG426" i="2"/>
  <c r="AF426" i="2"/>
  <c r="AL425" i="2"/>
  <c r="AK425" i="2"/>
  <c r="AJ425" i="2"/>
  <c r="AI425" i="2"/>
  <c r="AH425" i="2"/>
  <c r="AG425" i="2"/>
  <c r="AF425" i="2"/>
  <c r="AL424" i="2"/>
  <c r="AK424" i="2"/>
  <c r="AJ424" i="2"/>
  <c r="AI424" i="2"/>
  <c r="AH424" i="2"/>
  <c r="AG424" i="2"/>
  <c r="AF424" i="2"/>
  <c r="AL423" i="2"/>
  <c r="AK423" i="2"/>
  <c r="AJ423" i="2"/>
  <c r="AI423" i="2"/>
  <c r="AH423" i="2"/>
  <c r="AG423" i="2"/>
  <c r="AF423" i="2"/>
  <c r="AL422" i="2"/>
  <c r="AK422" i="2"/>
  <c r="AJ422" i="2"/>
  <c r="AI422" i="2"/>
  <c r="AH422" i="2"/>
  <c r="AG422" i="2"/>
  <c r="AF422" i="2"/>
  <c r="AL421" i="2"/>
  <c r="AK421" i="2"/>
  <c r="AJ421" i="2"/>
  <c r="AI421" i="2"/>
  <c r="AH421" i="2"/>
  <c r="AG421" i="2"/>
  <c r="AF421" i="2"/>
  <c r="AL420" i="2"/>
  <c r="AK420" i="2"/>
  <c r="AJ420" i="2"/>
  <c r="AI420" i="2"/>
  <c r="AH420" i="2"/>
  <c r="AG420" i="2"/>
  <c r="AF420" i="2"/>
  <c r="AL419" i="2"/>
  <c r="AK419" i="2"/>
  <c r="AJ419" i="2"/>
  <c r="AI419" i="2"/>
  <c r="AH419" i="2"/>
  <c r="AG419" i="2"/>
  <c r="AF419" i="2"/>
  <c r="AL418" i="2"/>
  <c r="AK418" i="2"/>
  <c r="AJ418" i="2"/>
  <c r="AI418" i="2"/>
  <c r="AH418" i="2"/>
  <c r="AG418" i="2"/>
  <c r="AF418" i="2"/>
  <c r="AL417" i="2"/>
  <c r="AK417" i="2"/>
  <c r="AJ417" i="2"/>
  <c r="AI417" i="2"/>
  <c r="AH417" i="2"/>
  <c r="AG417" i="2"/>
  <c r="AF417" i="2"/>
  <c r="AL416" i="2"/>
  <c r="AK416" i="2"/>
  <c r="AJ416" i="2"/>
  <c r="AI416" i="2"/>
  <c r="AH416" i="2"/>
  <c r="AG416" i="2"/>
  <c r="AF416" i="2"/>
  <c r="AL415" i="2"/>
  <c r="AK415" i="2"/>
  <c r="AJ415" i="2"/>
  <c r="AI415" i="2"/>
  <c r="AH415" i="2"/>
  <c r="AG415" i="2"/>
  <c r="AF415" i="2"/>
  <c r="AL414" i="2"/>
  <c r="AK414" i="2"/>
  <c r="AJ414" i="2"/>
  <c r="AI414" i="2"/>
  <c r="AH414" i="2"/>
  <c r="AG414" i="2"/>
  <c r="AF414" i="2"/>
  <c r="AL413" i="2"/>
  <c r="AK413" i="2"/>
  <c r="AJ413" i="2"/>
  <c r="AI413" i="2"/>
  <c r="AH413" i="2"/>
  <c r="AG413" i="2"/>
  <c r="AF413" i="2"/>
  <c r="AL412" i="2"/>
  <c r="AK412" i="2"/>
  <c r="AJ412" i="2"/>
  <c r="AI412" i="2"/>
  <c r="AH412" i="2"/>
  <c r="AG412" i="2"/>
  <c r="AF412" i="2"/>
  <c r="AL411" i="2"/>
  <c r="AK411" i="2"/>
  <c r="AJ411" i="2"/>
  <c r="AI411" i="2"/>
  <c r="AH411" i="2"/>
  <c r="AG411" i="2"/>
  <c r="AF411" i="2"/>
  <c r="AL410" i="2"/>
  <c r="AK410" i="2"/>
  <c r="AJ410" i="2"/>
  <c r="AI410" i="2"/>
  <c r="AH410" i="2"/>
  <c r="AG410" i="2"/>
  <c r="AF410" i="2"/>
  <c r="AL409" i="2"/>
  <c r="AK409" i="2"/>
  <c r="AJ409" i="2"/>
  <c r="AI409" i="2"/>
  <c r="AH409" i="2"/>
  <c r="AG409" i="2"/>
  <c r="AF409" i="2"/>
  <c r="AL408" i="2"/>
  <c r="AK408" i="2"/>
  <c r="AJ408" i="2"/>
  <c r="AI408" i="2"/>
  <c r="AH408" i="2"/>
  <c r="AG408" i="2"/>
  <c r="AF408" i="2"/>
  <c r="AL407" i="2"/>
  <c r="AK407" i="2"/>
  <c r="AJ407" i="2"/>
  <c r="AI407" i="2"/>
  <c r="AH407" i="2"/>
  <c r="AG407" i="2"/>
  <c r="AF407" i="2"/>
  <c r="AL406" i="2"/>
  <c r="AK406" i="2"/>
  <c r="AJ406" i="2"/>
  <c r="AI406" i="2"/>
  <c r="AH406" i="2"/>
  <c r="AG406" i="2"/>
  <c r="AF406" i="2"/>
  <c r="AL405" i="2"/>
  <c r="AK405" i="2"/>
  <c r="AJ405" i="2"/>
  <c r="AI405" i="2"/>
  <c r="AH405" i="2"/>
  <c r="AG405" i="2"/>
  <c r="AF405" i="2"/>
  <c r="AL404" i="2"/>
  <c r="AK404" i="2"/>
  <c r="AJ404" i="2"/>
  <c r="AI404" i="2"/>
  <c r="AH404" i="2"/>
  <c r="AG404" i="2"/>
  <c r="AF404" i="2"/>
  <c r="AL403" i="2"/>
  <c r="AK403" i="2"/>
  <c r="AJ403" i="2"/>
  <c r="AI403" i="2"/>
  <c r="AH403" i="2"/>
  <c r="AG403" i="2"/>
  <c r="AF403" i="2"/>
  <c r="AL402" i="2"/>
  <c r="AK402" i="2"/>
  <c r="AJ402" i="2"/>
  <c r="AI402" i="2"/>
  <c r="AH402" i="2"/>
  <c r="AG402" i="2"/>
  <c r="AF402" i="2"/>
  <c r="AL401" i="2"/>
  <c r="AK401" i="2"/>
  <c r="AJ401" i="2"/>
  <c r="AI401" i="2"/>
  <c r="AH401" i="2"/>
  <c r="AG401" i="2"/>
  <c r="AF401" i="2"/>
  <c r="AL400" i="2"/>
  <c r="AK400" i="2"/>
  <c r="AJ400" i="2"/>
  <c r="AI400" i="2"/>
  <c r="AH400" i="2"/>
  <c r="AG400" i="2"/>
  <c r="AF400" i="2"/>
  <c r="AL399" i="2"/>
  <c r="AK399" i="2"/>
  <c r="AJ399" i="2"/>
  <c r="AI399" i="2"/>
  <c r="AH399" i="2"/>
  <c r="AG399" i="2"/>
  <c r="AF399" i="2"/>
  <c r="AL398" i="2"/>
  <c r="AK398" i="2"/>
  <c r="AJ398" i="2"/>
  <c r="AI398" i="2"/>
  <c r="AH398" i="2"/>
  <c r="AG398" i="2"/>
  <c r="AF398" i="2"/>
  <c r="AL397" i="2"/>
  <c r="AK397" i="2"/>
  <c r="AJ397" i="2"/>
  <c r="AI397" i="2"/>
  <c r="AH397" i="2"/>
  <c r="AG397" i="2"/>
  <c r="AF397" i="2"/>
  <c r="AL396" i="2"/>
  <c r="AK396" i="2"/>
  <c r="AJ396" i="2"/>
  <c r="AI396" i="2"/>
  <c r="AH396" i="2"/>
  <c r="AG396" i="2"/>
  <c r="AF396" i="2"/>
  <c r="AL395" i="2"/>
  <c r="AK395" i="2"/>
  <c r="AJ395" i="2"/>
  <c r="AI395" i="2"/>
  <c r="AH395" i="2"/>
  <c r="AG395" i="2"/>
  <c r="AF395" i="2"/>
  <c r="AL394" i="2"/>
  <c r="AK394" i="2"/>
  <c r="AJ394" i="2"/>
  <c r="AI394" i="2"/>
  <c r="AH394" i="2"/>
  <c r="AG394" i="2"/>
  <c r="AF394" i="2"/>
  <c r="AL393" i="2"/>
  <c r="AK393" i="2"/>
  <c r="AJ393" i="2"/>
  <c r="AI393" i="2"/>
  <c r="AH393" i="2"/>
  <c r="AG393" i="2"/>
  <c r="AF393" i="2"/>
  <c r="AL392" i="2"/>
  <c r="AK392" i="2"/>
  <c r="AJ392" i="2"/>
  <c r="AI392" i="2"/>
  <c r="AH392" i="2"/>
  <c r="AG392" i="2"/>
  <c r="AF392" i="2"/>
  <c r="AL391" i="2"/>
  <c r="AK391" i="2"/>
  <c r="AJ391" i="2"/>
  <c r="AI391" i="2"/>
  <c r="AH391" i="2"/>
  <c r="AG391" i="2"/>
  <c r="AF391" i="2"/>
  <c r="AL390" i="2"/>
  <c r="AK390" i="2"/>
  <c r="AJ390" i="2"/>
  <c r="AI390" i="2"/>
  <c r="AH390" i="2"/>
  <c r="AG390" i="2"/>
  <c r="AF390" i="2"/>
  <c r="AL389" i="2"/>
  <c r="AK389" i="2"/>
  <c r="AJ389" i="2"/>
  <c r="AI389" i="2"/>
  <c r="AH389" i="2"/>
  <c r="AG389" i="2"/>
  <c r="AF389" i="2"/>
  <c r="AL388" i="2"/>
  <c r="AK388" i="2"/>
  <c r="AJ388" i="2"/>
  <c r="AI388" i="2"/>
  <c r="AH388" i="2"/>
  <c r="AG388" i="2"/>
  <c r="AF388" i="2"/>
  <c r="AL387" i="2"/>
  <c r="AK387" i="2"/>
  <c r="AJ387" i="2"/>
  <c r="AI387" i="2"/>
  <c r="AH387" i="2"/>
  <c r="AG387" i="2"/>
  <c r="AF387" i="2"/>
  <c r="AL386" i="2"/>
  <c r="AK386" i="2"/>
  <c r="AJ386" i="2"/>
  <c r="AI386" i="2"/>
  <c r="AH386" i="2"/>
  <c r="AG386" i="2"/>
  <c r="AF386" i="2"/>
  <c r="AL385" i="2"/>
  <c r="AK385" i="2"/>
  <c r="AJ385" i="2"/>
  <c r="AI385" i="2"/>
  <c r="AH385" i="2"/>
  <c r="AG385" i="2"/>
  <c r="AF385" i="2"/>
  <c r="AL384" i="2"/>
  <c r="AK384" i="2"/>
  <c r="AJ384" i="2"/>
  <c r="AI384" i="2"/>
  <c r="AH384" i="2"/>
  <c r="AG384" i="2"/>
  <c r="AF384" i="2"/>
  <c r="AL383" i="2"/>
  <c r="AK383" i="2"/>
  <c r="AJ383" i="2"/>
  <c r="AI383" i="2"/>
  <c r="AH383" i="2"/>
  <c r="AG383" i="2"/>
  <c r="AF383" i="2"/>
  <c r="AL382" i="2"/>
  <c r="AK382" i="2"/>
  <c r="AJ382" i="2"/>
  <c r="AI382" i="2"/>
  <c r="AH382" i="2"/>
  <c r="AG382" i="2"/>
  <c r="AF382" i="2"/>
  <c r="AL381" i="2"/>
  <c r="AK381" i="2"/>
  <c r="AJ381" i="2"/>
  <c r="AI381" i="2"/>
  <c r="AH381" i="2"/>
  <c r="AG381" i="2"/>
  <c r="AF381" i="2"/>
  <c r="AL380" i="2"/>
  <c r="AK380" i="2"/>
  <c r="AJ380" i="2"/>
  <c r="AI380" i="2"/>
  <c r="AH380" i="2"/>
  <c r="AG380" i="2"/>
  <c r="AF380" i="2"/>
  <c r="AL379" i="2"/>
  <c r="AK379" i="2"/>
  <c r="AJ379" i="2"/>
  <c r="AI379" i="2"/>
  <c r="AH379" i="2"/>
  <c r="AG379" i="2"/>
  <c r="AF379" i="2"/>
  <c r="AL378" i="2"/>
  <c r="AK378" i="2"/>
  <c r="AJ378" i="2"/>
  <c r="AI378" i="2"/>
  <c r="AH378" i="2"/>
  <c r="AG378" i="2"/>
  <c r="AF378" i="2"/>
  <c r="AL377" i="2"/>
  <c r="AK377" i="2"/>
  <c r="AJ377" i="2"/>
  <c r="AI377" i="2"/>
  <c r="AH377" i="2"/>
  <c r="AG377" i="2"/>
  <c r="AF377" i="2"/>
  <c r="AL376" i="2"/>
  <c r="AK376" i="2"/>
  <c r="AJ376" i="2"/>
  <c r="AI376" i="2"/>
  <c r="AH376" i="2"/>
  <c r="AG376" i="2"/>
  <c r="AF376" i="2"/>
  <c r="AL375" i="2"/>
  <c r="AK375" i="2"/>
  <c r="AJ375" i="2"/>
  <c r="AI375" i="2"/>
  <c r="AH375" i="2"/>
  <c r="AG375" i="2"/>
  <c r="AF375" i="2"/>
  <c r="AL374" i="2"/>
  <c r="AK374" i="2"/>
  <c r="AJ374" i="2"/>
  <c r="AI374" i="2"/>
  <c r="AH374" i="2"/>
  <c r="AG374" i="2"/>
  <c r="AF374" i="2"/>
  <c r="AL373" i="2"/>
  <c r="AK373" i="2"/>
  <c r="AJ373" i="2"/>
  <c r="AI373" i="2"/>
  <c r="AH373" i="2"/>
  <c r="AG373" i="2"/>
  <c r="AF373" i="2"/>
  <c r="AL372" i="2"/>
  <c r="AK372" i="2"/>
  <c r="AJ372" i="2"/>
  <c r="AI372" i="2"/>
  <c r="AH372" i="2"/>
  <c r="AG372" i="2"/>
  <c r="AF372" i="2"/>
  <c r="AL371" i="2"/>
  <c r="AK371" i="2"/>
  <c r="AJ371" i="2"/>
  <c r="AI371" i="2"/>
  <c r="AH371" i="2"/>
  <c r="AG371" i="2"/>
  <c r="AF371" i="2"/>
  <c r="AL370" i="2"/>
  <c r="AK370" i="2"/>
  <c r="AJ370" i="2"/>
  <c r="AI370" i="2"/>
  <c r="AH370" i="2"/>
  <c r="AG370" i="2"/>
  <c r="AF370" i="2"/>
  <c r="AL369" i="2"/>
  <c r="AK369" i="2"/>
  <c r="AJ369" i="2"/>
  <c r="AI369" i="2"/>
  <c r="AH369" i="2"/>
  <c r="AG369" i="2"/>
  <c r="AF369" i="2"/>
  <c r="AL368" i="2"/>
  <c r="AK368" i="2"/>
  <c r="AJ368" i="2"/>
  <c r="AI368" i="2"/>
  <c r="AH368" i="2"/>
  <c r="AG368" i="2"/>
  <c r="AF368" i="2"/>
  <c r="AL367" i="2"/>
  <c r="AK367" i="2"/>
  <c r="AJ367" i="2"/>
  <c r="AI367" i="2"/>
  <c r="AH367" i="2"/>
  <c r="AG367" i="2"/>
  <c r="AF367" i="2"/>
  <c r="AL366" i="2"/>
  <c r="AK366" i="2"/>
  <c r="AJ366" i="2"/>
  <c r="AI366" i="2"/>
  <c r="AH366" i="2"/>
  <c r="AG366" i="2"/>
  <c r="AF366" i="2"/>
  <c r="AL365" i="2"/>
  <c r="AK365" i="2"/>
  <c r="AJ365" i="2"/>
  <c r="AI365" i="2"/>
  <c r="AH365" i="2"/>
  <c r="AG365" i="2"/>
  <c r="AF365" i="2"/>
  <c r="AL364" i="2"/>
  <c r="AK364" i="2"/>
  <c r="AJ364" i="2"/>
  <c r="AI364" i="2"/>
  <c r="AH364" i="2"/>
  <c r="AG364" i="2"/>
  <c r="AF364" i="2"/>
  <c r="AL363" i="2"/>
  <c r="AK363" i="2"/>
  <c r="AJ363" i="2"/>
  <c r="AI363" i="2"/>
  <c r="AH363" i="2"/>
  <c r="AG363" i="2"/>
  <c r="AF363" i="2"/>
  <c r="AL362" i="2"/>
  <c r="AK362" i="2"/>
  <c r="AJ362" i="2"/>
  <c r="AI362" i="2"/>
  <c r="AH362" i="2"/>
  <c r="AG362" i="2"/>
  <c r="AF362" i="2"/>
  <c r="AL361" i="2"/>
  <c r="AK361" i="2"/>
  <c r="AJ361" i="2"/>
  <c r="AI361" i="2"/>
  <c r="AH361" i="2"/>
  <c r="AG361" i="2"/>
  <c r="AF361" i="2"/>
  <c r="AL360" i="2"/>
  <c r="AK360" i="2"/>
  <c r="AJ360" i="2"/>
  <c r="AI360" i="2"/>
  <c r="AH360" i="2"/>
  <c r="AG360" i="2"/>
  <c r="AF360" i="2"/>
  <c r="AL359" i="2"/>
  <c r="AK359" i="2"/>
  <c r="AJ359" i="2"/>
  <c r="AI359" i="2"/>
  <c r="AH359" i="2"/>
  <c r="AG359" i="2"/>
  <c r="AF359" i="2"/>
  <c r="AL358" i="2"/>
  <c r="AK358" i="2"/>
  <c r="AJ358" i="2"/>
  <c r="AI358" i="2"/>
  <c r="AH358" i="2"/>
  <c r="AG358" i="2"/>
  <c r="AF358" i="2"/>
  <c r="AL357" i="2"/>
  <c r="AK357" i="2"/>
  <c r="AJ357" i="2"/>
  <c r="AI357" i="2"/>
  <c r="AH357" i="2"/>
  <c r="AG357" i="2"/>
  <c r="AF357" i="2"/>
  <c r="AL356" i="2"/>
  <c r="AK356" i="2"/>
  <c r="AJ356" i="2"/>
  <c r="AI356" i="2"/>
  <c r="AH356" i="2"/>
  <c r="AG356" i="2"/>
  <c r="AF356" i="2"/>
  <c r="AL355" i="2"/>
  <c r="AK355" i="2"/>
  <c r="AJ355" i="2"/>
  <c r="AI355" i="2"/>
  <c r="AH355" i="2"/>
  <c r="AG355" i="2"/>
  <c r="AF355" i="2"/>
  <c r="AL354" i="2"/>
  <c r="AK354" i="2"/>
  <c r="AJ354" i="2"/>
  <c r="AI354" i="2"/>
  <c r="AH354" i="2"/>
  <c r="AG354" i="2"/>
  <c r="AF354" i="2"/>
  <c r="AL353" i="2"/>
  <c r="AK353" i="2"/>
  <c r="AJ353" i="2"/>
  <c r="AI353" i="2"/>
  <c r="AH353" i="2"/>
  <c r="AG353" i="2"/>
  <c r="AF353" i="2"/>
  <c r="AL352" i="2"/>
  <c r="AK352" i="2"/>
  <c r="AJ352" i="2"/>
  <c r="AI352" i="2"/>
  <c r="AH352" i="2"/>
  <c r="AG352" i="2"/>
  <c r="AF352" i="2"/>
  <c r="AL351" i="2"/>
  <c r="AK351" i="2"/>
  <c r="AJ351" i="2"/>
  <c r="AI351" i="2"/>
  <c r="AH351" i="2"/>
  <c r="AG351" i="2"/>
  <c r="AF351" i="2"/>
  <c r="AL350" i="2"/>
  <c r="AK350" i="2"/>
  <c r="AJ350" i="2"/>
  <c r="AI350" i="2"/>
  <c r="AH350" i="2"/>
  <c r="AG350" i="2"/>
  <c r="AF350" i="2"/>
  <c r="AL349" i="2"/>
  <c r="AK349" i="2"/>
  <c r="AJ349" i="2"/>
  <c r="AI349" i="2"/>
  <c r="AH349" i="2"/>
  <c r="AG349" i="2"/>
  <c r="AF349" i="2"/>
  <c r="AL348" i="2"/>
  <c r="AK348" i="2"/>
  <c r="AJ348" i="2"/>
  <c r="AI348" i="2"/>
  <c r="AH348" i="2"/>
  <c r="AG348" i="2"/>
  <c r="AF348" i="2"/>
  <c r="AL347" i="2"/>
  <c r="AK347" i="2"/>
  <c r="AJ347" i="2"/>
  <c r="AI347" i="2"/>
  <c r="AH347" i="2"/>
  <c r="AG347" i="2"/>
  <c r="AF347" i="2"/>
  <c r="AL346" i="2"/>
  <c r="AK346" i="2"/>
  <c r="AJ346" i="2"/>
  <c r="AI346" i="2"/>
  <c r="AH346" i="2"/>
  <c r="AG346" i="2"/>
  <c r="AF346" i="2"/>
  <c r="AL345" i="2"/>
  <c r="AK345" i="2"/>
  <c r="AJ345" i="2"/>
  <c r="AI345" i="2"/>
  <c r="AH345" i="2"/>
  <c r="AG345" i="2"/>
  <c r="AF345" i="2"/>
  <c r="AL344" i="2"/>
  <c r="AK344" i="2"/>
  <c r="AJ344" i="2"/>
  <c r="AI344" i="2"/>
  <c r="AH344" i="2"/>
  <c r="AG344" i="2"/>
  <c r="AF344" i="2"/>
  <c r="AL343" i="2"/>
  <c r="AK343" i="2"/>
  <c r="AJ343" i="2"/>
  <c r="AI343" i="2"/>
  <c r="AH343" i="2"/>
  <c r="AG343" i="2"/>
  <c r="AF343" i="2"/>
  <c r="AL342" i="2"/>
  <c r="AK342" i="2"/>
  <c r="AJ342" i="2"/>
  <c r="AI342" i="2"/>
  <c r="AH342" i="2"/>
  <c r="AG342" i="2"/>
  <c r="AF342" i="2"/>
  <c r="AL341" i="2"/>
  <c r="AK341" i="2"/>
  <c r="AJ341" i="2"/>
  <c r="AI341" i="2"/>
  <c r="AH341" i="2"/>
  <c r="AG341" i="2"/>
  <c r="AF341" i="2"/>
  <c r="AL340" i="2"/>
  <c r="AK340" i="2"/>
  <c r="AJ340" i="2"/>
  <c r="AI340" i="2"/>
  <c r="AH340" i="2"/>
  <c r="AG340" i="2"/>
  <c r="AF340" i="2"/>
  <c r="AL339" i="2"/>
  <c r="AK339" i="2"/>
  <c r="AJ339" i="2"/>
  <c r="AI339" i="2"/>
  <c r="AH339" i="2"/>
  <c r="AG339" i="2"/>
  <c r="AF339" i="2"/>
  <c r="AL338" i="2"/>
  <c r="AK338" i="2"/>
  <c r="AJ338" i="2"/>
  <c r="AI338" i="2"/>
  <c r="AH338" i="2"/>
  <c r="AG338" i="2"/>
  <c r="AF338" i="2"/>
  <c r="AL337" i="2"/>
  <c r="AK337" i="2"/>
  <c r="AJ337" i="2"/>
  <c r="AI337" i="2"/>
  <c r="AH337" i="2"/>
  <c r="AG337" i="2"/>
  <c r="AF337" i="2"/>
  <c r="AL336" i="2"/>
  <c r="AK336" i="2"/>
  <c r="AJ336" i="2"/>
  <c r="AI336" i="2"/>
  <c r="AH336" i="2"/>
  <c r="AG336" i="2"/>
  <c r="AF336" i="2"/>
  <c r="AL335" i="2"/>
  <c r="AK335" i="2"/>
  <c r="AJ335" i="2"/>
  <c r="AI335" i="2"/>
  <c r="AH335" i="2"/>
  <c r="AG335" i="2"/>
  <c r="AF335" i="2"/>
  <c r="AL334" i="2"/>
  <c r="AK334" i="2"/>
  <c r="AJ334" i="2"/>
  <c r="AI334" i="2"/>
  <c r="AH334" i="2"/>
  <c r="AG334" i="2"/>
  <c r="AF334" i="2"/>
  <c r="AL333" i="2"/>
  <c r="AK333" i="2"/>
  <c r="AJ333" i="2"/>
  <c r="AI333" i="2"/>
  <c r="AH333" i="2"/>
  <c r="AG333" i="2"/>
  <c r="AF333" i="2"/>
  <c r="AL332" i="2"/>
  <c r="AK332" i="2"/>
  <c r="AJ332" i="2"/>
  <c r="AI332" i="2"/>
  <c r="AH332" i="2"/>
  <c r="AG332" i="2"/>
  <c r="AF332" i="2"/>
  <c r="AL331" i="2"/>
  <c r="AK331" i="2"/>
  <c r="AJ331" i="2"/>
  <c r="AI331" i="2"/>
  <c r="AH331" i="2"/>
  <c r="AG331" i="2"/>
  <c r="AF331" i="2"/>
  <c r="AL330" i="2"/>
  <c r="AK330" i="2"/>
  <c r="AJ330" i="2"/>
  <c r="AI330" i="2"/>
  <c r="AH330" i="2"/>
  <c r="AG330" i="2"/>
  <c r="AF330" i="2"/>
  <c r="AL329" i="2"/>
  <c r="AK329" i="2"/>
  <c r="AJ329" i="2"/>
  <c r="AI329" i="2"/>
  <c r="AH329" i="2"/>
  <c r="AG329" i="2"/>
  <c r="AF329" i="2"/>
  <c r="AL328" i="2"/>
  <c r="AK328" i="2"/>
  <c r="AJ328" i="2"/>
  <c r="AI328" i="2"/>
  <c r="AH328" i="2"/>
  <c r="AG328" i="2"/>
  <c r="AF328" i="2"/>
  <c r="AL327" i="2"/>
  <c r="AK327" i="2"/>
  <c r="AJ327" i="2"/>
  <c r="AI327" i="2"/>
  <c r="AH327" i="2"/>
  <c r="AG327" i="2"/>
  <c r="AF327" i="2"/>
  <c r="AL326" i="2"/>
  <c r="AK326" i="2"/>
  <c r="AJ326" i="2"/>
  <c r="AI326" i="2"/>
  <c r="AH326" i="2"/>
  <c r="AG326" i="2"/>
  <c r="AF326" i="2"/>
  <c r="AL325" i="2"/>
  <c r="AK325" i="2"/>
  <c r="AJ325" i="2"/>
  <c r="AI325" i="2"/>
  <c r="AH325" i="2"/>
  <c r="AG325" i="2"/>
  <c r="AF325" i="2"/>
  <c r="AL324" i="2"/>
  <c r="AK324" i="2"/>
  <c r="AJ324" i="2"/>
  <c r="AI324" i="2"/>
  <c r="AH324" i="2"/>
  <c r="AG324" i="2"/>
  <c r="AF324" i="2"/>
  <c r="AL323" i="2"/>
  <c r="AK323" i="2"/>
  <c r="AJ323" i="2"/>
  <c r="AI323" i="2"/>
  <c r="AH323" i="2"/>
  <c r="AG323" i="2"/>
  <c r="AF323" i="2"/>
  <c r="AL322" i="2"/>
  <c r="AK322" i="2"/>
  <c r="AJ322" i="2"/>
  <c r="AI322" i="2"/>
  <c r="AH322" i="2"/>
  <c r="AG322" i="2"/>
  <c r="AF322" i="2"/>
  <c r="AL321" i="2"/>
  <c r="AK321" i="2"/>
  <c r="AJ321" i="2"/>
  <c r="AI321" i="2"/>
  <c r="AH321" i="2"/>
  <c r="AG321" i="2"/>
  <c r="AF321" i="2"/>
  <c r="AL320" i="2"/>
  <c r="AK320" i="2"/>
  <c r="AJ320" i="2"/>
  <c r="AI320" i="2"/>
  <c r="AH320" i="2"/>
  <c r="AG320" i="2"/>
  <c r="AF320" i="2"/>
  <c r="AL319" i="2"/>
  <c r="AK319" i="2"/>
  <c r="AJ319" i="2"/>
  <c r="AI319" i="2"/>
  <c r="AH319" i="2"/>
  <c r="AG319" i="2"/>
  <c r="AF319" i="2"/>
  <c r="AL318" i="2"/>
  <c r="AK318" i="2"/>
  <c r="AJ318" i="2"/>
  <c r="AI318" i="2"/>
  <c r="AH318" i="2"/>
  <c r="AG318" i="2"/>
  <c r="AF318" i="2"/>
  <c r="AL317" i="2"/>
  <c r="AK317" i="2"/>
  <c r="AJ317" i="2"/>
  <c r="AI317" i="2"/>
  <c r="AH317" i="2"/>
  <c r="AG317" i="2"/>
  <c r="AF317" i="2"/>
  <c r="AL316" i="2"/>
  <c r="AK316" i="2"/>
  <c r="AJ316" i="2"/>
  <c r="AI316" i="2"/>
  <c r="AH316" i="2"/>
  <c r="AG316" i="2"/>
  <c r="AF316" i="2"/>
  <c r="AL315" i="2"/>
  <c r="AK315" i="2"/>
  <c r="AJ315" i="2"/>
  <c r="AI315" i="2"/>
  <c r="AH315" i="2"/>
  <c r="AG315" i="2"/>
  <c r="AF315" i="2"/>
  <c r="AL314" i="2"/>
  <c r="AK314" i="2"/>
  <c r="AJ314" i="2"/>
  <c r="AI314" i="2"/>
  <c r="AH314" i="2"/>
  <c r="AG314" i="2"/>
  <c r="AF314" i="2"/>
  <c r="AL313" i="2"/>
  <c r="AK313" i="2"/>
  <c r="AJ313" i="2"/>
  <c r="AI313" i="2"/>
  <c r="AH313" i="2"/>
  <c r="AG313" i="2"/>
  <c r="AF313" i="2"/>
  <c r="AL312" i="2"/>
  <c r="AK312" i="2"/>
  <c r="AJ312" i="2"/>
  <c r="AI312" i="2"/>
  <c r="AH312" i="2"/>
  <c r="AG312" i="2"/>
  <c r="AF312" i="2"/>
  <c r="AL311" i="2"/>
  <c r="AK311" i="2"/>
  <c r="AJ311" i="2"/>
  <c r="AI311" i="2"/>
  <c r="AH311" i="2"/>
  <c r="AG311" i="2"/>
  <c r="AF311" i="2"/>
  <c r="AL310" i="2"/>
  <c r="AK310" i="2"/>
  <c r="AJ310" i="2"/>
  <c r="AI310" i="2"/>
  <c r="AH310" i="2"/>
  <c r="AG310" i="2"/>
  <c r="AF310" i="2"/>
  <c r="AL309" i="2"/>
  <c r="AK309" i="2"/>
  <c r="AJ309" i="2"/>
  <c r="AI309" i="2"/>
  <c r="AH309" i="2"/>
  <c r="AG309" i="2"/>
  <c r="AF309" i="2"/>
  <c r="AL308" i="2"/>
  <c r="AK308" i="2"/>
  <c r="AJ308" i="2"/>
  <c r="AI308" i="2"/>
  <c r="AH308" i="2"/>
  <c r="AG308" i="2"/>
  <c r="AF308" i="2"/>
  <c r="AL307" i="2"/>
  <c r="AK307" i="2"/>
  <c r="AJ307" i="2"/>
  <c r="AI307" i="2"/>
  <c r="AH307" i="2"/>
  <c r="AG307" i="2"/>
  <c r="AF307" i="2"/>
  <c r="AL306" i="2"/>
  <c r="AK306" i="2"/>
  <c r="AJ306" i="2"/>
  <c r="AI306" i="2"/>
  <c r="AH306" i="2"/>
  <c r="AG306" i="2"/>
  <c r="AF306" i="2"/>
  <c r="AL305" i="2"/>
  <c r="AK305" i="2"/>
  <c r="AJ305" i="2"/>
  <c r="AI305" i="2"/>
  <c r="AH305" i="2"/>
  <c r="AG305" i="2"/>
  <c r="AF305" i="2"/>
  <c r="AL304" i="2"/>
  <c r="AK304" i="2"/>
  <c r="AJ304" i="2"/>
  <c r="AI304" i="2"/>
  <c r="AH304" i="2"/>
  <c r="AG304" i="2"/>
  <c r="AF304" i="2"/>
  <c r="AL303" i="2"/>
  <c r="AK303" i="2"/>
  <c r="AJ303" i="2"/>
  <c r="AI303" i="2"/>
  <c r="AH303" i="2"/>
  <c r="AG303" i="2"/>
  <c r="AF303" i="2"/>
  <c r="AL302" i="2"/>
  <c r="AK302" i="2"/>
  <c r="AJ302" i="2"/>
  <c r="AI302" i="2"/>
  <c r="AH302" i="2"/>
  <c r="AG302" i="2"/>
  <c r="AF302" i="2"/>
  <c r="AL301" i="2"/>
  <c r="AK301" i="2"/>
  <c r="AJ301" i="2"/>
  <c r="AI301" i="2"/>
  <c r="AH301" i="2"/>
  <c r="AG301" i="2"/>
  <c r="AF301" i="2"/>
  <c r="AL300" i="2"/>
  <c r="AK300" i="2"/>
  <c r="AJ300" i="2"/>
  <c r="AI300" i="2"/>
  <c r="AH300" i="2"/>
  <c r="AG300" i="2"/>
  <c r="AF300" i="2"/>
  <c r="AL299" i="2"/>
  <c r="AK299" i="2"/>
  <c r="AJ299" i="2"/>
  <c r="AI299" i="2"/>
  <c r="AH299" i="2"/>
  <c r="AG299" i="2"/>
  <c r="AF299" i="2"/>
  <c r="AL298" i="2"/>
  <c r="AK298" i="2"/>
  <c r="AJ298" i="2"/>
  <c r="AI298" i="2"/>
  <c r="AH298" i="2"/>
  <c r="AG298" i="2"/>
  <c r="AF298" i="2"/>
  <c r="AL297" i="2"/>
  <c r="AK297" i="2"/>
  <c r="AJ297" i="2"/>
  <c r="AI297" i="2"/>
  <c r="AH297" i="2"/>
  <c r="AG297" i="2"/>
  <c r="AF297" i="2"/>
  <c r="AL296" i="2"/>
  <c r="AK296" i="2"/>
  <c r="AJ296" i="2"/>
  <c r="AI296" i="2"/>
  <c r="AH296" i="2"/>
  <c r="AG296" i="2"/>
  <c r="AF296" i="2"/>
  <c r="AL295" i="2"/>
  <c r="AK295" i="2"/>
  <c r="AJ295" i="2"/>
  <c r="AI295" i="2"/>
  <c r="AH295" i="2"/>
  <c r="AG295" i="2"/>
  <c r="AF295" i="2"/>
  <c r="AL294" i="2"/>
  <c r="AK294" i="2"/>
  <c r="AJ294" i="2"/>
  <c r="AI294" i="2"/>
  <c r="AH294" i="2"/>
  <c r="AG294" i="2"/>
  <c r="AF294" i="2"/>
  <c r="AL293" i="2"/>
  <c r="AK293" i="2"/>
  <c r="AJ293" i="2"/>
  <c r="AI293" i="2"/>
  <c r="AH293" i="2"/>
  <c r="AG293" i="2"/>
  <c r="AF293" i="2"/>
  <c r="AL292" i="2"/>
  <c r="AK292" i="2"/>
  <c r="AJ292" i="2"/>
  <c r="AI292" i="2"/>
  <c r="AH292" i="2"/>
  <c r="AG292" i="2"/>
  <c r="AF292" i="2"/>
  <c r="AL291" i="2"/>
  <c r="AK291" i="2"/>
  <c r="AJ291" i="2"/>
  <c r="AI291" i="2"/>
  <c r="AH291" i="2"/>
  <c r="AG291" i="2"/>
  <c r="AF291" i="2"/>
  <c r="AL290" i="2"/>
  <c r="AK290" i="2"/>
  <c r="AJ290" i="2"/>
  <c r="AI290" i="2"/>
  <c r="AH290" i="2"/>
  <c r="AG290" i="2"/>
  <c r="AF290" i="2"/>
  <c r="AL289" i="2"/>
  <c r="AK289" i="2"/>
  <c r="AJ289" i="2"/>
  <c r="AI289" i="2"/>
  <c r="AH289" i="2"/>
  <c r="AG289" i="2"/>
  <c r="AF289" i="2"/>
  <c r="AL288" i="2"/>
  <c r="AK288" i="2"/>
  <c r="AJ288" i="2"/>
  <c r="AI288" i="2"/>
  <c r="AH288" i="2"/>
  <c r="AG288" i="2"/>
  <c r="AF288" i="2"/>
  <c r="AL287" i="2"/>
  <c r="AK287" i="2"/>
  <c r="AJ287" i="2"/>
  <c r="AI287" i="2"/>
  <c r="AH287" i="2"/>
  <c r="AG287" i="2"/>
  <c r="AF287" i="2"/>
  <c r="AL286" i="2"/>
  <c r="AK286" i="2"/>
  <c r="AJ286" i="2"/>
  <c r="AI286" i="2"/>
  <c r="AH286" i="2"/>
  <c r="AG286" i="2"/>
  <c r="AF286" i="2"/>
  <c r="AL285" i="2"/>
  <c r="AK285" i="2"/>
  <c r="AJ285" i="2"/>
  <c r="AI285" i="2"/>
  <c r="AH285" i="2"/>
  <c r="AG285" i="2"/>
  <c r="AF285" i="2"/>
  <c r="AL284" i="2"/>
  <c r="AK284" i="2"/>
  <c r="AJ284" i="2"/>
  <c r="AI284" i="2"/>
  <c r="AH284" i="2"/>
  <c r="AG284" i="2"/>
  <c r="AF284" i="2"/>
  <c r="AL283" i="2"/>
  <c r="AK283" i="2"/>
  <c r="AJ283" i="2"/>
  <c r="AI283" i="2"/>
  <c r="AH283" i="2"/>
  <c r="AG283" i="2"/>
  <c r="AF283" i="2"/>
  <c r="AL282" i="2"/>
  <c r="AK282" i="2"/>
  <c r="AJ282" i="2"/>
  <c r="AI282" i="2"/>
  <c r="AH282" i="2"/>
  <c r="AG282" i="2"/>
  <c r="AF282" i="2"/>
  <c r="AL281" i="2"/>
  <c r="AK281" i="2"/>
  <c r="AJ281" i="2"/>
  <c r="AI281" i="2"/>
  <c r="AH281" i="2"/>
  <c r="AG281" i="2"/>
  <c r="AF281" i="2"/>
  <c r="AL280" i="2"/>
  <c r="AK280" i="2"/>
  <c r="AJ280" i="2"/>
  <c r="AI280" i="2"/>
  <c r="AH280" i="2"/>
  <c r="AG280" i="2"/>
  <c r="AF280" i="2"/>
  <c r="AL279" i="2"/>
  <c r="AK279" i="2"/>
  <c r="AJ279" i="2"/>
  <c r="AI279" i="2"/>
  <c r="AH279" i="2"/>
  <c r="AG279" i="2"/>
  <c r="AF279" i="2"/>
  <c r="AL278" i="2"/>
  <c r="AK278" i="2"/>
  <c r="AJ278" i="2"/>
  <c r="AI278" i="2"/>
  <c r="AH278" i="2"/>
  <c r="AG278" i="2"/>
  <c r="AF278" i="2"/>
  <c r="AL277" i="2"/>
  <c r="AK277" i="2"/>
  <c r="AJ277" i="2"/>
  <c r="AI277" i="2"/>
  <c r="AH277" i="2"/>
  <c r="AG277" i="2"/>
  <c r="AF277" i="2"/>
  <c r="AL276" i="2"/>
  <c r="AK276" i="2"/>
  <c r="AJ276" i="2"/>
  <c r="AI276" i="2"/>
  <c r="AH276" i="2"/>
  <c r="AG276" i="2"/>
  <c r="AF276" i="2"/>
  <c r="AL275" i="2"/>
  <c r="AK275" i="2"/>
  <c r="AJ275" i="2"/>
  <c r="AI275" i="2"/>
  <c r="AH275" i="2"/>
  <c r="AG275" i="2"/>
  <c r="AF275" i="2"/>
  <c r="AL274" i="2"/>
  <c r="AK274" i="2"/>
  <c r="AJ274" i="2"/>
  <c r="AI274" i="2"/>
  <c r="AH274" i="2"/>
  <c r="AG274" i="2"/>
  <c r="AF274" i="2"/>
  <c r="AL273" i="2"/>
  <c r="AK273" i="2"/>
  <c r="AJ273" i="2"/>
  <c r="AI273" i="2"/>
  <c r="AH273" i="2"/>
  <c r="AG273" i="2"/>
  <c r="AF273" i="2"/>
  <c r="AL272" i="2"/>
  <c r="AK272" i="2"/>
  <c r="AJ272" i="2"/>
  <c r="AI272" i="2"/>
  <c r="AH272" i="2"/>
  <c r="AG272" i="2"/>
  <c r="AF272" i="2"/>
  <c r="AL271" i="2"/>
  <c r="AK271" i="2"/>
  <c r="AJ271" i="2"/>
  <c r="AI271" i="2"/>
  <c r="AH271" i="2"/>
  <c r="AG271" i="2"/>
  <c r="AF271" i="2"/>
  <c r="AL270" i="2"/>
  <c r="AK270" i="2"/>
  <c r="AJ270" i="2"/>
  <c r="AI270" i="2"/>
  <c r="AH270" i="2"/>
  <c r="AG270" i="2"/>
  <c r="AF270" i="2"/>
  <c r="AL269" i="2"/>
  <c r="AK269" i="2"/>
  <c r="AJ269" i="2"/>
  <c r="AI269" i="2"/>
  <c r="AH269" i="2"/>
  <c r="AG269" i="2"/>
  <c r="AF269" i="2"/>
  <c r="AL268" i="2"/>
  <c r="AK268" i="2"/>
  <c r="AJ268" i="2"/>
  <c r="AI268" i="2"/>
  <c r="AH268" i="2"/>
  <c r="AG268" i="2"/>
  <c r="AF268" i="2"/>
  <c r="AL267" i="2"/>
  <c r="AK267" i="2"/>
  <c r="AJ267" i="2"/>
  <c r="AI267" i="2"/>
  <c r="AH267" i="2"/>
  <c r="AG267" i="2"/>
  <c r="AF267" i="2"/>
  <c r="AL266" i="2"/>
  <c r="AK266" i="2"/>
  <c r="AJ266" i="2"/>
  <c r="AI266" i="2"/>
  <c r="AH266" i="2"/>
  <c r="AG266" i="2"/>
  <c r="AF266" i="2"/>
  <c r="AL265" i="2"/>
  <c r="AK265" i="2"/>
  <c r="AJ265" i="2"/>
  <c r="AI265" i="2"/>
  <c r="AH265" i="2"/>
  <c r="AG265" i="2"/>
  <c r="AF265" i="2"/>
  <c r="AL264" i="2"/>
  <c r="AK264" i="2"/>
  <c r="AJ264" i="2"/>
  <c r="AI264" i="2"/>
  <c r="AH264" i="2"/>
  <c r="AG264" i="2"/>
  <c r="AF264" i="2"/>
  <c r="AL263" i="2"/>
  <c r="AK263" i="2"/>
  <c r="AJ263" i="2"/>
  <c r="AI263" i="2"/>
  <c r="AH263" i="2"/>
  <c r="AG263" i="2"/>
  <c r="AF263" i="2"/>
  <c r="AL262" i="2"/>
  <c r="AK262" i="2"/>
  <c r="AJ262" i="2"/>
  <c r="AI262" i="2"/>
  <c r="AH262" i="2"/>
  <c r="AG262" i="2"/>
  <c r="AF262" i="2"/>
  <c r="AL261" i="2"/>
  <c r="AK261" i="2"/>
  <c r="AJ261" i="2"/>
  <c r="AI261" i="2"/>
  <c r="AH261" i="2"/>
  <c r="AG261" i="2"/>
  <c r="AF261" i="2"/>
  <c r="AL260" i="2"/>
  <c r="AK260" i="2"/>
  <c r="AJ260" i="2"/>
  <c r="AI260" i="2"/>
  <c r="AH260" i="2"/>
  <c r="AG260" i="2"/>
  <c r="AF260" i="2"/>
  <c r="AL259" i="2"/>
  <c r="AK259" i="2"/>
  <c r="AJ259" i="2"/>
  <c r="AI259" i="2"/>
  <c r="AH259" i="2"/>
  <c r="AG259" i="2"/>
  <c r="AF259" i="2"/>
  <c r="AL258" i="2"/>
  <c r="AK258" i="2"/>
  <c r="AJ258" i="2"/>
  <c r="AI258" i="2"/>
  <c r="AH258" i="2"/>
  <c r="AG258" i="2"/>
  <c r="AF258" i="2"/>
  <c r="AL257" i="2"/>
  <c r="AK257" i="2"/>
  <c r="AJ257" i="2"/>
  <c r="AI257" i="2"/>
  <c r="AH257" i="2"/>
  <c r="AG257" i="2"/>
  <c r="AF257" i="2"/>
  <c r="AL256" i="2"/>
  <c r="AK256" i="2"/>
  <c r="AJ256" i="2"/>
  <c r="AI256" i="2"/>
  <c r="AH256" i="2"/>
  <c r="AG256" i="2"/>
  <c r="AF256" i="2"/>
  <c r="AL255" i="2"/>
  <c r="AK255" i="2"/>
  <c r="AJ255" i="2"/>
  <c r="AI255" i="2"/>
  <c r="AH255" i="2"/>
  <c r="AG255" i="2"/>
  <c r="AF255" i="2"/>
  <c r="AL254" i="2"/>
  <c r="AK254" i="2"/>
  <c r="AJ254" i="2"/>
  <c r="AI254" i="2"/>
  <c r="AH254" i="2"/>
  <c r="AG254" i="2"/>
  <c r="AF254" i="2"/>
  <c r="AL253" i="2"/>
  <c r="AK253" i="2"/>
  <c r="AJ253" i="2"/>
  <c r="AI253" i="2"/>
  <c r="AH253" i="2"/>
  <c r="AG253" i="2"/>
  <c r="AF253" i="2"/>
  <c r="AL252" i="2"/>
  <c r="AK252" i="2"/>
  <c r="AJ252" i="2"/>
  <c r="AI252" i="2"/>
  <c r="AH252" i="2"/>
  <c r="AG252" i="2"/>
  <c r="AF252" i="2"/>
  <c r="AL251" i="2"/>
  <c r="AK251" i="2"/>
  <c r="AJ251" i="2"/>
  <c r="AI251" i="2"/>
  <c r="AH251" i="2"/>
  <c r="AG251" i="2"/>
  <c r="AF251" i="2"/>
  <c r="AL250" i="2"/>
  <c r="AK250" i="2"/>
  <c r="AJ250" i="2"/>
  <c r="AI250" i="2"/>
  <c r="AH250" i="2"/>
  <c r="AG250" i="2"/>
  <c r="AF250" i="2"/>
  <c r="AL249" i="2"/>
  <c r="AK249" i="2"/>
  <c r="AJ249" i="2"/>
  <c r="AI249" i="2"/>
  <c r="AH249" i="2"/>
  <c r="AG249" i="2"/>
  <c r="AF249" i="2"/>
  <c r="AL248" i="2"/>
  <c r="AK248" i="2"/>
  <c r="AJ248" i="2"/>
  <c r="AI248" i="2"/>
  <c r="AH248" i="2"/>
  <c r="AG248" i="2"/>
  <c r="AF248" i="2"/>
  <c r="AL247" i="2"/>
  <c r="AK247" i="2"/>
  <c r="AJ247" i="2"/>
  <c r="AI247" i="2"/>
  <c r="AH247" i="2"/>
  <c r="AG247" i="2"/>
  <c r="AF247" i="2"/>
  <c r="AL246" i="2"/>
  <c r="AK246" i="2"/>
  <c r="AJ246" i="2"/>
  <c r="AI246" i="2"/>
  <c r="AH246" i="2"/>
  <c r="AG246" i="2"/>
  <c r="AF246" i="2"/>
  <c r="AL245" i="2"/>
  <c r="AK245" i="2"/>
  <c r="AJ245" i="2"/>
  <c r="AI245" i="2"/>
  <c r="AH245" i="2"/>
  <c r="AG245" i="2"/>
  <c r="AF245" i="2"/>
  <c r="AL244" i="2"/>
  <c r="AK244" i="2"/>
  <c r="AJ244" i="2"/>
  <c r="AI244" i="2"/>
  <c r="AH244" i="2"/>
  <c r="AG244" i="2"/>
  <c r="AF244" i="2"/>
  <c r="AL243" i="2"/>
  <c r="AK243" i="2"/>
  <c r="AJ243" i="2"/>
  <c r="AI243" i="2"/>
  <c r="AH243" i="2"/>
  <c r="AG243" i="2"/>
  <c r="AF243" i="2"/>
  <c r="AL242" i="2"/>
  <c r="AK242" i="2"/>
  <c r="AJ242" i="2"/>
  <c r="AI242" i="2"/>
  <c r="AH242" i="2"/>
  <c r="AG242" i="2"/>
  <c r="AF242" i="2"/>
  <c r="AL241" i="2"/>
  <c r="AK241" i="2"/>
  <c r="AJ241" i="2"/>
  <c r="AI241" i="2"/>
  <c r="AH241" i="2"/>
  <c r="AG241" i="2"/>
  <c r="AF241" i="2"/>
  <c r="AL240" i="2"/>
  <c r="AK240" i="2"/>
  <c r="AJ240" i="2"/>
  <c r="AI240" i="2"/>
  <c r="AH240" i="2"/>
  <c r="AG240" i="2"/>
  <c r="AF240" i="2"/>
  <c r="AL239" i="2"/>
  <c r="AK239" i="2"/>
  <c r="AJ239" i="2"/>
  <c r="AI239" i="2"/>
  <c r="AH239" i="2"/>
  <c r="AG239" i="2"/>
  <c r="AF239" i="2"/>
  <c r="AL238" i="2"/>
  <c r="AK238" i="2"/>
  <c r="AJ238" i="2"/>
  <c r="AI238" i="2"/>
  <c r="AH238" i="2"/>
  <c r="AG238" i="2"/>
  <c r="AF238" i="2"/>
  <c r="AL237" i="2"/>
  <c r="AK237" i="2"/>
  <c r="AJ237" i="2"/>
  <c r="AI237" i="2"/>
  <c r="AH237" i="2"/>
  <c r="AG237" i="2"/>
  <c r="AF237" i="2"/>
  <c r="AL236" i="2"/>
  <c r="AK236" i="2"/>
  <c r="AJ236" i="2"/>
  <c r="AI236" i="2"/>
  <c r="AH236" i="2"/>
  <c r="AG236" i="2"/>
  <c r="AF236" i="2"/>
  <c r="AL235" i="2"/>
  <c r="AK235" i="2"/>
  <c r="AJ235" i="2"/>
  <c r="AI235" i="2"/>
  <c r="AH235" i="2"/>
  <c r="AG235" i="2"/>
  <c r="AF235" i="2"/>
  <c r="AL234" i="2"/>
  <c r="AK234" i="2"/>
  <c r="AJ234" i="2"/>
  <c r="AI234" i="2"/>
  <c r="AH234" i="2"/>
  <c r="AG234" i="2"/>
  <c r="AF234" i="2"/>
  <c r="AL233" i="2"/>
  <c r="AK233" i="2"/>
  <c r="AJ233" i="2"/>
  <c r="AI233" i="2"/>
  <c r="AH233" i="2"/>
  <c r="AG233" i="2"/>
  <c r="AF233" i="2"/>
  <c r="AL232" i="2"/>
  <c r="AK232" i="2"/>
  <c r="AJ232" i="2"/>
  <c r="AI232" i="2"/>
  <c r="AH232" i="2"/>
  <c r="AG232" i="2"/>
  <c r="AF232" i="2"/>
  <c r="AL231" i="2"/>
  <c r="AK231" i="2"/>
  <c r="AJ231" i="2"/>
  <c r="AI231" i="2"/>
  <c r="AH231" i="2"/>
  <c r="AG231" i="2"/>
  <c r="AF231" i="2"/>
  <c r="AL230" i="2"/>
  <c r="AK230" i="2"/>
  <c r="AJ230" i="2"/>
  <c r="AI230" i="2"/>
  <c r="AH230" i="2"/>
  <c r="AG230" i="2"/>
  <c r="AF230" i="2"/>
  <c r="AL229" i="2"/>
  <c r="AK229" i="2"/>
  <c r="AJ229" i="2"/>
  <c r="AI229" i="2"/>
  <c r="AH229" i="2"/>
  <c r="AG229" i="2"/>
  <c r="AF229" i="2"/>
  <c r="AL228" i="2"/>
  <c r="AK228" i="2"/>
  <c r="AJ228" i="2"/>
  <c r="AI228" i="2"/>
  <c r="AH228" i="2"/>
  <c r="AG228" i="2"/>
  <c r="AF228" i="2"/>
  <c r="AL227" i="2"/>
  <c r="AK227" i="2"/>
  <c r="AJ227" i="2"/>
  <c r="AI227" i="2"/>
  <c r="AH227" i="2"/>
  <c r="AG227" i="2"/>
  <c r="AF227" i="2"/>
  <c r="AL226" i="2"/>
  <c r="AK226" i="2"/>
  <c r="AJ226" i="2"/>
  <c r="AI226" i="2"/>
  <c r="AH226" i="2"/>
  <c r="AG226" i="2"/>
  <c r="AF226" i="2"/>
  <c r="AL225" i="2"/>
  <c r="AK225" i="2"/>
  <c r="AJ225" i="2"/>
  <c r="AI225" i="2"/>
  <c r="AH225" i="2"/>
  <c r="AG225" i="2"/>
  <c r="AF225" i="2"/>
  <c r="AL224" i="2"/>
  <c r="AK224" i="2"/>
  <c r="AJ224" i="2"/>
  <c r="AI224" i="2"/>
  <c r="AH224" i="2"/>
  <c r="AG224" i="2"/>
  <c r="AF224" i="2"/>
  <c r="AL223" i="2"/>
  <c r="AK223" i="2"/>
  <c r="AJ223" i="2"/>
  <c r="AI223" i="2"/>
  <c r="AH223" i="2"/>
  <c r="AG223" i="2"/>
  <c r="AF223" i="2"/>
  <c r="AL222" i="2"/>
  <c r="AK222" i="2"/>
  <c r="AJ222" i="2"/>
  <c r="AI222" i="2"/>
  <c r="AH222" i="2"/>
  <c r="AG222" i="2"/>
  <c r="AF222" i="2"/>
  <c r="AL221" i="2"/>
  <c r="AK221" i="2"/>
  <c r="AJ221" i="2"/>
  <c r="AI221" i="2"/>
  <c r="AH221" i="2"/>
  <c r="AG221" i="2"/>
  <c r="AF221" i="2"/>
  <c r="AL220" i="2"/>
  <c r="AK220" i="2"/>
  <c r="AJ220" i="2"/>
  <c r="AI220" i="2"/>
  <c r="AH220" i="2"/>
  <c r="AG220" i="2"/>
  <c r="AF220" i="2"/>
  <c r="AL219" i="2"/>
  <c r="AK219" i="2"/>
  <c r="AJ219" i="2"/>
  <c r="AI219" i="2"/>
  <c r="AH219" i="2"/>
  <c r="AG219" i="2"/>
  <c r="AF219" i="2"/>
  <c r="AL218" i="2"/>
  <c r="AK218" i="2"/>
  <c r="AJ218" i="2"/>
  <c r="AI218" i="2"/>
  <c r="AH218" i="2"/>
  <c r="AG218" i="2"/>
  <c r="AF218" i="2"/>
  <c r="AL217" i="2"/>
  <c r="AK217" i="2"/>
  <c r="AJ217" i="2"/>
  <c r="AI217" i="2"/>
  <c r="AH217" i="2"/>
  <c r="AG217" i="2"/>
  <c r="AF217" i="2"/>
  <c r="AL216" i="2"/>
  <c r="AK216" i="2"/>
  <c r="AJ216" i="2"/>
  <c r="AI216" i="2"/>
  <c r="AH216" i="2"/>
  <c r="AG216" i="2"/>
  <c r="AF216" i="2"/>
  <c r="AL215" i="2"/>
  <c r="AK215" i="2"/>
  <c r="AJ215" i="2"/>
  <c r="AI215" i="2"/>
  <c r="AH215" i="2"/>
  <c r="AG215" i="2"/>
  <c r="AF215" i="2"/>
  <c r="AL214" i="2"/>
  <c r="AK214" i="2"/>
  <c r="AJ214" i="2"/>
  <c r="AI214" i="2"/>
  <c r="AH214" i="2"/>
  <c r="AG214" i="2"/>
  <c r="AF214" i="2"/>
  <c r="AL213" i="2"/>
  <c r="AK213" i="2"/>
  <c r="AJ213" i="2"/>
  <c r="AI213" i="2"/>
  <c r="AH213" i="2"/>
  <c r="AG213" i="2"/>
  <c r="AF213" i="2"/>
  <c r="AL212" i="2"/>
  <c r="AK212" i="2"/>
  <c r="AJ212" i="2"/>
  <c r="AI212" i="2"/>
  <c r="AH212" i="2"/>
  <c r="AG212" i="2"/>
  <c r="AF212" i="2"/>
  <c r="AL211" i="2"/>
  <c r="AK211" i="2"/>
  <c r="AJ211" i="2"/>
  <c r="AI211" i="2"/>
  <c r="AH211" i="2"/>
  <c r="AG211" i="2"/>
  <c r="AF211" i="2"/>
  <c r="AL210" i="2"/>
  <c r="AK210" i="2"/>
  <c r="AJ210" i="2"/>
  <c r="AI210" i="2"/>
  <c r="AH210" i="2"/>
  <c r="AG210" i="2"/>
  <c r="AF210" i="2"/>
  <c r="AL209" i="2"/>
  <c r="AK209" i="2"/>
  <c r="AJ209" i="2"/>
  <c r="AI209" i="2"/>
  <c r="AH209" i="2"/>
  <c r="AG209" i="2"/>
  <c r="AF209" i="2"/>
  <c r="AL208" i="2"/>
  <c r="AK208" i="2"/>
  <c r="AJ208" i="2"/>
  <c r="AI208" i="2"/>
  <c r="AH208" i="2"/>
  <c r="AG208" i="2"/>
  <c r="AF208" i="2"/>
  <c r="AL207" i="2"/>
  <c r="AK207" i="2"/>
  <c r="AJ207" i="2"/>
  <c r="AI207" i="2"/>
  <c r="AH207" i="2"/>
  <c r="AG207" i="2"/>
  <c r="AF207" i="2"/>
  <c r="AL206" i="2"/>
  <c r="AK206" i="2"/>
  <c r="AJ206" i="2"/>
  <c r="AI206" i="2"/>
  <c r="AH206" i="2"/>
  <c r="AG206" i="2"/>
  <c r="AF206" i="2"/>
  <c r="AL205" i="2"/>
  <c r="AK205" i="2"/>
  <c r="AJ205" i="2"/>
  <c r="AI205" i="2"/>
  <c r="AH205" i="2"/>
  <c r="AG205" i="2"/>
  <c r="AF205" i="2"/>
  <c r="AL204" i="2"/>
  <c r="AK204" i="2"/>
  <c r="AJ204" i="2"/>
  <c r="AI204" i="2"/>
  <c r="AH204" i="2"/>
  <c r="AG204" i="2"/>
  <c r="AF204" i="2"/>
  <c r="AL203" i="2"/>
  <c r="AK203" i="2"/>
  <c r="AJ203" i="2"/>
  <c r="AI203" i="2"/>
  <c r="AH203" i="2"/>
  <c r="AG203" i="2"/>
  <c r="AF203" i="2"/>
  <c r="AL202" i="2"/>
  <c r="AK202" i="2"/>
  <c r="AJ202" i="2"/>
  <c r="AI202" i="2"/>
  <c r="AH202" i="2"/>
  <c r="AG202" i="2"/>
  <c r="AF202" i="2"/>
  <c r="AL201" i="2"/>
  <c r="AK201" i="2"/>
  <c r="AJ201" i="2"/>
  <c r="AI201" i="2"/>
  <c r="AH201" i="2"/>
  <c r="AG201" i="2"/>
  <c r="AF201" i="2"/>
  <c r="AL200" i="2"/>
  <c r="AK200" i="2"/>
  <c r="AJ200" i="2"/>
  <c r="AI200" i="2"/>
  <c r="AH200" i="2"/>
  <c r="AG200" i="2"/>
  <c r="AF200" i="2"/>
  <c r="AL199" i="2"/>
  <c r="AK199" i="2"/>
  <c r="AJ199" i="2"/>
  <c r="AI199" i="2"/>
  <c r="AH199" i="2"/>
  <c r="AG199" i="2"/>
  <c r="AF199" i="2"/>
  <c r="AL198" i="2"/>
  <c r="AK198" i="2"/>
  <c r="AJ198" i="2"/>
  <c r="AI198" i="2"/>
  <c r="AH198" i="2"/>
  <c r="AG198" i="2"/>
  <c r="AF198" i="2"/>
  <c r="AL197" i="2"/>
  <c r="AK197" i="2"/>
  <c r="AJ197" i="2"/>
  <c r="AI197" i="2"/>
  <c r="AH197" i="2"/>
  <c r="AG197" i="2"/>
  <c r="AF197" i="2"/>
  <c r="AL196" i="2"/>
  <c r="AK196" i="2"/>
  <c r="AJ196" i="2"/>
  <c r="AI196" i="2"/>
  <c r="AH196" i="2"/>
  <c r="AG196" i="2"/>
  <c r="AF196" i="2"/>
  <c r="AL195" i="2"/>
  <c r="AK195" i="2"/>
  <c r="AJ195" i="2"/>
  <c r="AI195" i="2"/>
  <c r="AH195" i="2"/>
  <c r="AG195" i="2"/>
  <c r="AF195" i="2"/>
  <c r="AL194" i="2"/>
  <c r="AK194" i="2"/>
  <c r="AJ194" i="2"/>
  <c r="AI194" i="2"/>
  <c r="AH194" i="2"/>
  <c r="AG194" i="2"/>
  <c r="AF194" i="2"/>
  <c r="AL193" i="2"/>
  <c r="AK193" i="2"/>
  <c r="AJ193" i="2"/>
  <c r="AI193" i="2"/>
  <c r="AH193" i="2"/>
  <c r="AG193" i="2"/>
  <c r="AF193" i="2"/>
  <c r="AL192" i="2"/>
  <c r="AK192" i="2"/>
  <c r="AJ192" i="2"/>
  <c r="AI192" i="2"/>
  <c r="AH192" i="2"/>
  <c r="AG192" i="2"/>
  <c r="AF192" i="2"/>
  <c r="AL191" i="2"/>
  <c r="AK191" i="2"/>
  <c r="AJ191" i="2"/>
  <c r="AI191" i="2"/>
  <c r="AH191" i="2"/>
  <c r="AG191" i="2"/>
  <c r="AF191" i="2"/>
  <c r="AL190" i="2"/>
  <c r="AK190" i="2"/>
  <c r="AJ190" i="2"/>
  <c r="AI190" i="2"/>
  <c r="AH190" i="2"/>
  <c r="AG190" i="2"/>
  <c r="AF190" i="2"/>
  <c r="AL189" i="2"/>
  <c r="AK189" i="2"/>
  <c r="AJ189" i="2"/>
  <c r="AI189" i="2"/>
  <c r="AH189" i="2"/>
  <c r="AG189" i="2"/>
  <c r="AF189" i="2"/>
  <c r="AL188" i="2"/>
  <c r="AK188" i="2"/>
  <c r="AJ188" i="2"/>
  <c r="AI188" i="2"/>
  <c r="AH188" i="2"/>
  <c r="AG188" i="2"/>
  <c r="AF188" i="2"/>
  <c r="AL187" i="2"/>
  <c r="AK187" i="2"/>
  <c r="AJ187" i="2"/>
  <c r="AI187" i="2"/>
  <c r="AH187" i="2"/>
  <c r="AG187" i="2"/>
  <c r="AF187" i="2"/>
  <c r="AL186" i="2"/>
  <c r="AK186" i="2"/>
  <c r="AJ186" i="2"/>
  <c r="AI186" i="2"/>
  <c r="AH186" i="2"/>
  <c r="AG186" i="2"/>
  <c r="AF186" i="2"/>
  <c r="AL185" i="2"/>
  <c r="AK185" i="2"/>
  <c r="AJ185" i="2"/>
  <c r="AI185" i="2"/>
  <c r="AH185" i="2"/>
  <c r="AG185" i="2"/>
  <c r="AF185" i="2"/>
  <c r="AL184" i="2"/>
  <c r="AK184" i="2"/>
  <c r="AJ184" i="2"/>
  <c r="AI184" i="2"/>
  <c r="AH184" i="2"/>
  <c r="AG184" i="2"/>
  <c r="AF184" i="2"/>
  <c r="AL183" i="2"/>
  <c r="AK183" i="2"/>
  <c r="AJ183" i="2"/>
  <c r="AI183" i="2"/>
  <c r="AH183" i="2"/>
  <c r="AG183" i="2"/>
  <c r="AF183" i="2"/>
  <c r="AL182" i="2"/>
  <c r="AK182" i="2"/>
  <c r="AJ182" i="2"/>
  <c r="AI182" i="2"/>
  <c r="AH182" i="2"/>
  <c r="AG182" i="2"/>
  <c r="AF182" i="2"/>
  <c r="AL181" i="2"/>
  <c r="AK181" i="2"/>
  <c r="AJ181" i="2"/>
  <c r="AI181" i="2"/>
  <c r="AH181" i="2"/>
  <c r="AG181" i="2"/>
  <c r="AF181" i="2"/>
  <c r="AL180" i="2"/>
  <c r="AK180" i="2"/>
  <c r="AJ180" i="2"/>
  <c r="AI180" i="2"/>
  <c r="AH180" i="2"/>
  <c r="AG180" i="2"/>
  <c r="AF180" i="2"/>
  <c r="AL179" i="2"/>
  <c r="AK179" i="2"/>
  <c r="AJ179" i="2"/>
  <c r="AI179" i="2"/>
  <c r="AH179" i="2"/>
  <c r="AG179" i="2"/>
  <c r="AF179" i="2"/>
  <c r="AL178" i="2"/>
  <c r="AK178" i="2"/>
  <c r="AJ178" i="2"/>
  <c r="AI178" i="2"/>
  <c r="AH178" i="2"/>
  <c r="AG178" i="2"/>
  <c r="AF178" i="2"/>
  <c r="AL177" i="2"/>
  <c r="AK177" i="2"/>
  <c r="AJ177" i="2"/>
  <c r="AI177" i="2"/>
  <c r="AH177" i="2"/>
  <c r="AG177" i="2"/>
  <c r="AF177" i="2"/>
  <c r="AL176" i="2"/>
  <c r="AK176" i="2"/>
  <c r="AJ176" i="2"/>
  <c r="AI176" i="2"/>
  <c r="AH176" i="2"/>
  <c r="AG176" i="2"/>
  <c r="AF176" i="2"/>
  <c r="AL175" i="2"/>
  <c r="AK175" i="2"/>
  <c r="AJ175" i="2"/>
  <c r="AI175" i="2"/>
  <c r="AH175" i="2"/>
  <c r="AG175" i="2"/>
  <c r="AF175" i="2"/>
  <c r="AL174" i="2"/>
  <c r="AK174" i="2"/>
  <c r="AJ174" i="2"/>
  <c r="AI174" i="2"/>
  <c r="AH174" i="2"/>
  <c r="AG174" i="2"/>
  <c r="AF174" i="2"/>
  <c r="AL173" i="2"/>
  <c r="AK173" i="2"/>
  <c r="AJ173" i="2"/>
  <c r="AI173" i="2"/>
  <c r="AH173" i="2"/>
  <c r="AG173" i="2"/>
  <c r="AF173" i="2"/>
  <c r="AL172" i="2"/>
  <c r="AK172" i="2"/>
  <c r="AJ172" i="2"/>
  <c r="AI172" i="2"/>
  <c r="AH172" i="2"/>
  <c r="AG172" i="2"/>
  <c r="AF172" i="2"/>
  <c r="AL171" i="2"/>
  <c r="AK171" i="2"/>
  <c r="AJ171" i="2"/>
  <c r="AI171" i="2"/>
  <c r="AH171" i="2"/>
  <c r="AG171" i="2"/>
  <c r="AF171" i="2"/>
  <c r="AL170" i="2"/>
  <c r="AK170" i="2"/>
  <c r="AJ170" i="2"/>
  <c r="AI170" i="2"/>
  <c r="AH170" i="2"/>
  <c r="AG170" i="2"/>
  <c r="AF170" i="2"/>
  <c r="AL169" i="2"/>
  <c r="AK169" i="2"/>
  <c r="AJ169" i="2"/>
  <c r="AI169" i="2"/>
  <c r="AH169" i="2"/>
  <c r="AG169" i="2"/>
  <c r="AF169" i="2"/>
  <c r="AL168" i="2"/>
  <c r="AK168" i="2"/>
  <c r="AJ168" i="2"/>
  <c r="AI168" i="2"/>
  <c r="AH168" i="2"/>
  <c r="AG168" i="2"/>
  <c r="AF168" i="2"/>
  <c r="AL167" i="2"/>
  <c r="AK167" i="2"/>
  <c r="AJ167" i="2"/>
  <c r="AI167" i="2"/>
  <c r="AH167" i="2"/>
  <c r="AG167" i="2"/>
  <c r="AF167" i="2"/>
  <c r="AL166" i="2"/>
  <c r="AK166" i="2"/>
  <c r="AJ166" i="2"/>
  <c r="AI166" i="2"/>
  <c r="AH166" i="2"/>
  <c r="AG166" i="2"/>
  <c r="AF166" i="2"/>
  <c r="AL165" i="2"/>
  <c r="AK165" i="2"/>
  <c r="AJ165" i="2"/>
  <c r="AI165" i="2"/>
  <c r="AH165" i="2"/>
  <c r="AG165" i="2"/>
  <c r="AF165" i="2"/>
  <c r="AL164" i="2"/>
  <c r="AK164" i="2"/>
  <c r="AJ164" i="2"/>
  <c r="AI164" i="2"/>
  <c r="AH164" i="2"/>
  <c r="AG164" i="2"/>
  <c r="AF164" i="2"/>
  <c r="AL163" i="2"/>
  <c r="AK163" i="2"/>
  <c r="AJ163" i="2"/>
  <c r="AI163" i="2"/>
  <c r="AH163" i="2"/>
  <c r="AG163" i="2"/>
  <c r="AF163" i="2"/>
  <c r="AL162" i="2"/>
  <c r="AK162" i="2"/>
  <c r="AJ162" i="2"/>
  <c r="AI162" i="2"/>
  <c r="AH162" i="2"/>
  <c r="AG162" i="2"/>
  <c r="AF162" i="2"/>
  <c r="AL161" i="2"/>
  <c r="AK161" i="2"/>
  <c r="AJ161" i="2"/>
  <c r="AI161" i="2"/>
  <c r="AH161" i="2"/>
  <c r="AG161" i="2"/>
  <c r="AF161" i="2"/>
  <c r="AL160" i="2"/>
  <c r="AK160" i="2"/>
  <c r="AJ160" i="2"/>
  <c r="AI160" i="2"/>
  <c r="AH160" i="2"/>
  <c r="AG160" i="2"/>
  <c r="AF160" i="2"/>
  <c r="AL159" i="2"/>
  <c r="AK159" i="2"/>
  <c r="AJ159" i="2"/>
  <c r="AI159" i="2"/>
  <c r="AH159" i="2"/>
  <c r="AG159" i="2"/>
  <c r="AF159" i="2"/>
  <c r="AL158" i="2"/>
  <c r="AK158" i="2"/>
  <c r="AJ158" i="2"/>
  <c r="AI158" i="2"/>
  <c r="AH158" i="2"/>
  <c r="AG158" i="2"/>
  <c r="AF158" i="2"/>
  <c r="AL157" i="2"/>
  <c r="AK157" i="2"/>
  <c r="AJ157" i="2"/>
  <c r="AI157" i="2"/>
  <c r="AH157" i="2"/>
  <c r="AG157" i="2"/>
  <c r="AF157" i="2"/>
  <c r="AL156" i="2"/>
  <c r="AK156" i="2"/>
  <c r="AJ156" i="2"/>
  <c r="AI156" i="2"/>
  <c r="AH156" i="2"/>
  <c r="AG156" i="2"/>
  <c r="AF156" i="2"/>
  <c r="AL155" i="2"/>
  <c r="AK155" i="2"/>
  <c r="AJ155" i="2"/>
  <c r="AI155" i="2"/>
  <c r="AH155" i="2"/>
  <c r="AG155" i="2"/>
  <c r="AF155" i="2"/>
  <c r="AL154" i="2"/>
  <c r="AK154" i="2"/>
  <c r="AJ154" i="2"/>
  <c r="AI154" i="2"/>
  <c r="AH154" i="2"/>
  <c r="AG154" i="2"/>
  <c r="AF154" i="2"/>
  <c r="AL153" i="2"/>
  <c r="AK153" i="2"/>
  <c r="AJ153" i="2"/>
  <c r="AI153" i="2"/>
  <c r="AH153" i="2"/>
  <c r="AG153" i="2"/>
  <c r="AF153" i="2"/>
  <c r="AL152" i="2"/>
  <c r="AK152" i="2"/>
  <c r="AJ152" i="2"/>
  <c r="AI152" i="2"/>
  <c r="AH152" i="2"/>
  <c r="AG152" i="2"/>
  <c r="AF152" i="2"/>
  <c r="AL151" i="2"/>
  <c r="AK151" i="2"/>
  <c r="AJ151" i="2"/>
  <c r="AI151" i="2"/>
  <c r="AH151" i="2"/>
  <c r="AG151" i="2"/>
  <c r="AF151" i="2"/>
  <c r="AL150" i="2"/>
  <c r="AK150" i="2"/>
  <c r="AJ150" i="2"/>
  <c r="AI150" i="2"/>
  <c r="AH150" i="2"/>
  <c r="AG150" i="2"/>
  <c r="AF150" i="2"/>
  <c r="AL149" i="2"/>
  <c r="AK149" i="2"/>
  <c r="AJ149" i="2"/>
  <c r="AI149" i="2"/>
  <c r="AH149" i="2"/>
  <c r="AG149" i="2"/>
  <c r="AF149" i="2"/>
  <c r="AL148" i="2"/>
  <c r="AK148" i="2"/>
  <c r="AJ148" i="2"/>
  <c r="AI148" i="2"/>
  <c r="AH148" i="2"/>
  <c r="AG148" i="2"/>
  <c r="AF148" i="2"/>
  <c r="AL147" i="2"/>
  <c r="AK147" i="2"/>
  <c r="AJ147" i="2"/>
  <c r="AI147" i="2"/>
  <c r="AH147" i="2"/>
  <c r="AG147" i="2"/>
  <c r="AF147" i="2"/>
  <c r="AL146" i="2"/>
  <c r="AK146" i="2"/>
  <c r="AJ146" i="2"/>
  <c r="AI146" i="2"/>
  <c r="AH146" i="2"/>
  <c r="AG146" i="2"/>
  <c r="AF146" i="2"/>
  <c r="AL145" i="2"/>
  <c r="AK145" i="2"/>
  <c r="AJ145" i="2"/>
  <c r="AI145" i="2"/>
  <c r="AH145" i="2"/>
  <c r="AG145" i="2"/>
  <c r="AF145" i="2"/>
  <c r="AL144" i="2"/>
  <c r="AK144" i="2"/>
  <c r="AJ144" i="2"/>
  <c r="AI144" i="2"/>
  <c r="AH144" i="2"/>
  <c r="AG144" i="2"/>
  <c r="AF144" i="2"/>
  <c r="AL143" i="2"/>
  <c r="AK143" i="2"/>
  <c r="AJ143" i="2"/>
  <c r="AI143" i="2"/>
  <c r="AH143" i="2"/>
  <c r="AG143" i="2"/>
  <c r="AF143" i="2"/>
  <c r="AL142" i="2"/>
  <c r="AK142" i="2"/>
  <c r="AJ142" i="2"/>
  <c r="AI142" i="2"/>
  <c r="AH142" i="2"/>
  <c r="AG142" i="2"/>
  <c r="AF142" i="2"/>
  <c r="AL141" i="2"/>
  <c r="AK141" i="2"/>
  <c r="AJ141" i="2"/>
  <c r="AI141" i="2"/>
  <c r="AH141" i="2"/>
  <c r="AG141" i="2"/>
  <c r="AF141" i="2"/>
  <c r="AL140" i="2"/>
  <c r="AK140" i="2"/>
  <c r="AJ140" i="2"/>
  <c r="AI140" i="2"/>
  <c r="AH140" i="2"/>
  <c r="AG140" i="2"/>
  <c r="AF140" i="2"/>
  <c r="AL139" i="2"/>
  <c r="AK139" i="2"/>
  <c r="AJ139" i="2"/>
  <c r="AI139" i="2"/>
  <c r="AH139" i="2"/>
  <c r="AG139" i="2"/>
  <c r="AF139" i="2"/>
  <c r="AL138" i="2"/>
  <c r="AK138" i="2"/>
  <c r="AJ138" i="2"/>
  <c r="AI138" i="2"/>
  <c r="AH138" i="2"/>
  <c r="AG138" i="2"/>
  <c r="AF138" i="2"/>
  <c r="AL137" i="2"/>
  <c r="AK137" i="2"/>
  <c r="AJ137" i="2"/>
  <c r="AI137" i="2"/>
  <c r="AH137" i="2"/>
  <c r="AG137" i="2"/>
  <c r="AF137" i="2"/>
  <c r="AL136" i="2"/>
  <c r="AK136" i="2"/>
  <c r="AJ136" i="2"/>
  <c r="AI136" i="2"/>
  <c r="AH136" i="2"/>
  <c r="AG136" i="2"/>
  <c r="AF136" i="2"/>
  <c r="AL135" i="2"/>
  <c r="AK135" i="2"/>
  <c r="AJ135" i="2"/>
  <c r="AI135" i="2"/>
  <c r="AH135" i="2"/>
  <c r="AG135" i="2"/>
  <c r="AF135" i="2"/>
  <c r="AL134" i="2"/>
  <c r="AK134" i="2"/>
  <c r="AJ134" i="2"/>
  <c r="AI134" i="2"/>
  <c r="AH134" i="2"/>
  <c r="AG134" i="2"/>
  <c r="AF134" i="2"/>
  <c r="AL133" i="2"/>
  <c r="AK133" i="2"/>
  <c r="AJ133" i="2"/>
  <c r="AI133" i="2"/>
  <c r="AH133" i="2"/>
  <c r="AG133" i="2"/>
  <c r="AF133" i="2"/>
  <c r="AL132" i="2"/>
  <c r="AK132" i="2"/>
  <c r="AJ132" i="2"/>
  <c r="AI132" i="2"/>
  <c r="AH132" i="2"/>
  <c r="AG132" i="2"/>
  <c r="AF132" i="2"/>
  <c r="AL131" i="2"/>
  <c r="AK131" i="2"/>
  <c r="AJ131" i="2"/>
  <c r="AI131" i="2"/>
  <c r="AH131" i="2"/>
  <c r="AG131" i="2"/>
  <c r="AF131" i="2"/>
  <c r="AL130" i="2"/>
  <c r="AK130" i="2"/>
  <c r="AJ130" i="2"/>
  <c r="AI130" i="2"/>
  <c r="AH130" i="2"/>
  <c r="AG130" i="2"/>
  <c r="AF130" i="2"/>
  <c r="AL129" i="2"/>
  <c r="AK129" i="2"/>
  <c r="AJ129" i="2"/>
  <c r="AI129" i="2"/>
  <c r="AH129" i="2"/>
  <c r="AG129" i="2"/>
  <c r="AF129" i="2"/>
  <c r="AL128" i="2"/>
  <c r="AK128" i="2"/>
  <c r="AJ128" i="2"/>
  <c r="AI128" i="2"/>
  <c r="AH128" i="2"/>
  <c r="AG128" i="2"/>
  <c r="AF128" i="2"/>
  <c r="AL127" i="2"/>
  <c r="AK127" i="2"/>
  <c r="AJ127" i="2"/>
  <c r="AI127" i="2"/>
  <c r="AH127" i="2"/>
  <c r="AG127" i="2"/>
  <c r="AF127" i="2"/>
  <c r="AL126" i="2"/>
  <c r="AK126" i="2"/>
  <c r="AJ126" i="2"/>
  <c r="AI126" i="2"/>
  <c r="AH126" i="2"/>
  <c r="AG126" i="2"/>
  <c r="AF126" i="2"/>
  <c r="AL125" i="2"/>
  <c r="AK125" i="2"/>
  <c r="AJ125" i="2"/>
  <c r="AI125" i="2"/>
  <c r="AH125" i="2"/>
  <c r="AG125" i="2"/>
  <c r="AF125" i="2"/>
  <c r="AL124" i="2"/>
  <c r="AK124" i="2"/>
  <c r="AJ124" i="2"/>
  <c r="AI124" i="2"/>
  <c r="AH124" i="2"/>
  <c r="AG124" i="2"/>
  <c r="AF124" i="2"/>
  <c r="AL123" i="2"/>
  <c r="AK123" i="2"/>
  <c r="AJ123" i="2"/>
  <c r="AI123" i="2"/>
  <c r="AH123" i="2"/>
  <c r="AG123" i="2"/>
  <c r="AF123" i="2"/>
  <c r="AL122" i="2"/>
  <c r="AK122" i="2"/>
  <c r="AJ122" i="2"/>
  <c r="AI122" i="2"/>
  <c r="AH122" i="2"/>
  <c r="AG122" i="2"/>
  <c r="AF122" i="2"/>
  <c r="AL121" i="2"/>
  <c r="AK121" i="2"/>
  <c r="AJ121" i="2"/>
  <c r="AI121" i="2"/>
  <c r="AH121" i="2"/>
  <c r="AG121" i="2"/>
  <c r="AF121" i="2"/>
  <c r="AL120" i="2"/>
  <c r="AK120" i="2"/>
  <c r="AJ120" i="2"/>
  <c r="AI120" i="2"/>
  <c r="AH120" i="2"/>
  <c r="AG120" i="2"/>
  <c r="AF120" i="2"/>
  <c r="AL119" i="2"/>
  <c r="AK119" i="2"/>
  <c r="AJ119" i="2"/>
  <c r="AI119" i="2"/>
  <c r="AH119" i="2"/>
  <c r="AG119" i="2"/>
  <c r="AF119" i="2"/>
  <c r="AL118" i="2"/>
  <c r="AK118" i="2"/>
  <c r="AJ118" i="2"/>
  <c r="AI118" i="2"/>
  <c r="AH118" i="2"/>
  <c r="AG118" i="2"/>
  <c r="AF118" i="2"/>
  <c r="AL117" i="2"/>
  <c r="AK117" i="2"/>
  <c r="AJ117" i="2"/>
  <c r="AI117" i="2"/>
  <c r="AH117" i="2"/>
  <c r="AG117" i="2"/>
  <c r="AF117" i="2"/>
  <c r="AL116" i="2"/>
  <c r="AK116" i="2"/>
  <c r="AJ116" i="2"/>
  <c r="AI116" i="2"/>
  <c r="AH116" i="2"/>
  <c r="AG116" i="2"/>
  <c r="AF116" i="2"/>
  <c r="AL115" i="2"/>
  <c r="AK115" i="2"/>
  <c r="AJ115" i="2"/>
  <c r="AI115" i="2"/>
  <c r="AH115" i="2"/>
  <c r="AG115" i="2"/>
  <c r="AF115" i="2"/>
  <c r="AL114" i="2"/>
  <c r="AK114" i="2"/>
  <c r="AJ114" i="2"/>
  <c r="AI114" i="2"/>
  <c r="AH114" i="2"/>
  <c r="AG114" i="2"/>
  <c r="AF114" i="2"/>
  <c r="AL113" i="2"/>
  <c r="AK113" i="2"/>
  <c r="AJ113" i="2"/>
  <c r="AI113" i="2"/>
  <c r="AH113" i="2"/>
  <c r="AG113" i="2"/>
  <c r="AF113" i="2"/>
  <c r="AL112" i="2"/>
  <c r="AK112" i="2"/>
  <c r="AJ112" i="2"/>
  <c r="AI112" i="2"/>
  <c r="AH112" i="2"/>
  <c r="AG112" i="2"/>
  <c r="AF112" i="2"/>
  <c r="AL111" i="2"/>
  <c r="AK111" i="2"/>
  <c r="AJ111" i="2"/>
  <c r="AI111" i="2"/>
  <c r="AH111" i="2"/>
  <c r="AG111" i="2"/>
  <c r="AF111" i="2"/>
  <c r="AL110" i="2"/>
  <c r="AK110" i="2"/>
  <c r="AJ110" i="2"/>
  <c r="AI110" i="2"/>
  <c r="AH110" i="2"/>
  <c r="AG110" i="2"/>
  <c r="AF110" i="2"/>
  <c r="AL109" i="2"/>
  <c r="AK109" i="2"/>
  <c r="AJ109" i="2"/>
  <c r="AI109" i="2"/>
  <c r="AH109" i="2"/>
  <c r="AG109" i="2"/>
  <c r="AF109" i="2"/>
  <c r="AL108" i="2"/>
  <c r="AK108" i="2"/>
  <c r="AJ108" i="2"/>
  <c r="AI108" i="2"/>
  <c r="AH108" i="2"/>
  <c r="AG108" i="2"/>
  <c r="AF108" i="2"/>
  <c r="AL107" i="2"/>
  <c r="AK107" i="2"/>
  <c r="AJ107" i="2"/>
  <c r="AI107" i="2"/>
  <c r="AH107" i="2"/>
  <c r="AG107" i="2"/>
  <c r="AF107" i="2"/>
  <c r="AL106" i="2"/>
  <c r="AK106" i="2"/>
  <c r="AJ106" i="2"/>
  <c r="AI106" i="2"/>
  <c r="AH106" i="2"/>
  <c r="AG106" i="2"/>
  <c r="AF106" i="2"/>
  <c r="AL105" i="2"/>
  <c r="AK105" i="2"/>
  <c r="AJ105" i="2"/>
  <c r="AI105" i="2"/>
  <c r="AH105" i="2"/>
  <c r="AG105" i="2"/>
  <c r="AF105" i="2"/>
  <c r="AL104" i="2"/>
  <c r="AK104" i="2"/>
  <c r="AJ104" i="2"/>
  <c r="AI104" i="2"/>
  <c r="AH104" i="2"/>
  <c r="AG104" i="2"/>
  <c r="AF104" i="2"/>
  <c r="AL103" i="2"/>
  <c r="AK103" i="2"/>
  <c r="AJ103" i="2"/>
  <c r="AI103" i="2"/>
  <c r="AH103" i="2"/>
  <c r="AG103" i="2"/>
  <c r="AF103" i="2"/>
  <c r="AL102" i="2"/>
  <c r="AK102" i="2"/>
  <c r="AJ102" i="2"/>
  <c r="AI102" i="2"/>
  <c r="AH102" i="2"/>
  <c r="AG102" i="2"/>
  <c r="AF102" i="2"/>
  <c r="AL101" i="2"/>
  <c r="AK101" i="2"/>
  <c r="AJ101" i="2"/>
  <c r="AI101" i="2"/>
  <c r="AH101" i="2"/>
  <c r="AG101" i="2"/>
  <c r="AF101" i="2"/>
  <c r="AL100" i="2"/>
  <c r="AK100" i="2"/>
  <c r="AJ100" i="2"/>
  <c r="AI100" i="2"/>
  <c r="AH100" i="2"/>
  <c r="AG100" i="2"/>
  <c r="AF100" i="2"/>
  <c r="AL99" i="2"/>
  <c r="AK99" i="2"/>
  <c r="AJ99" i="2"/>
  <c r="AI99" i="2"/>
  <c r="AH99" i="2"/>
  <c r="AG99" i="2"/>
  <c r="AF99" i="2"/>
  <c r="AL98" i="2"/>
  <c r="AK98" i="2"/>
  <c r="AJ98" i="2"/>
  <c r="AI98" i="2"/>
  <c r="AH98" i="2"/>
  <c r="AG98" i="2"/>
  <c r="AF98" i="2"/>
  <c r="AL97" i="2"/>
  <c r="AK97" i="2"/>
  <c r="AJ97" i="2"/>
  <c r="AI97" i="2"/>
  <c r="AH97" i="2"/>
  <c r="AG97" i="2"/>
  <c r="AF97" i="2"/>
  <c r="AL96" i="2"/>
  <c r="AK96" i="2"/>
  <c r="AJ96" i="2"/>
  <c r="AI96" i="2"/>
  <c r="AH96" i="2"/>
  <c r="AG96" i="2"/>
  <c r="AF96" i="2"/>
  <c r="AL95" i="2"/>
  <c r="AK95" i="2"/>
  <c r="AJ95" i="2"/>
  <c r="AI95" i="2"/>
  <c r="AH95" i="2"/>
  <c r="AG95" i="2"/>
  <c r="AF95" i="2"/>
  <c r="AL94" i="2"/>
  <c r="AK94" i="2"/>
  <c r="AJ94" i="2"/>
  <c r="AI94" i="2"/>
  <c r="AH94" i="2"/>
  <c r="AG94" i="2"/>
  <c r="AF94" i="2"/>
  <c r="AL93" i="2"/>
  <c r="AK93" i="2"/>
  <c r="AJ93" i="2"/>
  <c r="AI93" i="2"/>
  <c r="AH93" i="2"/>
  <c r="AG93" i="2"/>
  <c r="AF93" i="2"/>
  <c r="AL92" i="2"/>
  <c r="AK92" i="2"/>
  <c r="AJ92" i="2"/>
  <c r="AI92" i="2"/>
  <c r="AH92" i="2"/>
  <c r="AG92" i="2"/>
  <c r="AF92" i="2"/>
  <c r="AL91" i="2"/>
  <c r="AK91" i="2"/>
  <c r="AJ91" i="2"/>
  <c r="AI91" i="2"/>
  <c r="AH91" i="2"/>
  <c r="AG91" i="2"/>
  <c r="AF91" i="2"/>
  <c r="AL90" i="2"/>
  <c r="AK90" i="2"/>
  <c r="AJ90" i="2"/>
  <c r="AI90" i="2"/>
  <c r="AH90" i="2"/>
  <c r="AG90" i="2"/>
  <c r="AF90" i="2"/>
  <c r="AL89" i="2"/>
  <c r="AK89" i="2"/>
  <c r="AJ89" i="2"/>
  <c r="AI89" i="2"/>
  <c r="AH89" i="2"/>
  <c r="AG89" i="2"/>
  <c r="AF89" i="2"/>
  <c r="AL88" i="2"/>
  <c r="AK88" i="2"/>
  <c r="AJ88" i="2"/>
  <c r="AI88" i="2"/>
  <c r="AH88" i="2"/>
  <c r="AG88" i="2"/>
  <c r="AF88" i="2"/>
  <c r="AL87" i="2"/>
  <c r="AK87" i="2"/>
  <c r="AJ87" i="2"/>
  <c r="AI87" i="2"/>
  <c r="AH87" i="2"/>
  <c r="AG87" i="2"/>
  <c r="AF87" i="2"/>
  <c r="AL86" i="2"/>
  <c r="AK86" i="2"/>
  <c r="AJ86" i="2"/>
  <c r="AI86" i="2"/>
  <c r="AH86" i="2"/>
  <c r="AG86" i="2"/>
  <c r="AF86" i="2"/>
  <c r="AL85" i="2"/>
  <c r="AK85" i="2"/>
  <c r="AJ85" i="2"/>
  <c r="AI85" i="2"/>
  <c r="AH85" i="2"/>
  <c r="AG85" i="2"/>
  <c r="AF85" i="2"/>
  <c r="AL84" i="2"/>
  <c r="AK84" i="2"/>
  <c r="AJ84" i="2"/>
  <c r="AI84" i="2"/>
  <c r="AH84" i="2"/>
  <c r="AG84" i="2"/>
  <c r="AF84" i="2"/>
  <c r="AL83" i="2"/>
  <c r="AK83" i="2"/>
  <c r="AJ83" i="2"/>
  <c r="AI83" i="2"/>
  <c r="AH83" i="2"/>
  <c r="AG83" i="2"/>
  <c r="AF83" i="2"/>
  <c r="AL82" i="2"/>
  <c r="AK82" i="2"/>
  <c r="AJ82" i="2"/>
  <c r="AI82" i="2"/>
  <c r="AH82" i="2"/>
  <c r="AG82" i="2"/>
  <c r="AF82" i="2"/>
  <c r="AL81" i="2"/>
  <c r="AK81" i="2"/>
  <c r="AJ81" i="2"/>
  <c r="AI81" i="2"/>
  <c r="AH81" i="2"/>
  <c r="AG81" i="2"/>
  <c r="AF81" i="2"/>
  <c r="AL80" i="2"/>
  <c r="AK80" i="2"/>
  <c r="AJ80" i="2"/>
  <c r="AI80" i="2"/>
  <c r="AH80" i="2"/>
  <c r="AG80" i="2"/>
  <c r="AF80" i="2"/>
  <c r="AL79" i="2"/>
  <c r="AK79" i="2"/>
  <c r="AJ79" i="2"/>
  <c r="AI79" i="2"/>
  <c r="AH79" i="2"/>
  <c r="AG79" i="2"/>
  <c r="AF79" i="2"/>
  <c r="AL78" i="2"/>
  <c r="AK78" i="2"/>
  <c r="AJ78" i="2"/>
  <c r="AI78" i="2"/>
  <c r="AH78" i="2"/>
  <c r="AG78" i="2"/>
  <c r="AF78" i="2"/>
  <c r="AL77" i="2"/>
  <c r="AK77" i="2"/>
  <c r="AJ77" i="2"/>
  <c r="AI77" i="2"/>
  <c r="AH77" i="2"/>
  <c r="AG77" i="2"/>
  <c r="AF77" i="2"/>
  <c r="AL76" i="2"/>
  <c r="AK76" i="2"/>
  <c r="AJ76" i="2"/>
  <c r="AI76" i="2"/>
  <c r="AH76" i="2"/>
  <c r="AG76" i="2"/>
  <c r="AF76" i="2"/>
  <c r="AL75" i="2"/>
  <c r="AK75" i="2"/>
  <c r="AJ75" i="2"/>
  <c r="AI75" i="2"/>
  <c r="AH75" i="2"/>
  <c r="AG75" i="2"/>
  <c r="AF75" i="2"/>
  <c r="AL74" i="2"/>
  <c r="AK74" i="2"/>
  <c r="AJ74" i="2"/>
  <c r="AI74" i="2"/>
  <c r="AH74" i="2"/>
  <c r="AG74" i="2"/>
  <c r="AF74" i="2"/>
  <c r="AL73" i="2"/>
  <c r="AK73" i="2"/>
  <c r="AJ73" i="2"/>
  <c r="AI73" i="2"/>
  <c r="AH73" i="2"/>
  <c r="AG73" i="2"/>
  <c r="AF73" i="2"/>
  <c r="AL72" i="2"/>
  <c r="AK72" i="2"/>
  <c r="AJ72" i="2"/>
  <c r="AI72" i="2"/>
  <c r="AH72" i="2"/>
  <c r="AG72" i="2"/>
  <c r="AF72" i="2"/>
  <c r="AL71" i="2"/>
  <c r="AK71" i="2"/>
  <c r="AJ71" i="2"/>
  <c r="AI71" i="2"/>
  <c r="AH71" i="2"/>
  <c r="AG71" i="2"/>
  <c r="AF71" i="2"/>
  <c r="AL70" i="2"/>
  <c r="AK70" i="2"/>
  <c r="AJ70" i="2"/>
  <c r="AI70" i="2"/>
  <c r="AH70" i="2"/>
  <c r="AG70" i="2"/>
  <c r="AF70" i="2"/>
  <c r="AL69" i="2"/>
  <c r="AK69" i="2"/>
  <c r="AJ69" i="2"/>
  <c r="AI69" i="2"/>
  <c r="AH69" i="2"/>
  <c r="AG69" i="2"/>
  <c r="AF69" i="2"/>
  <c r="AL68" i="2"/>
  <c r="AK68" i="2"/>
  <c r="AJ68" i="2"/>
  <c r="AI68" i="2"/>
  <c r="AH68" i="2"/>
  <c r="AG68" i="2"/>
  <c r="AF68" i="2"/>
  <c r="AL67" i="2"/>
  <c r="AK67" i="2"/>
  <c r="AJ67" i="2"/>
  <c r="AI67" i="2"/>
  <c r="AH67" i="2"/>
  <c r="AG67" i="2"/>
  <c r="AF67" i="2"/>
  <c r="AL66" i="2"/>
  <c r="AK66" i="2"/>
  <c r="AJ66" i="2"/>
  <c r="AI66" i="2"/>
  <c r="AH66" i="2"/>
  <c r="AG66" i="2"/>
  <c r="AF66" i="2"/>
  <c r="AL65" i="2"/>
  <c r="AK65" i="2"/>
  <c r="AJ65" i="2"/>
  <c r="AI65" i="2"/>
  <c r="AH65" i="2"/>
  <c r="AG65" i="2"/>
  <c r="AF65" i="2"/>
  <c r="AL64" i="2"/>
  <c r="AK64" i="2"/>
  <c r="AJ64" i="2"/>
  <c r="AI64" i="2"/>
  <c r="AH64" i="2"/>
  <c r="AG64" i="2"/>
  <c r="AF64" i="2"/>
  <c r="AL63" i="2"/>
  <c r="AK63" i="2"/>
  <c r="AJ63" i="2"/>
  <c r="AI63" i="2"/>
  <c r="AH63" i="2"/>
  <c r="AG63" i="2"/>
  <c r="AF63" i="2"/>
  <c r="AL62" i="2"/>
  <c r="AK62" i="2"/>
  <c r="AJ62" i="2"/>
  <c r="AI62" i="2"/>
  <c r="AH62" i="2"/>
  <c r="AG62" i="2"/>
  <c r="AF62" i="2"/>
  <c r="AL61" i="2"/>
  <c r="AK61" i="2"/>
  <c r="AJ61" i="2"/>
  <c r="AI61" i="2"/>
  <c r="AH61" i="2"/>
  <c r="AG61" i="2"/>
  <c r="AF61" i="2"/>
  <c r="AL60" i="2"/>
  <c r="AK60" i="2"/>
  <c r="AJ60" i="2"/>
  <c r="AI60" i="2"/>
  <c r="AH60" i="2"/>
  <c r="AG60" i="2"/>
  <c r="AF60" i="2"/>
  <c r="AL59" i="2"/>
  <c r="AK59" i="2"/>
  <c r="AJ59" i="2"/>
  <c r="AI59" i="2"/>
  <c r="AH59" i="2"/>
  <c r="AG59" i="2"/>
  <c r="AF59" i="2"/>
  <c r="AL58" i="2"/>
  <c r="AK58" i="2"/>
  <c r="AJ58" i="2"/>
  <c r="AI58" i="2"/>
  <c r="AH58" i="2"/>
  <c r="AG58" i="2"/>
  <c r="AF58" i="2"/>
  <c r="AL57" i="2"/>
  <c r="AK57" i="2"/>
  <c r="AJ57" i="2"/>
  <c r="AI57" i="2"/>
  <c r="AH57" i="2"/>
  <c r="AG57" i="2"/>
  <c r="AF57" i="2"/>
  <c r="AL56" i="2"/>
  <c r="AK56" i="2"/>
  <c r="AJ56" i="2"/>
  <c r="AI56" i="2"/>
  <c r="AH56" i="2"/>
  <c r="AG56" i="2"/>
  <c r="AF56" i="2"/>
  <c r="AL55" i="2"/>
  <c r="AK55" i="2"/>
  <c r="AJ55" i="2"/>
  <c r="AI55" i="2"/>
  <c r="AH55" i="2"/>
  <c r="AG55" i="2"/>
  <c r="AF55" i="2"/>
  <c r="AL54" i="2"/>
  <c r="AK54" i="2"/>
  <c r="AJ54" i="2"/>
  <c r="AI54" i="2"/>
  <c r="AH54" i="2"/>
  <c r="AG54" i="2"/>
  <c r="AF54" i="2"/>
  <c r="AL53" i="2"/>
  <c r="AK53" i="2"/>
  <c r="AJ53" i="2"/>
  <c r="AI53" i="2"/>
  <c r="AH53" i="2"/>
  <c r="AG53" i="2"/>
  <c r="AF53" i="2"/>
  <c r="AL52" i="2"/>
  <c r="AK52" i="2"/>
  <c r="AJ52" i="2"/>
  <c r="AI52" i="2"/>
  <c r="AH52" i="2"/>
  <c r="AG52" i="2"/>
  <c r="AF52" i="2"/>
  <c r="AL51" i="2"/>
  <c r="AK51" i="2"/>
  <c r="AJ51" i="2"/>
  <c r="AI51" i="2"/>
  <c r="AH51" i="2"/>
  <c r="AG51" i="2"/>
  <c r="AF51" i="2"/>
  <c r="AL50" i="2"/>
  <c r="AK50" i="2"/>
  <c r="AJ50" i="2"/>
  <c r="AI50" i="2"/>
  <c r="AH50" i="2"/>
  <c r="AG50" i="2"/>
  <c r="AF50" i="2"/>
  <c r="AL49" i="2"/>
  <c r="AK49" i="2"/>
  <c r="AJ49" i="2"/>
  <c r="AI49" i="2"/>
  <c r="AH49" i="2"/>
  <c r="AG49" i="2"/>
  <c r="AF49" i="2"/>
  <c r="AL48" i="2"/>
  <c r="AK48" i="2"/>
  <c r="AJ48" i="2"/>
  <c r="AI48" i="2"/>
  <c r="AH48" i="2"/>
  <c r="AG48" i="2"/>
  <c r="AF48" i="2"/>
  <c r="AL47" i="2"/>
  <c r="AK47" i="2"/>
  <c r="AJ47" i="2"/>
  <c r="AI47" i="2"/>
  <c r="AH47" i="2"/>
  <c r="AG47" i="2"/>
  <c r="AF47" i="2"/>
  <c r="AL46" i="2"/>
  <c r="AK46" i="2"/>
  <c r="AJ46" i="2"/>
  <c r="AI46" i="2"/>
  <c r="AH46" i="2"/>
  <c r="AG46" i="2"/>
  <c r="AF46" i="2"/>
  <c r="AL45" i="2"/>
  <c r="AK45" i="2"/>
  <c r="AJ45" i="2"/>
  <c r="AI45" i="2"/>
  <c r="AH45" i="2"/>
  <c r="AG45" i="2"/>
  <c r="AF45" i="2"/>
  <c r="AL44" i="2"/>
  <c r="AK44" i="2"/>
  <c r="AJ44" i="2"/>
  <c r="AI44" i="2"/>
  <c r="AH44" i="2"/>
  <c r="AG44" i="2"/>
  <c r="AF44" i="2"/>
  <c r="AL43" i="2"/>
  <c r="AK43" i="2"/>
  <c r="AJ43" i="2"/>
  <c r="AI43" i="2"/>
  <c r="AH43" i="2"/>
  <c r="AG43" i="2"/>
  <c r="AF43" i="2"/>
  <c r="AL42" i="2"/>
  <c r="AK42" i="2"/>
  <c r="AJ42" i="2"/>
  <c r="AI42" i="2"/>
  <c r="AH42" i="2"/>
  <c r="AG42" i="2"/>
  <c r="AF42" i="2"/>
  <c r="AL41" i="2"/>
  <c r="AK41" i="2"/>
  <c r="AJ41" i="2"/>
  <c r="AI41" i="2"/>
  <c r="AH41" i="2"/>
  <c r="AG41" i="2"/>
  <c r="AF41" i="2"/>
  <c r="AL40" i="2"/>
  <c r="AK40" i="2"/>
  <c r="AJ40" i="2"/>
  <c r="AI40" i="2"/>
  <c r="AH40" i="2"/>
  <c r="AG40" i="2"/>
  <c r="AF40" i="2"/>
  <c r="AL39" i="2"/>
  <c r="AK39" i="2"/>
  <c r="AJ39" i="2"/>
  <c r="AI39" i="2"/>
  <c r="AH39" i="2"/>
  <c r="AG39" i="2"/>
  <c r="AF39" i="2"/>
  <c r="AL38" i="2"/>
  <c r="AK38" i="2"/>
  <c r="AJ38" i="2"/>
  <c r="AI38" i="2"/>
  <c r="AH38" i="2"/>
  <c r="AG38" i="2"/>
  <c r="AF38" i="2"/>
  <c r="AL37" i="2"/>
  <c r="AK37" i="2"/>
  <c r="AJ37" i="2"/>
  <c r="AI37" i="2"/>
  <c r="AH37" i="2"/>
  <c r="AG37" i="2"/>
  <c r="AF37" i="2"/>
  <c r="AL36" i="2"/>
  <c r="AK36" i="2"/>
  <c r="AJ36" i="2"/>
  <c r="AI36" i="2"/>
  <c r="AH36" i="2"/>
  <c r="AG36" i="2"/>
  <c r="AF36" i="2"/>
  <c r="AL35" i="2"/>
  <c r="AK35" i="2"/>
  <c r="AJ35" i="2"/>
  <c r="AI35" i="2"/>
  <c r="AH35" i="2"/>
  <c r="AG35" i="2"/>
  <c r="AF35" i="2"/>
  <c r="AL34" i="2"/>
  <c r="AK34" i="2"/>
  <c r="AJ34" i="2"/>
  <c r="AI34" i="2"/>
  <c r="AH34" i="2"/>
  <c r="AG34" i="2"/>
  <c r="AF34" i="2"/>
  <c r="AL33" i="2"/>
  <c r="AK33" i="2"/>
  <c r="AJ33" i="2"/>
  <c r="AI33" i="2"/>
  <c r="AH33" i="2"/>
  <c r="AG33" i="2"/>
  <c r="AF33" i="2"/>
  <c r="AL32" i="2"/>
  <c r="AK32" i="2"/>
  <c r="AJ32" i="2"/>
  <c r="AI32" i="2"/>
  <c r="AH32" i="2"/>
  <c r="AG32" i="2"/>
  <c r="AF32" i="2"/>
  <c r="AL31" i="2"/>
  <c r="AK31" i="2"/>
  <c r="AJ31" i="2"/>
  <c r="AI31" i="2"/>
  <c r="AH31" i="2"/>
  <c r="AG31" i="2"/>
  <c r="AF31" i="2"/>
  <c r="AL30" i="2"/>
  <c r="AK30" i="2"/>
  <c r="AJ30" i="2"/>
  <c r="AI30" i="2"/>
  <c r="AH30" i="2"/>
  <c r="AG30" i="2"/>
  <c r="AF30" i="2"/>
  <c r="AL29" i="2"/>
  <c r="AK29" i="2"/>
  <c r="AJ29" i="2"/>
  <c r="AI29" i="2"/>
  <c r="AH29" i="2"/>
  <c r="AG29" i="2"/>
  <c r="AF29" i="2"/>
  <c r="AL28" i="2"/>
  <c r="AK28" i="2"/>
  <c r="AJ28" i="2"/>
  <c r="AI28" i="2"/>
  <c r="AH28" i="2"/>
  <c r="AG28" i="2"/>
  <c r="AF28" i="2"/>
  <c r="AL27" i="2"/>
  <c r="AK27" i="2"/>
  <c r="AJ27" i="2"/>
  <c r="AI27" i="2"/>
  <c r="AH27" i="2"/>
  <c r="AG27" i="2"/>
  <c r="AF27" i="2"/>
  <c r="AL26" i="2"/>
  <c r="AK26" i="2"/>
  <c r="AJ26" i="2"/>
  <c r="AI26" i="2"/>
  <c r="AH26" i="2"/>
  <c r="AG26" i="2"/>
  <c r="AF26" i="2"/>
  <c r="AL25" i="2"/>
  <c r="AK25" i="2"/>
  <c r="AJ25" i="2"/>
  <c r="AI25" i="2"/>
  <c r="AH25" i="2"/>
  <c r="AG25" i="2"/>
  <c r="AF25" i="2"/>
  <c r="AL24" i="2"/>
  <c r="AK24" i="2"/>
  <c r="AJ24" i="2"/>
  <c r="AI24" i="2"/>
  <c r="AH24" i="2"/>
  <c r="AG24" i="2"/>
  <c r="AF24" i="2"/>
  <c r="AL23" i="2"/>
  <c r="AK23" i="2"/>
  <c r="AJ23" i="2"/>
  <c r="AI23" i="2"/>
  <c r="AH23" i="2"/>
  <c r="AG23" i="2"/>
  <c r="AF23" i="2"/>
  <c r="AL22" i="2"/>
  <c r="AK22" i="2"/>
  <c r="AJ22" i="2"/>
  <c r="AI22" i="2"/>
  <c r="AH22" i="2"/>
  <c r="AG22" i="2"/>
  <c r="AF22" i="2"/>
  <c r="AL21" i="2"/>
  <c r="AK21" i="2"/>
  <c r="AJ21" i="2"/>
  <c r="AI21" i="2"/>
  <c r="AH21" i="2"/>
  <c r="AG21" i="2"/>
  <c r="AF21" i="2"/>
  <c r="AL20" i="2"/>
  <c r="AK20" i="2"/>
  <c r="AJ20" i="2"/>
  <c r="AI20" i="2"/>
  <c r="AH20" i="2"/>
  <c r="AG20" i="2"/>
  <c r="AF20" i="2"/>
  <c r="AL19" i="2"/>
  <c r="AK19" i="2"/>
  <c r="AJ19" i="2"/>
  <c r="AI19" i="2"/>
  <c r="AH19" i="2"/>
  <c r="AG19" i="2"/>
  <c r="AF19" i="2"/>
  <c r="AL18" i="2"/>
  <c r="AK18" i="2"/>
  <c r="AJ18" i="2"/>
  <c r="AI18" i="2"/>
  <c r="AH18" i="2"/>
  <c r="AG18" i="2"/>
  <c r="AF18" i="2"/>
  <c r="AL17" i="2"/>
  <c r="AK17" i="2"/>
  <c r="AJ17" i="2"/>
  <c r="AI17" i="2"/>
  <c r="AH17" i="2"/>
  <c r="AG17" i="2"/>
  <c r="AF17" i="2"/>
  <c r="AL16" i="2"/>
  <c r="AK16" i="2"/>
  <c r="AJ16" i="2"/>
  <c r="AI16" i="2"/>
  <c r="AH16" i="2"/>
  <c r="AG16" i="2"/>
  <c r="AF16" i="2"/>
  <c r="AL15" i="2"/>
  <c r="AK15" i="2"/>
  <c r="AJ15" i="2"/>
  <c r="AI15" i="2"/>
  <c r="AH15" i="2"/>
  <c r="AG15" i="2"/>
  <c r="AF15" i="2"/>
  <c r="AL14" i="2"/>
  <c r="AK14" i="2"/>
  <c r="AJ14" i="2"/>
  <c r="AI14" i="2"/>
  <c r="AH14" i="2"/>
  <c r="AG14" i="2"/>
  <c r="AF14" i="2"/>
  <c r="AL13" i="2"/>
  <c r="AK13" i="2"/>
  <c r="AJ13" i="2"/>
  <c r="AI13" i="2"/>
  <c r="AH13" i="2"/>
  <c r="AG13" i="2"/>
  <c r="AF13" i="2"/>
  <c r="AL12" i="2"/>
  <c r="AK12" i="2"/>
  <c r="AJ12" i="2"/>
  <c r="AI12" i="2"/>
  <c r="AH12" i="2"/>
  <c r="AG12" i="2"/>
  <c r="AF12" i="2"/>
  <c r="AL11" i="2"/>
  <c r="AK11" i="2"/>
  <c r="AJ11" i="2"/>
  <c r="AI11" i="2"/>
  <c r="AH11" i="2"/>
  <c r="AG11" i="2"/>
  <c r="AF11" i="2"/>
  <c r="AL10" i="2"/>
  <c r="AK10" i="2"/>
  <c r="AJ10" i="2"/>
  <c r="AI10" i="2"/>
  <c r="AH10" i="2"/>
  <c r="AG10" i="2"/>
  <c r="AF10" i="2"/>
  <c r="AL9" i="2"/>
  <c r="AK9" i="2"/>
  <c r="AJ9" i="2"/>
  <c r="AI9" i="2"/>
  <c r="AH9" i="2"/>
  <c r="AG9" i="2"/>
  <c r="AF9" i="2"/>
  <c r="AL8" i="2"/>
  <c r="AK8" i="2"/>
  <c r="AJ8" i="2"/>
  <c r="AI8" i="2"/>
  <c r="AH8" i="2"/>
  <c r="AG8" i="2"/>
  <c r="AF8" i="2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O79" i="1" l="1"/>
  <c r="N79" i="1"/>
  <c r="M79" i="1"/>
  <c r="G79" i="1"/>
  <c r="F79" i="1"/>
  <c r="E79" i="1"/>
  <c r="D79" i="1"/>
  <c r="C79" i="1"/>
  <c r="B79" i="1"/>
  <c r="O78" i="1"/>
  <c r="N78" i="1"/>
  <c r="M78" i="1"/>
  <c r="G78" i="1"/>
  <c r="F78" i="1"/>
  <c r="E78" i="1"/>
  <c r="D78" i="1"/>
  <c r="C78" i="1"/>
  <c r="B78" i="1"/>
  <c r="O77" i="1"/>
  <c r="N77" i="1"/>
  <c r="M77" i="1"/>
  <c r="G77" i="1"/>
  <c r="F77" i="1"/>
  <c r="E77" i="1"/>
  <c r="D77" i="1"/>
  <c r="C77" i="1"/>
  <c r="B77" i="1"/>
  <c r="O76" i="1"/>
  <c r="N76" i="1"/>
  <c r="M76" i="1"/>
  <c r="G76" i="1"/>
  <c r="F76" i="1"/>
  <c r="E76" i="1"/>
  <c r="D76" i="1"/>
  <c r="C76" i="1"/>
  <c r="B76" i="1"/>
  <c r="O75" i="1"/>
  <c r="N75" i="1"/>
  <c r="M75" i="1"/>
  <c r="G75" i="1"/>
  <c r="F75" i="1"/>
  <c r="E75" i="1"/>
  <c r="D75" i="1"/>
  <c r="C75" i="1"/>
  <c r="B75" i="1"/>
  <c r="O74" i="1"/>
  <c r="N74" i="1"/>
  <c r="M74" i="1"/>
  <c r="G74" i="1"/>
  <c r="F74" i="1"/>
  <c r="E74" i="1"/>
  <c r="D74" i="1"/>
  <c r="C74" i="1"/>
  <c r="B74" i="1"/>
  <c r="O73" i="1"/>
  <c r="N73" i="1"/>
  <c r="M73" i="1"/>
  <c r="G73" i="1"/>
  <c r="F73" i="1"/>
  <c r="E73" i="1"/>
  <c r="D73" i="1"/>
  <c r="C73" i="1"/>
  <c r="B73" i="1"/>
  <c r="O72" i="1"/>
  <c r="N72" i="1"/>
  <c r="M72" i="1"/>
  <c r="G72" i="1"/>
  <c r="F72" i="1"/>
  <c r="E72" i="1"/>
  <c r="D72" i="1"/>
  <c r="C72" i="1"/>
  <c r="B72" i="1"/>
  <c r="O71" i="1"/>
  <c r="N71" i="1"/>
  <c r="M71" i="1"/>
  <c r="G71" i="1"/>
  <c r="F71" i="1"/>
  <c r="E71" i="1"/>
  <c r="D71" i="1"/>
  <c r="C71" i="1"/>
  <c r="B71" i="1"/>
  <c r="O70" i="1"/>
  <c r="N70" i="1"/>
  <c r="M70" i="1"/>
  <c r="G70" i="1"/>
  <c r="F70" i="1"/>
  <c r="E70" i="1"/>
  <c r="D70" i="1"/>
  <c r="C70" i="1"/>
  <c r="B70" i="1"/>
  <c r="O69" i="1"/>
  <c r="N69" i="1"/>
  <c r="M69" i="1"/>
  <c r="G69" i="1"/>
  <c r="F69" i="1"/>
  <c r="E69" i="1"/>
  <c r="D69" i="1"/>
  <c r="C69" i="1"/>
  <c r="B69" i="1"/>
  <c r="O68" i="1"/>
  <c r="N68" i="1"/>
  <c r="M68" i="1"/>
  <c r="G68" i="1"/>
  <c r="F68" i="1"/>
  <c r="E68" i="1"/>
  <c r="D68" i="1"/>
  <c r="C68" i="1"/>
  <c r="B68" i="1"/>
  <c r="O67" i="1"/>
  <c r="N67" i="1"/>
  <c r="M67" i="1"/>
  <c r="G67" i="1"/>
  <c r="F67" i="1"/>
  <c r="E67" i="1"/>
  <c r="D67" i="1"/>
  <c r="C67" i="1"/>
  <c r="B67" i="1"/>
  <c r="O66" i="1"/>
  <c r="N66" i="1"/>
  <c r="M66" i="1"/>
  <c r="G66" i="1"/>
  <c r="F66" i="1"/>
  <c r="E66" i="1"/>
  <c r="D66" i="1"/>
  <c r="C66" i="1"/>
  <c r="B66" i="1"/>
  <c r="O65" i="1"/>
  <c r="N65" i="1"/>
  <c r="M65" i="1"/>
  <c r="G65" i="1"/>
  <c r="F65" i="1"/>
  <c r="E65" i="1"/>
  <c r="D65" i="1"/>
  <c r="C65" i="1"/>
  <c r="B65" i="1"/>
  <c r="O64" i="1"/>
  <c r="N64" i="1"/>
  <c r="M64" i="1"/>
  <c r="G64" i="1"/>
  <c r="F64" i="1"/>
  <c r="E64" i="1"/>
  <c r="D64" i="1"/>
  <c r="C64" i="1"/>
  <c r="B64" i="1"/>
  <c r="O63" i="1"/>
  <c r="N63" i="1"/>
  <c r="M63" i="1"/>
  <c r="G63" i="1"/>
  <c r="F63" i="1"/>
  <c r="E63" i="1"/>
  <c r="D63" i="1"/>
  <c r="C63" i="1"/>
  <c r="B63" i="1"/>
  <c r="O62" i="1"/>
  <c r="N62" i="1"/>
  <c r="M62" i="1"/>
  <c r="G62" i="1"/>
  <c r="F62" i="1"/>
  <c r="E62" i="1"/>
  <c r="D62" i="1"/>
  <c r="C62" i="1"/>
  <c r="B62" i="1"/>
  <c r="O61" i="1"/>
  <c r="N61" i="1"/>
  <c r="M61" i="1"/>
  <c r="G61" i="1"/>
  <c r="F61" i="1"/>
  <c r="E61" i="1"/>
  <c r="D61" i="1"/>
  <c r="C61" i="1"/>
  <c r="B61" i="1"/>
  <c r="O60" i="1"/>
  <c r="N60" i="1"/>
  <c r="M60" i="1"/>
  <c r="G60" i="1"/>
  <c r="F60" i="1"/>
  <c r="E60" i="1"/>
  <c r="D60" i="1"/>
  <c r="C60" i="1"/>
  <c r="B60" i="1"/>
  <c r="O59" i="1"/>
  <c r="N59" i="1"/>
  <c r="M59" i="1"/>
  <c r="G59" i="1"/>
  <c r="F59" i="1"/>
  <c r="E59" i="1"/>
  <c r="D59" i="1"/>
  <c r="C59" i="1"/>
  <c r="B59" i="1"/>
  <c r="O58" i="1"/>
  <c r="N58" i="1"/>
  <c r="M58" i="1"/>
  <c r="G58" i="1"/>
  <c r="F58" i="1"/>
  <c r="E58" i="1"/>
  <c r="D58" i="1"/>
  <c r="C58" i="1"/>
  <c r="B58" i="1"/>
  <c r="O57" i="1"/>
  <c r="N57" i="1"/>
  <c r="M57" i="1"/>
  <c r="G57" i="1"/>
  <c r="F57" i="1"/>
  <c r="E57" i="1"/>
  <c r="D57" i="1"/>
  <c r="C57" i="1"/>
  <c r="B57" i="1"/>
  <c r="O56" i="1"/>
  <c r="N56" i="1"/>
  <c r="M56" i="1"/>
  <c r="G56" i="1"/>
  <c r="F56" i="1"/>
  <c r="E56" i="1"/>
  <c r="D56" i="1"/>
  <c r="C56" i="1"/>
  <c r="B56" i="1"/>
  <c r="O55" i="1"/>
  <c r="N55" i="1"/>
  <c r="M55" i="1"/>
  <c r="G55" i="1"/>
  <c r="F55" i="1"/>
  <c r="E55" i="1"/>
  <c r="D55" i="1"/>
  <c r="C55" i="1"/>
  <c r="B55" i="1"/>
  <c r="O54" i="1"/>
  <c r="N54" i="1"/>
  <c r="M54" i="1"/>
  <c r="G54" i="1"/>
  <c r="F54" i="1"/>
  <c r="E54" i="1"/>
  <c r="D54" i="1"/>
  <c r="C54" i="1"/>
  <c r="B54" i="1"/>
  <c r="O53" i="1"/>
  <c r="N53" i="1"/>
  <c r="M53" i="1"/>
  <c r="G53" i="1"/>
  <c r="F53" i="1"/>
  <c r="E53" i="1"/>
  <c r="D53" i="1"/>
  <c r="C53" i="1"/>
  <c r="B53" i="1"/>
  <c r="O52" i="1"/>
  <c r="N52" i="1"/>
  <c r="M52" i="1"/>
  <c r="G52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O23" i="1"/>
  <c r="N23" i="1"/>
  <c r="M23" i="1"/>
  <c r="G23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G51" i="1" l="1"/>
  <c r="N51" i="1" s="1"/>
  <c r="O51" i="1"/>
  <c r="O50" i="1"/>
  <c r="G50" i="1"/>
  <c r="N50" i="1" s="1"/>
  <c r="O49" i="1"/>
  <c r="G49" i="1"/>
  <c r="N49" i="1" s="1"/>
  <c r="G48" i="1"/>
  <c r="N48" i="1" s="1"/>
  <c r="O48" i="1"/>
  <c r="G47" i="1"/>
  <c r="N47" i="1" s="1"/>
  <c r="O47" i="1"/>
  <c r="G46" i="1"/>
  <c r="N46" i="1" s="1"/>
  <c r="O46" i="1"/>
  <c r="O45" i="1"/>
  <c r="G45" i="1"/>
  <c r="N45" i="1" s="1"/>
  <c r="O44" i="1"/>
  <c r="G44" i="1"/>
  <c r="N44" i="1" s="1"/>
  <c r="G43" i="1"/>
  <c r="N43" i="1" s="1"/>
  <c r="O43" i="1"/>
  <c r="G42" i="1"/>
  <c r="N42" i="1" s="1"/>
  <c r="O42" i="1"/>
  <c r="O41" i="1"/>
  <c r="G41" i="1"/>
  <c r="N41" i="1" s="1"/>
  <c r="O40" i="1"/>
  <c r="G40" i="1"/>
  <c r="N40" i="1" s="1"/>
  <c r="G39" i="1"/>
  <c r="N39" i="1" s="1"/>
  <c r="O39" i="1"/>
  <c r="O38" i="1"/>
  <c r="G38" i="1"/>
  <c r="N38" i="1" s="1"/>
  <c r="G37" i="1"/>
  <c r="N37" i="1" s="1"/>
  <c r="O37" i="1"/>
  <c r="O36" i="1"/>
  <c r="G36" i="1"/>
  <c r="N36" i="1" s="1"/>
  <c r="O35" i="1"/>
  <c r="G35" i="1"/>
  <c r="N35" i="1" s="1"/>
  <c r="O34" i="1"/>
  <c r="G34" i="1"/>
  <c r="N34" i="1" s="1"/>
  <c r="O33" i="1"/>
  <c r="G33" i="1"/>
  <c r="N33" i="1" s="1"/>
  <c r="O32" i="1"/>
  <c r="G32" i="1"/>
  <c r="N32" i="1" s="1"/>
  <c r="O31" i="1"/>
  <c r="G31" i="1"/>
  <c r="N31" i="1" s="1"/>
  <c r="G30" i="1"/>
  <c r="N30" i="1" s="1"/>
  <c r="O30" i="1"/>
  <c r="O29" i="1"/>
  <c r="G29" i="1"/>
  <c r="N29" i="1" s="1"/>
  <c r="O28" i="1"/>
  <c r="G28" i="1"/>
  <c r="N28" i="1" s="1"/>
  <c r="G27" i="1"/>
  <c r="N27" i="1" s="1"/>
  <c r="O27" i="1"/>
  <c r="O26" i="1"/>
  <c r="G26" i="1"/>
  <c r="N26" i="1" s="1"/>
  <c r="O25" i="1"/>
  <c r="G25" i="1"/>
  <c r="N25" i="1" s="1"/>
  <c r="G24" i="1"/>
  <c r="N24" i="1" s="1"/>
  <c r="O24" i="1"/>
  <c r="O22" i="1"/>
  <c r="G22" i="1"/>
  <c r="O21" i="1"/>
  <c r="G21" i="1"/>
  <c r="O20" i="1"/>
  <c r="G20" i="1"/>
  <c r="B8" i="1"/>
  <c r="B9" i="1"/>
  <c r="B10" i="1"/>
  <c r="D10" i="1"/>
  <c r="E10" i="1"/>
  <c r="L79" i="1"/>
  <c r="K79" i="1"/>
  <c r="J79" i="1"/>
  <c r="I79" i="1"/>
  <c r="H79" i="1"/>
  <c r="L78" i="1"/>
  <c r="K78" i="1"/>
  <c r="J78" i="1"/>
  <c r="I78" i="1"/>
  <c r="H78" i="1"/>
  <c r="L77" i="1"/>
  <c r="K77" i="1"/>
  <c r="J77" i="1"/>
  <c r="I77" i="1"/>
  <c r="H77" i="1"/>
  <c r="L76" i="1"/>
  <c r="K76" i="1"/>
  <c r="J76" i="1"/>
  <c r="I76" i="1"/>
  <c r="H76" i="1"/>
  <c r="L75" i="1"/>
  <c r="K75" i="1"/>
  <c r="J75" i="1"/>
  <c r="I75" i="1"/>
  <c r="H75" i="1"/>
  <c r="L74" i="1"/>
  <c r="K74" i="1"/>
  <c r="J74" i="1"/>
  <c r="I74" i="1"/>
  <c r="H74" i="1"/>
  <c r="L73" i="1"/>
  <c r="K73" i="1"/>
  <c r="J73" i="1"/>
  <c r="I73" i="1"/>
  <c r="H73" i="1"/>
  <c r="L72" i="1"/>
  <c r="K72" i="1"/>
  <c r="J72" i="1"/>
  <c r="I72" i="1"/>
  <c r="H72" i="1"/>
  <c r="L71" i="1"/>
  <c r="K71" i="1"/>
  <c r="J71" i="1"/>
  <c r="I71" i="1"/>
  <c r="H71" i="1"/>
  <c r="L70" i="1"/>
  <c r="K70" i="1"/>
  <c r="J70" i="1"/>
  <c r="I70" i="1"/>
  <c r="H70" i="1"/>
  <c r="L69" i="1"/>
  <c r="K69" i="1"/>
  <c r="J69" i="1"/>
  <c r="I69" i="1"/>
  <c r="H69" i="1"/>
  <c r="L68" i="1"/>
  <c r="K68" i="1"/>
  <c r="J68" i="1"/>
  <c r="I68" i="1"/>
  <c r="H68" i="1"/>
  <c r="L67" i="1"/>
  <c r="K67" i="1"/>
  <c r="J67" i="1"/>
  <c r="I67" i="1"/>
  <c r="H67" i="1"/>
  <c r="L66" i="1"/>
  <c r="K66" i="1"/>
  <c r="J66" i="1"/>
  <c r="I66" i="1"/>
  <c r="H66" i="1"/>
  <c r="L65" i="1"/>
  <c r="K65" i="1"/>
  <c r="J65" i="1"/>
  <c r="I65" i="1"/>
  <c r="H65" i="1"/>
  <c r="L64" i="1"/>
  <c r="K64" i="1"/>
  <c r="J64" i="1"/>
  <c r="I64" i="1"/>
  <c r="H64" i="1"/>
  <c r="L63" i="1"/>
  <c r="K63" i="1"/>
  <c r="J63" i="1"/>
  <c r="I63" i="1"/>
  <c r="H63" i="1"/>
  <c r="L62" i="1"/>
  <c r="K62" i="1"/>
  <c r="J62" i="1"/>
  <c r="I62" i="1"/>
  <c r="H62" i="1"/>
  <c r="L61" i="1"/>
  <c r="K61" i="1"/>
  <c r="J61" i="1"/>
  <c r="I61" i="1"/>
  <c r="H61" i="1"/>
  <c r="L60" i="1"/>
  <c r="K60" i="1"/>
  <c r="J60" i="1"/>
  <c r="I60" i="1"/>
  <c r="H60" i="1"/>
  <c r="L59" i="1"/>
  <c r="K59" i="1"/>
  <c r="J59" i="1"/>
  <c r="I59" i="1"/>
  <c r="H59" i="1"/>
  <c r="L58" i="1"/>
  <c r="K58" i="1"/>
  <c r="J58" i="1"/>
  <c r="I58" i="1"/>
  <c r="H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L53" i="1"/>
  <c r="K53" i="1"/>
  <c r="J53" i="1"/>
  <c r="I53" i="1"/>
  <c r="H53" i="1"/>
  <c r="L52" i="1"/>
  <c r="K52" i="1"/>
  <c r="J52" i="1"/>
  <c r="I52" i="1"/>
  <c r="H52" i="1"/>
  <c r="L51" i="1"/>
  <c r="K51" i="1"/>
  <c r="J51" i="1"/>
  <c r="I51" i="1"/>
  <c r="H51" i="1"/>
  <c r="M51" i="1" s="1"/>
  <c r="L50" i="1"/>
  <c r="K50" i="1"/>
  <c r="J50" i="1"/>
  <c r="I50" i="1"/>
  <c r="H50" i="1"/>
  <c r="M50" i="1" s="1"/>
  <c r="L49" i="1"/>
  <c r="K49" i="1"/>
  <c r="J49" i="1"/>
  <c r="I49" i="1"/>
  <c r="H49" i="1"/>
  <c r="M49" i="1" s="1"/>
  <c r="L48" i="1"/>
  <c r="K48" i="1"/>
  <c r="J48" i="1"/>
  <c r="I48" i="1"/>
  <c r="H48" i="1"/>
  <c r="M48" i="1" s="1"/>
  <c r="L47" i="1"/>
  <c r="K47" i="1"/>
  <c r="J47" i="1"/>
  <c r="I47" i="1"/>
  <c r="H47" i="1"/>
  <c r="M47" i="1" s="1"/>
  <c r="L46" i="1"/>
  <c r="K46" i="1"/>
  <c r="J46" i="1"/>
  <c r="I46" i="1"/>
  <c r="H46" i="1"/>
  <c r="M46" i="1" s="1"/>
  <c r="L45" i="1"/>
  <c r="K45" i="1"/>
  <c r="J45" i="1"/>
  <c r="I45" i="1"/>
  <c r="H45" i="1"/>
  <c r="M45" i="1" s="1"/>
  <c r="L44" i="1"/>
  <c r="K44" i="1"/>
  <c r="J44" i="1"/>
  <c r="I44" i="1"/>
  <c r="H44" i="1"/>
  <c r="M44" i="1" s="1"/>
  <c r="L43" i="1"/>
  <c r="K43" i="1"/>
  <c r="J43" i="1"/>
  <c r="I43" i="1"/>
  <c r="H43" i="1"/>
  <c r="M43" i="1" s="1"/>
  <c r="L42" i="1"/>
  <c r="K42" i="1"/>
  <c r="J42" i="1"/>
  <c r="I42" i="1"/>
  <c r="H42" i="1"/>
  <c r="M42" i="1" s="1"/>
  <c r="L41" i="1"/>
  <c r="K41" i="1"/>
  <c r="J41" i="1"/>
  <c r="I41" i="1"/>
  <c r="H41" i="1"/>
  <c r="M41" i="1" s="1"/>
  <c r="L40" i="1"/>
  <c r="K40" i="1"/>
  <c r="J40" i="1"/>
  <c r="I40" i="1"/>
  <c r="H40" i="1"/>
  <c r="M40" i="1" s="1"/>
  <c r="L39" i="1"/>
  <c r="K39" i="1"/>
  <c r="J39" i="1"/>
  <c r="I39" i="1"/>
  <c r="H39" i="1"/>
  <c r="M39" i="1" s="1"/>
  <c r="L38" i="1"/>
  <c r="K38" i="1"/>
  <c r="J38" i="1"/>
  <c r="I38" i="1"/>
  <c r="H38" i="1"/>
  <c r="M38" i="1" s="1"/>
  <c r="L37" i="1"/>
  <c r="K37" i="1"/>
  <c r="J37" i="1"/>
  <c r="I37" i="1"/>
  <c r="H37" i="1"/>
  <c r="M37" i="1" s="1"/>
  <c r="L36" i="1"/>
  <c r="K36" i="1"/>
  <c r="J36" i="1"/>
  <c r="I36" i="1"/>
  <c r="H36" i="1"/>
  <c r="M36" i="1" s="1"/>
  <c r="L35" i="1"/>
  <c r="K35" i="1"/>
  <c r="J35" i="1"/>
  <c r="I35" i="1"/>
  <c r="H35" i="1"/>
  <c r="M35" i="1" s="1"/>
  <c r="L34" i="1"/>
  <c r="K34" i="1"/>
  <c r="J34" i="1"/>
  <c r="I34" i="1"/>
  <c r="H34" i="1"/>
  <c r="M34" i="1" s="1"/>
  <c r="L33" i="1"/>
  <c r="K33" i="1"/>
  <c r="J33" i="1"/>
  <c r="I33" i="1"/>
  <c r="H33" i="1"/>
  <c r="M33" i="1" s="1"/>
  <c r="L32" i="1"/>
  <c r="K32" i="1"/>
  <c r="J32" i="1"/>
  <c r="I32" i="1"/>
  <c r="H32" i="1"/>
  <c r="M32" i="1" s="1"/>
  <c r="L31" i="1"/>
  <c r="K31" i="1"/>
  <c r="J31" i="1"/>
  <c r="I31" i="1"/>
  <c r="H31" i="1"/>
  <c r="M31" i="1" s="1"/>
  <c r="L30" i="1"/>
  <c r="K30" i="1"/>
  <c r="J30" i="1"/>
  <c r="I30" i="1"/>
  <c r="H30" i="1"/>
  <c r="M30" i="1" s="1"/>
  <c r="L29" i="1"/>
  <c r="K29" i="1"/>
  <c r="J29" i="1"/>
  <c r="I29" i="1"/>
  <c r="H29" i="1"/>
  <c r="M29" i="1" s="1"/>
  <c r="L28" i="1"/>
  <c r="K28" i="1"/>
  <c r="J28" i="1"/>
  <c r="I28" i="1"/>
  <c r="H28" i="1"/>
  <c r="M28" i="1" s="1"/>
  <c r="L27" i="1"/>
  <c r="K27" i="1"/>
  <c r="J27" i="1"/>
  <c r="I27" i="1"/>
  <c r="H27" i="1"/>
  <c r="M27" i="1" s="1"/>
  <c r="L26" i="1"/>
  <c r="K26" i="1"/>
  <c r="J26" i="1"/>
  <c r="I26" i="1"/>
  <c r="H26" i="1"/>
  <c r="M26" i="1" s="1"/>
  <c r="L25" i="1"/>
  <c r="K25" i="1"/>
  <c r="J25" i="1"/>
  <c r="I25" i="1"/>
  <c r="H25" i="1"/>
  <c r="M25" i="1" s="1"/>
  <c r="L24" i="1"/>
  <c r="K24" i="1"/>
  <c r="J24" i="1"/>
  <c r="I24" i="1"/>
  <c r="H24" i="1"/>
  <c r="M24" i="1" s="1"/>
  <c r="L23" i="1"/>
  <c r="K23" i="1"/>
  <c r="J23" i="1"/>
  <c r="I23" i="1"/>
  <c r="H23" i="1"/>
  <c r="L22" i="1"/>
  <c r="K22" i="1"/>
  <c r="J22" i="1"/>
  <c r="I22" i="1"/>
  <c r="H22" i="1"/>
  <c r="M22" i="1" s="1"/>
  <c r="L21" i="1"/>
  <c r="K21" i="1"/>
  <c r="J21" i="1"/>
  <c r="I21" i="1"/>
  <c r="H21" i="1"/>
  <c r="M21" i="1" s="1"/>
  <c r="L20" i="1"/>
  <c r="K20" i="1"/>
  <c r="J20" i="1"/>
  <c r="I20" i="1"/>
  <c r="H20" i="1"/>
  <c r="M20" i="1" s="1"/>
  <c r="E8" i="1" l="1"/>
  <c r="N22" i="1"/>
  <c r="C10" i="1"/>
  <c r="N21" i="1"/>
  <c r="C9" i="1"/>
  <c r="D9" i="1"/>
  <c r="E9" i="1"/>
  <c r="B12" i="1"/>
  <c r="C8" i="1"/>
  <c r="D8" i="1"/>
  <c r="N20" i="1"/>
  <c r="G9" i="1" l="1"/>
  <c r="F9" i="1"/>
  <c r="F10" i="1"/>
  <c r="G10" i="1"/>
  <c r="G8" i="1"/>
  <c r="F8" i="1"/>
</calcChain>
</file>

<file path=xl/sharedStrings.xml><?xml version="1.0" encoding="utf-8"?>
<sst xmlns="http://schemas.openxmlformats.org/spreadsheetml/2006/main" count="796" uniqueCount="399">
  <si>
    <t>Surabraja — monitoring checklist harian</t>
  </si>
  <si>
    <t>Tanggal pantau</t>
  </si>
  <si>
    <t>Tanggal dapat diganti. Rekap menghitung kegiatan dan kelengkapan laporan harian.</t>
  </si>
  <si>
    <t>Persentase selesai = kegiatan Selesai / kegiatan berlaku. Tidak Berlaku dikecualikan.</t>
  </si>
  <si>
    <t>Jabatan</t>
  </si>
  <si>
    <t>PIC aktif</t>
  </si>
  <si>
    <t>Dikirim</t>
  </si>
  <si>
    <t>Belum lapor</t>
  </si>
  <si>
    <t>Draft</t>
  </si>
  <si>
    <t>Menunggu review</t>
  </si>
  <si>
    <t>Perlu perbaikan</t>
  </si>
  <si>
    <t>Sales</t>
  </si>
  <si>
    <t>SPV</t>
  </si>
  <si>
    <t>ASM</t>
  </si>
  <si>
    <t>Pemeriksaan</t>
  </si>
  <si>
    <t>Alur review: Sales oleh SPV, SPV oleh ASM, ASM oleh Manager Sales &amp; Marketing.</t>
  </si>
  <si>
    <t>Status Selesai berarti seluruh bagian kegiatan yang berlaku telah dikerjakan. Catat outlet/agenda yang terlewat.</t>
  </si>
  <si>
    <t>Detail per PIC</t>
  </si>
  <si>
    <t>ID PIC</t>
  </si>
  <si>
    <t>Nama PIC</t>
  </si>
  <si>
    <t>Cabang</t>
  </si>
  <si>
    <t>Area</t>
  </si>
  <si>
    <t>Baris laporan</t>
  </si>
  <si>
    <t>Laporan harian</t>
  </si>
  <si>
    <t>Kegiatan berlaku</t>
  </si>
  <si>
    <t>Selesai</t>
  </si>
  <si>
    <t>Proses</t>
  </si>
  <si>
    <t>Belum</t>
  </si>
  <si>
    <t>Kosong</t>
  </si>
  <si>
    <t>% selesai</t>
  </si>
  <si>
    <t>Hasil review</t>
  </si>
  <si>
    <t>Perhatian</t>
  </si>
  <si>
    <t>Surabraja — checklist harian Sales</t>
  </si>
  <si>
    <t>Satu baris = satu Sales per hari. 10 kegiatan harian dan 4 bersyarat. Pemeriksa: SPV.</t>
  </si>
  <si>
    <t>Kuning = isi manual. Abu-abu = rumus. Arti setiap kode kegiatan dan bukti minimum ada di Kamus_Kegiatan.</t>
  </si>
  <si>
    <t>tanggal</t>
  </si>
  <si>
    <t>id_pic</t>
  </si>
  <si>
    <t>nama_pic</t>
  </si>
  <si>
    <t>cabang</t>
  </si>
  <si>
    <t>area</t>
  </si>
  <si>
    <t>id_atasan</t>
  </si>
  <si>
    <t>S01_briefing</t>
  </si>
  <si>
    <t>S02_rute</t>
  </si>
  <si>
    <t>S03_stok_harga</t>
  </si>
  <si>
    <t>S04_kunjungan</t>
  </si>
  <si>
    <t>S05_kondisi_produk</t>
  </si>
  <si>
    <t>S06_display_fefo</t>
  </si>
  <si>
    <t>S07_penawaran</t>
  </si>
  <si>
    <t>S08_catat_kunjungan</t>
  </si>
  <si>
    <t>S09_info_pasar</t>
  </si>
  <si>
    <t>S10_laporan_rencana</t>
  </si>
  <si>
    <t>S11_prospek</t>
  </si>
  <si>
    <t>S12_penagihan</t>
  </si>
  <si>
    <t>S13_retur_keluhan</t>
  </si>
  <si>
    <t>S14_order_kirim</t>
  </si>
  <si>
    <t>catatan_kendala_alasan</t>
  </si>
  <si>
    <t>tindak_lanjut</t>
  </si>
  <si>
    <t>id_pic_tindak_lanjut</t>
  </si>
  <si>
    <t>tenggat</t>
  </si>
  <si>
    <t>link_bukti</t>
  </si>
  <si>
    <t>status_laporan</t>
  </si>
  <si>
    <t>waktu_kirim</t>
  </si>
  <si>
    <t>hasil_review</t>
  </si>
  <si>
    <t>id_pemeriksa</t>
  </si>
  <si>
    <t>waktu_review</t>
  </si>
  <si>
    <t>catatan_review</t>
  </si>
  <si>
    <t>cek_berlaku</t>
  </si>
  <si>
    <t>cek_selesai</t>
  </si>
  <si>
    <t>cek_proses</t>
  </si>
  <si>
    <t>cek_belum</t>
  </si>
  <si>
    <t>cek_tidak_berlaku</t>
  </si>
  <si>
    <t>cek_kosong</t>
  </si>
  <si>
    <t>persen_selesai</t>
  </si>
  <si>
    <t>validasi_data</t>
  </si>
  <si>
    <t>Surabraja — checklist harian SPV</t>
  </si>
  <si>
    <t>Satu baris = satu SPV per hari. 9 kegiatan harian dan 4 bersyarat. Pemeriksa: ASM.</t>
  </si>
  <si>
    <t>P01_briefing</t>
  </si>
  <si>
    <t>P02_absen_rute</t>
  </si>
  <si>
    <t>P03_stok_program</t>
  </si>
  <si>
    <t>P04_pantau_kunjungan</t>
  </si>
  <si>
    <t>P05_temuan_outlet</t>
  </si>
  <si>
    <t>P06_catatan_sales</t>
  </si>
  <si>
    <t>P07_tindak_lanjut</t>
  </si>
  <si>
    <t>P08_rencana_tim</t>
  </si>
  <si>
    <t>P09_review_laporan</t>
  </si>
  <si>
    <t>P10_joint_visit</t>
  </si>
  <si>
    <t>P11_outlet_kasus</t>
  </si>
  <si>
    <t>P12_piutang_retur</t>
  </si>
  <si>
    <t>P13_ubah_penugasan</t>
  </si>
  <si>
    <t>Surabraja — checklist harian ASM</t>
  </si>
  <si>
    <t>Satu baris = satu ASM per hari. 9 kegiatan harian dan 4 bersyarat. Pemeriksa: Manager.</t>
  </si>
  <si>
    <t>A01_prioritas_area</t>
  </si>
  <si>
    <t>A02_kesiapan_spv</t>
  </si>
  <si>
    <t>A03_review_aktivitas</t>
  </si>
  <si>
    <t>A04_koordinasi_stok</t>
  </si>
  <si>
    <t>A05_program_area</t>
  </si>
  <si>
    <t>A06_isu_lintas_fungsi</t>
  </si>
  <si>
    <t>A07_risiko_pasar</t>
  </si>
  <si>
    <t>A08_rencana_area</t>
  </si>
  <si>
    <t>A09_review_laporan</t>
  </si>
  <si>
    <t>A10_kunjungan_area</t>
  </si>
  <si>
    <t>A11_mitra_utama</t>
  </si>
  <si>
    <t>A12_eskalasi</t>
  </si>
  <si>
    <t>A13_coaching_spv</t>
  </si>
  <si>
    <t>Surabraja — daftar PIC</t>
  </si>
  <si>
    <t>Isi PIC aktif, jabatan, cabang, area dan ID atasan. Tambahkan Manager untuk jalur pemeriksaan ASM.</t>
  </si>
  <si>
    <t>ID harus unik dan tetap. Tanpa daftar PIC aktif, rekap belum dapat menunjukkan siapa yang belum melapor.</t>
  </si>
  <si>
    <t>jabatan</t>
  </si>
  <si>
    <t>status_aktif</t>
  </si>
  <si>
    <t>Surabraja — panduan kegiatan per PIC</t>
  </si>
  <si>
    <t>Harian diisi setiap hari kerja. Bersyarat dapat dipilih Tidak Berlaku dengan alasan dan kode kegiatan.</t>
  </si>
  <si>
    <t>FEFO = produk dengan kedaluwarsa terdekat diprioritaskan keluar. Bukti dapat digabung dalam satu folder/laporan per hari.</t>
  </si>
  <si>
    <t>Kode</t>
  </si>
  <si>
    <t>Kolom Excel</t>
  </si>
  <si>
    <t>Kegiatan yang dilengkapi</t>
  </si>
  <si>
    <t>Ketentuan</t>
  </si>
  <si>
    <t>Pemicu / lingkup</t>
  </si>
  <si>
    <t>Bukti minimum</t>
  </si>
  <si>
    <t>Pemeriksa</t>
  </si>
  <si>
    <t>S01</t>
  </si>
  <si>
    <t>Mengikuti briefing dan mengonfirmasi kesiapan kerja.</t>
  </si>
  <si>
    <t>Harian</t>
  </si>
  <si>
    <t>Setiap hari kerja</t>
  </si>
  <si>
    <t>Catatan briefing atau absensi</t>
  </si>
  <si>
    <t>S02</t>
  </si>
  <si>
    <t>Mengonfirmasi rute outlet dan agenda kunjungan.</t>
  </si>
  <si>
    <t>Daftar rute dan agenda</t>
  </si>
  <si>
    <t>S03</t>
  </si>
  <si>
    <t>Memeriksa informasi stok, harga dan program saus/kecap.</t>
  </si>
  <si>
    <t>Sebelum kunjungan</t>
  </si>
  <si>
    <t>Konfirmasi admin/gudang dan daftar program</t>
  </si>
  <si>
    <t>S04</t>
  </si>
  <si>
    <t>Menjalankan kunjungan sesuai rute dan mencatat perubahan rute.</t>
  </si>
  <si>
    <t>Catatan outlet, waktu dan alasan deviasi</t>
  </si>
  <si>
    <t>S05</t>
  </si>
  <si>
    <t>Memeriksa stok, kemasan dan kedaluwarsa produk di outlet.</t>
  </si>
  <si>
    <t>Pada outlet yang dikunjungi</t>
  </si>
  <si>
    <t>Catatan kondisi produk atau foto temuan</t>
  </si>
  <si>
    <t>S06</t>
  </si>
  <si>
    <t>Memeriksa display dan rotasi produk berdasarkan kedaluwarsa (FEFO).</t>
  </si>
  <si>
    <t>Pada outlet yang memberi akses display</t>
  </si>
  <si>
    <t>Foto atau catatan display dan rotasi</t>
  </si>
  <si>
    <t>S07</t>
  </si>
  <si>
    <t>Menawarkan saus/kecap dan menjelaskan program yang berlaku.</t>
  </si>
  <si>
    <t>Catatan penawaran dan tanggapan outlet</t>
  </si>
  <si>
    <t>S08</t>
  </si>
  <si>
    <t>Mencatat hasil kunjungan, pesanan atau alasan tidak ada pesanan.</t>
  </si>
  <si>
    <t>Setiap kunjungan</t>
  </si>
  <si>
    <t>Log kunjungan dan catatan pesanan</t>
  </si>
  <si>
    <t>S09</t>
  </si>
  <si>
    <t>Mencatat masukan outlet dan informasi harga/program kompetitor.</t>
  </si>
  <si>
    <t>Setiap hari kerja. Boleh mencatat nihil temuan</t>
  </si>
  <si>
    <t>Catatan pasar termasuk nihil temuan</t>
  </si>
  <si>
    <t>S10</t>
  </si>
  <si>
    <t>Melengkapi laporan kegiatan dan rencana kunjungan berikutnya.</t>
  </si>
  <si>
    <t>Pada akhir hari kerja</t>
  </si>
  <si>
    <t>Laporan kegiatan dan agenda berikutnya</t>
  </si>
  <si>
    <t>S11</t>
  </si>
  <si>
    <t>Menghubungi atau mengunjungi calon outlet.</t>
  </si>
  <si>
    <t>Bersyarat</t>
  </si>
  <si>
    <t>Jika masuk agenda prospek hari itu</t>
  </si>
  <si>
    <t>Catatan kontak atau kunjungan prospek</t>
  </si>
  <si>
    <t>S12</t>
  </si>
  <si>
    <t>Menindaklanjuti faktur jatuh tempo sesuai penugasan.</t>
  </si>
  <si>
    <t>Jika ada daftar penagihan/penugasan</t>
  </si>
  <si>
    <t>Catatan tindak lanjut faktur</t>
  </si>
  <si>
    <t>S13</t>
  </si>
  <si>
    <t>Mendata dan mengeskalasi retur, kemasan rusak atau keluhan.</t>
  </si>
  <si>
    <t>Jika ada kasus atau tindak lanjut terbuka</t>
  </si>
  <si>
    <t>Nomor kasus, foto dan tujuan eskalasi</t>
  </si>
  <si>
    <t>S14</t>
  </si>
  <si>
    <t>Menindaklanjuti kendala pesanan atau pengiriman.</t>
  </si>
  <si>
    <t>Jika ada kendala atau pesanan tertunda</t>
  </si>
  <si>
    <t>Konfirmasi admin/gudang/pengiriman</t>
  </si>
  <si>
    <t>P01</t>
  </si>
  <si>
    <t>Memimpin briefing dan menjelaskan prioritas kerja Sales.</t>
  </si>
  <si>
    <t>Agenda briefing dan arahan</t>
  </si>
  <si>
    <t>P02</t>
  </si>
  <si>
    <t>Memeriksa kehadiran, rute dan kesiapan seluruh Sales.</t>
  </si>
  <si>
    <t>Sebelum tim berangkat</t>
  </si>
  <si>
    <t>Daftar kehadiran dan konfirmasi rute</t>
  </si>
  <si>
    <t>P03</t>
  </si>
  <si>
    <t>Mengonfirmasi stok, harga dan program dengan admin/gudang.</t>
  </si>
  <si>
    <t>Konfirmasi yang dibagikan ke Sales</t>
  </si>
  <si>
    <t>P04</t>
  </si>
  <si>
    <t>Memantau kegiatan kunjungan dan memeriksa bukti secara sampling.</t>
  </si>
  <si>
    <t>Saat tim bekerja</t>
  </si>
  <si>
    <t>Catatan sampling outlet/Sales yang diperiksa</t>
  </si>
  <si>
    <t>P05</t>
  </si>
  <si>
    <t>Menelaah temuan stok, display dan kedaluwarsa dari Sales.</t>
  </si>
  <si>
    <t>Catatan review temuan outlet</t>
  </si>
  <si>
    <t>P06</t>
  </si>
  <si>
    <t>Memeriksa kelengkapan catatan kunjungan dan pesanan Sales.</t>
  </si>
  <si>
    <t>Sebelum laporan Sales disetujui</t>
  </si>
  <si>
    <t>Catatan pemeriksaan administrasi</t>
  </si>
  <si>
    <t>P07</t>
  </si>
  <si>
    <t>Meninjau daftar kendala dan memastikan PIC/tenggat tindak lanjut.</t>
  </si>
  <si>
    <t>Setiap hari kerja. Boleh mencatat nihil kasus</t>
  </si>
  <si>
    <t>Daftar tindak lanjut atau nihil kasus</t>
  </si>
  <si>
    <t>P08</t>
  </si>
  <si>
    <t>Mengonfirmasi rute dan kebutuhan dukungan tim hari berikutnya.</t>
  </si>
  <si>
    <t>Rencana tim berikutnya</t>
  </si>
  <si>
    <t>P09</t>
  </si>
  <si>
    <t>Memeriksa checklist Sales dan mengirim laporan SPV.</t>
  </si>
  <si>
    <t>Hasil review Sales dan laporan SPV</t>
  </si>
  <si>
    <t>P10</t>
  </si>
  <si>
    <t>Mendampingi kunjungan Sales dan memberi coaching lapangan.</t>
  </si>
  <si>
    <t>Jika pendampingan dijadwalkan/dibutuhkan</t>
  </si>
  <si>
    <t>Catatan pendampingan dan materi coaching</t>
  </si>
  <si>
    <t>P11</t>
  </si>
  <si>
    <t>Menangani outlet bermasalah, komplain atau pengiriman tertunda.</t>
  </si>
  <si>
    <t>Jika ada kasus yang perlu intervensi SPV</t>
  </si>
  <si>
    <t>Catatan penyelesaian dan eskalasi</t>
  </si>
  <si>
    <t>P12</t>
  </si>
  <si>
    <t>Memeriksa kepatuhan proses penagihan atau retur yang ditugaskan.</t>
  </si>
  <si>
    <t>Jika ada penagihan/retur dalam agenda tim</t>
  </si>
  <si>
    <t>Catatan pemeriksaan proses</t>
  </si>
  <si>
    <t>P13</t>
  </si>
  <si>
    <t>Mengatur ulang rute/penugasan karena deviasi atau Sales berhalangan.</t>
  </si>
  <si>
    <t>Jika ada perubahan rute atau personel</t>
  </si>
  <si>
    <t>Arahan perubahan dan penerima tugas</t>
  </si>
  <si>
    <t>A01</t>
  </si>
  <si>
    <t>Menetapkan prioritas kegiatan area dan arahan kepada SPV.</t>
  </si>
  <si>
    <t>Arahan kegiatan area</t>
  </si>
  <si>
    <t>Manager</t>
  </si>
  <si>
    <t>A02</t>
  </si>
  <si>
    <t>Memastikan kesiapan SPV, cakupan rute dan pembagian tugas.</t>
  </si>
  <si>
    <t>Sebelum tim bekerja</t>
  </si>
  <si>
    <t>Konfirmasi kesiapan SPV</t>
  </si>
  <si>
    <t>A03</t>
  </si>
  <si>
    <t>Menelaah aktivitas SPV dan penyimpangan kegiatan tim.</t>
  </si>
  <si>
    <t>Catatan review kegiatan dan deviasi</t>
  </si>
  <si>
    <t>A04</t>
  </si>
  <si>
    <t>Memastikan informasi stok dan kesiapan pengiriman area.</t>
  </si>
  <si>
    <t>A05</t>
  </si>
  <si>
    <t>Memeriksa pelaksanaan program pemasaran di area melalui SPV.</t>
  </si>
  <si>
    <t>Setiap hari kerja. Catat bila tidak ada program aktif</t>
  </si>
  <si>
    <t>Catatan pemeriksaan pelaksanaan program</t>
  </si>
  <si>
    <t>A06</t>
  </si>
  <si>
    <t>Meninjau isu area dan mengoordinasikan tindak lanjut lintas fungsi.</t>
  </si>
  <si>
    <t>Daftar isu, PIC dan tindak lanjut</t>
  </si>
  <si>
    <t>A07</t>
  </si>
  <si>
    <t>Menelaah temuan produk, kedaluwarsa, harga dan kompetitor.</t>
  </si>
  <si>
    <t>Catatan review risiko dan informasi pasar</t>
  </si>
  <si>
    <t>A08</t>
  </si>
  <si>
    <t>Mengonfirmasi agenda dan kebutuhan dukungan area berikutnya.</t>
  </si>
  <si>
    <t>Agenda area berikutnya</t>
  </si>
  <si>
    <t>A09</t>
  </si>
  <si>
    <t>Memeriksa checklist SPV dan mengirim laporan ASM ke Manager.</t>
  </si>
  <si>
    <t>Hasil review SPV dan laporan ASM</t>
  </si>
  <si>
    <t>A10</t>
  </si>
  <si>
    <t>Melakukan kunjungan area untuk memeriksa pelaksanaan kegiatan.</t>
  </si>
  <si>
    <t>Jika kunjungan area dijadwalkan/dibutuhkan</t>
  </si>
  <si>
    <t>Catatan kunjungan dan temuan</t>
  </si>
  <si>
    <t>A11</t>
  </si>
  <si>
    <t>Berkoordinasi dengan agen/outlet utama terkait kegiatan dan kendala.</t>
  </si>
  <si>
    <t>Jika ada agenda atau isu mitra utama</t>
  </si>
  <si>
    <t>Catatan koordinasi dan kesepakatan</t>
  </si>
  <si>
    <t>A12</t>
  </si>
  <si>
    <t>Mengeskalasi kebutuhan keputusan dan kendala di luar kewenangan.</t>
  </si>
  <si>
    <t>Jika keputusan Manager/fungsi lain dibutuhkan</t>
  </si>
  <si>
    <t>Permintaan keputusan dan tujuan eskalasi</t>
  </si>
  <si>
    <t>A13</t>
  </si>
  <si>
    <t>Memberi coaching kepada SPV berdasarkan kebutuhan lapangan.</t>
  </si>
  <si>
    <t>Jika coaching dijadwalkan/dibutuhkan</t>
  </si>
  <si>
    <t>Materi coaching dan rencana perbaikan</t>
  </si>
  <si>
    <t>Surabraja — cara mengisi dan mengunggah</t>
  </si>
  <si>
    <t>Bagian</t>
  </si>
  <si>
    <t>Petunjuk</t>
  </si>
  <si>
    <t>Mulai dari daftar PIC</t>
  </si>
  <si>
    <t>Isi Master_PIC: ID unik, nama, jabatan, cabang, area, ID atasan dan status Aktif. Daftar ini menjadi dasar PIC wajib melapor.</t>
  </si>
  <si>
    <t>Isi checklist harian</t>
  </si>
  <si>
    <t>Gunakan sheet sesuai jabatan. Isi tanggal dan ID PIC. Identitas lain terisi otomatis dari Master_PIC. Gunakan satu baris per PIC per tanggal.</t>
  </si>
  <si>
    <t>Makna Selesai</t>
  </si>
  <si>
    <t>Seluruh bagian kegiatan yang berlaku sudah dikerjakan. Jika sebagian outlet/agenda terlewat, pilih Proses atau Belum dan jelaskan kendalanya.</t>
  </si>
  <si>
    <t>Makna Proses / Belum</t>
  </si>
  <si>
    <t>Proses = sudah dimulai tetapi belum tuntas. Belum = belum dikerjakan. Isi kode kegiatan, kendala, tindak lanjut, PIC penanggung jawab dan tenggat.</t>
  </si>
  <si>
    <t>Makna Tidak Berlaku</t>
  </si>
  <si>
    <t>Hanya untuk empat kegiatan bersyarat pada akhir checklist. Tulis kode dan alasan pada catatan_kendala_alasan, misalnya S12: tidak ada agenda penagihan.</t>
  </si>
  <si>
    <t>Kegiatan harian dengan nihil temuan</t>
  </si>
  <si>
    <t>Review tetap dilakukan meskipun tidak ada temuan atau kasus. Pilih Selesai setelah review dan tulis nihil. Akses outlet ditolak/agenda gagal: jelaskan kendala dan tindak lanjut.</t>
  </si>
  <si>
    <t>Simpan bukti</t>
  </si>
  <si>
    <t>Isi link_bukti dengan tautan folder/laporan harian. Bukti minimal mengikuti Kamus_Kegiatan. Catatan dapat mencantumkan kode kegiatan dan outlet/agenda terkait.</t>
  </si>
  <si>
    <t>Kirim laporan</t>
  </si>
  <si>
    <t>Pilih Dikirim setelah checklist terisi. Isi waktu_kirim sebagai tanggal dan jam, misalnya 04/10/2026 16:30. Periksa validasi_data sampai OK.</t>
  </si>
  <si>
    <t>Pemeriksaan laporan</t>
  </si>
  <si>
    <t>Sales diperiksa SPV, SPV diperiksa ASM, ASM diperiksa Manager. Isi hasil_review, id_pemeriksa, waktu_review dan catatan_review bila perlu perbaikan.</t>
  </si>
  <si>
    <t>Membaca rekap</t>
  </si>
  <si>
    <t>Ganti tanggal di Rekap_Manager!B4. Belum Lapor berasal dari daftar PIC aktif yang tidak punya baris laporan pada tanggal itu. Draft masih belum dikirim.</t>
  </si>
  <si>
    <t>Persentase kegiatan</t>
  </si>
  <si>
    <t>persen_selesai = jumlah Selesai dibagi kegiatan berlaku. Proses, Belum dan status kosong tetap berada dalam penyebut. Tidak Berlaku dikeluarkan. Ini ringkasan checklist kegiatan.</t>
  </si>
  <si>
    <t>Hari libur dan penugasan khusus</t>
  </si>
  <si>
    <t>Pantau tanggal kerja. Untuk tanggal libur/cuti per PIC, cek catatan jadwal di luar template. Label Belum Lapor perlu dikonfirmasi terhadap jadwal kerja PIC.</t>
  </si>
  <si>
    <t>Kapasitas template</t>
  </si>
  <si>
    <t>Tersedia 60 baris Master_PIC dan 500 baris harian per jabatan. Jangan menimpa riwayat. Untuk menambah kapasitas, perluas tabel, salin rumus/dropdown dan sesuaikan batas referensi rekap.</t>
  </si>
  <si>
    <t>Format untuk dashboard</t>
  </si>
  <si>
    <t>Baca tabel SalesChecklist, SPVChecklist, ASMChecklist dan PICRoster. Header berada di baris 7. Abaikan baris tanpa tanggal dan ID PIC. Gunakan id_pic sebagai identitas utama.</t>
  </si>
  <si>
    <t>Kunci unik dan tipe data</t>
  </si>
  <si>
    <t>Kunci laporan = tanggal + id_pic. Format tanggal tampilan dd/mm/yyyy, nilainya tetap tanggal Excel. Parser dashboard perlu menangani serial Excel dan waktu Asia/Jakarta.</t>
  </si>
  <si>
    <t>Penggabungan tiga jabatan</t>
  </si>
  <si>
    <t>Tambahkan jabatan dari nama sheet. Kode kegiatan dan judulnya diambil dari ActivityDictionary. Gabungkan status setiap kolom kegiatan menjadi baris kegiatan bila dashboard memerlukan bentuk panjang.</t>
  </si>
  <si>
    <t>Nilai status baku</t>
  </si>
  <si>
    <t>Gunakan persis Selesai, Proses, Belum, Tidak Berlaku. Laporan: Draft/Dikirim. Review: Belum Diperiksa/Disetujui/Perlu Perbaikan. Kolom rumus tidak diisi manual.</t>
  </si>
  <si>
    <t>Penanganan data ganda</t>
  </si>
  <si>
    <t>Jangan menjumlahkan dua laporan untuk PIC dan tanggal yang sama. Benahi baris ganda sebelum impor. ID PIC pada Master_PIC juga harus unik.</t>
  </si>
  <si>
    <t>Data performance</t>
  </si>
  <si>
    <t>Data pencapaian penjualan, target, omzet dan collection diunggah melalui file terpisah saat dashboard dibuat. Hubungkan memakai id_pic dan tanggal/periode.</t>
  </si>
  <si>
    <t>Ritme pengisian</t>
  </si>
  <si>
    <t>Usulan: rute dan kesiapan sebelum bekerja, bukti saat kegiatan, checklist dan laporan pada akhir hari, review atasan setelah laporan masuk. Sesuaikan jam dengan operasional Surabraja.</t>
  </si>
  <si>
    <t>Contoh pengisian catatan</t>
  </si>
  <si>
    <t>Situasi</t>
  </si>
  <si>
    <t>Contoh catatan / tindak lanjut</t>
  </si>
  <si>
    <t>Tidak Berlaku</t>
  </si>
  <si>
    <t>S11: tidak ada prospek terjadwal. S12: tidak ada agenda penagihan.</t>
  </si>
  <si>
    <t>S04: dua outlet tutup. Tindak lanjut: kunjungan ulang. Isi ID PIC dan tanggal tenggat.</t>
  </si>
  <si>
    <t>Perlu Perbaikan</t>
  </si>
  <si>
    <t>P04: bukti sampling belum tersedia. Pemeriksa mencatat bukti yang harus dilengkapi.</t>
  </si>
  <si>
    <t>Ketentuan awal</t>
  </si>
  <si>
    <t>Daftar kegiatan dan ritme review merupakan rancangan operasional untuk Surabraja. Nama PIC, cabang, area dan jam batas pelaporan belum diisi karena datanya belum diberikan.</t>
  </si>
  <si>
    <t>Sales01</t>
  </si>
  <si>
    <t>Timur</t>
  </si>
  <si>
    <t>SPV01</t>
  </si>
  <si>
    <t>ASM01</t>
  </si>
  <si>
    <t>Teriyadi</t>
  </si>
  <si>
    <t>MGR01</t>
  </si>
  <si>
    <t>Ilyas</t>
  </si>
  <si>
    <t>Aktif</t>
  </si>
  <si>
    <t>Sales02</t>
  </si>
  <si>
    <t>Sales03</t>
  </si>
  <si>
    <t>Sales04</t>
  </si>
  <si>
    <t>Sales05</t>
  </si>
  <si>
    <t>Sales06</t>
  </si>
  <si>
    <t>Sales07</t>
  </si>
  <si>
    <t>Sales08</t>
  </si>
  <si>
    <t>Sales09</t>
  </si>
  <si>
    <t>Sales10</t>
  </si>
  <si>
    <t>SPV02</t>
  </si>
  <si>
    <t>David Permana</t>
  </si>
  <si>
    <t>Timur &amp; Barat</t>
  </si>
  <si>
    <t>Syarfi Hermana</t>
  </si>
  <si>
    <t>Toto Toharudin</t>
  </si>
  <si>
    <t>Cirebon 1 (Lokal)</t>
  </si>
  <si>
    <t>Moh. Rahmadi Dwi Putra</t>
  </si>
  <si>
    <t>Suherman SBFI</t>
  </si>
  <si>
    <t>Hadi Firmansyah</t>
  </si>
  <si>
    <t>Sambudi SBFI</t>
  </si>
  <si>
    <t>Hadi Supeno SBFI</t>
  </si>
  <si>
    <t>Benny Medianto Wibowo</t>
  </si>
  <si>
    <t>Rahmat Hidayat</t>
  </si>
  <si>
    <t>Andi Supandi</t>
  </si>
  <si>
    <t>Sukeri</t>
  </si>
  <si>
    <t>Indra</t>
  </si>
  <si>
    <t>Mohammad Suyatno</t>
  </si>
  <si>
    <t>Dany Sholeh Setiawan</t>
  </si>
  <si>
    <t>Mahfud/Apud SBFI</t>
  </si>
  <si>
    <t>Taufik Firmansyah SBFI Bandung</t>
  </si>
  <si>
    <t>Bandung</t>
  </si>
  <si>
    <t>Andri Umbara SBFI Bandung</t>
  </si>
  <si>
    <t>Bonnie Bernardie</t>
  </si>
  <si>
    <t>Bekasi</t>
  </si>
  <si>
    <t>Tomi Arif Bowo SBFI Bekasi</t>
  </si>
  <si>
    <t>Apid Hapidin</t>
  </si>
  <si>
    <t>Eri Sigit Hermawan</t>
  </si>
  <si>
    <t>Pekalongan</t>
  </si>
  <si>
    <t>Eriya Dhika Pratama</t>
  </si>
  <si>
    <t>Heru Triyatna</t>
  </si>
  <si>
    <t>Purwasuka</t>
  </si>
  <si>
    <t>M. Sahit</t>
  </si>
  <si>
    <t>M Rizky Satria Saputra</t>
  </si>
  <si>
    <t>Tangerang</t>
  </si>
  <si>
    <t>Yandhi Rizki Ismail</t>
  </si>
  <si>
    <t>Sales11</t>
  </si>
  <si>
    <t>Sales12</t>
  </si>
  <si>
    <t>Sales13</t>
  </si>
  <si>
    <t>Sales14</t>
  </si>
  <si>
    <t>Sales15</t>
  </si>
  <si>
    <t>Sales16</t>
  </si>
  <si>
    <t>Sch01</t>
  </si>
  <si>
    <t>Sales17</t>
  </si>
  <si>
    <t>Sales18</t>
  </si>
  <si>
    <t>Sales19</t>
  </si>
  <si>
    <t>Sales20</t>
  </si>
  <si>
    <t>Sales21</t>
  </si>
  <si>
    <t>Sales22</t>
  </si>
  <si>
    <t>SPV03</t>
  </si>
  <si>
    <t>Ricky M Budiman</t>
  </si>
  <si>
    <t>SPV04</t>
  </si>
  <si>
    <t>Aryanto</t>
  </si>
  <si>
    <t>ASM02</t>
  </si>
  <si>
    <t>Aceng Komarudin</t>
  </si>
  <si>
    <t>Barat</t>
  </si>
  <si>
    <t>SPV05</t>
  </si>
  <si>
    <t>Koswara</t>
  </si>
  <si>
    <t>Sales23</t>
  </si>
  <si>
    <t>Sales24</t>
  </si>
  <si>
    <t>Sales25</t>
  </si>
  <si>
    <t>SPV06</t>
  </si>
  <si>
    <t>Tohaedin</t>
  </si>
  <si>
    <t>Moch Nurrizki Arief Wihadi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</si>
</sst>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sz val="10"/>
      <color rgb="FF263745"/>
      <name val="Arial"/>
    </font>
    <font>
      <b/>
      <sz val="16"/>
      <color rgb="FF23394D"/>
      <name val="Arial"/>
    </font>
    <font>
      <b/>
      <sz val="10"/>
      <color rgb="FFFFFFFF"/>
      <name val="Arial"/>
    </font>
    <font>
      <b/>
      <sz val="12"/>
      <color rgb="FF23394D"/>
      <name val="Arial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3394D"/>
      </patternFill>
    </fill>
    <fill>
      <patternFill patternType="solid">
        <fgColor rgb="FFFFF6DC"/>
      </patternFill>
    </fill>
    <fill>
      <patternFill patternType="solid">
        <fgColor rgb="FFF0F4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6C4C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22" fontId="1" fillId="3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36">
    <dxf>
      <font>
        <b/>
        <color rgb="FF9E2A26"/>
      </font>
      <fill>
        <patternFill patternType="solid">
          <bgColor rgb="FFFBE6E5"/>
        </patternFill>
      </fill>
    </dxf>
    <dxf>
      <font>
        <b/>
        <color rgb="FF9E2A26"/>
      </font>
      <fill>
        <patternFill patternType="solid">
          <bgColor rgb="FFFBE6E5"/>
        </patternFill>
      </fill>
    </dxf>
    <dxf>
      <font>
        <b/>
        <color rgb="FF9E2A26"/>
      </font>
      <fill>
        <patternFill patternType="solid">
          <bgColor rgb="FFFBE6E5"/>
        </patternFill>
      </fill>
    </dxf>
    <dxf>
      <font>
        <b/>
        <color rgb="FF9E2A26"/>
      </font>
      <fill>
        <patternFill patternType="solid">
          <bgColor rgb="FFFBE6E5"/>
        </patternFill>
      </fill>
    </dxf>
    <dxf>
      <font>
        <b/>
        <color rgb="FF9E2A26"/>
      </font>
      <fill>
        <patternFill patternType="solid">
          <bgColor rgb="FFFBE6E5"/>
        </patternFill>
      </fill>
    </dxf>
    <dxf>
      <font>
        <color rgb="FF9E2A26"/>
      </font>
      <fill>
        <patternFill patternType="solid">
          <bgColor rgb="FFFBE6E5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ont>
        <color rgb="FF9E2A26"/>
      </font>
      <fill>
        <patternFill patternType="solid">
          <bgColor rgb="FFFBE6E5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ont>
        <color rgb="FF9E2A26"/>
      </font>
      <fill>
        <patternFill patternType="solid">
          <bgColor rgb="FFFBE6E5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ill>
        <patternFill patternType="solid">
          <bgColor rgb="FFF0F4F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ill>
        <patternFill patternType="solid">
          <bgColor rgb="FFFFF0C9"/>
        </patternFill>
      </fill>
    </dxf>
    <dxf>
      <fill>
        <patternFill patternType="solid">
          <bgColor rgb="FFE2F2E7"/>
        </patternFill>
      </fill>
    </dxf>
    <dxf>
      <fill>
        <patternFill patternType="solid">
          <bgColor rgb="FFFBE6E5"/>
        </patternFill>
      </fill>
    </dxf>
    <dxf>
      <fill>
        <patternFill patternType="solid">
          <bgColor rgb="FFFBE6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ManagerDailyView" displayName="ManagerDailyView" ref="A19:O79" totalsRowShown="0">
  <autoFilter ref="A19:O79" xr:uid="{00000000-0009-0000-0100-000005000000}"/>
  <tableColumns count="15">
    <tableColumn id="1" xr3:uid="{00000000-0010-0000-0000-000001000000}" name="ID PIC"/>
    <tableColumn id="2" xr3:uid="{00000000-0010-0000-0000-000002000000}" name="Nama PIC"/>
    <tableColumn id="3" xr3:uid="{00000000-0010-0000-0000-000003000000}" name="Jabatan"/>
    <tableColumn id="4" xr3:uid="{00000000-0010-0000-0000-000004000000}" name="Cabang"/>
    <tableColumn id="5" xr3:uid="{00000000-0010-0000-0000-000005000000}" name="Area"/>
    <tableColumn id="6" xr3:uid="{00000000-0010-0000-0000-000006000000}" name="Baris laporan"/>
    <tableColumn id="7" xr3:uid="{00000000-0010-0000-0000-000007000000}" name="Laporan harian"/>
    <tableColumn id="8" xr3:uid="{00000000-0010-0000-0000-000008000000}" name="Kegiatan berlaku"/>
    <tableColumn id="9" xr3:uid="{00000000-0010-0000-0000-000009000000}" name="Selesai"/>
    <tableColumn id="10" xr3:uid="{00000000-0010-0000-0000-00000A000000}" name="Proses"/>
    <tableColumn id="11" xr3:uid="{00000000-0010-0000-0000-00000B000000}" name="Belum"/>
    <tableColumn id="12" xr3:uid="{00000000-0010-0000-0000-00000C000000}" name="Kosong"/>
    <tableColumn id="13" xr3:uid="{00000000-0010-0000-0000-00000D000000}" name="% selesai"/>
    <tableColumn id="14" xr3:uid="{00000000-0010-0000-0000-00000E000000}" name="Hasil review"/>
    <tableColumn id="15" xr3:uid="{00000000-0010-0000-0000-00000F000000}" name="Perhati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Checklist" displayName="SalesChecklist" ref="A7:AM507" totalsRowShown="0">
  <autoFilter ref="A7:AM507" xr:uid="{00000000-0009-0000-0100-000002000000}"/>
  <tableColumns count="39">
    <tableColumn id="1" xr3:uid="{00000000-0010-0000-0100-000001000000}" name="tanggal"/>
    <tableColumn id="2" xr3:uid="{00000000-0010-0000-0100-000002000000}" name="id_pic"/>
    <tableColumn id="3" xr3:uid="{00000000-0010-0000-0100-000003000000}" name="nama_pic"/>
    <tableColumn id="4" xr3:uid="{00000000-0010-0000-0100-000004000000}" name="cabang"/>
    <tableColumn id="5" xr3:uid="{00000000-0010-0000-0100-000005000000}" name="area"/>
    <tableColumn id="6" xr3:uid="{00000000-0010-0000-0100-000006000000}" name="id_atasan"/>
    <tableColumn id="7" xr3:uid="{00000000-0010-0000-0100-000007000000}" name="S01_briefing"/>
    <tableColumn id="8" xr3:uid="{00000000-0010-0000-0100-000008000000}" name="S02_rute"/>
    <tableColumn id="9" xr3:uid="{00000000-0010-0000-0100-000009000000}" name="S03_stok_harga"/>
    <tableColumn id="10" xr3:uid="{00000000-0010-0000-0100-00000A000000}" name="S04_kunjungan"/>
    <tableColumn id="11" xr3:uid="{00000000-0010-0000-0100-00000B000000}" name="S05_kondisi_produk"/>
    <tableColumn id="12" xr3:uid="{00000000-0010-0000-0100-00000C000000}" name="S06_display_fefo"/>
    <tableColumn id="13" xr3:uid="{00000000-0010-0000-0100-00000D000000}" name="S07_penawaran"/>
    <tableColumn id="14" xr3:uid="{00000000-0010-0000-0100-00000E000000}" name="S08_catat_kunjungan"/>
    <tableColumn id="15" xr3:uid="{00000000-0010-0000-0100-00000F000000}" name="S09_info_pasar"/>
    <tableColumn id="16" xr3:uid="{00000000-0010-0000-0100-000010000000}" name="S10_laporan_rencana"/>
    <tableColumn id="17" xr3:uid="{00000000-0010-0000-0100-000011000000}" name="S11_prospek"/>
    <tableColumn id="18" xr3:uid="{00000000-0010-0000-0100-000012000000}" name="S12_penagihan"/>
    <tableColumn id="19" xr3:uid="{00000000-0010-0000-0100-000013000000}" name="S13_retur_keluhan"/>
    <tableColumn id="20" xr3:uid="{00000000-0010-0000-0100-000014000000}" name="S14_order_kirim"/>
    <tableColumn id="21" xr3:uid="{00000000-0010-0000-0100-000015000000}" name="catatan_kendala_alasan"/>
    <tableColumn id="22" xr3:uid="{00000000-0010-0000-0100-000016000000}" name="tindak_lanjut"/>
    <tableColumn id="23" xr3:uid="{00000000-0010-0000-0100-000017000000}" name="id_pic_tindak_lanjut"/>
    <tableColumn id="24" xr3:uid="{00000000-0010-0000-0100-000018000000}" name="tenggat"/>
    <tableColumn id="25" xr3:uid="{00000000-0010-0000-0100-000019000000}" name="link_bukti"/>
    <tableColumn id="26" xr3:uid="{00000000-0010-0000-0100-00001A000000}" name="status_laporan"/>
    <tableColumn id="27" xr3:uid="{00000000-0010-0000-0100-00001B000000}" name="waktu_kirim"/>
    <tableColumn id="28" xr3:uid="{00000000-0010-0000-0100-00001C000000}" name="hasil_review"/>
    <tableColumn id="29" xr3:uid="{00000000-0010-0000-0100-00001D000000}" name="id_pemeriksa"/>
    <tableColumn id="30" xr3:uid="{00000000-0010-0000-0100-00001E000000}" name="waktu_review"/>
    <tableColumn id="31" xr3:uid="{00000000-0010-0000-0100-00001F000000}" name="catatan_review"/>
    <tableColumn id="32" xr3:uid="{00000000-0010-0000-0100-000020000000}" name="cek_berlaku"/>
    <tableColumn id="33" xr3:uid="{00000000-0010-0000-0100-000021000000}" name="cek_selesai"/>
    <tableColumn id="34" xr3:uid="{00000000-0010-0000-0100-000022000000}" name="cek_proses"/>
    <tableColumn id="35" xr3:uid="{00000000-0010-0000-0100-000023000000}" name="cek_belum"/>
    <tableColumn id="36" xr3:uid="{00000000-0010-0000-0100-000024000000}" name="cek_tidak_berlaku"/>
    <tableColumn id="37" xr3:uid="{00000000-0010-0000-0100-000025000000}" name="cek_kosong"/>
    <tableColumn id="38" xr3:uid="{00000000-0010-0000-0100-000026000000}" name="persen_selesai"/>
    <tableColumn id="39" xr3:uid="{00000000-0010-0000-0100-000027000000}" name="validasi_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VChecklist" displayName="SPVChecklist" ref="A7:AL507" totalsRowShown="0">
  <autoFilter ref="A7:AL507" xr:uid="{00000000-0009-0000-0100-000003000000}"/>
  <tableColumns count="38">
    <tableColumn id="1" xr3:uid="{00000000-0010-0000-0200-000001000000}" name="tanggal"/>
    <tableColumn id="2" xr3:uid="{00000000-0010-0000-0200-000002000000}" name="id_pic"/>
    <tableColumn id="3" xr3:uid="{00000000-0010-0000-0200-000003000000}" name="nama_pic"/>
    <tableColumn id="4" xr3:uid="{00000000-0010-0000-0200-000004000000}" name="cabang"/>
    <tableColumn id="5" xr3:uid="{00000000-0010-0000-0200-000005000000}" name="area"/>
    <tableColumn id="6" xr3:uid="{00000000-0010-0000-0200-000006000000}" name="id_atasan"/>
    <tableColumn id="7" xr3:uid="{00000000-0010-0000-0200-000007000000}" name="P01_briefing"/>
    <tableColumn id="8" xr3:uid="{00000000-0010-0000-0200-000008000000}" name="P02_absen_rute"/>
    <tableColumn id="9" xr3:uid="{00000000-0010-0000-0200-000009000000}" name="P03_stok_program"/>
    <tableColumn id="10" xr3:uid="{00000000-0010-0000-0200-00000A000000}" name="P04_pantau_kunjungan"/>
    <tableColumn id="11" xr3:uid="{00000000-0010-0000-0200-00000B000000}" name="P05_temuan_outlet"/>
    <tableColumn id="12" xr3:uid="{00000000-0010-0000-0200-00000C000000}" name="P06_catatan_sales"/>
    <tableColumn id="13" xr3:uid="{00000000-0010-0000-0200-00000D000000}" name="P07_tindak_lanjut"/>
    <tableColumn id="14" xr3:uid="{00000000-0010-0000-0200-00000E000000}" name="P08_rencana_tim"/>
    <tableColumn id="15" xr3:uid="{00000000-0010-0000-0200-00000F000000}" name="P09_review_laporan"/>
    <tableColumn id="16" xr3:uid="{00000000-0010-0000-0200-000010000000}" name="P10_joint_visit"/>
    <tableColumn id="17" xr3:uid="{00000000-0010-0000-0200-000011000000}" name="P11_outlet_kasus"/>
    <tableColumn id="18" xr3:uid="{00000000-0010-0000-0200-000012000000}" name="P12_piutang_retur"/>
    <tableColumn id="19" xr3:uid="{00000000-0010-0000-0200-000013000000}" name="P13_ubah_penugasan"/>
    <tableColumn id="20" xr3:uid="{00000000-0010-0000-0200-000014000000}" name="catatan_kendala_alasan"/>
    <tableColumn id="21" xr3:uid="{00000000-0010-0000-0200-000015000000}" name="tindak_lanjut"/>
    <tableColumn id="22" xr3:uid="{00000000-0010-0000-0200-000016000000}" name="id_pic_tindak_lanjut"/>
    <tableColumn id="23" xr3:uid="{00000000-0010-0000-0200-000017000000}" name="tenggat"/>
    <tableColumn id="24" xr3:uid="{00000000-0010-0000-0200-000018000000}" name="link_bukti"/>
    <tableColumn id="25" xr3:uid="{00000000-0010-0000-0200-000019000000}" name="status_laporan"/>
    <tableColumn id="26" xr3:uid="{00000000-0010-0000-0200-00001A000000}" name="waktu_kirim"/>
    <tableColumn id="27" xr3:uid="{00000000-0010-0000-0200-00001B000000}" name="hasil_review"/>
    <tableColumn id="28" xr3:uid="{00000000-0010-0000-0200-00001C000000}" name="id_pemeriksa"/>
    <tableColumn id="29" xr3:uid="{00000000-0010-0000-0200-00001D000000}" name="waktu_review"/>
    <tableColumn id="30" xr3:uid="{00000000-0010-0000-0200-00001E000000}" name="catatan_review"/>
    <tableColumn id="31" xr3:uid="{00000000-0010-0000-0200-00001F000000}" name="cek_berlaku"/>
    <tableColumn id="32" xr3:uid="{00000000-0010-0000-0200-000020000000}" name="cek_selesai"/>
    <tableColumn id="33" xr3:uid="{00000000-0010-0000-0200-000021000000}" name="cek_proses"/>
    <tableColumn id="34" xr3:uid="{00000000-0010-0000-0200-000022000000}" name="cek_belum"/>
    <tableColumn id="35" xr3:uid="{00000000-0010-0000-0200-000023000000}" name="cek_tidak_berlaku"/>
    <tableColumn id="36" xr3:uid="{00000000-0010-0000-0200-000024000000}" name="cek_kosong"/>
    <tableColumn id="37" xr3:uid="{00000000-0010-0000-0200-000025000000}" name="persen_selesai"/>
    <tableColumn id="38" xr3:uid="{00000000-0010-0000-0200-000026000000}" name="validasi_d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MChecklist" displayName="ASMChecklist" ref="A7:AL507" totalsRowShown="0">
  <autoFilter ref="A7:AL507" xr:uid="{00000000-0009-0000-0100-000004000000}"/>
  <tableColumns count="38">
    <tableColumn id="1" xr3:uid="{00000000-0010-0000-0300-000001000000}" name="tanggal"/>
    <tableColumn id="2" xr3:uid="{00000000-0010-0000-0300-000002000000}" name="id_pic"/>
    <tableColumn id="3" xr3:uid="{00000000-0010-0000-0300-000003000000}" name="nama_pic"/>
    <tableColumn id="4" xr3:uid="{00000000-0010-0000-0300-000004000000}" name="cabang"/>
    <tableColumn id="5" xr3:uid="{00000000-0010-0000-0300-000005000000}" name="area"/>
    <tableColumn id="6" xr3:uid="{00000000-0010-0000-0300-000006000000}" name="id_atasan"/>
    <tableColumn id="7" xr3:uid="{00000000-0010-0000-0300-000007000000}" name="A01_prioritas_area"/>
    <tableColumn id="8" xr3:uid="{00000000-0010-0000-0300-000008000000}" name="A02_kesiapan_spv"/>
    <tableColumn id="9" xr3:uid="{00000000-0010-0000-0300-000009000000}" name="A03_review_aktivitas"/>
    <tableColumn id="10" xr3:uid="{00000000-0010-0000-0300-00000A000000}" name="A04_koordinasi_stok"/>
    <tableColumn id="11" xr3:uid="{00000000-0010-0000-0300-00000B000000}" name="A05_program_area"/>
    <tableColumn id="12" xr3:uid="{00000000-0010-0000-0300-00000C000000}" name="A06_isu_lintas_fungsi"/>
    <tableColumn id="13" xr3:uid="{00000000-0010-0000-0300-00000D000000}" name="A07_risiko_pasar"/>
    <tableColumn id="14" xr3:uid="{00000000-0010-0000-0300-00000E000000}" name="A08_rencana_area"/>
    <tableColumn id="15" xr3:uid="{00000000-0010-0000-0300-00000F000000}" name="A09_review_laporan"/>
    <tableColumn id="16" xr3:uid="{00000000-0010-0000-0300-000010000000}" name="A10_kunjungan_area"/>
    <tableColumn id="17" xr3:uid="{00000000-0010-0000-0300-000011000000}" name="A11_mitra_utama"/>
    <tableColumn id="18" xr3:uid="{00000000-0010-0000-0300-000012000000}" name="A12_eskalasi"/>
    <tableColumn id="19" xr3:uid="{00000000-0010-0000-0300-000013000000}" name="A13_coaching_spv"/>
    <tableColumn id="20" xr3:uid="{00000000-0010-0000-0300-000014000000}" name="catatan_kendala_alasan"/>
    <tableColumn id="21" xr3:uid="{00000000-0010-0000-0300-000015000000}" name="tindak_lanjut"/>
    <tableColumn id="22" xr3:uid="{00000000-0010-0000-0300-000016000000}" name="id_pic_tindak_lanjut"/>
    <tableColumn id="23" xr3:uid="{00000000-0010-0000-0300-000017000000}" name="tenggat"/>
    <tableColumn id="24" xr3:uid="{00000000-0010-0000-0300-000018000000}" name="link_bukti"/>
    <tableColumn id="25" xr3:uid="{00000000-0010-0000-0300-000019000000}" name="status_laporan"/>
    <tableColumn id="26" xr3:uid="{00000000-0010-0000-0300-00001A000000}" name="waktu_kirim"/>
    <tableColumn id="27" xr3:uid="{00000000-0010-0000-0300-00001B000000}" name="hasil_review"/>
    <tableColumn id="28" xr3:uid="{00000000-0010-0000-0300-00001C000000}" name="id_pemeriksa"/>
    <tableColumn id="29" xr3:uid="{00000000-0010-0000-0300-00001D000000}" name="waktu_review"/>
    <tableColumn id="30" xr3:uid="{00000000-0010-0000-0300-00001E000000}" name="catatan_review"/>
    <tableColumn id="31" xr3:uid="{00000000-0010-0000-0300-00001F000000}" name="cek_berlaku"/>
    <tableColumn id="32" xr3:uid="{00000000-0010-0000-0300-000020000000}" name="cek_selesai"/>
    <tableColumn id="33" xr3:uid="{00000000-0010-0000-0300-000021000000}" name="cek_proses"/>
    <tableColumn id="34" xr3:uid="{00000000-0010-0000-0300-000022000000}" name="cek_belum"/>
    <tableColumn id="35" xr3:uid="{00000000-0010-0000-0300-000023000000}" name="cek_tidak_berlaku"/>
    <tableColumn id="36" xr3:uid="{00000000-0010-0000-0300-000024000000}" name="cek_kosong"/>
    <tableColumn id="37" xr3:uid="{00000000-0010-0000-0300-000025000000}" name="persen_selesai"/>
    <tableColumn id="38" xr3:uid="{00000000-0010-0000-0300-000026000000}" name="validasi_d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PICRoster" displayName="PICRoster" ref="A7:G73" totalsRowShown="0">
  <autoFilter ref="A7:G73" xr:uid="{00000000-0009-0000-0100-000001000000}"/>
  <tableColumns count="7">
    <tableColumn id="1" xr3:uid="{00000000-0010-0000-0400-000001000000}" name="id_pic"/>
    <tableColumn id="2" xr3:uid="{00000000-0010-0000-0400-000002000000}" name="nama_pic"/>
    <tableColumn id="3" xr3:uid="{00000000-0010-0000-0400-000003000000}" name="jabatan"/>
    <tableColumn id="4" xr3:uid="{00000000-0010-0000-0400-000004000000}" name="cabang"/>
    <tableColumn id="5" xr3:uid="{00000000-0010-0000-0400-000005000000}" name="area"/>
    <tableColumn id="6" xr3:uid="{00000000-0010-0000-0400-000006000000}" name="id_atasan"/>
    <tableColumn id="7" xr3:uid="{00000000-0010-0000-0400-000007000000}" name="status_akti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ctivityDictionary" displayName="ActivityDictionary" ref="A7:H47" totalsRowShown="0">
  <autoFilter ref="A7:H47" xr:uid="{00000000-0009-0000-0100-000006000000}"/>
  <tableColumns count="8">
    <tableColumn id="1" xr3:uid="{00000000-0010-0000-0500-000001000000}" name="Kode"/>
    <tableColumn id="2" xr3:uid="{00000000-0010-0000-0500-000002000000}" name="Jabatan"/>
    <tableColumn id="3" xr3:uid="{00000000-0010-0000-0500-000003000000}" name="Kolom Excel"/>
    <tableColumn id="4" xr3:uid="{00000000-0010-0000-0500-000004000000}" name="Kegiatan yang dilengkapi"/>
    <tableColumn id="5" xr3:uid="{00000000-0010-0000-0500-000005000000}" name="Ketentuan"/>
    <tableColumn id="6" xr3:uid="{00000000-0010-0000-0500-000006000000}" name="Pemicu / lingkup"/>
    <tableColumn id="7" xr3:uid="{00000000-0010-0000-0500-000007000000}" name="Bukti minimum"/>
    <tableColumn id="8" xr3:uid="{00000000-0010-0000-0500-000008000000}" name="Pemerik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94D"/>
  </sheetPr>
  <dimension ref="A1:O79"/>
  <sheetViews>
    <sheetView showGridLines="0" tabSelected="1" workbookViewId="0">
      <pane xSplit="2" topLeftCell="C1" activePane="topRight" state="frozen"/>
      <selection activeCell="D20" sqref="D20"/>
      <selection pane="topRight" activeCell="D20" sqref="D20"/>
    </sheetView>
  </sheetViews>
  <sheetFormatPr defaultRowHeight="14.25"/>
  <cols>
    <col min="1" max="1" width="16" customWidth="1"/>
    <col min="2" max="2" width="27" customWidth="1"/>
    <col min="3" max="3" width="13" customWidth="1"/>
    <col min="4" max="4" width="19" customWidth="1"/>
    <col min="5" max="5" width="23" customWidth="1"/>
    <col min="6" max="6" width="14" customWidth="1"/>
    <col min="7" max="7" width="18" customWidth="1"/>
    <col min="8" max="8" width="16" customWidth="1"/>
    <col min="9" max="12" width="12" customWidth="1"/>
    <col min="13" max="13" width="14" customWidth="1"/>
    <col min="14" max="14" width="23" customWidth="1"/>
    <col min="15" max="15" width="33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9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4" customHeight="1">
      <c r="A4" s="1" t="s">
        <v>1</v>
      </c>
      <c r="B4" s="8">
        <v>46299</v>
      </c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4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1"/>
      <c r="I7" s="1"/>
      <c r="J7" s="1"/>
      <c r="K7" s="1"/>
      <c r="L7" s="1"/>
      <c r="M7" s="1"/>
      <c r="N7" s="1"/>
      <c r="O7" s="1"/>
    </row>
    <row r="8" spans="1:15" ht="24" customHeight="1">
      <c r="A8" s="1" t="s">
        <v>11</v>
      </c>
      <c r="B8" s="1">
        <f>COUNTIFS($C$20:$C$79,$A8)</f>
        <v>26</v>
      </c>
      <c r="C8" s="1">
        <f>COUNTIFS($C$20:$C$79,$A8,$G$20:$G$79,"Dikirim")</f>
        <v>0</v>
      </c>
      <c r="D8" s="1">
        <f>COUNTIFS($C$20:$C$79,$A8,$G$20:$G$79,"Belum Lapor")</f>
        <v>26</v>
      </c>
      <c r="E8" s="1">
        <f>COUNTIFS($C$20:$C$79,$A8,$G$20:$G$79,"Draft")</f>
        <v>0</v>
      </c>
      <c r="F8" s="1">
        <f>COUNTIFS($C$20:$C$79,$A8,$N$20:$N$79,"Belum Diperiksa")</f>
        <v>0</v>
      </c>
      <c r="G8" s="1">
        <f>COUNTIFS($C$20:$C$79,$A8,$N$20:$N$79,"Perlu Perbaikan")</f>
        <v>0</v>
      </c>
      <c r="H8" s="1"/>
      <c r="I8" s="1"/>
      <c r="J8" s="1"/>
      <c r="K8" s="1"/>
      <c r="L8" s="1"/>
      <c r="M8" s="1"/>
      <c r="N8" s="1"/>
      <c r="O8" s="1"/>
    </row>
    <row r="9" spans="1:15" ht="24" customHeight="1">
      <c r="A9" s="1" t="s">
        <v>12</v>
      </c>
      <c r="B9" s="1">
        <f>COUNTIFS($C$20:$C$79,$A9)</f>
        <v>1</v>
      </c>
      <c r="C9" s="1">
        <f>COUNTIFS($C$20:$C$79,$A9,$G$20:$G$79,"Dikirim")</f>
        <v>0</v>
      </c>
      <c r="D9" s="1">
        <f>COUNTIFS($C$20:$C$79,$A9,$G$20:$G$79,"Belum Lapor")</f>
        <v>1</v>
      </c>
      <c r="E9" s="1">
        <f>COUNTIFS($C$20:$C$79,$A9,$G$20:$G$79,"Draft")</f>
        <v>0</v>
      </c>
      <c r="F9" s="1">
        <f>COUNTIFS($C$20:$C$79,$A9,$N$20:$N$79,"Belum Diperiksa")</f>
        <v>0</v>
      </c>
      <c r="G9" s="1">
        <f>COUNTIFS($C$20:$C$79,$A9,$N$20:$N$79,"Perlu Perbaikan")</f>
        <v>0</v>
      </c>
      <c r="H9" s="1"/>
      <c r="I9" s="1"/>
      <c r="J9" s="1"/>
      <c r="K9" s="1"/>
      <c r="L9" s="1"/>
      <c r="M9" s="1"/>
      <c r="N9" s="1"/>
      <c r="O9" s="1"/>
    </row>
    <row r="10" spans="1:15" ht="24" customHeight="1">
      <c r="A10" s="1" t="s">
        <v>13</v>
      </c>
      <c r="B10" s="1">
        <f>COUNTIFS($C$20:$C$79,$A10)</f>
        <v>1</v>
      </c>
      <c r="C10" s="1">
        <f>COUNTIFS($C$20:$C$79,$A10,$G$20:$G$79,"Dikirim")</f>
        <v>0</v>
      </c>
      <c r="D10" s="1">
        <f>COUNTIFS($C$20:$C$79,$A10,$G$20:$G$79,"Belum Lapor")</f>
        <v>1</v>
      </c>
      <c r="E10" s="1">
        <f>COUNTIFS($C$20:$C$79,$A10,$G$20:$G$79,"Draft")</f>
        <v>0</v>
      </c>
      <c r="F10" s="1">
        <f>COUNTIFS($C$20:$C$79,$A10,$N$20:$N$79,"Belum Diperiksa")</f>
        <v>0</v>
      </c>
      <c r="G10" s="1">
        <f>COUNTIFS($C$20:$C$79,$A10,$N$20:$N$79,"Perlu Perbaikan")</f>
        <v>0</v>
      </c>
      <c r="H10" s="1"/>
      <c r="I10" s="1"/>
      <c r="J10" s="1"/>
      <c r="K10" s="1"/>
      <c r="L10" s="1"/>
      <c r="M10" s="1"/>
      <c r="N10" s="1"/>
      <c r="O10" s="1"/>
    </row>
    <row r="11" spans="1:15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4" customHeight="1">
      <c r="A12" s="1" t="s">
        <v>14</v>
      </c>
      <c r="B12" s="16" t="str">
        <f>IF(COUNTA(Master_PIC!$A$8:$A$73)=0,"Isi Master_PIC terlebih dahulu",IF(COUNTIFS($G$20:$G$79,"Data Ganda")&gt;0,"Ada laporan ganda",IF(COUNTIFS($G$20:$G$79,"Belum Lapor")&gt;0,"Ada PIC belum melapor","Lihat detail laporan")))</f>
        <v>Ada PIC belum melapor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4" customHeight="1">
      <c r="A14" s="1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4" customHeight="1">
      <c r="A15" s="1" t="s">
        <v>16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4" customHeight="1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45" customHeight="1">
      <c r="A19" s="4" t="s">
        <v>18</v>
      </c>
      <c r="B19" s="4" t="s">
        <v>19</v>
      </c>
      <c r="C19" s="4" t="s">
        <v>4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25</v>
      </c>
      <c r="J19" s="4" t="s">
        <v>26</v>
      </c>
      <c r="K19" s="4" t="s">
        <v>27</v>
      </c>
      <c r="L19" s="4" t="s">
        <v>28</v>
      </c>
      <c r="M19" s="4" t="s">
        <v>29</v>
      </c>
      <c r="N19" s="4" t="s">
        <v>30</v>
      </c>
      <c r="O19" s="4" t="s">
        <v>31</v>
      </c>
    </row>
    <row r="20" spans="1:15" ht="24" customHeight="1">
      <c r="A20" s="1" t="str">
        <f>IF(AND(Master_PIC!A12&lt;&gt;"",Master_PIC!G12="Aktif",Master_PIC!C12&lt;&gt;"Manager"),Master_PIC!A12,"")</f>
        <v>Sales01</v>
      </c>
      <c r="B20" s="1" t="str">
        <f>IF($A20="","",IF(Master_PIC!B12="","",Master_PIC!B12))</f>
        <v>Mahfud/Apud SBFI</v>
      </c>
      <c r="C20" s="1" t="str">
        <f>IF($A20="","",IF(Master_PIC!C12="","",Master_PIC!C12))</f>
        <v>Sales</v>
      </c>
      <c r="D20" s="1" t="str">
        <f>IF($A20="","",IF(Master_PIC!D12="","",Master_PIC!D12))</f>
        <v>Cirebon 1 (Lokal)</v>
      </c>
      <c r="E20" s="1" t="str">
        <f>IF($A20="","",IF(Master_PIC!E12="","",Master_PIC!E12))</f>
        <v>Timur</v>
      </c>
      <c r="F20" s="12">
        <f>IF($A20="","",COUNTIFS(Sales_Harian!$A$8:$A$507,$B$4,Sales_Harian!$B$8:$B$507,$A20)+COUNTIFS(SPV_Harian!$A$8:$A$507,$B$4,SPV_Harian!$B$8:$B$507,$A20)+COUNTIFS(ASM_Harian!$A$8:$A$507,$B$4,ASM_Harian!$B$8:$B$507,$A20))</f>
        <v>0</v>
      </c>
      <c r="G20" s="12" t="str">
        <f>IF($A20="","",IF(F20=0,"Belum Lapor",IF(F20&gt;1,"Data Ganda",IF(COUNTIFS(Sales_Harian!$A$8:$A$507,$B$4,Sales_Harian!$B$8:$B$507,$A20,Sales_Harian!$Z$8:$Z$507,"Dikirim")+COUNTIFS(SPV_Harian!$A$8:$A$507,$B$4,SPV_Harian!$B$8:$B$507,$A20,SPV_Harian!$Y$8:$Y$507,"Dikirim")+COUNTIFS(ASM_Harian!$A$8:$A$507,$B$4,ASM_Harian!$B$8:$B$507,$A20,ASM_Harian!$Y$8:$Y$507,"Dikirim")=1,"Dikirim","Draft"))))</f>
        <v>Belum Lapor</v>
      </c>
      <c r="H20" s="12" t="str">
        <f>IF(OR($A20="",F20=0),"",SUMIFS(Sales_Harian!$AF$8:$AF$507,Sales_Harian!$A$8:$A$507,$B$4,Sales_Harian!$B$8:$B$507,$A20)+SUMIFS(SPV_Harian!$AE$8:$AE$507,SPV_Harian!$A$8:$A$507,$B$4,SPV_Harian!$B$8:$B$507,$A20)+SUMIFS(ASM_Harian!$AE$8:$AE$507,ASM_Harian!$A$8:$A$507,$B$4,ASM_Harian!$B$8:$B$507,$A20))</f>
        <v/>
      </c>
      <c r="I20" s="12" t="str">
        <f>IF(OR($A20="",F20=0),"",SUMIFS(Sales_Harian!$AG$8:$AG$507,Sales_Harian!$A$8:$A$507,$B$4,Sales_Harian!$B$8:$B$507,$A20)+SUMIFS(SPV_Harian!$AF$8:$AF$507,SPV_Harian!$A$8:$A$507,$B$4,SPV_Harian!$B$8:$B$507,$A20)+SUMIFS(ASM_Harian!$AF$8:$AF$507,ASM_Harian!$A$8:$A$507,$B$4,ASM_Harian!$B$8:$B$507,$A20))</f>
        <v/>
      </c>
      <c r="J20" s="12" t="str">
        <f>IF(OR($A20="",F20=0),"",SUMIFS(Sales_Harian!$AH$8:$AH$507,Sales_Harian!$A$8:$A$507,$B$4,Sales_Harian!$B$8:$B$507,$A20)+SUMIFS(SPV_Harian!$AG$8:$AG$507,SPV_Harian!$A$8:$A$507,$B$4,SPV_Harian!$B$8:$B$507,$A20)+SUMIFS(ASM_Harian!$AG$8:$AG$507,ASM_Harian!$A$8:$A$507,$B$4,ASM_Harian!$B$8:$B$507,$A20))</f>
        <v/>
      </c>
      <c r="K20" s="12" t="str">
        <f>IF(OR($A20="",F20=0),"",SUMIFS(Sales_Harian!$AI$8:$AI$507,Sales_Harian!$A$8:$A$507,$B$4,Sales_Harian!$B$8:$B$507,$A20)+SUMIFS(SPV_Harian!$AH$8:$AH$507,SPV_Harian!$A$8:$A$507,$B$4,SPV_Harian!$B$8:$B$507,$A20)+SUMIFS(ASM_Harian!$AH$8:$AH$507,ASM_Harian!$A$8:$A$507,$B$4,ASM_Harian!$B$8:$B$507,$A20))</f>
        <v/>
      </c>
      <c r="L20" s="12" t="str">
        <f>IF(OR($A20="",F20=0),"",SUMIFS(Sales_Harian!$AK$8:$AK$507,Sales_Harian!$A$8:$A$507,$B$4,Sales_Harian!$B$8:$B$507,$A20)+SUMIFS(SPV_Harian!$AJ$8:$AJ$507,SPV_Harian!$A$8:$A$507,$B$4,SPV_Harian!$B$8:$B$507,$A20)+SUMIFS(ASM_Harian!$AJ$8:$AJ$507,ASM_Harian!$A$8:$A$507,$B$4,ASM_Harian!$B$8:$B$507,$A20))</f>
        <v/>
      </c>
      <c r="M20" s="13" t="str">
        <f t="shared" ref="M20:M51" si="0">IF($A20="","",IF(OR(F20&lt;&gt;1,H20=0),"n.a.",I20/H20))</f>
        <v>n.a.</v>
      </c>
      <c r="N20" s="1" t="str">
        <f>IF($A20="","",IF(G20&lt;&gt;"Dikirim","",IF(COUNTIFS(Sales_Harian!$A$8:$A$507,$B$4,Sales_Harian!$B$8:$B$507,$A20,Sales_Harian!$AB$8:$AB$507,"Disetujui")+COUNTIFS(SPV_Harian!$A$8:$A$507,$B$4,SPV_Harian!$B$8:$B$507,$A20,SPV_Harian!$AA$8:$AA$507,"Disetujui")+COUNTIFS(ASM_Harian!$A$8:$A$507,$B$4,ASM_Harian!$B$8:$B$507,$A20,ASM_Harian!$AA$8:$AA$507,"Disetujui")=1,IF(COUNTIFS(Sales_Harian!$A$8:$A$507,$B$4,Sales_Harian!$B$8:$B$507,$A20,Sales_Harian!$AM$8:$AM$507,"&lt;&gt;OK")+COUNTIFS(SPV_Harian!$A$8:$A$507,$B$4,SPV_Harian!$B$8:$B$507,$A20,SPV_Harian!$AL$8:$AL$507,"&lt;&gt;OK")+COUNTIFS(ASM_Harian!$A$8:$A$507,$B$4,ASM_Harian!$B$8:$B$507,$A20,ASM_Harian!$AL$8:$AL$507,"&lt;&gt;OK")&gt;0,"Review belum valid","Disetujui"),IF(COUNTIFS(Sales_Harian!$A$8:$A$507,$B$4,Sales_Harian!$B$8:$B$507,$A20,Sales_Harian!$AB$8:$AB$507,"Perlu Perbaikan")+COUNTIFS(SPV_Harian!$A$8:$A$507,$B$4,SPV_Harian!$B$8:$B$507,$A20,SPV_Harian!$AA$8:$AA$507,"Perlu Perbaikan")+COUNTIFS(ASM_Harian!$A$8:$A$507,$B$4,ASM_Harian!$B$8:$B$507,$A20,ASM_Harian!$AA$8:$AA$507,"Perlu Perbaikan")=1,"Perlu Perbaikan","Belum Diperiksa"))))</f>
        <v/>
      </c>
      <c r="O20" s="1" t="str">
        <f>IF($A20="","",IF(F20=0,"Belum ada laporan",IF(F20&gt;1,"Hapus/benahi laporan ganda",IF(COUNTIFS(Sales_Harian!$A$8:$A$507,$B$4,Sales_Harian!$B$8:$B$507,$A20,Sales_Harian!$AM$8:$AM$507,"&lt;&gt;OK")+COUNTIFS(SPV_Harian!$A$8:$A$507,$B$4,SPV_Harian!$B$8:$B$507,$A20,SPV_Harian!$AL$8:$AL$507,"&lt;&gt;OK")+COUNTIFS(ASM_Harian!$A$8:$A$507,$B$4,ASM_Harian!$B$8:$B$507,$A20,ASM_Harian!$AL$8:$AL$507,"&lt;&gt;OK")&gt;0,"Periksa validasi_data",IF(SUM(J20:K20)&gt;0,"Ada kegiatan terbuka",IF(N20="Perlu Perbaikan","Tindak lanjuti review",IF(G20="Draft","Kirim laporan",IF(N20="Belum Diperiksa","Menunggu pemeriksaan",""))))))))</f>
        <v>Belum ada laporan</v>
      </c>
    </row>
    <row r="21" spans="1:15" ht="24" customHeight="1">
      <c r="A21" s="1" t="str">
        <f>IF(AND(Master_PIC!A10&lt;&gt;"",Master_PIC!G10="Aktif",Master_PIC!C10&lt;&gt;"Manager"),Master_PIC!A10,"")</f>
        <v>SPV01</v>
      </c>
      <c r="B21" s="1" t="str">
        <f>IF($A21="","",IF(Master_PIC!B10="","",Master_PIC!B10))</f>
        <v>Moch Nurrizki Arief Wihadi</v>
      </c>
      <c r="C21" s="1" t="str">
        <f>IF($A21="","",IF(Master_PIC!C10="","",Master_PIC!C10))</f>
        <v>SPV</v>
      </c>
      <c r="D21" s="1" t="str">
        <f>IF($A21="","",IF(Master_PIC!D10="","",Master_PIC!D10))</f>
        <v>Cirebon 1 (Lokal)</v>
      </c>
      <c r="E21" s="1" t="str">
        <f>IF($A21="","",IF(Master_PIC!E10="","",Master_PIC!E10))</f>
        <v>Timur</v>
      </c>
      <c r="F21" s="12">
        <f>IF($A21="","",COUNTIFS(Sales_Harian!$A$8:$A$507,$B$4,Sales_Harian!$B$8:$B$507,$A21)+COUNTIFS(SPV_Harian!$A$8:$A$507,$B$4,SPV_Harian!$B$8:$B$507,$A21)+COUNTIFS(ASM_Harian!$A$8:$A$507,$B$4,ASM_Harian!$B$8:$B$507,$A21))</f>
        <v>0</v>
      </c>
      <c r="G21" s="12" t="str">
        <f>IF($A21="","",IF(F21=0,"Belum Lapor",IF(F21&gt;1,"Data Ganda",IF(COUNTIFS(Sales_Harian!$A$8:$A$507,$B$4,Sales_Harian!$B$8:$B$507,$A21,Sales_Harian!$Z$8:$Z$507,"Dikirim")+COUNTIFS(SPV_Harian!$A$8:$A$507,$B$4,SPV_Harian!$B$8:$B$507,$A21,SPV_Harian!$Y$8:$Y$507,"Dikirim")+COUNTIFS(ASM_Harian!$A$8:$A$507,$B$4,ASM_Harian!$B$8:$B$507,$A21,ASM_Harian!$Y$8:$Y$507,"Dikirim")=1,"Dikirim","Draft"))))</f>
        <v>Belum Lapor</v>
      </c>
      <c r="H21" s="12" t="str">
        <f>IF(OR($A21="",F21=0),"",SUMIFS(Sales_Harian!$AF$8:$AF$507,Sales_Harian!$A$8:$A$507,$B$4,Sales_Harian!$B$8:$B$507,$A21)+SUMIFS(SPV_Harian!$AE$8:$AE$507,SPV_Harian!$A$8:$A$507,$B$4,SPV_Harian!$B$8:$B$507,$A21)+SUMIFS(ASM_Harian!$AE$8:$AE$507,ASM_Harian!$A$8:$A$507,$B$4,ASM_Harian!$B$8:$B$507,$A21))</f>
        <v/>
      </c>
      <c r="I21" s="12" t="str">
        <f>IF(OR($A21="",F21=0),"",SUMIFS(Sales_Harian!$AG$8:$AG$507,Sales_Harian!$A$8:$A$507,$B$4,Sales_Harian!$B$8:$B$507,$A21)+SUMIFS(SPV_Harian!$AF$8:$AF$507,SPV_Harian!$A$8:$A$507,$B$4,SPV_Harian!$B$8:$B$507,$A21)+SUMIFS(ASM_Harian!$AF$8:$AF$507,ASM_Harian!$A$8:$A$507,$B$4,ASM_Harian!$B$8:$B$507,$A21))</f>
        <v/>
      </c>
      <c r="J21" s="12" t="str">
        <f>IF(OR($A21="",F21=0),"",SUMIFS(Sales_Harian!$AH$8:$AH$507,Sales_Harian!$A$8:$A$507,$B$4,Sales_Harian!$B$8:$B$507,$A21)+SUMIFS(SPV_Harian!$AG$8:$AG$507,SPV_Harian!$A$8:$A$507,$B$4,SPV_Harian!$B$8:$B$507,$A21)+SUMIFS(ASM_Harian!$AG$8:$AG$507,ASM_Harian!$A$8:$A$507,$B$4,ASM_Harian!$B$8:$B$507,$A21))</f>
        <v/>
      </c>
      <c r="K21" s="12" t="str">
        <f>IF(OR($A21="",F21=0),"",SUMIFS(Sales_Harian!$AI$8:$AI$507,Sales_Harian!$A$8:$A$507,$B$4,Sales_Harian!$B$8:$B$507,$A21)+SUMIFS(SPV_Harian!$AH$8:$AH$507,SPV_Harian!$A$8:$A$507,$B$4,SPV_Harian!$B$8:$B$507,$A21)+SUMIFS(ASM_Harian!$AH$8:$AH$507,ASM_Harian!$A$8:$A$507,$B$4,ASM_Harian!$B$8:$B$507,$A21))</f>
        <v/>
      </c>
      <c r="L21" s="12" t="str">
        <f>IF(OR($A21="",F21=0),"",SUMIFS(Sales_Harian!$AK$8:$AK$507,Sales_Harian!$A$8:$A$507,$B$4,Sales_Harian!$B$8:$B$507,$A21)+SUMIFS(SPV_Harian!$AJ$8:$AJ$507,SPV_Harian!$A$8:$A$507,$B$4,SPV_Harian!$B$8:$B$507,$A21)+SUMIFS(ASM_Harian!$AJ$8:$AJ$507,ASM_Harian!$A$8:$A$507,$B$4,ASM_Harian!$B$8:$B$507,$A21))</f>
        <v/>
      </c>
      <c r="M21" s="13" t="str">
        <f t="shared" si="0"/>
        <v>n.a.</v>
      </c>
      <c r="N21" s="1" t="str">
        <f>IF($A21="","",IF(G21&lt;&gt;"Dikirim","",IF(COUNTIFS(Sales_Harian!$A$8:$A$507,$B$4,Sales_Harian!$B$8:$B$507,$A21,Sales_Harian!$AB$8:$AB$507,"Disetujui")+COUNTIFS(SPV_Harian!$A$8:$A$507,$B$4,SPV_Harian!$B$8:$B$507,$A21,SPV_Harian!$AA$8:$AA$507,"Disetujui")+COUNTIFS(ASM_Harian!$A$8:$A$507,$B$4,ASM_Harian!$B$8:$B$507,$A21,ASM_Harian!$AA$8:$AA$507,"Disetujui")=1,IF(COUNTIFS(Sales_Harian!$A$8:$A$507,$B$4,Sales_Harian!$B$8:$B$507,$A21,Sales_Harian!$AM$8:$AM$507,"&lt;&gt;OK")+COUNTIFS(SPV_Harian!$A$8:$A$507,$B$4,SPV_Harian!$B$8:$B$507,$A21,SPV_Harian!$AL$8:$AL$507,"&lt;&gt;OK")+COUNTIFS(ASM_Harian!$A$8:$A$507,$B$4,ASM_Harian!$B$8:$B$507,$A21,ASM_Harian!$AL$8:$AL$507,"&lt;&gt;OK")&gt;0,"Review belum valid","Disetujui"),IF(COUNTIFS(Sales_Harian!$A$8:$A$507,$B$4,Sales_Harian!$B$8:$B$507,$A21,Sales_Harian!$AB$8:$AB$507,"Perlu Perbaikan")+COUNTIFS(SPV_Harian!$A$8:$A$507,$B$4,SPV_Harian!$B$8:$B$507,$A21,SPV_Harian!$AA$8:$AA$507,"Perlu Perbaikan")+COUNTIFS(ASM_Harian!$A$8:$A$507,$B$4,ASM_Harian!$B$8:$B$507,$A21,ASM_Harian!$AA$8:$AA$507,"Perlu Perbaikan")=1,"Perlu Perbaikan","Belum Diperiksa"))))</f>
        <v/>
      </c>
      <c r="O21" s="1" t="str">
        <f>IF($A21="","",IF(F21=0,"Belum ada laporan",IF(F21&gt;1,"Hapus/benahi laporan ganda",IF(COUNTIFS(Sales_Harian!$A$8:$A$507,$B$4,Sales_Harian!$B$8:$B$507,$A21,Sales_Harian!$AM$8:$AM$507,"&lt;&gt;OK")+COUNTIFS(SPV_Harian!$A$8:$A$507,$B$4,SPV_Harian!$B$8:$B$507,$A21,SPV_Harian!$AL$8:$AL$507,"&lt;&gt;OK")+COUNTIFS(ASM_Harian!$A$8:$A$507,$B$4,ASM_Harian!$B$8:$B$507,$A21,ASM_Harian!$AL$8:$AL$507,"&lt;&gt;OK")&gt;0,"Periksa validasi_data",IF(SUM(J21:K21)&gt;0,"Ada kegiatan terbuka",IF(N21="Perlu Perbaikan","Tindak lanjuti review",IF(G21="Draft","Kirim laporan",IF(N21="Belum Diperiksa","Menunggu pemeriksaan",""))))))))</f>
        <v>Belum ada laporan</v>
      </c>
    </row>
    <row r="22" spans="1:15" ht="24" customHeight="1">
      <c r="A22" s="1" t="str">
        <f>IF(AND(Master_PIC!A9&lt;&gt;"",Master_PIC!G9="Aktif",Master_PIC!C9&lt;&gt;"Manager"),Master_PIC!A9,"")</f>
        <v>ASM01</v>
      </c>
      <c r="B22" s="1" t="str">
        <f>IF($A22="","",IF(Master_PIC!B9="","",Master_PIC!B9))</f>
        <v>Teriyadi</v>
      </c>
      <c r="C22" s="1" t="str">
        <f>IF($A22="","",IF(Master_PIC!C9="","",Master_PIC!C9))</f>
        <v>ASM</v>
      </c>
      <c r="D22" s="1" t="str">
        <f>IF($A22="","",IF(Master_PIC!D9="","",Master_PIC!D9))</f>
        <v>Cirebon 1 (Lokal)</v>
      </c>
      <c r="E22" s="1" t="str">
        <f>IF($A22="","",IF(Master_PIC!E9="","",Master_PIC!E9))</f>
        <v>Timur</v>
      </c>
      <c r="F22" s="12">
        <f>IF($A22="","",COUNTIFS(Sales_Harian!$A$8:$A$507,$B$4,Sales_Harian!$B$8:$B$507,$A22)+COUNTIFS(SPV_Harian!$A$8:$A$507,$B$4,SPV_Harian!$B$8:$B$507,$A22)+COUNTIFS(ASM_Harian!$A$8:$A$507,$B$4,ASM_Harian!$B$8:$B$507,$A22))</f>
        <v>0</v>
      </c>
      <c r="G22" s="12" t="str">
        <f>IF($A22="","",IF(F22=0,"Belum Lapor",IF(F22&gt;1,"Data Ganda",IF(COUNTIFS(Sales_Harian!$A$8:$A$507,$B$4,Sales_Harian!$B$8:$B$507,$A22,Sales_Harian!$Z$8:$Z$507,"Dikirim")+COUNTIFS(SPV_Harian!$A$8:$A$507,$B$4,SPV_Harian!$B$8:$B$507,$A22,SPV_Harian!$Y$8:$Y$507,"Dikirim")+COUNTIFS(ASM_Harian!$A$8:$A$507,$B$4,ASM_Harian!$B$8:$B$507,$A22,ASM_Harian!$Y$8:$Y$507,"Dikirim")=1,"Dikirim","Draft"))))</f>
        <v>Belum Lapor</v>
      </c>
      <c r="H22" s="12" t="str">
        <f>IF(OR($A22="",F22=0),"",SUMIFS(Sales_Harian!$AF$8:$AF$507,Sales_Harian!$A$8:$A$507,$B$4,Sales_Harian!$B$8:$B$507,$A22)+SUMIFS(SPV_Harian!$AE$8:$AE$507,SPV_Harian!$A$8:$A$507,$B$4,SPV_Harian!$B$8:$B$507,$A22)+SUMIFS(ASM_Harian!$AE$8:$AE$507,ASM_Harian!$A$8:$A$507,$B$4,ASM_Harian!$B$8:$B$507,$A22))</f>
        <v/>
      </c>
      <c r="I22" s="12" t="str">
        <f>IF(OR($A22="",F22=0),"",SUMIFS(Sales_Harian!$AG$8:$AG$507,Sales_Harian!$A$8:$A$507,$B$4,Sales_Harian!$B$8:$B$507,$A22)+SUMIFS(SPV_Harian!$AF$8:$AF$507,SPV_Harian!$A$8:$A$507,$B$4,SPV_Harian!$B$8:$B$507,$A22)+SUMIFS(ASM_Harian!$AF$8:$AF$507,ASM_Harian!$A$8:$A$507,$B$4,ASM_Harian!$B$8:$B$507,$A22))</f>
        <v/>
      </c>
      <c r="J22" s="12" t="str">
        <f>IF(OR($A22="",F22=0),"",SUMIFS(Sales_Harian!$AH$8:$AH$507,Sales_Harian!$A$8:$A$507,$B$4,Sales_Harian!$B$8:$B$507,$A22)+SUMIFS(SPV_Harian!$AG$8:$AG$507,SPV_Harian!$A$8:$A$507,$B$4,SPV_Harian!$B$8:$B$507,$A22)+SUMIFS(ASM_Harian!$AG$8:$AG$507,ASM_Harian!$A$8:$A$507,$B$4,ASM_Harian!$B$8:$B$507,$A22))</f>
        <v/>
      </c>
      <c r="K22" s="12" t="str">
        <f>IF(OR($A22="",F22=0),"",SUMIFS(Sales_Harian!$AI$8:$AI$507,Sales_Harian!$A$8:$A$507,$B$4,Sales_Harian!$B$8:$B$507,$A22)+SUMIFS(SPV_Harian!$AH$8:$AH$507,SPV_Harian!$A$8:$A$507,$B$4,SPV_Harian!$B$8:$B$507,$A22)+SUMIFS(ASM_Harian!$AH$8:$AH$507,ASM_Harian!$A$8:$A$507,$B$4,ASM_Harian!$B$8:$B$507,$A22))</f>
        <v/>
      </c>
      <c r="L22" s="12" t="str">
        <f>IF(OR($A22="",F22=0),"",SUMIFS(Sales_Harian!$AK$8:$AK$507,Sales_Harian!$A$8:$A$507,$B$4,Sales_Harian!$B$8:$B$507,$A22)+SUMIFS(SPV_Harian!$AJ$8:$AJ$507,SPV_Harian!$A$8:$A$507,$B$4,SPV_Harian!$B$8:$B$507,$A22)+SUMIFS(ASM_Harian!$AJ$8:$AJ$507,ASM_Harian!$A$8:$A$507,$B$4,ASM_Harian!$B$8:$B$507,$A22))</f>
        <v/>
      </c>
      <c r="M22" s="13" t="str">
        <f t="shared" si="0"/>
        <v>n.a.</v>
      </c>
      <c r="N22" s="1" t="str">
        <f>IF($A22="","",IF(G22&lt;&gt;"Dikirim","",IF(COUNTIFS(Sales_Harian!$A$8:$A$507,$B$4,Sales_Harian!$B$8:$B$507,$A22,Sales_Harian!$AB$8:$AB$507,"Disetujui")+COUNTIFS(SPV_Harian!$A$8:$A$507,$B$4,SPV_Harian!$B$8:$B$507,$A22,SPV_Harian!$AA$8:$AA$507,"Disetujui")+COUNTIFS(ASM_Harian!$A$8:$A$507,$B$4,ASM_Harian!$B$8:$B$507,$A22,ASM_Harian!$AA$8:$AA$507,"Disetujui")=1,IF(COUNTIFS(Sales_Harian!$A$8:$A$507,$B$4,Sales_Harian!$B$8:$B$507,$A22,Sales_Harian!$AM$8:$AM$507,"&lt;&gt;OK")+COUNTIFS(SPV_Harian!$A$8:$A$507,$B$4,SPV_Harian!$B$8:$B$507,$A22,SPV_Harian!$AL$8:$AL$507,"&lt;&gt;OK")+COUNTIFS(ASM_Harian!$A$8:$A$507,$B$4,ASM_Harian!$B$8:$B$507,$A22,ASM_Harian!$AL$8:$AL$507,"&lt;&gt;OK")&gt;0,"Review belum valid","Disetujui"),IF(COUNTIFS(Sales_Harian!$A$8:$A$507,$B$4,Sales_Harian!$B$8:$B$507,$A22,Sales_Harian!$AB$8:$AB$507,"Perlu Perbaikan")+COUNTIFS(SPV_Harian!$A$8:$A$507,$B$4,SPV_Harian!$B$8:$B$507,$A22,SPV_Harian!$AA$8:$AA$507,"Perlu Perbaikan")+COUNTIFS(ASM_Harian!$A$8:$A$507,$B$4,ASM_Harian!$B$8:$B$507,$A22,ASM_Harian!$AA$8:$AA$507,"Perlu Perbaikan")=1,"Perlu Perbaikan","Belum Diperiksa"))))</f>
        <v/>
      </c>
      <c r="O22" s="1" t="str">
        <f>IF($A22="","",IF(F22=0,"Belum ada laporan",IF(F22&gt;1,"Hapus/benahi laporan ganda",IF(COUNTIFS(Sales_Harian!$A$8:$A$507,$B$4,Sales_Harian!$B$8:$B$507,$A22,Sales_Harian!$AM$8:$AM$507,"&lt;&gt;OK")+COUNTIFS(SPV_Harian!$A$8:$A$507,$B$4,SPV_Harian!$B$8:$B$507,$A22,SPV_Harian!$AL$8:$AL$507,"&lt;&gt;OK")+COUNTIFS(ASM_Harian!$A$8:$A$507,$B$4,ASM_Harian!$B$8:$B$507,$A22,ASM_Harian!$AL$8:$AL$507,"&lt;&gt;OK")&gt;0,"Periksa validasi_data",IF(SUM(J22:K22)&gt;0,"Ada kegiatan terbuka",IF(N22="Perlu Perbaikan","Tindak lanjuti review",IF(G22="Draft","Kirim laporan",IF(N22="Belum Diperiksa","Menunggu pemeriksaan",""))))))))</f>
        <v>Belum ada laporan</v>
      </c>
    </row>
    <row r="23" spans="1:15" ht="24" customHeight="1">
      <c r="A23" s="1" t="str">
        <f>IF(AND(Master_PIC!A8&lt;&gt;"",Master_PIC!G8="Aktif",Master_PIC!C8&lt;&gt;"Manager"),Master_PIC!A8,"")</f>
        <v/>
      </c>
      <c r="B23" s="1" t="str">
        <f>IF($A23="","",IF(Master_PIC!B8="","",Master_PIC!B8))</f>
        <v/>
      </c>
      <c r="C23" s="1" t="str">
        <f>IF($A23="","",IF(Master_PIC!C8="","",Master_PIC!C8))</f>
        <v/>
      </c>
      <c r="D23" s="1" t="str">
        <f>IF($A23="","",IF(Master_PIC!D8="","",Master_PIC!D8))</f>
        <v/>
      </c>
      <c r="E23" s="1" t="str">
        <f>IF($A23="","",IF(Master_PIC!E8="","",Master_PIC!E8))</f>
        <v/>
      </c>
      <c r="F23" s="12" t="str">
        <f>IF($A23="","",COUNTIFS(Sales_Harian!$A$8:$A$507,$B$4,Sales_Harian!$B$8:$B$507,$A23)+COUNTIFS(SPV_Harian!$A$8:$A$507,$B$4,SPV_Harian!$B$8:$B$507,$A23)+COUNTIFS(ASM_Harian!$A$8:$A$507,$B$4,ASM_Harian!$B$8:$B$507,$A23))</f>
        <v/>
      </c>
      <c r="G23" s="12" t="str">
        <f>IF($A23="","",IF(F23=0,"Belum Lapor",IF(F23&gt;1,"Data Ganda",IF(COUNTIFS(Sales_Harian!$A$8:$A$507,$B$4,Sales_Harian!$B$8:$B$507,$A23,Sales_Harian!$Z$8:$Z$507,"Dikirim")+COUNTIFS(SPV_Harian!$A$8:$A$507,$B$4,SPV_Harian!$B$8:$B$507,$A23,SPV_Harian!$Y$8:$Y$507,"Dikirim")+COUNTIFS(ASM_Harian!$A$8:$A$507,$B$4,ASM_Harian!$B$8:$B$507,$A23,ASM_Harian!$Y$8:$Y$507,"Dikirim")=1,"Dikirim","Draft"))))</f>
        <v/>
      </c>
      <c r="H23" s="12" t="str">
        <f>IF(OR($A23="",F23=0),"",SUMIFS(Sales_Harian!$AF$8:$AF$507,Sales_Harian!$A$8:$A$507,$B$4,Sales_Harian!$B$8:$B$507,$A23)+SUMIFS(SPV_Harian!$AE$8:$AE$507,SPV_Harian!$A$8:$A$507,$B$4,SPV_Harian!$B$8:$B$507,$A23)+SUMIFS(ASM_Harian!$AE$8:$AE$507,ASM_Harian!$A$8:$A$507,$B$4,ASM_Harian!$B$8:$B$507,$A23))</f>
        <v/>
      </c>
      <c r="I23" s="12" t="str">
        <f>IF(OR($A23="",F23=0),"",SUMIFS(Sales_Harian!$AG$8:$AG$507,Sales_Harian!$A$8:$A$507,$B$4,Sales_Harian!$B$8:$B$507,$A23)+SUMIFS(SPV_Harian!$AF$8:$AF$507,SPV_Harian!$A$8:$A$507,$B$4,SPV_Harian!$B$8:$B$507,$A23)+SUMIFS(ASM_Harian!$AF$8:$AF$507,ASM_Harian!$A$8:$A$507,$B$4,ASM_Harian!$B$8:$B$507,$A23))</f>
        <v/>
      </c>
      <c r="J23" s="12" t="str">
        <f>IF(OR($A23="",F23=0),"",SUMIFS(Sales_Harian!$AH$8:$AH$507,Sales_Harian!$A$8:$A$507,$B$4,Sales_Harian!$B$8:$B$507,$A23)+SUMIFS(SPV_Harian!$AG$8:$AG$507,SPV_Harian!$A$8:$A$507,$B$4,SPV_Harian!$B$8:$B$507,$A23)+SUMIFS(ASM_Harian!$AG$8:$AG$507,ASM_Harian!$A$8:$A$507,$B$4,ASM_Harian!$B$8:$B$507,$A23))</f>
        <v/>
      </c>
      <c r="K23" s="12" t="str">
        <f>IF(OR($A23="",F23=0),"",SUMIFS(Sales_Harian!$AI$8:$AI$507,Sales_Harian!$A$8:$A$507,$B$4,Sales_Harian!$B$8:$B$507,$A23)+SUMIFS(SPV_Harian!$AH$8:$AH$507,SPV_Harian!$A$8:$A$507,$B$4,SPV_Harian!$B$8:$B$507,$A23)+SUMIFS(ASM_Harian!$AH$8:$AH$507,ASM_Harian!$A$8:$A$507,$B$4,ASM_Harian!$B$8:$B$507,$A23))</f>
        <v/>
      </c>
      <c r="L23" s="12" t="str">
        <f>IF(OR($A23="",F23=0),"",SUMIFS(Sales_Harian!$AK$8:$AK$507,Sales_Harian!$A$8:$A$507,$B$4,Sales_Harian!$B$8:$B$507,$A23)+SUMIFS(SPV_Harian!$AJ$8:$AJ$507,SPV_Harian!$A$8:$A$507,$B$4,SPV_Harian!$B$8:$B$507,$A23)+SUMIFS(ASM_Harian!$AJ$8:$AJ$507,ASM_Harian!$A$8:$A$507,$B$4,ASM_Harian!$B$8:$B$507,$A23))</f>
        <v/>
      </c>
      <c r="M23" s="13" t="str">
        <f t="shared" si="0"/>
        <v/>
      </c>
      <c r="N23" s="1" t="str">
        <f>IF($A23="","",IF(G23&lt;&gt;"Dikirim","",IF(COUNTIFS(Sales_Harian!$A$8:$A$507,$B$4,Sales_Harian!$B$8:$B$507,$A23,Sales_Harian!$AB$8:$AB$507,"Disetujui")+COUNTIFS(SPV_Harian!$A$8:$A$507,$B$4,SPV_Harian!$B$8:$B$507,$A23,SPV_Harian!$AA$8:$AA$507,"Disetujui")+COUNTIFS(ASM_Harian!$A$8:$A$507,$B$4,ASM_Harian!$B$8:$B$507,$A23,ASM_Harian!$AA$8:$AA$507,"Disetujui")=1,IF(COUNTIFS(Sales_Harian!$A$8:$A$507,$B$4,Sales_Harian!$B$8:$B$507,$A23,Sales_Harian!$AM$8:$AM$507,"&lt;&gt;OK")+COUNTIFS(SPV_Harian!$A$8:$A$507,$B$4,SPV_Harian!$B$8:$B$507,$A23,SPV_Harian!$AL$8:$AL$507,"&lt;&gt;OK")+COUNTIFS(ASM_Harian!$A$8:$A$507,$B$4,ASM_Harian!$B$8:$B$507,$A23,ASM_Harian!$AL$8:$AL$507,"&lt;&gt;OK")&gt;0,"Review belum valid","Disetujui"),IF(COUNTIFS(Sales_Harian!$A$8:$A$507,$B$4,Sales_Harian!$B$8:$B$507,$A23,Sales_Harian!$AB$8:$AB$507,"Perlu Perbaikan")+COUNTIFS(SPV_Harian!$A$8:$A$507,$B$4,SPV_Harian!$B$8:$B$507,$A23,SPV_Harian!$AA$8:$AA$507,"Perlu Perbaikan")+COUNTIFS(ASM_Harian!$A$8:$A$507,$B$4,ASM_Harian!$B$8:$B$507,$A23,ASM_Harian!$AA$8:$AA$507,"Perlu Perbaikan")=1,"Perlu Perbaikan","Belum Diperiksa"))))</f>
        <v/>
      </c>
      <c r="O23" s="1" t="str">
        <f>IF($A23="","",IF(F23=0,"Belum ada laporan",IF(F23&gt;1,"Hapus/benahi laporan ganda",IF(COUNTIFS(Sales_Harian!$A$8:$A$507,$B$4,Sales_Harian!$B$8:$B$507,$A23,Sales_Harian!$AM$8:$AM$507,"&lt;&gt;OK")+COUNTIFS(SPV_Harian!$A$8:$A$507,$B$4,SPV_Harian!$B$8:$B$507,$A23,SPV_Harian!$AL$8:$AL$507,"&lt;&gt;OK")+COUNTIFS(ASM_Harian!$A$8:$A$507,$B$4,ASM_Harian!$B$8:$B$507,$A23,ASM_Harian!$AL$8:$AL$507,"&lt;&gt;OK")&gt;0,"Periksa validasi_data",IF(SUM(J23:K23)&gt;0,"Ada kegiatan terbuka",IF(N23="Perlu Perbaikan","Tindak lanjuti review",IF(G23="Draft","Kirim laporan",IF(N23="Belum Diperiksa","Menunggu pemeriksaan",""))))))))</f>
        <v/>
      </c>
    </row>
    <row r="24" spans="1:15" ht="24" customHeight="1">
      <c r="A24" s="1" t="str">
        <f>IF(AND(Master_PIC!A13&lt;&gt;"",Master_PIC!G13="Aktif",Master_PIC!C13&lt;&gt;"Manager"),Master_PIC!A13,"")</f>
        <v>Sales02</v>
      </c>
      <c r="B24" s="1" t="str">
        <f>IF($A24="","",IF(Master_PIC!B13="","",Master_PIC!B13))</f>
        <v>Syarfi Hermana</v>
      </c>
      <c r="C24" s="1" t="str">
        <f>IF($A24="","",IF(Master_PIC!C13="","",Master_PIC!C13))</f>
        <v>Sales</v>
      </c>
      <c r="D24" s="1" t="str">
        <f>IF($A24="","",IF(Master_PIC!D13="","",Master_PIC!D13))</f>
        <v>Cirebon 1 (Lokal)</v>
      </c>
      <c r="E24" s="1" t="str">
        <f>IF($A24="","",IF(Master_PIC!E13="","",Master_PIC!E13))</f>
        <v>Timur</v>
      </c>
      <c r="F24" s="12">
        <f>IF($A24="","",COUNTIFS(Sales_Harian!$A$8:$A$507,$B$4,Sales_Harian!$B$8:$B$507,$A24)+COUNTIFS(SPV_Harian!$A$8:$A$507,$B$4,SPV_Harian!$B$8:$B$507,$A24)+COUNTIFS(ASM_Harian!$A$8:$A$507,$B$4,ASM_Harian!$B$8:$B$507,$A24))</f>
        <v>0</v>
      </c>
      <c r="G24" s="12" t="str">
        <f>IF($A24="","",IF(F24=0,"Belum Lapor",IF(F24&gt;1,"Data Ganda",IF(COUNTIFS(Sales_Harian!$A$8:$A$507,$B$4,Sales_Harian!$B$8:$B$507,$A24,Sales_Harian!$Z$8:$Z$507,"Dikirim")+COUNTIFS(SPV_Harian!$A$8:$A$507,$B$4,SPV_Harian!$B$8:$B$507,$A24,SPV_Harian!$Y$8:$Y$507,"Dikirim")+COUNTIFS(ASM_Harian!$A$8:$A$507,$B$4,ASM_Harian!$B$8:$B$507,$A24,ASM_Harian!$Y$8:$Y$507,"Dikirim")=1,"Dikirim","Draft"))))</f>
        <v>Belum Lapor</v>
      </c>
      <c r="H24" s="12" t="str">
        <f>IF(OR($A24="",F24=0),"",SUMIFS(Sales_Harian!$AF$8:$AF$507,Sales_Harian!$A$8:$A$507,$B$4,Sales_Harian!$B$8:$B$507,$A24)+SUMIFS(SPV_Harian!$AE$8:$AE$507,SPV_Harian!$A$8:$A$507,$B$4,SPV_Harian!$B$8:$B$507,$A24)+SUMIFS(ASM_Harian!$AE$8:$AE$507,ASM_Harian!$A$8:$A$507,$B$4,ASM_Harian!$B$8:$B$507,$A24))</f>
        <v/>
      </c>
      <c r="I24" s="12" t="str">
        <f>IF(OR($A24="",F24=0),"",SUMIFS(Sales_Harian!$AG$8:$AG$507,Sales_Harian!$A$8:$A$507,$B$4,Sales_Harian!$B$8:$B$507,$A24)+SUMIFS(SPV_Harian!$AF$8:$AF$507,SPV_Harian!$A$8:$A$507,$B$4,SPV_Harian!$B$8:$B$507,$A24)+SUMIFS(ASM_Harian!$AF$8:$AF$507,ASM_Harian!$A$8:$A$507,$B$4,ASM_Harian!$B$8:$B$507,$A24))</f>
        <v/>
      </c>
      <c r="J24" s="12" t="str">
        <f>IF(OR($A24="",F24=0),"",SUMIFS(Sales_Harian!$AH$8:$AH$507,Sales_Harian!$A$8:$A$507,$B$4,Sales_Harian!$B$8:$B$507,$A24)+SUMIFS(SPV_Harian!$AG$8:$AG$507,SPV_Harian!$A$8:$A$507,$B$4,SPV_Harian!$B$8:$B$507,$A24)+SUMIFS(ASM_Harian!$AG$8:$AG$507,ASM_Harian!$A$8:$A$507,$B$4,ASM_Harian!$B$8:$B$507,$A24))</f>
        <v/>
      </c>
      <c r="K24" s="12" t="str">
        <f>IF(OR($A24="",F24=0),"",SUMIFS(Sales_Harian!$AI$8:$AI$507,Sales_Harian!$A$8:$A$507,$B$4,Sales_Harian!$B$8:$B$507,$A24)+SUMIFS(SPV_Harian!$AH$8:$AH$507,SPV_Harian!$A$8:$A$507,$B$4,SPV_Harian!$B$8:$B$507,$A24)+SUMIFS(ASM_Harian!$AH$8:$AH$507,ASM_Harian!$A$8:$A$507,$B$4,ASM_Harian!$B$8:$B$507,$A24))</f>
        <v/>
      </c>
      <c r="L24" s="12" t="str">
        <f>IF(OR($A24="",F24=0),"",SUMIFS(Sales_Harian!$AK$8:$AK$507,Sales_Harian!$A$8:$A$507,$B$4,Sales_Harian!$B$8:$B$507,$A24)+SUMIFS(SPV_Harian!$AJ$8:$AJ$507,SPV_Harian!$A$8:$A$507,$B$4,SPV_Harian!$B$8:$B$507,$A24)+SUMIFS(ASM_Harian!$AJ$8:$AJ$507,ASM_Harian!$A$8:$A$507,$B$4,ASM_Harian!$B$8:$B$507,$A24))</f>
        <v/>
      </c>
      <c r="M24" s="13" t="str">
        <f t="shared" si="0"/>
        <v>n.a.</v>
      </c>
      <c r="N24" s="1" t="str">
        <f>IF($A24="","",IF(G24&lt;&gt;"Dikirim","",IF(COUNTIFS(Sales_Harian!$A$8:$A$507,$B$4,Sales_Harian!$B$8:$B$507,$A24,Sales_Harian!$AB$8:$AB$507,"Disetujui")+COUNTIFS(SPV_Harian!$A$8:$A$507,$B$4,SPV_Harian!$B$8:$B$507,$A24,SPV_Harian!$AA$8:$AA$507,"Disetujui")+COUNTIFS(ASM_Harian!$A$8:$A$507,$B$4,ASM_Harian!$B$8:$B$507,$A24,ASM_Harian!$AA$8:$AA$507,"Disetujui")=1,IF(COUNTIFS(Sales_Harian!$A$8:$A$507,$B$4,Sales_Harian!$B$8:$B$507,$A24,Sales_Harian!$AM$8:$AM$507,"&lt;&gt;OK")+COUNTIFS(SPV_Harian!$A$8:$A$507,$B$4,SPV_Harian!$B$8:$B$507,$A24,SPV_Harian!$AL$8:$AL$507,"&lt;&gt;OK")+COUNTIFS(ASM_Harian!$A$8:$A$507,$B$4,ASM_Harian!$B$8:$B$507,$A24,ASM_Harian!$AL$8:$AL$507,"&lt;&gt;OK")&gt;0,"Review belum valid","Disetujui"),IF(COUNTIFS(Sales_Harian!$A$8:$A$507,$B$4,Sales_Harian!$B$8:$B$507,$A24,Sales_Harian!$AB$8:$AB$507,"Perlu Perbaikan")+COUNTIFS(SPV_Harian!$A$8:$A$507,$B$4,SPV_Harian!$B$8:$B$507,$A24,SPV_Harian!$AA$8:$AA$507,"Perlu Perbaikan")+COUNTIFS(ASM_Harian!$A$8:$A$507,$B$4,ASM_Harian!$B$8:$B$507,$A24,ASM_Harian!$AA$8:$AA$507,"Perlu Perbaikan")=1,"Perlu Perbaikan","Belum Diperiksa"))))</f>
        <v/>
      </c>
      <c r="O24" s="1" t="str">
        <f>IF($A24="","",IF(F24=0,"Belum ada laporan",IF(F24&gt;1,"Hapus/benahi laporan ganda",IF(COUNTIFS(Sales_Harian!$A$8:$A$507,$B$4,Sales_Harian!$B$8:$B$507,$A24,Sales_Harian!$AM$8:$AM$507,"&lt;&gt;OK")+COUNTIFS(SPV_Harian!$A$8:$A$507,$B$4,SPV_Harian!$B$8:$B$507,$A24,SPV_Harian!$AL$8:$AL$507,"&lt;&gt;OK")+COUNTIFS(ASM_Harian!$A$8:$A$507,$B$4,ASM_Harian!$B$8:$B$507,$A24,ASM_Harian!$AL$8:$AL$507,"&lt;&gt;OK")&gt;0,"Periksa validasi_data",IF(SUM(J24:K24)&gt;0,"Ada kegiatan terbuka",IF(N24="Perlu Perbaikan","Tindak lanjuti review",IF(G24="Draft","Kirim laporan",IF(N24="Belum Diperiksa","Menunggu pemeriksaan",""))))))))</f>
        <v>Belum ada laporan</v>
      </c>
    </row>
    <row r="25" spans="1:15" ht="24" customHeight="1">
      <c r="A25" s="1" t="str">
        <f>IF(AND(Master_PIC!A14&lt;&gt;"",Master_PIC!G14="Aktif",Master_PIC!C14&lt;&gt;"Manager"),Master_PIC!A14,"")</f>
        <v>Sales03</v>
      </c>
      <c r="B25" s="1" t="str">
        <f>IF($A25="","",IF(Master_PIC!B14="","",Master_PIC!B14))</f>
        <v>Toto Toharudin</v>
      </c>
      <c r="C25" s="1" t="str">
        <f>IF($A25="","",IF(Master_PIC!C14="","",Master_PIC!C14))</f>
        <v>Sales</v>
      </c>
      <c r="D25" s="1" t="str">
        <f>IF($A25="","",IF(Master_PIC!D14="","",Master_PIC!D14))</f>
        <v>Cirebon 1 (Lokal)</v>
      </c>
      <c r="E25" s="1" t="str">
        <f>IF($A25="","",IF(Master_PIC!E14="","",Master_PIC!E14))</f>
        <v>Timur</v>
      </c>
      <c r="F25" s="12">
        <f>IF($A25="","",COUNTIFS(Sales_Harian!$A$8:$A$507,$B$4,Sales_Harian!$B$8:$B$507,$A25)+COUNTIFS(SPV_Harian!$A$8:$A$507,$B$4,SPV_Harian!$B$8:$B$507,$A25)+COUNTIFS(ASM_Harian!$A$8:$A$507,$B$4,ASM_Harian!$B$8:$B$507,$A25))</f>
        <v>0</v>
      </c>
      <c r="G25" s="12" t="str">
        <f>IF($A25="","",IF(F25=0,"Belum Lapor",IF(F25&gt;1,"Data Ganda",IF(COUNTIFS(Sales_Harian!$A$8:$A$507,$B$4,Sales_Harian!$B$8:$B$507,$A25,Sales_Harian!$Z$8:$Z$507,"Dikirim")+COUNTIFS(SPV_Harian!$A$8:$A$507,$B$4,SPV_Harian!$B$8:$B$507,$A25,SPV_Harian!$Y$8:$Y$507,"Dikirim")+COUNTIFS(ASM_Harian!$A$8:$A$507,$B$4,ASM_Harian!$B$8:$B$507,$A25,ASM_Harian!$Y$8:$Y$507,"Dikirim")=1,"Dikirim","Draft"))))</f>
        <v>Belum Lapor</v>
      </c>
      <c r="H25" s="12" t="str">
        <f>IF(OR($A25="",F25=0),"",SUMIFS(Sales_Harian!$AF$8:$AF$507,Sales_Harian!$A$8:$A$507,$B$4,Sales_Harian!$B$8:$B$507,$A25)+SUMIFS(SPV_Harian!$AE$8:$AE$507,SPV_Harian!$A$8:$A$507,$B$4,SPV_Harian!$B$8:$B$507,$A25)+SUMIFS(ASM_Harian!$AE$8:$AE$507,ASM_Harian!$A$8:$A$507,$B$4,ASM_Harian!$B$8:$B$507,$A25))</f>
        <v/>
      </c>
      <c r="I25" s="12" t="str">
        <f>IF(OR($A25="",F25=0),"",SUMIFS(Sales_Harian!$AG$8:$AG$507,Sales_Harian!$A$8:$A$507,$B$4,Sales_Harian!$B$8:$B$507,$A25)+SUMIFS(SPV_Harian!$AF$8:$AF$507,SPV_Harian!$A$8:$A$507,$B$4,SPV_Harian!$B$8:$B$507,$A25)+SUMIFS(ASM_Harian!$AF$8:$AF$507,ASM_Harian!$A$8:$A$507,$B$4,ASM_Harian!$B$8:$B$507,$A25))</f>
        <v/>
      </c>
      <c r="J25" s="12" t="str">
        <f>IF(OR($A25="",F25=0),"",SUMIFS(Sales_Harian!$AH$8:$AH$507,Sales_Harian!$A$8:$A$507,$B$4,Sales_Harian!$B$8:$B$507,$A25)+SUMIFS(SPV_Harian!$AG$8:$AG$507,SPV_Harian!$A$8:$A$507,$B$4,SPV_Harian!$B$8:$B$507,$A25)+SUMIFS(ASM_Harian!$AG$8:$AG$507,ASM_Harian!$A$8:$A$507,$B$4,ASM_Harian!$B$8:$B$507,$A25))</f>
        <v/>
      </c>
      <c r="K25" s="12" t="str">
        <f>IF(OR($A25="",F25=0),"",SUMIFS(Sales_Harian!$AI$8:$AI$507,Sales_Harian!$A$8:$A$507,$B$4,Sales_Harian!$B$8:$B$507,$A25)+SUMIFS(SPV_Harian!$AH$8:$AH$507,SPV_Harian!$A$8:$A$507,$B$4,SPV_Harian!$B$8:$B$507,$A25)+SUMIFS(ASM_Harian!$AH$8:$AH$507,ASM_Harian!$A$8:$A$507,$B$4,ASM_Harian!$B$8:$B$507,$A25))</f>
        <v/>
      </c>
      <c r="L25" s="12" t="str">
        <f>IF(OR($A25="",F25=0),"",SUMIFS(Sales_Harian!$AK$8:$AK$507,Sales_Harian!$A$8:$A$507,$B$4,Sales_Harian!$B$8:$B$507,$A25)+SUMIFS(SPV_Harian!$AJ$8:$AJ$507,SPV_Harian!$A$8:$A$507,$B$4,SPV_Harian!$B$8:$B$507,$A25)+SUMIFS(ASM_Harian!$AJ$8:$AJ$507,ASM_Harian!$A$8:$A$507,$B$4,ASM_Harian!$B$8:$B$507,$A25))</f>
        <v/>
      </c>
      <c r="M25" s="13" t="str">
        <f t="shared" si="0"/>
        <v>n.a.</v>
      </c>
      <c r="N25" s="1" t="str">
        <f>IF($A25="","",IF(G25&lt;&gt;"Dikirim","",IF(COUNTIFS(Sales_Harian!$A$8:$A$507,$B$4,Sales_Harian!$B$8:$B$507,$A25,Sales_Harian!$AB$8:$AB$507,"Disetujui")+COUNTIFS(SPV_Harian!$A$8:$A$507,$B$4,SPV_Harian!$B$8:$B$507,$A25,SPV_Harian!$AA$8:$AA$507,"Disetujui")+COUNTIFS(ASM_Harian!$A$8:$A$507,$B$4,ASM_Harian!$B$8:$B$507,$A25,ASM_Harian!$AA$8:$AA$507,"Disetujui")=1,IF(COUNTIFS(Sales_Harian!$A$8:$A$507,$B$4,Sales_Harian!$B$8:$B$507,$A25,Sales_Harian!$AM$8:$AM$507,"&lt;&gt;OK")+COUNTIFS(SPV_Harian!$A$8:$A$507,$B$4,SPV_Harian!$B$8:$B$507,$A25,SPV_Harian!$AL$8:$AL$507,"&lt;&gt;OK")+COUNTIFS(ASM_Harian!$A$8:$A$507,$B$4,ASM_Harian!$B$8:$B$507,$A25,ASM_Harian!$AL$8:$AL$507,"&lt;&gt;OK")&gt;0,"Review belum valid","Disetujui"),IF(COUNTIFS(Sales_Harian!$A$8:$A$507,$B$4,Sales_Harian!$B$8:$B$507,$A25,Sales_Harian!$AB$8:$AB$507,"Perlu Perbaikan")+COUNTIFS(SPV_Harian!$A$8:$A$507,$B$4,SPV_Harian!$B$8:$B$507,$A25,SPV_Harian!$AA$8:$AA$507,"Perlu Perbaikan")+COUNTIFS(ASM_Harian!$A$8:$A$507,$B$4,ASM_Harian!$B$8:$B$507,$A25,ASM_Harian!$AA$8:$AA$507,"Perlu Perbaikan")=1,"Perlu Perbaikan","Belum Diperiksa"))))</f>
        <v/>
      </c>
      <c r="O25" s="1" t="str">
        <f>IF($A25="","",IF(F25=0,"Belum ada laporan",IF(F25&gt;1,"Hapus/benahi laporan ganda",IF(COUNTIFS(Sales_Harian!$A$8:$A$507,$B$4,Sales_Harian!$B$8:$B$507,$A25,Sales_Harian!$AM$8:$AM$507,"&lt;&gt;OK")+COUNTIFS(SPV_Harian!$A$8:$A$507,$B$4,SPV_Harian!$B$8:$B$507,$A25,SPV_Harian!$AL$8:$AL$507,"&lt;&gt;OK")+COUNTIFS(ASM_Harian!$A$8:$A$507,$B$4,ASM_Harian!$B$8:$B$507,$A25,ASM_Harian!$AL$8:$AL$507,"&lt;&gt;OK")&gt;0,"Periksa validasi_data",IF(SUM(J25:K25)&gt;0,"Ada kegiatan terbuka",IF(N25="Perlu Perbaikan","Tindak lanjuti review",IF(G25="Draft","Kirim laporan",IF(N25="Belum Diperiksa","Menunggu pemeriksaan",""))))))))</f>
        <v>Belum ada laporan</v>
      </c>
    </row>
    <row r="26" spans="1:15" ht="24" customHeight="1">
      <c r="A26" s="1" t="str">
        <f>IF(AND(Master_PIC!A15&lt;&gt;"",Master_PIC!G15="Aktif",Master_PIC!C15&lt;&gt;"Manager"),Master_PIC!A15,"")</f>
        <v>Sales04</v>
      </c>
      <c r="B26" s="1" t="str">
        <f>IF($A26="","",IF(Master_PIC!B15="","",Master_PIC!B15))</f>
        <v>Moh. Rahmadi Dwi Putra</v>
      </c>
      <c r="C26" s="1" t="str">
        <f>IF($A26="","",IF(Master_PIC!C15="","",Master_PIC!C15))</f>
        <v>Sales</v>
      </c>
      <c r="D26" s="1" t="str">
        <f>IF($A26="","",IF(Master_PIC!D15="","",Master_PIC!D15))</f>
        <v>Cirebon 1 (Lokal)</v>
      </c>
      <c r="E26" s="1" t="str">
        <f>IF($A26="","",IF(Master_PIC!E15="","",Master_PIC!E15))</f>
        <v>Timur</v>
      </c>
      <c r="F26" s="12">
        <f>IF($A26="","",COUNTIFS(Sales_Harian!$A$8:$A$507,$B$4,Sales_Harian!$B$8:$B$507,$A26)+COUNTIFS(SPV_Harian!$A$8:$A$507,$B$4,SPV_Harian!$B$8:$B$507,$A26)+COUNTIFS(ASM_Harian!$A$8:$A$507,$B$4,ASM_Harian!$B$8:$B$507,$A26))</f>
        <v>0</v>
      </c>
      <c r="G26" s="12" t="str">
        <f>IF($A26="","",IF(F26=0,"Belum Lapor",IF(F26&gt;1,"Data Ganda",IF(COUNTIFS(Sales_Harian!$A$8:$A$507,$B$4,Sales_Harian!$B$8:$B$507,$A26,Sales_Harian!$Z$8:$Z$507,"Dikirim")+COUNTIFS(SPV_Harian!$A$8:$A$507,$B$4,SPV_Harian!$B$8:$B$507,$A26,SPV_Harian!$Y$8:$Y$507,"Dikirim")+COUNTIFS(ASM_Harian!$A$8:$A$507,$B$4,ASM_Harian!$B$8:$B$507,$A26,ASM_Harian!$Y$8:$Y$507,"Dikirim")=1,"Dikirim","Draft"))))</f>
        <v>Belum Lapor</v>
      </c>
      <c r="H26" s="12" t="str">
        <f>IF(OR($A26="",F26=0),"",SUMIFS(Sales_Harian!$AF$8:$AF$507,Sales_Harian!$A$8:$A$507,$B$4,Sales_Harian!$B$8:$B$507,$A26)+SUMIFS(SPV_Harian!$AE$8:$AE$507,SPV_Harian!$A$8:$A$507,$B$4,SPV_Harian!$B$8:$B$507,$A26)+SUMIFS(ASM_Harian!$AE$8:$AE$507,ASM_Harian!$A$8:$A$507,$B$4,ASM_Harian!$B$8:$B$507,$A26))</f>
        <v/>
      </c>
      <c r="I26" s="12" t="str">
        <f>IF(OR($A26="",F26=0),"",SUMIFS(Sales_Harian!$AG$8:$AG$507,Sales_Harian!$A$8:$A$507,$B$4,Sales_Harian!$B$8:$B$507,$A26)+SUMIFS(SPV_Harian!$AF$8:$AF$507,SPV_Harian!$A$8:$A$507,$B$4,SPV_Harian!$B$8:$B$507,$A26)+SUMIFS(ASM_Harian!$AF$8:$AF$507,ASM_Harian!$A$8:$A$507,$B$4,ASM_Harian!$B$8:$B$507,$A26))</f>
        <v/>
      </c>
      <c r="J26" s="12" t="str">
        <f>IF(OR($A26="",F26=0),"",SUMIFS(Sales_Harian!$AH$8:$AH$507,Sales_Harian!$A$8:$A$507,$B$4,Sales_Harian!$B$8:$B$507,$A26)+SUMIFS(SPV_Harian!$AG$8:$AG$507,SPV_Harian!$A$8:$A$507,$B$4,SPV_Harian!$B$8:$B$507,$A26)+SUMIFS(ASM_Harian!$AG$8:$AG$507,ASM_Harian!$A$8:$A$507,$B$4,ASM_Harian!$B$8:$B$507,$A26))</f>
        <v/>
      </c>
      <c r="K26" s="12" t="str">
        <f>IF(OR($A26="",F26=0),"",SUMIFS(Sales_Harian!$AI$8:$AI$507,Sales_Harian!$A$8:$A$507,$B$4,Sales_Harian!$B$8:$B$507,$A26)+SUMIFS(SPV_Harian!$AH$8:$AH$507,SPV_Harian!$A$8:$A$507,$B$4,SPV_Harian!$B$8:$B$507,$A26)+SUMIFS(ASM_Harian!$AH$8:$AH$507,ASM_Harian!$A$8:$A$507,$B$4,ASM_Harian!$B$8:$B$507,$A26))</f>
        <v/>
      </c>
      <c r="L26" s="12" t="str">
        <f>IF(OR($A26="",F26=0),"",SUMIFS(Sales_Harian!$AK$8:$AK$507,Sales_Harian!$A$8:$A$507,$B$4,Sales_Harian!$B$8:$B$507,$A26)+SUMIFS(SPV_Harian!$AJ$8:$AJ$507,SPV_Harian!$A$8:$A$507,$B$4,SPV_Harian!$B$8:$B$507,$A26)+SUMIFS(ASM_Harian!$AJ$8:$AJ$507,ASM_Harian!$A$8:$A$507,$B$4,ASM_Harian!$B$8:$B$507,$A26))</f>
        <v/>
      </c>
      <c r="M26" s="13" t="str">
        <f t="shared" si="0"/>
        <v>n.a.</v>
      </c>
      <c r="N26" s="1" t="str">
        <f>IF($A26="","",IF(G26&lt;&gt;"Dikirim","",IF(COUNTIFS(Sales_Harian!$A$8:$A$507,$B$4,Sales_Harian!$B$8:$B$507,$A26,Sales_Harian!$AB$8:$AB$507,"Disetujui")+COUNTIFS(SPV_Harian!$A$8:$A$507,$B$4,SPV_Harian!$B$8:$B$507,$A26,SPV_Harian!$AA$8:$AA$507,"Disetujui")+COUNTIFS(ASM_Harian!$A$8:$A$507,$B$4,ASM_Harian!$B$8:$B$507,$A26,ASM_Harian!$AA$8:$AA$507,"Disetujui")=1,IF(COUNTIFS(Sales_Harian!$A$8:$A$507,$B$4,Sales_Harian!$B$8:$B$507,$A26,Sales_Harian!$AM$8:$AM$507,"&lt;&gt;OK")+COUNTIFS(SPV_Harian!$A$8:$A$507,$B$4,SPV_Harian!$B$8:$B$507,$A26,SPV_Harian!$AL$8:$AL$507,"&lt;&gt;OK")+COUNTIFS(ASM_Harian!$A$8:$A$507,$B$4,ASM_Harian!$B$8:$B$507,$A26,ASM_Harian!$AL$8:$AL$507,"&lt;&gt;OK")&gt;0,"Review belum valid","Disetujui"),IF(COUNTIFS(Sales_Harian!$A$8:$A$507,$B$4,Sales_Harian!$B$8:$B$507,$A26,Sales_Harian!$AB$8:$AB$507,"Perlu Perbaikan")+COUNTIFS(SPV_Harian!$A$8:$A$507,$B$4,SPV_Harian!$B$8:$B$507,$A26,SPV_Harian!$AA$8:$AA$507,"Perlu Perbaikan")+COUNTIFS(ASM_Harian!$A$8:$A$507,$B$4,ASM_Harian!$B$8:$B$507,$A26,ASM_Harian!$AA$8:$AA$507,"Perlu Perbaikan")=1,"Perlu Perbaikan","Belum Diperiksa"))))</f>
        <v/>
      </c>
      <c r="O26" s="1" t="str">
        <f>IF($A26="","",IF(F26=0,"Belum ada laporan",IF(F26&gt;1,"Hapus/benahi laporan ganda",IF(COUNTIFS(Sales_Harian!$A$8:$A$507,$B$4,Sales_Harian!$B$8:$B$507,$A26,Sales_Harian!$AM$8:$AM$507,"&lt;&gt;OK")+COUNTIFS(SPV_Harian!$A$8:$A$507,$B$4,SPV_Harian!$B$8:$B$507,$A26,SPV_Harian!$AL$8:$AL$507,"&lt;&gt;OK")+COUNTIFS(ASM_Harian!$A$8:$A$507,$B$4,ASM_Harian!$B$8:$B$507,$A26,ASM_Harian!$AL$8:$AL$507,"&lt;&gt;OK")&gt;0,"Periksa validasi_data",IF(SUM(J26:K26)&gt;0,"Ada kegiatan terbuka",IF(N26="Perlu Perbaikan","Tindak lanjuti review",IF(G26="Draft","Kirim laporan",IF(N26="Belum Diperiksa","Menunggu pemeriksaan",""))))))))</f>
        <v>Belum ada laporan</v>
      </c>
    </row>
    <row r="27" spans="1:15" ht="24" customHeight="1">
      <c r="A27" s="1" t="str">
        <f>IF(AND(Master_PIC!A16&lt;&gt;"",Master_PIC!G16="Aktif",Master_PIC!C16&lt;&gt;"Manager"),Master_PIC!A16,"")</f>
        <v>Sales05</v>
      </c>
      <c r="B27" s="1" t="str">
        <f>IF($A27="","",IF(Master_PIC!B16="","",Master_PIC!B16))</f>
        <v>Suherman SBFI</v>
      </c>
      <c r="C27" s="1" t="str">
        <f>IF($A27="","",IF(Master_PIC!C16="","",Master_PIC!C16))</f>
        <v>Sales</v>
      </c>
      <c r="D27" s="1" t="str">
        <f>IF($A27="","",IF(Master_PIC!D16="","",Master_PIC!D16))</f>
        <v>Cirebon 1 (Lokal)</v>
      </c>
      <c r="E27" s="1" t="str">
        <f>IF($A27="","",IF(Master_PIC!E16="","",Master_PIC!E16))</f>
        <v>Timur</v>
      </c>
      <c r="F27" s="12">
        <f>IF($A27="","",COUNTIFS(Sales_Harian!$A$8:$A$507,$B$4,Sales_Harian!$B$8:$B$507,$A27)+COUNTIFS(SPV_Harian!$A$8:$A$507,$B$4,SPV_Harian!$B$8:$B$507,$A27)+COUNTIFS(ASM_Harian!$A$8:$A$507,$B$4,ASM_Harian!$B$8:$B$507,$A27))</f>
        <v>0</v>
      </c>
      <c r="G27" s="12" t="str">
        <f>IF($A27="","",IF(F27=0,"Belum Lapor",IF(F27&gt;1,"Data Ganda",IF(COUNTIFS(Sales_Harian!$A$8:$A$507,$B$4,Sales_Harian!$B$8:$B$507,$A27,Sales_Harian!$Z$8:$Z$507,"Dikirim")+COUNTIFS(SPV_Harian!$A$8:$A$507,$B$4,SPV_Harian!$B$8:$B$507,$A27,SPV_Harian!$Y$8:$Y$507,"Dikirim")+COUNTIFS(ASM_Harian!$A$8:$A$507,$B$4,ASM_Harian!$B$8:$B$507,$A27,ASM_Harian!$Y$8:$Y$507,"Dikirim")=1,"Dikirim","Draft"))))</f>
        <v>Belum Lapor</v>
      </c>
      <c r="H27" s="12" t="str">
        <f>IF(OR($A27="",F27=0),"",SUMIFS(Sales_Harian!$AF$8:$AF$507,Sales_Harian!$A$8:$A$507,$B$4,Sales_Harian!$B$8:$B$507,$A27)+SUMIFS(SPV_Harian!$AE$8:$AE$507,SPV_Harian!$A$8:$A$507,$B$4,SPV_Harian!$B$8:$B$507,$A27)+SUMIFS(ASM_Harian!$AE$8:$AE$507,ASM_Harian!$A$8:$A$507,$B$4,ASM_Harian!$B$8:$B$507,$A27))</f>
        <v/>
      </c>
      <c r="I27" s="12" t="str">
        <f>IF(OR($A27="",F27=0),"",SUMIFS(Sales_Harian!$AG$8:$AG$507,Sales_Harian!$A$8:$A$507,$B$4,Sales_Harian!$B$8:$B$507,$A27)+SUMIFS(SPV_Harian!$AF$8:$AF$507,SPV_Harian!$A$8:$A$507,$B$4,SPV_Harian!$B$8:$B$507,$A27)+SUMIFS(ASM_Harian!$AF$8:$AF$507,ASM_Harian!$A$8:$A$507,$B$4,ASM_Harian!$B$8:$B$507,$A27))</f>
        <v/>
      </c>
      <c r="J27" s="12" t="str">
        <f>IF(OR($A27="",F27=0),"",SUMIFS(Sales_Harian!$AH$8:$AH$507,Sales_Harian!$A$8:$A$507,$B$4,Sales_Harian!$B$8:$B$507,$A27)+SUMIFS(SPV_Harian!$AG$8:$AG$507,SPV_Harian!$A$8:$A$507,$B$4,SPV_Harian!$B$8:$B$507,$A27)+SUMIFS(ASM_Harian!$AG$8:$AG$507,ASM_Harian!$A$8:$A$507,$B$4,ASM_Harian!$B$8:$B$507,$A27))</f>
        <v/>
      </c>
      <c r="K27" s="12" t="str">
        <f>IF(OR($A27="",F27=0),"",SUMIFS(Sales_Harian!$AI$8:$AI$507,Sales_Harian!$A$8:$A$507,$B$4,Sales_Harian!$B$8:$B$507,$A27)+SUMIFS(SPV_Harian!$AH$8:$AH$507,SPV_Harian!$A$8:$A$507,$B$4,SPV_Harian!$B$8:$B$507,$A27)+SUMIFS(ASM_Harian!$AH$8:$AH$507,ASM_Harian!$A$8:$A$507,$B$4,ASM_Harian!$B$8:$B$507,$A27))</f>
        <v/>
      </c>
      <c r="L27" s="12" t="str">
        <f>IF(OR($A27="",F27=0),"",SUMIFS(Sales_Harian!$AK$8:$AK$507,Sales_Harian!$A$8:$A$507,$B$4,Sales_Harian!$B$8:$B$507,$A27)+SUMIFS(SPV_Harian!$AJ$8:$AJ$507,SPV_Harian!$A$8:$A$507,$B$4,SPV_Harian!$B$8:$B$507,$A27)+SUMIFS(ASM_Harian!$AJ$8:$AJ$507,ASM_Harian!$A$8:$A$507,$B$4,ASM_Harian!$B$8:$B$507,$A27))</f>
        <v/>
      </c>
      <c r="M27" s="13" t="str">
        <f t="shared" si="0"/>
        <v>n.a.</v>
      </c>
      <c r="N27" s="1" t="str">
        <f>IF($A27="","",IF(G27&lt;&gt;"Dikirim","",IF(COUNTIFS(Sales_Harian!$A$8:$A$507,$B$4,Sales_Harian!$B$8:$B$507,$A27,Sales_Harian!$AB$8:$AB$507,"Disetujui")+COUNTIFS(SPV_Harian!$A$8:$A$507,$B$4,SPV_Harian!$B$8:$B$507,$A27,SPV_Harian!$AA$8:$AA$507,"Disetujui")+COUNTIFS(ASM_Harian!$A$8:$A$507,$B$4,ASM_Harian!$B$8:$B$507,$A27,ASM_Harian!$AA$8:$AA$507,"Disetujui")=1,IF(COUNTIFS(Sales_Harian!$A$8:$A$507,$B$4,Sales_Harian!$B$8:$B$507,$A27,Sales_Harian!$AM$8:$AM$507,"&lt;&gt;OK")+COUNTIFS(SPV_Harian!$A$8:$A$507,$B$4,SPV_Harian!$B$8:$B$507,$A27,SPV_Harian!$AL$8:$AL$507,"&lt;&gt;OK")+COUNTIFS(ASM_Harian!$A$8:$A$507,$B$4,ASM_Harian!$B$8:$B$507,$A27,ASM_Harian!$AL$8:$AL$507,"&lt;&gt;OK")&gt;0,"Review belum valid","Disetujui"),IF(COUNTIFS(Sales_Harian!$A$8:$A$507,$B$4,Sales_Harian!$B$8:$B$507,$A27,Sales_Harian!$AB$8:$AB$507,"Perlu Perbaikan")+COUNTIFS(SPV_Harian!$A$8:$A$507,$B$4,SPV_Harian!$B$8:$B$507,$A27,SPV_Harian!$AA$8:$AA$507,"Perlu Perbaikan")+COUNTIFS(ASM_Harian!$A$8:$A$507,$B$4,ASM_Harian!$B$8:$B$507,$A27,ASM_Harian!$AA$8:$AA$507,"Perlu Perbaikan")=1,"Perlu Perbaikan","Belum Diperiksa"))))</f>
        <v/>
      </c>
      <c r="O27" s="1" t="str">
        <f>IF($A27="","",IF(F27=0,"Belum ada laporan",IF(F27&gt;1,"Hapus/benahi laporan ganda",IF(COUNTIFS(Sales_Harian!$A$8:$A$507,$B$4,Sales_Harian!$B$8:$B$507,$A27,Sales_Harian!$AM$8:$AM$507,"&lt;&gt;OK")+COUNTIFS(SPV_Harian!$A$8:$A$507,$B$4,SPV_Harian!$B$8:$B$507,$A27,SPV_Harian!$AL$8:$AL$507,"&lt;&gt;OK")+COUNTIFS(ASM_Harian!$A$8:$A$507,$B$4,ASM_Harian!$B$8:$B$507,$A27,ASM_Harian!$AL$8:$AL$507,"&lt;&gt;OK")&gt;0,"Periksa validasi_data",IF(SUM(J27:K27)&gt;0,"Ada kegiatan terbuka",IF(N27="Perlu Perbaikan","Tindak lanjuti review",IF(G27="Draft","Kirim laporan",IF(N27="Belum Diperiksa","Menunggu pemeriksaan",""))))))))</f>
        <v>Belum ada laporan</v>
      </c>
    </row>
    <row r="28" spans="1:15" ht="24" customHeight="1">
      <c r="A28" s="1" t="str">
        <f>IF(AND(Master_PIC!A17&lt;&gt;"",Master_PIC!G17="Aktif",Master_PIC!C17&lt;&gt;"Manager"),Master_PIC!A17,"")</f>
        <v>Sales06</v>
      </c>
      <c r="B28" s="1" t="str">
        <f>IF($A28="","",IF(Master_PIC!B17="","",Master_PIC!B17))</f>
        <v>Sambudi SBFI</v>
      </c>
      <c r="C28" s="1" t="str">
        <f>IF($A28="","",IF(Master_PIC!C17="","",Master_PIC!C17))</f>
        <v>Sales</v>
      </c>
      <c r="D28" s="1" t="str">
        <f>IF($A28="","",IF(Master_PIC!D17="","",Master_PIC!D17))</f>
        <v>Cirebon 1 (Lokal)</v>
      </c>
      <c r="E28" s="1" t="str">
        <f>IF($A28="","",IF(Master_PIC!E17="","",Master_PIC!E17))</f>
        <v>Timur</v>
      </c>
      <c r="F28" s="12">
        <f>IF($A28="","",COUNTIFS(Sales_Harian!$A$8:$A$507,$B$4,Sales_Harian!$B$8:$B$507,$A28)+COUNTIFS(SPV_Harian!$A$8:$A$507,$B$4,SPV_Harian!$B$8:$B$507,$A28)+COUNTIFS(ASM_Harian!$A$8:$A$507,$B$4,ASM_Harian!$B$8:$B$507,$A28))</f>
        <v>0</v>
      </c>
      <c r="G28" s="12" t="str">
        <f>IF($A28="","",IF(F28=0,"Belum Lapor",IF(F28&gt;1,"Data Ganda",IF(COUNTIFS(Sales_Harian!$A$8:$A$507,$B$4,Sales_Harian!$B$8:$B$507,$A28,Sales_Harian!$Z$8:$Z$507,"Dikirim")+COUNTIFS(SPV_Harian!$A$8:$A$507,$B$4,SPV_Harian!$B$8:$B$507,$A28,SPV_Harian!$Y$8:$Y$507,"Dikirim")+COUNTIFS(ASM_Harian!$A$8:$A$507,$B$4,ASM_Harian!$B$8:$B$507,$A28,ASM_Harian!$Y$8:$Y$507,"Dikirim")=1,"Dikirim","Draft"))))</f>
        <v>Belum Lapor</v>
      </c>
      <c r="H28" s="12" t="str">
        <f>IF(OR($A28="",F28=0),"",SUMIFS(Sales_Harian!$AF$8:$AF$507,Sales_Harian!$A$8:$A$507,$B$4,Sales_Harian!$B$8:$B$507,$A28)+SUMIFS(SPV_Harian!$AE$8:$AE$507,SPV_Harian!$A$8:$A$507,$B$4,SPV_Harian!$B$8:$B$507,$A28)+SUMIFS(ASM_Harian!$AE$8:$AE$507,ASM_Harian!$A$8:$A$507,$B$4,ASM_Harian!$B$8:$B$507,$A28))</f>
        <v/>
      </c>
      <c r="I28" s="12" t="str">
        <f>IF(OR($A28="",F28=0),"",SUMIFS(Sales_Harian!$AG$8:$AG$507,Sales_Harian!$A$8:$A$507,$B$4,Sales_Harian!$B$8:$B$507,$A28)+SUMIFS(SPV_Harian!$AF$8:$AF$507,SPV_Harian!$A$8:$A$507,$B$4,SPV_Harian!$B$8:$B$507,$A28)+SUMIFS(ASM_Harian!$AF$8:$AF$507,ASM_Harian!$A$8:$A$507,$B$4,ASM_Harian!$B$8:$B$507,$A28))</f>
        <v/>
      </c>
      <c r="J28" s="12" t="str">
        <f>IF(OR($A28="",F28=0),"",SUMIFS(Sales_Harian!$AH$8:$AH$507,Sales_Harian!$A$8:$A$507,$B$4,Sales_Harian!$B$8:$B$507,$A28)+SUMIFS(SPV_Harian!$AG$8:$AG$507,SPV_Harian!$A$8:$A$507,$B$4,SPV_Harian!$B$8:$B$507,$A28)+SUMIFS(ASM_Harian!$AG$8:$AG$507,ASM_Harian!$A$8:$A$507,$B$4,ASM_Harian!$B$8:$B$507,$A28))</f>
        <v/>
      </c>
      <c r="K28" s="12" t="str">
        <f>IF(OR($A28="",F28=0),"",SUMIFS(Sales_Harian!$AI$8:$AI$507,Sales_Harian!$A$8:$A$507,$B$4,Sales_Harian!$B$8:$B$507,$A28)+SUMIFS(SPV_Harian!$AH$8:$AH$507,SPV_Harian!$A$8:$A$507,$B$4,SPV_Harian!$B$8:$B$507,$A28)+SUMIFS(ASM_Harian!$AH$8:$AH$507,ASM_Harian!$A$8:$A$507,$B$4,ASM_Harian!$B$8:$B$507,$A28))</f>
        <v/>
      </c>
      <c r="L28" s="12" t="str">
        <f>IF(OR($A28="",F28=0),"",SUMIFS(Sales_Harian!$AK$8:$AK$507,Sales_Harian!$A$8:$A$507,$B$4,Sales_Harian!$B$8:$B$507,$A28)+SUMIFS(SPV_Harian!$AJ$8:$AJ$507,SPV_Harian!$A$8:$A$507,$B$4,SPV_Harian!$B$8:$B$507,$A28)+SUMIFS(ASM_Harian!$AJ$8:$AJ$507,ASM_Harian!$A$8:$A$507,$B$4,ASM_Harian!$B$8:$B$507,$A28))</f>
        <v/>
      </c>
      <c r="M28" s="13" t="str">
        <f t="shared" si="0"/>
        <v>n.a.</v>
      </c>
      <c r="N28" s="1" t="str">
        <f>IF($A28="","",IF(G28&lt;&gt;"Dikirim","",IF(COUNTIFS(Sales_Harian!$A$8:$A$507,$B$4,Sales_Harian!$B$8:$B$507,$A28,Sales_Harian!$AB$8:$AB$507,"Disetujui")+COUNTIFS(SPV_Harian!$A$8:$A$507,$B$4,SPV_Harian!$B$8:$B$507,$A28,SPV_Harian!$AA$8:$AA$507,"Disetujui")+COUNTIFS(ASM_Harian!$A$8:$A$507,$B$4,ASM_Harian!$B$8:$B$507,$A28,ASM_Harian!$AA$8:$AA$507,"Disetujui")=1,IF(COUNTIFS(Sales_Harian!$A$8:$A$507,$B$4,Sales_Harian!$B$8:$B$507,$A28,Sales_Harian!$AM$8:$AM$507,"&lt;&gt;OK")+COUNTIFS(SPV_Harian!$A$8:$A$507,$B$4,SPV_Harian!$B$8:$B$507,$A28,SPV_Harian!$AL$8:$AL$507,"&lt;&gt;OK")+COUNTIFS(ASM_Harian!$A$8:$A$507,$B$4,ASM_Harian!$B$8:$B$507,$A28,ASM_Harian!$AL$8:$AL$507,"&lt;&gt;OK")&gt;0,"Review belum valid","Disetujui"),IF(COUNTIFS(Sales_Harian!$A$8:$A$507,$B$4,Sales_Harian!$B$8:$B$507,$A28,Sales_Harian!$AB$8:$AB$507,"Perlu Perbaikan")+COUNTIFS(SPV_Harian!$A$8:$A$507,$B$4,SPV_Harian!$B$8:$B$507,$A28,SPV_Harian!$AA$8:$AA$507,"Perlu Perbaikan")+COUNTIFS(ASM_Harian!$A$8:$A$507,$B$4,ASM_Harian!$B$8:$B$507,$A28,ASM_Harian!$AA$8:$AA$507,"Perlu Perbaikan")=1,"Perlu Perbaikan","Belum Diperiksa"))))</f>
        <v/>
      </c>
      <c r="O28" s="1" t="str">
        <f>IF($A28="","",IF(F28=0,"Belum ada laporan",IF(F28&gt;1,"Hapus/benahi laporan ganda",IF(COUNTIFS(Sales_Harian!$A$8:$A$507,$B$4,Sales_Harian!$B$8:$B$507,$A28,Sales_Harian!$AM$8:$AM$507,"&lt;&gt;OK")+COUNTIFS(SPV_Harian!$A$8:$A$507,$B$4,SPV_Harian!$B$8:$B$507,$A28,SPV_Harian!$AL$8:$AL$507,"&lt;&gt;OK")+COUNTIFS(ASM_Harian!$A$8:$A$507,$B$4,ASM_Harian!$B$8:$B$507,$A28,ASM_Harian!$AL$8:$AL$507,"&lt;&gt;OK")&gt;0,"Periksa validasi_data",IF(SUM(J28:K28)&gt;0,"Ada kegiatan terbuka",IF(N28="Perlu Perbaikan","Tindak lanjuti review",IF(G28="Draft","Kirim laporan",IF(N28="Belum Diperiksa","Menunggu pemeriksaan",""))))))))</f>
        <v>Belum ada laporan</v>
      </c>
    </row>
    <row r="29" spans="1:15" ht="24" customHeight="1">
      <c r="A29" s="1" t="str">
        <f>IF(AND(Master_PIC!A18&lt;&gt;"",Master_PIC!G18="Aktif",Master_PIC!C18&lt;&gt;"Manager"),Master_PIC!A18,"")</f>
        <v>Sales07</v>
      </c>
      <c r="B29" s="1" t="str">
        <f>IF($A29="","",IF(Master_PIC!B18="","",Master_PIC!B18))</f>
        <v>Hadi Supeno SBFI</v>
      </c>
      <c r="C29" s="1" t="str">
        <f>IF($A29="","",IF(Master_PIC!C18="","",Master_PIC!C18))</f>
        <v>Sales</v>
      </c>
      <c r="D29" s="1" t="str">
        <f>IF($A29="","",IF(Master_PIC!D18="","",Master_PIC!D18))</f>
        <v>Cirebon 1 (Lokal)</v>
      </c>
      <c r="E29" s="1" t="str">
        <f>IF($A29="","",IF(Master_PIC!E18="","",Master_PIC!E18))</f>
        <v>Timur</v>
      </c>
      <c r="F29" s="12">
        <f>IF($A29="","",COUNTIFS(Sales_Harian!$A$8:$A$507,$B$4,Sales_Harian!$B$8:$B$507,$A29)+COUNTIFS(SPV_Harian!$A$8:$A$507,$B$4,SPV_Harian!$B$8:$B$507,$A29)+COUNTIFS(ASM_Harian!$A$8:$A$507,$B$4,ASM_Harian!$B$8:$B$507,$A29))</f>
        <v>0</v>
      </c>
      <c r="G29" s="12" t="str">
        <f>IF($A29="","",IF(F29=0,"Belum Lapor",IF(F29&gt;1,"Data Ganda",IF(COUNTIFS(Sales_Harian!$A$8:$A$507,$B$4,Sales_Harian!$B$8:$B$507,$A29,Sales_Harian!$Z$8:$Z$507,"Dikirim")+COUNTIFS(SPV_Harian!$A$8:$A$507,$B$4,SPV_Harian!$B$8:$B$507,$A29,SPV_Harian!$Y$8:$Y$507,"Dikirim")+COUNTIFS(ASM_Harian!$A$8:$A$507,$B$4,ASM_Harian!$B$8:$B$507,$A29,ASM_Harian!$Y$8:$Y$507,"Dikirim")=1,"Dikirim","Draft"))))</f>
        <v>Belum Lapor</v>
      </c>
      <c r="H29" s="12" t="str">
        <f>IF(OR($A29="",F29=0),"",SUMIFS(Sales_Harian!$AF$8:$AF$507,Sales_Harian!$A$8:$A$507,$B$4,Sales_Harian!$B$8:$B$507,$A29)+SUMIFS(SPV_Harian!$AE$8:$AE$507,SPV_Harian!$A$8:$A$507,$B$4,SPV_Harian!$B$8:$B$507,$A29)+SUMIFS(ASM_Harian!$AE$8:$AE$507,ASM_Harian!$A$8:$A$507,$B$4,ASM_Harian!$B$8:$B$507,$A29))</f>
        <v/>
      </c>
      <c r="I29" s="12" t="str">
        <f>IF(OR($A29="",F29=0),"",SUMIFS(Sales_Harian!$AG$8:$AG$507,Sales_Harian!$A$8:$A$507,$B$4,Sales_Harian!$B$8:$B$507,$A29)+SUMIFS(SPV_Harian!$AF$8:$AF$507,SPV_Harian!$A$8:$A$507,$B$4,SPV_Harian!$B$8:$B$507,$A29)+SUMIFS(ASM_Harian!$AF$8:$AF$507,ASM_Harian!$A$8:$A$507,$B$4,ASM_Harian!$B$8:$B$507,$A29))</f>
        <v/>
      </c>
      <c r="J29" s="12" t="str">
        <f>IF(OR($A29="",F29=0),"",SUMIFS(Sales_Harian!$AH$8:$AH$507,Sales_Harian!$A$8:$A$507,$B$4,Sales_Harian!$B$8:$B$507,$A29)+SUMIFS(SPV_Harian!$AG$8:$AG$507,SPV_Harian!$A$8:$A$507,$B$4,SPV_Harian!$B$8:$B$507,$A29)+SUMIFS(ASM_Harian!$AG$8:$AG$507,ASM_Harian!$A$8:$A$507,$B$4,ASM_Harian!$B$8:$B$507,$A29))</f>
        <v/>
      </c>
      <c r="K29" s="12" t="str">
        <f>IF(OR($A29="",F29=0),"",SUMIFS(Sales_Harian!$AI$8:$AI$507,Sales_Harian!$A$8:$A$507,$B$4,Sales_Harian!$B$8:$B$507,$A29)+SUMIFS(SPV_Harian!$AH$8:$AH$507,SPV_Harian!$A$8:$A$507,$B$4,SPV_Harian!$B$8:$B$507,$A29)+SUMIFS(ASM_Harian!$AH$8:$AH$507,ASM_Harian!$A$8:$A$507,$B$4,ASM_Harian!$B$8:$B$507,$A29))</f>
        <v/>
      </c>
      <c r="L29" s="12" t="str">
        <f>IF(OR($A29="",F29=0),"",SUMIFS(Sales_Harian!$AK$8:$AK$507,Sales_Harian!$A$8:$A$507,$B$4,Sales_Harian!$B$8:$B$507,$A29)+SUMIFS(SPV_Harian!$AJ$8:$AJ$507,SPV_Harian!$A$8:$A$507,$B$4,SPV_Harian!$B$8:$B$507,$A29)+SUMIFS(ASM_Harian!$AJ$8:$AJ$507,ASM_Harian!$A$8:$A$507,$B$4,ASM_Harian!$B$8:$B$507,$A29))</f>
        <v/>
      </c>
      <c r="M29" s="13" t="str">
        <f t="shared" si="0"/>
        <v>n.a.</v>
      </c>
      <c r="N29" s="1" t="str">
        <f>IF($A29="","",IF(G29&lt;&gt;"Dikirim","",IF(COUNTIFS(Sales_Harian!$A$8:$A$507,$B$4,Sales_Harian!$B$8:$B$507,$A29,Sales_Harian!$AB$8:$AB$507,"Disetujui")+COUNTIFS(SPV_Harian!$A$8:$A$507,$B$4,SPV_Harian!$B$8:$B$507,$A29,SPV_Harian!$AA$8:$AA$507,"Disetujui")+COUNTIFS(ASM_Harian!$A$8:$A$507,$B$4,ASM_Harian!$B$8:$B$507,$A29,ASM_Harian!$AA$8:$AA$507,"Disetujui")=1,IF(COUNTIFS(Sales_Harian!$A$8:$A$507,$B$4,Sales_Harian!$B$8:$B$507,$A29,Sales_Harian!$AM$8:$AM$507,"&lt;&gt;OK")+COUNTIFS(SPV_Harian!$A$8:$A$507,$B$4,SPV_Harian!$B$8:$B$507,$A29,SPV_Harian!$AL$8:$AL$507,"&lt;&gt;OK")+COUNTIFS(ASM_Harian!$A$8:$A$507,$B$4,ASM_Harian!$B$8:$B$507,$A29,ASM_Harian!$AL$8:$AL$507,"&lt;&gt;OK")&gt;0,"Review belum valid","Disetujui"),IF(COUNTIFS(Sales_Harian!$A$8:$A$507,$B$4,Sales_Harian!$B$8:$B$507,$A29,Sales_Harian!$AB$8:$AB$507,"Perlu Perbaikan")+COUNTIFS(SPV_Harian!$A$8:$A$507,$B$4,SPV_Harian!$B$8:$B$507,$A29,SPV_Harian!$AA$8:$AA$507,"Perlu Perbaikan")+COUNTIFS(ASM_Harian!$A$8:$A$507,$B$4,ASM_Harian!$B$8:$B$507,$A29,ASM_Harian!$AA$8:$AA$507,"Perlu Perbaikan")=1,"Perlu Perbaikan","Belum Diperiksa"))))</f>
        <v/>
      </c>
      <c r="O29" s="1" t="str">
        <f>IF($A29="","",IF(F29=0,"Belum ada laporan",IF(F29&gt;1,"Hapus/benahi laporan ganda",IF(COUNTIFS(Sales_Harian!$A$8:$A$507,$B$4,Sales_Harian!$B$8:$B$507,$A29,Sales_Harian!$AM$8:$AM$507,"&lt;&gt;OK")+COUNTIFS(SPV_Harian!$A$8:$A$507,$B$4,SPV_Harian!$B$8:$B$507,$A29,SPV_Harian!$AL$8:$AL$507,"&lt;&gt;OK")+COUNTIFS(ASM_Harian!$A$8:$A$507,$B$4,ASM_Harian!$B$8:$B$507,$A29,ASM_Harian!$AL$8:$AL$507,"&lt;&gt;OK")&gt;0,"Periksa validasi_data",IF(SUM(J29:K29)&gt;0,"Ada kegiatan terbuka",IF(N29="Perlu Perbaikan","Tindak lanjuti review",IF(G29="Draft","Kirim laporan",IF(N29="Belum Diperiksa","Menunggu pemeriksaan",""))))))))</f>
        <v>Belum ada laporan</v>
      </c>
    </row>
    <row r="30" spans="1:15" ht="24" customHeight="1">
      <c r="A30" s="1" t="str">
        <f>IF(AND(Master_PIC!A19&lt;&gt;"",Master_PIC!G19="Aktif",Master_PIC!C19&lt;&gt;"Manager"),Master_PIC!A19,"")</f>
        <v>Sales08</v>
      </c>
      <c r="B30" s="1" t="str">
        <f>IF($A30="","",IF(Master_PIC!B19="","",Master_PIC!B19))</f>
        <v>Hadi Firmansyah</v>
      </c>
      <c r="C30" s="1" t="str">
        <f>IF($A30="","",IF(Master_PIC!C19="","",Master_PIC!C19))</f>
        <v>Sales</v>
      </c>
      <c r="D30" s="1" t="str">
        <f>IF($A30="","",IF(Master_PIC!D19="","",Master_PIC!D19))</f>
        <v>Cirebon 1 (Lokal)</v>
      </c>
      <c r="E30" s="1" t="str">
        <f>IF($A30="","",IF(Master_PIC!E19="","",Master_PIC!E19))</f>
        <v>Timur</v>
      </c>
      <c r="F30" s="12">
        <f>IF($A30="","",COUNTIFS(Sales_Harian!$A$8:$A$507,$B$4,Sales_Harian!$B$8:$B$507,$A30)+COUNTIFS(SPV_Harian!$A$8:$A$507,$B$4,SPV_Harian!$B$8:$B$507,$A30)+COUNTIFS(ASM_Harian!$A$8:$A$507,$B$4,ASM_Harian!$B$8:$B$507,$A30))</f>
        <v>0</v>
      </c>
      <c r="G30" s="12" t="str">
        <f>IF($A30="","",IF(F30=0,"Belum Lapor",IF(F30&gt;1,"Data Ganda",IF(COUNTIFS(Sales_Harian!$A$8:$A$507,$B$4,Sales_Harian!$B$8:$B$507,$A30,Sales_Harian!$Z$8:$Z$507,"Dikirim")+COUNTIFS(SPV_Harian!$A$8:$A$507,$B$4,SPV_Harian!$B$8:$B$507,$A30,SPV_Harian!$Y$8:$Y$507,"Dikirim")+COUNTIFS(ASM_Harian!$A$8:$A$507,$B$4,ASM_Harian!$B$8:$B$507,$A30,ASM_Harian!$Y$8:$Y$507,"Dikirim")=1,"Dikirim","Draft"))))</f>
        <v>Belum Lapor</v>
      </c>
      <c r="H30" s="12" t="str">
        <f>IF(OR($A30="",F30=0),"",SUMIFS(Sales_Harian!$AF$8:$AF$507,Sales_Harian!$A$8:$A$507,$B$4,Sales_Harian!$B$8:$B$507,$A30)+SUMIFS(SPV_Harian!$AE$8:$AE$507,SPV_Harian!$A$8:$A$507,$B$4,SPV_Harian!$B$8:$B$507,$A30)+SUMIFS(ASM_Harian!$AE$8:$AE$507,ASM_Harian!$A$8:$A$507,$B$4,ASM_Harian!$B$8:$B$507,$A30))</f>
        <v/>
      </c>
      <c r="I30" s="12" t="str">
        <f>IF(OR($A30="",F30=0),"",SUMIFS(Sales_Harian!$AG$8:$AG$507,Sales_Harian!$A$8:$A$507,$B$4,Sales_Harian!$B$8:$B$507,$A30)+SUMIFS(SPV_Harian!$AF$8:$AF$507,SPV_Harian!$A$8:$A$507,$B$4,SPV_Harian!$B$8:$B$507,$A30)+SUMIFS(ASM_Harian!$AF$8:$AF$507,ASM_Harian!$A$8:$A$507,$B$4,ASM_Harian!$B$8:$B$507,$A30))</f>
        <v/>
      </c>
      <c r="J30" s="12" t="str">
        <f>IF(OR($A30="",F30=0),"",SUMIFS(Sales_Harian!$AH$8:$AH$507,Sales_Harian!$A$8:$A$507,$B$4,Sales_Harian!$B$8:$B$507,$A30)+SUMIFS(SPV_Harian!$AG$8:$AG$507,SPV_Harian!$A$8:$A$507,$B$4,SPV_Harian!$B$8:$B$507,$A30)+SUMIFS(ASM_Harian!$AG$8:$AG$507,ASM_Harian!$A$8:$A$507,$B$4,ASM_Harian!$B$8:$B$507,$A30))</f>
        <v/>
      </c>
      <c r="K30" s="12" t="str">
        <f>IF(OR($A30="",F30=0),"",SUMIFS(Sales_Harian!$AI$8:$AI$507,Sales_Harian!$A$8:$A$507,$B$4,Sales_Harian!$B$8:$B$507,$A30)+SUMIFS(SPV_Harian!$AH$8:$AH$507,SPV_Harian!$A$8:$A$507,$B$4,SPV_Harian!$B$8:$B$507,$A30)+SUMIFS(ASM_Harian!$AH$8:$AH$507,ASM_Harian!$A$8:$A$507,$B$4,ASM_Harian!$B$8:$B$507,$A30))</f>
        <v/>
      </c>
      <c r="L30" s="12" t="str">
        <f>IF(OR($A30="",F30=0),"",SUMIFS(Sales_Harian!$AK$8:$AK$507,Sales_Harian!$A$8:$A$507,$B$4,Sales_Harian!$B$8:$B$507,$A30)+SUMIFS(SPV_Harian!$AJ$8:$AJ$507,SPV_Harian!$A$8:$A$507,$B$4,SPV_Harian!$B$8:$B$507,$A30)+SUMIFS(ASM_Harian!$AJ$8:$AJ$507,ASM_Harian!$A$8:$A$507,$B$4,ASM_Harian!$B$8:$B$507,$A30))</f>
        <v/>
      </c>
      <c r="M30" s="13" t="str">
        <f t="shared" si="0"/>
        <v>n.a.</v>
      </c>
      <c r="N30" s="1" t="str">
        <f>IF($A30="","",IF(G30&lt;&gt;"Dikirim","",IF(COUNTIFS(Sales_Harian!$A$8:$A$507,$B$4,Sales_Harian!$B$8:$B$507,$A30,Sales_Harian!$AB$8:$AB$507,"Disetujui")+COUNTIFS(SPV_Harian!$A$8:$A$507,$B$4,SPV_Harian!$B$8:$B$507,$A30,SPV_Harian!$AA$8:$AA$507,"Disetujui")+COUNTIFS(ASM_Harian!$A$8:$A$507,$B$4,ASM_Harian!$B$8:$B$507,$A30,ASM_Harian!$AA$8:$AA$507,"Disetujui")=1,IF(COUNTIFS(Sales_Harian!$A$8:$A$507,$B$4,Sales_Harian!$B$8:$B$507,$A30,Sales_Harian!$AM$8:$AM$507,"&lt;&gt;OK")+COUNTIFS(SPV_Harian!$A$8:$A$507,$B$4,SPV_Harian!$B$8:$B$507,$A30,SPV_Harian!$AL$8:$AL$507,"&lt;&gt;OK")+COUNTIFS(ASM_Harian!$A$8:$A$507,$B$4,ASM_Harian!$B$8:$B$507,$A30,ASM_Harian!$AL$8:$AL$507,"&lt;&gt;OK")&gt;0,"Review belum valid","Disetujui"),IF(COUNTIFS(Sales_Harian!$A$8:$A$507,$B$4,Sales_Harian!$B$8:$B$507,$A30,Sales_Harian!$AB$8:$AB$507,"Perlu Perbaikan")+COUNTIFS(SPV_Harian!$A$8:$A$507,$B$4,SPV_Harian!$B$8:$B$507,$A30,SPV_Harian!$AA$8:$AA$507,"Perlu Perbaikan")+COUNTIFS(ASM_Harian!$A$8:$A$507,$B$4,ASM_Harian!$B$8:$B$507,$A30,ASM_Harian!$AA$8:$AA$507,"Perlu Perbaikan")=1,"Perlu Perbaikan","Belum Diperiksa"))))</f>
        <v/>
      </c>
      <c r="O30" s="1" t="str">
        <f>IF($A30="","",IF(F30=0,"Belum ada laporan",IF(F30&gt;1,"Hapus/benahi laporan ganda",IF(COUNTIFS(Sales_Harian!$A$8:$A$507,$B$4,Sales_Harian!$B$8:$B$507,$A30,Sales_Harian!$AM$8:$AM$507,"&lt;&gt;OK")+COUNTIFS(SPV_Harian!$A$8:$A$507,$B$4,SPV_Harian!$B$8:$B$507,$A30,SPV_Harian!$AL$8:$AL$507,"&lt;&gt;OK")+COUNTIFS(ASM_Harian!$A$8:$A$507,$B$4,ASM_Harian!$B$8:$B$507,$A30,ASM_Harian!$AL$8:$AL$507,"&lt;&gt;OK")&gt;0,"Periksa validasi_data",IF(SUM(J30:K30)&gt;0,"Ada kegiatan terbuka",IF(N30="Perlu Perbaikan","Tindak lanjuti review",IF(G30="Draft","Kirim laporan",IF(N30="Belum Diperiksa","Menunggu pemeriksaan",""))))))))</f>
        <v>Belum ada laporan</v>
      </c>
    </row>
    <row r="31" spans="1:15" ht="24" customHeight="1">
      <c r="A31" s="1" t="str">
        <f>IF(AND(Master_PIC!A20&lt;&gt;"",Master_PIC!G20="Aktif",Master_PIC!C20&lt;&gt;"Manager"),Master_PIC!A20,"")</f>
        <v>Sales09</v>
      </c>
      <c r="B31" s="1" t="str">
        <f>IF($A31="","",IF(Master_PIC!B20="","",Master_PIC!B20))</f>
        <v>Sukeri</v>
      </c>
      <c r="C31" s="1" t="str">
        <f>IF($A31="","",IF(Master_PIC!C20="","",Master_PIC!C20))</f>
        <v>Sales</v>
      </c>
      <c r="D31" s="1" t="str">
        <f>IF($A31="","",IF(Master_PIC!D20="","",Master_PIC!D20))</f>
        <v>Cirebon 1 (Lokal)</v>
      </c>
      <c r="E31" s="1" t="str">
        <f>IF($A31="","",IF(Master_PIC!E20="","",Master_PIC!E20))</f>
        <v>Timur</v>
      </c>
      <c r="F31" s="12">
        <f>IF($A31="","",COUNTIFS(Sales_Harian!$A$8:$A$507,$B$4,Sales_Harian!$B$8:$B$507,$A31)+COUNTIFS(SPV_Harian!$A$8:$A$507,$B$4,SPV_Harian!$B$8:$B$507,$A31)+COUNTIFS(ASM_Harian!$A$8:$A$507,$B$4,ASM_Harian!$B$8:$B$507,$A31))</f>
        <v>0</v>
      </c>
      <c r="G31" s="12" t="str">
        <f>IF($A31="","",IF(F31=0,"Belum Lapor",IF(F31&gt;1,"Data Ganda",IF(COUNTIFS(Sales_Harian!$A$8:$A$507,$B$4,Sales_Harian!$B$8:$B$507,$A31,Sales_Harian!$Z$8:$Z$507,"Dikirim")+COUNTIFS(SPV_Harian!$A$8:$A$507,$B$4,SPV_Harian!$B$8:$B$507,$A31,SPV_Harian!$Y$8:$Y$507,"Dikirim")+COUNTIFS(ASM_Harian!$A$8:$A$507,$B$4,ASM_Harian!$B$8:$B$507,$A31,ASM_Harian!$Y$8:$Y$507,"Dikirim")=1,"Dikirim","Draft"))))</f>
        <v>Belum Lapor</v>
      </c>
      <c r="H31" s="12" t="str">
        <f>IF(OR($A31="",F31=0),"",SUMIFS(Sales_Harian!$AF$8:$AF$507,Sales_Harian!$A$8:$A$507,$B$4,Sales_Harian!$B$8:$B$507,$A31)+SUMIFS(SPV_Harian!$AE$8:$AE$507,SPV_Harian!$A$8:$A$507,$B$4,SPV_Harian!$B$8:$B$507,$A31)+SUMIFS(ASM_Harian!$AE$8:$AE$507,ASM_Harian!$A$8:$A$507,$B$4,ASM_Harian!$B$8:$B$507,$A31))</f>
        <v/>
      </c>
      <c r="I31" s="12" t="str">
        <f>IF(OR($A31="",F31=0),"",SUMIFS(Sales_Harian!$AG$8:$AG$507,Sales_Harian!$A$8:$A$507,$B$4,Sales_Harian!$B$8:$B$507,$A31)+SUMIFS(SPV_Harian!$AF$8:$AF$507,SPV_Harian!$A$8:$A$507,$B$4,SPV_Harian!$B$8:$B$507,$A31)+SUMIFS(ASM_Harian!$AF$8:$AF$507,ASM_Harian!$A$8:$A$507,$B$4,ASM_Harian!$B$8:$B$507,$A31))</f>
        <v/>
      </c>
      <c r="J31" s="12" t="str">
        <f>IF(OR($A31="",F31=0),"",SUMIFS(Sales_Harian!$AH$8:$AH$507,Sales_Harian!$A$8:$A$507,$B$4,Sales_Harian!$B$8:$B$507,$A31)+SUMIFS(SPV_Harian!$AG$8:$AG$507,SPV_Harian!$A$8:$A$507,$B$4,SPV_Harian!$B$8:$B$507,$A31)+SUMIFS(ASM_Harian!$AG$8:$AG$507,ASM_Harian!$A$8:$A$507,$B$4,ASM_Harian!$B$8:$B$507,$A31))</f>
        <v/>
      </c>
      <c r="K31" s="12" t="str">
        <f>IF(OR($A31="",F31=0),"",SUMIFS(Sales_Harian!$AI$8:$AI$507,Sales_Harian!$A$8:$A$507,$B$4,Sales_Harian!$B$8:$B$507,$A31)+SUMIFS(SPV_Harian!$AH$8:$AH$507,SPV_Harian!$A$8:$A$507,$B$4,SPV_Harian!$B$8:$B$507,$A31)+SUMIFS(ASM_Harian!$AH$8:$AH$507,ASM_Harian!$A$8:$A$507,$B$4,ASM_Harian!$B$8:$B$507,$A31))</f>
        <v/>
      </c>
      <c r="L31" s="12" t="str">
        <f>IF(OR($A31="",F31=0),"",SUMIFS(Sales_Harian!$AK$8:$AK$507,Sales_Harian!$A$8:$A$507,$B$4,Sales_Harian!$B$8:$B$507,$A31)+SUMIFS(SPV_Harian!$AJ$8:$AJ$507,SPV_Harian!$A$8:$A$507,$B$4,SPV_Harian!$B$8:$B$507,$A31)+SUMIFS(ASM_Harian!$AJ$8:$AJ$507,ASM_Harian!$A$8:$A$507,$B$4,ASM_Harian!$B$8:$B$507,$A31))</f>
        <v/>
      </c>
      <c r="M31" s="13" t="str">
        <f t="shared" si="0"/>
        <v>n.a.</v>
      </c>
      <c r="N31" s="1" t="str">
        <f>IF($A31="","",IF(G31&lt;&gt;"Dikirim","",IF(COUNTIFS(Sales_Harian!$A$8:$A$507,$B$4,Sales_Harian!$B$8:$B$507,$A31,Sales_Harian!$AB$8:$AB$507,"Disetujui")+COUNTIFS(SPV_Harian!$A$8:$A$507,$B$4,SPV_Harian!$B$8:$B$507,$A31,SPV_Harian!$AA$8:$AA$507,"Disetujui")+COUNTIFS(ASM_Harian!$A$8:$A$507,$B$4,ASM_Harian!$B$8:$B$507,$A31,ASM_Harian!$AA$8:$AA$507,"Disetujui")=1,IF(COUNTIFS(Sales_Harian!$A$8:$A$507,$B$4,Sales_Harian!$B$8:$B$507,$A31,Sales_Harian!$AM$8:$AM$507,"&lt;&gt;OK")+COUNTIFS(SPV_Harian!$A$8:$A$507,$B$4,SPV_Harian!$B$8:$B$507,$A31,SPV_Harian!$AL$8:$AL$507,"&lt;&gt;OK")+COUNTIFS(ASM_Harian!$A$8:$A$507,$B$4,ASM_Harian!$B$8:$B$507,$A31,ASM_Harian!$AL$8:$AL$507,"&lt;&gt;OK")&gt;0,"Review belum valid","Disetujui"),IF(COUNTIFS(Sales_Harian!$A$8:$A$507,$B$4,Sales_Harian!$B$8:$B$507,$A31,Sales_Harian!$AB$8:$AB$507,"Perlu Perbaikan")+COUNTIFS(SPV_Harian!$A$8:$A$507,$B$4,SPV_Harian!$B$8:$B$507,$A31,SPV_Harian!$AA$8:$AA$507,"Perlu Perbaikan")+COUNTIFS(ASM_Harian!$A$8:$A$507,$B$4,ASM_Harian!$B$8:$B$507,$A31,ASM_Harian!$AA$8:$AA$507,"Perlu Perbaikan")=1,"Perlu Perbaikan","Belum Diperiksa"))))</f>
        <v/>
      </c>
      <c r="O31" s="1" t="str">
        <f>IF($A31="","",IF(F31=0,"Belum ada laporan",IF(F31&gt;1,"Hapus/benahi laporan ganda",IF(COUNTIFS(Sales_Harian!$A$8:$A$507,$B$4,Sales_Harian!$B$8:$B$507,$A31,Sales_Harian!$AM$8:$AM$507,"&lt;&gt;OK")+COUNTIFS(SPV_Harian!$A$8:$A$507,$B$4,SPV_Harian!$B$8:$B$507,$A31,SPV_Harian!$AL$8:$AL$507,"&lt;&gt;OK")+COUNTIFS(ASM_Harian!$A$8:$A$507,$B$4,ASM_Harian!$B$8:$B$507,$A31,ASM_Harian!$AL$8:$AL$507,"&lt;&gt;OK")&gt;0,"Periksa validasi_data",IF(SUM(J31:K31)&gt;0,"Ada kegiatan terbuka",IF(N31="Perlu Perbaikan","Tindak lanjuti review",IF(G31="Draft","Kirim laporan",IF(N31="Belum Diperiksa","Menunggu pemeriksaan",""))))))))</f>
        <v>Belum ada laporan</v>
      </c>
    </row>
    <row r="32" spans="1:15" ht="24" customHeight="1">
      <c r="A32" s="1" t="str">
        <f>IF(AND(Master_PIC!A21&lt;&gt;"",Master_PIC!G21="Aktif",Master_PIC!C21&lt;&gt;"Manager"),Master_PIC!A21,"")</f>
        <v>Sales10</v>
      </c>
      <c r="B32" s="1" t="str">
        <f>IF($A32="","",IF(Master_PIC!B21="","",Master_PIC!B21))</f>
        <v>Mohammad Suyatno</v>
      </c>
      <c r="C32" s="1" t="str">
        <f>IF($A32="","",IF(Master_PIC!C21="","",Master_PIC!C21))</f>
        <v>Sales</v>
      </c>
      <c r="D32" s="1" t="str">
        <f>IF($A32="","",IF(Master_PIC!D21="","",Master_PIC!D21))</f>
        <v>Cirebon 1 (Lokal)</v>
      </c>
      <c r="E32" s="1" t="str">
        <f>IF($A32="","",IF(Master_PIC!E21="","",Master_PIC!E21))</f>
        <v>Timur</v>
      </c>
      <c r="F32" s="12">
        <f>IF($A32="","",COUNTIFS(Sales_Harian!$A$8:$A$507,$B$4,Sales_Harian!$B$8:$B$507,$A32)+COUNTIFS(SPV_Harian!$A$8:$A$507,$B$4,SPV_Harian!$B$8:$B$507,$A32)+COUNTIFS(ASM_Harian!$A$8:$A$507,$B$4,ASM_Harian!$B$8:$B$507,$A32))</f>
        <v>0</v>
      </c>
      <c r="G32" s="12" t="str">
        <f>IF($A32="","",IF(F32=0,"Belum Lapor",IF(F32&gt;1,"Data Ganda",IF(COUNTIFS(Sales_Harian!$A$8:$A$507,$B$4,Sales_Harian!$B$8:$B$507,$A32,Sales_Harian!$Z$8:$Z$507,"Dikirim")+COUNTIFS(SPV_Harian!$A$8:$A$507,$B$4,SPV_Harian!$B$8:$B$507,$A32,SPV_Harian!$Y$8:$Y$507,"Dikirim")+COUNTIFS(ASM_Harian!$A$8:$A$507,$B$4,ASM_Harian!$B$8:$B$507,$A32,ASM_Harian!$Y$8:$Y$507,"Dikirim")=1,"Dikirim","Draft"))))</f>
        <v>Belum Lapor</v>
      </c>
      <c r="H32" s="12" t="str">
        <f>IF(OR($A32="",F32=0),"",SUMIFS(Sales_Harian!$AF$8:$AF$507,Sales_Harian!$A$8:$A$507,$B$4,Sales_Harian!$B$8:$B$507,$A32)+SUMIFS(SPV_Harian!$AE$8:$AE$507,SPV_Harian!$A$8:$A$507,$B$4,SPV_Harian!$B$8:$B$507,$A32)+SUMIFS(ASM_Harian!$AE$8:$AE$507,ASM_Harian!$A$8:$A$507,$B$4,ASM_Harian!$B$8:$B$507,$A32))</f>
        <v/>
      </c>
      <c r="I32" s="12" t="str">
        <f>IF(OR($A32="",F32=0),"",SUMIFS(Sales_Harian!$AG$8:$AG$507,Sales_Harian!$A$8:$A$507,$B$4,Sales_Harian!$B$8:$B$507,$A32)+SUMIFS(SPV_Harian!$AF$8:$AF$507,SPV_Harian!$A$8:$A$507,$B$4,SPV_Harian!$B$8:$B$507,$A32)+SUMIFS(ASM_Harian!$AF$8:$AF$507,ASM_Harian!$A$8:$A$507,$B$4,ASM_Harian!$B$8:$B$507,$A32))</f>
        <v/>
      </c>
      <c r="J32" s="12" t="str">
        <f>IF(OR($A32="",F32=0),"",SUMIFS(Sales_Harian!$AH$8:$AH$507,Sales_Harian!$A$8:$A$507,$B$4,Sales_Harian!$B$8:$B$507,$A32)+SUMIFS(SPV_Harian!$AG$8:$AG$507,SPV_Harian!$A$8:$A$507,$B$4,SPV_Harian!$B$8:$B$507,$A32)+SUMIFS(ASM_Harian!$AG$8:$AG$507,ASM_Harian!$A$8:$A$507,$B$4,ASM_Harian!$B$8:$B$507,$A32))</f>
        <v/>
      </c>
      <c r="K32" s="12" t="str">
        <f>IF(OR($A32="",F32=0),"",SUMIFS(Sales_Harian!$AI$8:$AI$507,Sales_Harian!$A$8:$A$507,$B$4,Sales_Harian!$B$8:$B$507,$A32)+SUMIFS(SPV_Harian!$AH$8:$AH$507,SPV_Harian!$A$8:$A$507,$B$4,SPV_Harian!$B$8:$B$507,$A32)+SUMIFS(ASM_Harian!$AH$8:$AH$507,ASM_Harian!$A$8:$A$507,$B$4,ASM_Harian!$B$8:$B$507,$A32))</f>
        <v/>
      </c>
      <c r="L32" s="12" t="str">
        <f>IF(OR($A32="",F32=0),"",SUMIFS(Sales_Harian!$AK$8:$AK$507,Sales_Harian!$A$8:$A$507,$B$4,Sales_Harian!$B$8:$B$507,$A32)+SUMIFS(SPV_Harian!$AJ$8:$AJ$507,SPV_Harian!$A$8:$A$507,$B$4,SPV_Harian!$B$8:$B$507,$A32)+SUMIFS(ASM_Harian!$AJ$8:$AJ$507,ASM_Harian!$A$8:$A$507,$B$4,ASM_Harian!$B$8:$B$507,$A32))</f>
        <v/>
      </c>
      <c r="M32" s="13" t="str">
        <f t="shared" si="0"/>
        <v>n.a.</v>
      </c>
      <c r="N32" s="1" t="str">
        <f>IF($A32="","",IF(G32&lt;&gt;"Dikirim","",IF(COUNTIFS(Sales_Harian!$A$8:$A$507,$B$4,Sales_Harian!$B$8:$B$507,$A32,Sales_Harian!$AB$8:$AB$507,"Disetujui")+COUNTIFS(SPV_Harian!$A$8:$A$507,$B$4,SPV_Harian!$B$8:$B$507,$A32,SPV_Harian!$AA$8:$AA$507,"Disetujui")+COUNTIFS(ASM_Harian!$A$8:$A$507,$B$4,ASM_Harian!$B$8:$B$507,$A32,ASM_Harian!$AA$8:$AA$507,"Disetujui")=1,IF(COUNTIFS(Sales_Harian!$A$8:$A$507,$B$4,Sales_Harian!$B$8:$B$507,$A32,Sales_Harian!$AM$8:$AM$507,"&lt;&gt;OK")+COUNTIFS(SPV_Harian!$A$8:$A$507,$B$4,SPV_Harian!$B$8:$B$507,$A32,SPV_Harian!$AL$8:$AL$507,"&lt;&gt;OK")+COUNTIFS(ASM_Harian!$A$8:$A$507,$B$4,ASM_Harian!$B$8:$B$507,$A32,ASM_Harian!$AL$8:$AL$507,"&lt;&gt;OK")&gt;0,"Review belum valid","Disetujui"),IF(COUNTIFS(Sales_Harian!$A$8:$A$507,$B$4,Sales_Harian!$B$8:$B$507,$A32,Sales_Harian!$AB$8:$AB$507,"Perlu Perbaikan")+COUNTIFS(SPV_Harian!$A$8:$A$507,$B$4,SPV_Harian!$B$8:$B$507,$A32,SPV_Harian!$AA$8:$AA$507,"Perlu Perbaikan")+COUNTIFS(ASM_Harian!$A$8:$A$507,$B$4,ASM_Harian!$B$8:$B$507,$A32,ASM_Harian!$AA$8:$AA$507,"Perlu Perbaikan")=1,"Perlu Perbaikan","Belum Diperiksa"))))</f>
        <v/>
      </c>
      <c r="O32" s="1" t="str">
        <f>IF($A32="","",IF(F32=0,"Belum ada laporan",IF(F32&gt;1,"Hapus/benahi laporan ganda",IF(COUNTIFS(Sales_Harian!$A$8:$A$507,$B$4,Sales_Harian!$B$8:$B$507,$A32,Sales_Harian!$AM$8:$AM$507,"&lt;&gt;OK")+COUNTIFS(SPV_Harian!$A$8:$A$507,$B$4,SPV_Harian!$B$8:$B$507,$A32,SPV_Harian!$AL$8:$AL$507,"&lt;&gt;OK")+COUNTIFS(ASM_Harian!$A$8:$A$507,$B$4,ASM_Harian!$B$8:$B$507,$A32,ASM_Harian!$AL$8:$AL$507,"&lt;&gt;OK")&gt;0,"Periksa validasi_data",IF(SUM(J32:K32)&gt;0,"Ada kegiatan terbuka",IF(N32="Perlu Perbaikan","Tindak lanjuti review",IF(G32="Draft","Kirim laporan",IF(N32="Belum Diperiksa","Menunggu pemeriksaan",""))))))))</f>
        <v>Belum ada laporan</v>
      </c>
    </row>
    <row r="33" spans="1:15" ht="24" customHeight="1">
      <c r="A33" s="1" t="str">
        <f>IF(AND(Master_PIC!A22&lt;&gt;"",Master_PIC!G22="Aktif",Master_PIC!C22&lt;&gt;"Manager"),Master_PIC!A22,"")</f>
        <v>Sales11</v>
      </c>
      <c r="B33" s="1" t="str">
        <f>IF($A33="","",IF(Master_PIC!B22="","",Master_PIC!B22))</f>
        <v>Dany Sholeh Setiawan</v>
      </c>
      <c r="C33" s="1" t="str">
        <f>IF($A33="","",IF(Master_PIC!C22="","",Master_PIC!C22))</f>
        <v>Sales</v>
      </c>
      <c r="D33" s="1" t="str">
        <f>IF($A33="","",IF(Master_PIC!D22="","",Master_PIC!D22))</f>
        <v>Cirebon 1 (Lokal)</v>
      </c>
      <c r="E33" s="1" t="str">
        <f>IF($A33="","",IF(Master_PIC!E22="","",Master_PIC!E22))</f>
        <v>Timur</v>
      </c>
      <c r="F33" s="12">
        <f>IF($A33="","",COUNTIFS(Sales_Harian!$A$8:$A$507,$B$4,Sales_Harian!$B$8:$B$507,$A33)+COUNTIFS(SPV_Harian!$A$8:$A$507,$B$4,SPV_Harian!$B$8:$B$507,$A33)+COUNTIFS(ASM_Harian!$A$8:$A$507,$B$4,ASM_Harian!$B$8:$B$507,$A33))</f>
        <v>0</v>
      </c>
      <c r="G33" s="12" t="str">
        <f>IF($A33="","",IF(F33=0,"Belum Lapor",IF(F33&gt;1,"Data Ganda",IF(COUNTIFS(Sales_Harian!$A$8:$A$507,$B$4,Sales_Harian!$B$8:$B$507,$A33,Sales_Harian!$Z$8:$Z$507,"Dikirim")+COUNTIFS(SPV_Harian!$A$8:$A$507,$B$4,SPV_Harian!$B$8:$B$507,$A33,SPV_Harian!$Y$8:$Y$507,"Dikirim")+COUNTIFS(ASM_Harian!$A$8:$A$507,$B$4,ASM_Harian!$B$8:$B$507,$A33,ASM_Harian!$Y$8:$Y$507,"Dikirim")=1,"Dikirim","Draft"))))</f>
        <v>Belum Lapor</v>
      </c>
      <c r="H33" s="12" t="str">
        <f>IF(OR($A33="",F33=0),"",SUMIFS(Sales_Harian!$AF$8:$AF$507,Sales_Harian!$A$8:$A$507,$B$4,Sales_Harian!$B$8:$B$507,$A33)+SUMIFS(SPV_Harian!$AE$8:$AE$507,SPV_Harian!$A$8:$A$507,$B$4,SPV_Harian!$B$8:$B$507,$A33)+SUMIFS(ASM_Harian!$AE$8:$AE$507,ASM_Harian!$A$8:$A$507,$B$4,ASM_Harian!$B$8:$B$507,$A33))</f>
        <v/>
      </c>
      <c r="I33" s="12" t="str">
        <f>IF(OR($A33="",F33=0),"",SUMIFS(Sales_Harian!$AG$8:$AG$507,Sales_Harian!$A$8:$A$507,$B$4,Sales_Harian!$B$8:$B$507,$A33)+SUMIFS(SPV_Harian!$AF$8:$AF$507,SPV_Harian!$A$8:$A$507,$B$4,SPV_Harian!$B$8:$B$507,$A33)+SUMIFS(ASM_Harian!$AF$8:$AF$507,ASM_Harian!$A$8:$A$507,$B$4,ASM_Harian!$B$8:$B$507,$A33))</f>
        <v/>
      </c>
      <c r="J33" s="12" t="str">
        <f>IF(OR($A33="",F33=0),"",SUMIFS(Sales_Harian!$AH$8:$AH$507,Sales_Harian!$A$8:$A$507,$B$4,Sales_Harian!$B$8:$B$507,$A33)+SUMIFS(SPV_Harian!$AG$8:$AG$507,SPV_Harian!$A$8:$A$507,$B$4,SPV_Harian!$B$8:$B$507,$A33)+SUMIFS(ASM_Harian!$AG$8:$AG$507,ASM_Harian!$A$8:$A$507,$B$4,ASM_Harian!$B$8:$B$507,$A33))</f>
        <v/>
      </c>
      <c r="K33" s="12" t="str">
        <f>IF(OR($A33="",F33=0),"",SUMIFS(Sales_Harian!$AI$8:$AI$507,Sales_Harian!$A$8:$A$507,$B$4,Sales_Harian!$B$8:$B$507,$A33)+SUMIFS(SPV_Harian!$AH$8:$AH$507,SPV_Harian!$A$8:$A$507,$B$4,SPV_Harian!$B$8:$B$507,$A33)+SUMIFS(ASM_Harian!$AH$8:$AH$507,ASM_Harian!$A$8:$A$507,$B$4,ASM_Harian!$B$8:$B$507,$A33))</f>
        <v/>
      </c>
      <c r="L33" s="12" t="str">
        <f>IF(OR($A33="",F33=0),"",SUMIFS(Sales_Harian!$AK$8:$AK$507,Sales_Harian!$A$8:$A$507,$B$4,Sales_Harian!$B$8:$B$507,$A33)+SUMIFS(SPV_Harian!$AJ$8:$AJ$507,SPV_Harian!$A$8:$A$507,$B$4,SPV_Harian!$B$8:$B$507,$A33)+SUMIFS(ASM_Harian!$AJ$8:$AJ$507,ASM_Harian!$A$8:$A$507,$B$4,ASM_Harian!$B$8:$B$507,$A33))</f>
        <v/>
      </c>
      <c r="M33" s="13" t="str">
        <f t="shared" si="0"/>
        <v>n.a.</v>
      </c>
      <c r="N33" s="1" t="str">
        <f>IF($A33="","",IF(G33&lt;&gt;"Dikirim","",IF(COUNTIFS(Sales_Harian!$A$8:$A$507,$B$4,Sales_Harian!$B$8:$B$507,$A33,Sales_Harian!$AB$8:$AB$507,"Disetujui")+COUNTIFS(SPV_Harian!$A$8:$A$507,$B$4,SPV_Harian!$B$8:$B$507,$A33,SPV_Harian!$AA$8:$AA$507,"Disetujui")+COUNTIFS(ASM_Harian!$A$8:$A$507,$B$4,ASM_Harian!$B$8:$B$507,$A33,ASM_Harian!$AA$8:$AA$507,"Disetujui")=1,IF(COUNTIFS(Sales_Harian!$A$8:$A$507,$B$4,Sales_Harian!$B$8:$B$507,$A33,Sales_Harian!$AM$8:$AM$507,"&lt;&gt;OK")+COUNTIFS(SPV_Harian!$A$8:$A$507,$B$4,SPV_Harian!$B$8:$B$507,$A33,SPV_Harian!$AL$8:$AL$507,"&lt;&gt;OK")+COUNTIFS(ASM_Harian!$A$8:$A$507,$B$4,ASM_Harian!$B$8:$B$507,$A33,ASM_Harian!$AL$8:$AL$507,"&lt;&gt;OK")&gt;0,"Review belum valid","Disetujui"),IF(COUNTIFS(Sales_Harian!$A$8:$A$507,$B$4,Sales_Harian!$B$8:$B$507,$A33,Sales_Harian!$AB$8:$AB$507,"Perlu Perbaikan")+COUNTIFS(SPV_Harian!$A$8:$A$507,$B$4,SPV_Harian!$B$8:$B$507,$A33,SPV_Harian!$AA$8:$AA$507,"Perlu Perbaikan")+COUNTIFS(ASM_Harian!$A$8:$A$507,$B$4,ASM_Harian!$B$8:$B$507,$A33,ASM_Harian!$AA$8:$AA$507,"Perlu Perbaikan")=1,"Perlu Perbaikan","Belum Diperiksa"))))</f>
        <v/>
      </c>
      <c r="O33" s="1" t="str">
        <f>IF($A33="","",IF(F33=0,"Belum ada laporan",IF(F33&gt;1,"Hapus/benahi laporan ganda",IF(COUNTIFS(Sales_Harian!$A$8:$A$507,$B$4,Sales_Harian!$B$8:$B$507,$A33,Sales_Harian!$AM$8:$AM$507,"&lt;&gt;OK")+COUNTIFS(SPV_Harian!$A$8:$A$507,$B$4,SPV_Harian!$B$8:$B$507,$A33,SPV_Harian!$AL$8:$AL$507,"&lt;&gt;OK")+COUNTIFS(ASM_Harian!$A$8:$A$507,$B$4,ASM_Harian!$B$8:$B$507,$A33,ASM_Harian!$AL$8:$AL$507,"&lt;&gt;OK")&gt;0,"Periksa validasi_data",IF(SUM(J33:K33)&gt;0,"Ada kegiatan terbuka",IF(N33="Perlu Perbaikan","Tindak lanjuti review",IF(G33="Draft","Kirim laporan",IF(N33="Belum Diperiksa","Menunggu pemeriksaan",""))))))))</f>
        <v>Belum ada laporan</v>
      </c>
    </row>
    <row r="34" spans="1:15" ht="24" customHeight="1">
      <c r="A34" s="1" t="str">
        <f>IF(AND(Master_PIC!A23&lt;&gt;"",Master_PIC!G23="Aktif",Master_PIC!C23&lt;&gt;"Manager"),Master_PIC!A23,"")</f>
        <v>Sales12</v>
      </c>
      <c r="B34" s="1" t="str">
        <f>IF($A34="","",IF(Master_PIC!B23="","",Master_PIC!B23))</f>
        <v>Rahmat Hidayat</v>
      </c>
      <c r="C34" s="1" t="str">
        <f>IF($A34="","",IF(Master_PIC!C23="","",Master_PIC!C23))</f>
        <v>Sales</v>
      </c>
      <c r="D34" s="1" t="str">
        <f>IF($A34="","",IF(Master_PIC!D23="","",Master_PIC!D23))</f>
        <v>Cirebon 1 (Lokal)</v>
      </c>
      <c r="E34" s="1" t="str">
        <f>IF($A34="","",IF(Master_PIC!E23="","",Master_PIC!E23))</f>
        <v>Timur</v>
      </c>
      <c r="F34" s="12">
        <f>IF($A34="","",COUNTIFS(Sales_Harian!$A$8:$A$507,$B$4,Sales_Harian!$B$8:$B$507,$A34)+COUNTIFS(SPV_Harian!$A$8:$A$507,$B$4,SPV_Harian!$B$8:$B$507,$A34)+COUNTIFS(ASM_Harian!$A$8:$A$507,$B$4,ASM_Harian!$B$8:$B$507,$A34))</f>
        <v>0</v>
      </c>
      <c r="G34" s="12" t="str">
        <f>IF($A34="","",IF(F34=0,"Belum Lapor",IF(F34&gt;1,"Data Ganda",IF(COUNTIFS(Sales_Harian!$A$8:$A$507,$B$4,Sales_Harian!$B$8:$B$507,$A34,Sales_Harian!$Z$8:$Z$507,"Dikirim")+COUNTIFS(SPV_Harian!$A$8:$A$507,$B$4,SPV_Harian!$B$8:$B$507,$A34,SPV_Harian!$Y$8:$Y$507,"Dikirim")+COUNTIFS(ASM_Harian!$A$8:$A$507,$B$4,ASM_Harian!$B$8:$B$507,$A34,ASM_Harian!$Y$8:$Y$507,"Dikirim")=1,"Dikirim","Draft"))))</f>
        <v>Belum Lapor</v>
      </c>
      <c r="H34" s="12" t="str">
        <f>IF(OR($A34="",F34=0),"",SUMIFS(Sales_Harian!$AF$8:$AF$507,Sales_Harian!$A$8:$A$507,$B$4,Sales_Harian!$B$8:$B$507,$A34)+SUMIFS(SPV_Harian!$AE$8:$AE$507,SPV_Harian!$A$8:$A$507,$B$4,SPV_Harian!$B$8:$B$507,$A34)+SUMIFS(ASM_Harian!$AE$8:$AE$507,ASM_Harian!$A$8:$A$507,$B$4,ASM_Harian!$B$8:$B$507,$A34))</f>
        <v/>
      </c>
      <c r="I34" s="12" t="str">
        <f>IF(OR($A34="",F34=0),"",SUMIFS(Sales_Harian!$AG$8:$AG$507,Sales_Harian!$A$8:$A$507,$B$4,Sales_Harian!$B$8:$B$507,$A34)+SUMIFS(SPV_Harian!$AF$8:$AF$507,SPV_Harian!$A$8:$A$507,$B$4,SPV_Harian!$B$8:$B$507,$A34)+SUMIFS(ASM_Harian!$AF$8:$AF$507,ASM_Harian!$A$8:$A$507,$B$4,ASM_Harian!$B$8:$B$507,$A34))</f>
        <v/>
      </c>
      <c r="J34" s="12" t="str">
        <f>IF(OR($A34="",F34=0),"",SUMIFS(Sales_Harian!$AH$8:$AH$507,Sales_Harian!$A$8:$A$507,$B$4,Sales_Harian!$B$8:$B$507,$A34)+SUMIFS(SPV_Harian!$AG$8:$AG$507,SPV_Harian!$A$8:$A$507,$B$4,SPV_Harian!$B$8:$B$507,$A34)+SUMIFS(ASM_Harian!$AG$8:$AG$507,ASM_Harian!$A$8:$A$507,$B$4,ASM_Harian!$B$8:$B$507,$A34))</f>
        <v/>
      </c>
      <c r="K34" s="12" t="str">
        <f>IF(OR($A34="",F34=0),"",SUMIFS(Sales_Harian!$AI$8:$AI$507,Sales_Harian!$A$8:$A$507,$B$4,Sales_Harian!$B$8:$B$507,$A34)+SUMIFS(SPV_Harian!$AH$8:$AH$507,SPV_Harian!$A$8:$A$507,$B$4,SPV_Harian!$B$8:$B$507,$A34)+SUMIFS(ASM_Harian!$AH$8:$AH$507,ASM_Harian!$A$8:$A$507,$B$4,ASM_Harian!$B$8:$B$507,$A34))</f>
        <v/>
      </c>
      <c r="L34" s="12" t="str">
        <f>IF(OR($A34="",F34=0),"",SUMIFS(Sales_Harian!$AK$8:$AK$507,Sales_Harian!$A$8:$A$507,$B$4,Sales_Harian!$B$8:$B$507,$A34)+SUMIFS(SPV_Harian!$AJ$8:$AJ$507,SPV_Harian!$A$8:$A$507,$B$4,SPV_Harian!$B$8:$B$507,$A34)+SUMIFS(ASM_Harian!$AJ$8:$AJ$507,ASM_Harian!$A$8:$A$507,$B$4,ASM_Harian!$B$8:$B$507,$A34))</f>
        <v/>
      </c>
      <c r="M34" s="13" t="str">
        <f t="shared" si="0"/>
        <v>n.a.</v>
      </c>
      <c r="N34" s="1" t="str">
        <f>IF($A34="","",IF(G34&lt;&gt;"Dikirim","",IF(COUNTIFS(Sales_Harian!$A$8:$A$507,$B$4,Sales_Harian!$B$8:$B$507,$A34,Sales_Harian!$AB$8:$AB$507,"Disetujui")+COUNTIFS(SPV_Harian!$A$8:$A$507,$B$4,SPV_Harian!$B$8:$B$507,$A34,SPV_Harian!$AA$8:$AA$507,"Disetujui")+COUNTIFS(ASM_Harian!$A$8:$A$507,$B$4,ASM_Harian!$B$8:$B$507,$A34,ASM_Harian!$AA$8:$AA$507,"Disetujui")=1,IF(COUNTIFS(Sales_Harian!$A$8:$A$507,$B$4,Sales_Harian!$B$8:$B$507,$A34,Sales_Harian!$AM$8:$AM$507,"&lt;&gt;OK")+COUNTIFS(SPV_Harian!$A$8:$A$507,$B$4,SPV_Harian!$B$8:$B$507,$A34,SPV_Harian!$AL$8:$AL$507,"&lt;&gt;OK")+COUNTIFS(ASM_Harian!$A$8:$A$507,$B$4,ASM_Harian!$B$8:$B$507,$A34,ASM_Harian!$AL$8:$AL$507,"&lt;&gt;OK")&gt;0,"Review belum valid","Disetujui"),IF(COUNTIFS(Sales_Harian!$A$8:$A$507,$B$4,Sales_Harian!$B$8:$B$507,$A34,Sales_Harian!$AB$8:$AB$507,"Perlu Perbaikan")+COUNTIFS(SPV_Harian!$A$8:$A$507,$B$4,SPV_Harian!$B$8:$B$507,$A34,SPV_Harian!$AA$8:$AA$507,"Perlu Perbaikan")+COUNTIFS(ASM_Harian!$A$8:$A$507,$B$4,ASM_Harian!$B$8:$B$507,$A34,ASM_Harian!$AA$8:$AA$507,"Perlu Perbaikan")=1,"Perlu Perbaikan","Belum Diperiksa"))))</f>
        <v/>
      </c>
      <c r="O34" s="1" t="str">
        <f>IF($A34="","",IF(F34=0,"Belum ada laporan",IF(F34&gt;1,"Hapus/benahi laporan ganda",IF(COUNTIFS(Sales_Harian!$A$8:$A$507,$B$4,Sales_Harian!$B$8:$B$507,$A34,Sales_Harian!$AM$8:$AM$507,"&lt;&gt;OK")+COUNTIFS(SPV_Harian!$A$8:$A$507,$B$4,SPV_Harian!$B$8:$B$507,$A34,SPV_Harian!$AL$8:$AL$507,"&lt;&gt;OK")+COUNTIFS(ASM_Harian!$A$8:$A$507,$B$4,ASM_Harian!$B$8:$B$507,$A34,ASM_Harian!$AL$8:$AL$507,"&lt;&gt;OK")&gt;0,"Periksa validasi_data",IF(SUM(J34:K34)&gt;0,"Ada kegiatan terbuka",IF(N34="Perlu Perbaikan","Tindak lanjuti review",IF(G34="Draft","Kirim laporan",IF(N34="Belum Diperiksa","Menunggu pemeriksaan",""))))))))</f>
        <v>Belum ada laporan</v>
      </c>
    </row>
    <row r="35" spans="1:15" ht="24" customHeight="1">
      <c r="A35" s="1" t="str">
        <f>IF(AND(Master_PIC!A24&lt;&gt;"",Master_PIC!G24="Aktif",Master_PIC!C24&lt;&gt;"Manager"),Master_PIC!A24,"")</f>
        <v>Sales13</v>
      </c>
      <c r="B35" s="1" t="str">
        <f>IF($A35="","",IF(Master_PIC!B24="","",Master_PIC!B24))</f>
        <v>Andi Supandi</v>
      </c>
      <c r="C35" s="1" t="str">
        <f>IF($A35="","",IF(Master_PIC!C24="","",Master_PIC!C24))</f>
        <v>Sales</v>
      </c>
      <c r="D35" s="1" t="str">
        <f>IF($A35="","",IF(Master_PIC!D24="","",Master_PIC!D24))</f>
        <v>Cirebon 1 (Lokal)</v>
      </c>
      <c r="E35" s="1" t="str">
        <f>IF($A35="","",IF(Master_PIC!E24="","",Master_PIC!E24))</f>
        <v>Timur</v>
      </c>
      <c r="F35" s="12">
        <f>IF($A35="","",COUNTIFS(Sales_Harian!$A$8:$A$507,$B$4,Sales_Harian!$B$8:$B$507,$A35)+COUNTIFS(SPV_Harian!$A$8:$A$507,$B$4,SPV_Harian!$B$8:$B$507,$A35)+COUNTIFS(ASM_Harian!$A$8:$A$507,$B$4,ASM_Harian!$B$8:$B$507,$A35))</f>
        <v>0</v>
      </c>
      <c r="G35" s="12" t="str">
        <f>IF($A35="","",IF(F35=0,"Belum Lapor",IF(F35&gt;1,"Data Ganda",IF(COUNTIFS(Sales_Harian!$A$8:$A$507,$B$4,Sales_Harian!$B$8:$B$507,$A35,Sales_Harian!$Z$8:$Z$507,"Dikirim")+COUNTIFS(SPV_Harian!$A$8:$A$507,$B$4,SPV_Harian!$B$8:$B$507,$A35,SPV_Harian!$Y$8:$Y$507,"Dikirim")+COUNTIFS(ASM_Harian!$A$8:$A$507,$B$4,ASM_Harian!$B$8:$B$507,$A35,ASM_Harian!$Y$8:$Y$507,"Dikirim")=1,"Dikirim","Draft"))))</f>
        <v>Belum Lapor</v>
      </c>
      <c r="H35" s="12" t="str">
        <f>IF(OR($A35="",F35=0),"",SUMIFS(Sales_Harian!$AF$8:$AF$507,Sales_Harian!$A$8:$A$507,$B$4,Sales_Harian!$B$8:$B$507,$A35)+SUMIFS(SPV_Harian!$AE$8:$AE$507,SPV_Harian!$A$8:$A$507,$B$4,SPV_Harian!$B$8:$B$507,$A35)+SUMIFS(ASM_Harian!$AE$8:$AE$507,ASM_Harian!$A$8:$A$507,$B$4,ASM_Harian!$B$8:$B$507,$A35))</f>
        <v/>
      </c>
      <c r="I35" s="12" t="str">
        <f>IF(OR($A35="",F35=0),"",SUMIFS(Sales_Harian!$AG$8:$AG$507,Sales_Harian!$A$8:$A$507,$B$4,Sales_Harian!$B$8:$B$507,$A35)+SUMIFS(SPV_Harian!$AF$8:$AF$507,SPV_Harian!$A$8:$A$507,$B$4,SPV_Harian!$B$8:$B$507,$A35)+SUMIFS(ASM_Harian!$AF$8:$AF$507,ASM_Harian!$A$8:$A$507,$B$4,ASM_Harian!$B$8:$B$507,$A35))</f>
        <v/>
      </c>
      <c r="J35" s="12" t="str">
        <f>IF(OR($A35="",F35=0),"",SUMIFS(Sales_Harian!$AH$8:$AH$507,Sales_Harian!$A$8:$A$507,$B$4,Sales_Harian!$B$8:$B$507,$A35)+SUMIFS(SPV_Harian!$AG$8:$AG$507,SPV_Harian!$A$8:$A$507,$B$4,SPV_Harian!$B$8:$B$507,$A35)+SUMIFS(ASM_Harian!$AG$8:$AG$507,ASM_Harian!$A$8:$A$507,$B$4,ASM_Harian!$B$8:$B$507,$A35))</f>
        <v/>
      </c>
      <c r="K35" s="12" t="str">
        <f>IF(OR($A35="",F35=0),"",SUMIFS(Sales_Harian!$AI$8:$AI$507,Sales_Harian!$A$8:$A$507,$B$4,Sales_Harian!$B$8:$B$507,$A35)+SUMIFS(SPV_Harian!$AH$8:$AH$507,SPV_Harian!$A$8:$A$507,$B$4,SPV_Harian!$B$8:$B$507,$A35)+SUMIFS(ASM_Harian!$AH$8:$AH$507,ASM_Harian!$A$8:$A$507,$B$4,ASM_Harian!$B$8:$B$507,$A35))</f>
        <v/>
      </c>
      <c r="L35" s="12" t="str">
        <f>IF(OR($A35="",F35=0),"",SUMIFS(Sales_Harian!$AK$8:$AK$507,Sales_Harian!$A$8:$A$507,$B$4,Sales_Harian!$B$8:$B$507,$A35)+SUMIFS(SPV_Harian!$AJ$8:$AJ$507,SPV_Harian!$A$8:$A$507,$B$4,SPV_Harian!$B$8:$B$507,$A35)+SUMIFS(ASM_Harian!$AJ$8:$AJ$507,ASM_Harian!$A$8:$A$507,$B$4,ASM_Harian!$B$8:$B$507,$A35))</f>
        <v/>
      </c>
      <c r="M35" s="13" t="str">
        <f t="shared" si="0"/>
        <v>n.a.</v>
      </c>
      <c r="N35" s="1" t="str">
        <f>IF($A35="","",IF(G35&lt;&gt;"Dikirim","",IF(COUNTIFS(Sales_Harian!$A$8:$A$507,$B$4,Sales_Harian!$B$8:$B$507,$A35,Sales_Harian!$AB$8:$AB$507,"Disetujui")+COUNTIFS(SPV_Harian!$A$8:$A$507,$B$4,SPV_Harian!$B$8:$B$507,$A35,SPV_Harian!$AA$8:$AA$507,"Disetujui")+COUNTIFS(ASM_Harian!$A$8:$A$507,$B$4,ASM_Harian!$B$8:$B$507,$A35,ASM_Harian!$AA$8:$AA$507,"Disetujui")=1,IF(COUNTIFS(Sales_Harian!$A$8:$A$507,$B$4,Sales_Harian!$B$8:$B$507,$A35,Sales_Harian!$AM$8:$AM$507,"&lt;&gt;OK")+COUNTIFS(SPV_Harian!$A$8:$A$507,$B$4,SPV_Harian!$B$8:$B$507,$A35,SPV_Harian!$AL$8:$AL$507,"&lt;&gt;OK")+COUNTIFS(ASM_Harian!$A$8:$A$507,$B$4,ASM_Harian!$B$8:$B$507,$A35,ASM_Harian!$AL$8:$AL$507,"&lt;&gt;OK")&gt;0,"Review belum valid","Disetujui"),IF(COUNTIFS(Sales_Harian!$A$8:$A$507,$B$4,Sales_Harian!$B$8:$B$507,$A35,Sales_Harian!$AB$8:$AB$507,"Perlu Perbaikan")+COUNTIFS(SPV_Harian!$A$8:$A$507,$B$4,SPV_Harian!$B$8:$B$507,$A35,SPV_Harian!$AA$8:$AA$507,"Perlu Perbaikan")+COUNTIFS(ASM_Harian!$A$8:$A$507,$B$4,ASM_Harian!$B$8:$B$507,$A35,ASM_Harian!$AA$8:$AA$507,"Perlu Perbaikan")=1,"Perlu Perbaikan","Belum Diperiksa"))))</f>
        <v/>
      </c>
      <c r="O35" s="1" t="str">
        <f>IF($A35="","",IF(F35=0,"Belum ada laporan",IF(F35&gt;1,"Hapus/benahi laporan ganda",IF(COUNTIFS(Sales_Harian!$A$8:$A$507,$B$4,Sales_Harian!$B$8:$B$507,$A35,Sales_Harian!$AM$8:$AM$507,"&lt;&gt;OK")+COUNTIFS(SPV_Harian!$A$8:$A$507,$B$4,SPV_Harian!$B$8:$B$507,$A35,SPV_Harian!$AL$8:$AL$507,"&lt;&gt;OK")+COUNTIFS(ASM_Harian!$A$8:$A$507,$B$4,ASM_Harian!$B$8:$B$507,$A35,ASM_Harian!$AL$8:$AL$507,"&lt;&gt;OK")&gt;0,"Periksa validasi_data",IF(SUM(J35:K35)&gt;0,"Ada kegiatan terbuka",IF(N35="Perlu Perbaikan","Tindak lanjuti review",IF(G35="Draft","Kirim laporan",IF(N35="Belum Diperiksa","Menunggu pemeriksaan",""))))))))</f>
        <v>Belum ada laporan</v>
      </c>
    </row>
    <row r="36" spans="1:15" ht="24" customHeight="1">
      <c r="A36" s="1" t="str">
        <f>IF(AND(Master_PIC!A25&lt;&gt;"",Master_PIC!G25="Aktif",Master_PIC!C25&lt;&gt;"Manager"),Master_PIC!A25,"")</f>
        <v>Sales14</v>
      </c>
      <c r="B36" s="1" t="str">
        <f>IF($A36="","",IF(Master_PIC!B25="","",Master_PIC!B25))</f>
        <v>Indra</v>
      </c>
      <c r="C36" s="1" t="str">
        <f>IF($A36="","",IF(Master_PIC!C25="","",Master_PIC!C25))</f>
        <v>Sales</v>
      </c>
      <c r="D36" s="1" t="str">
        <f>IF($A36="","",IF(Master_PIC!D25="","",Master_PIC!D25))</f>
        <v>Cirebon 1 (Lokal)</v>
      </c>
      <c r="E36" s="1" t="str">
        <f>IF($A36="","",IF(Master_PIC!E25="","",Master_PIC!E25))</f>
        <v>Timur</v>
      </c>
      <c r="F36" s="12">
        <f>IF($A36="","",COUNTIFS(Sales_Harian!$A$8:$A$507,$B$4,Sales_Harian!$B$8:$B$507,$A36)+COUNTIFS(SPV_Harian!$A$8:$A$507,$B$4,SPV_Harian!$B$8:$B$507,$A36)+COUNTIFS(ASM_Harian!$A$8:$A$507,$B$4,ASM_Harian!$B$8:$B$507,$A36))</f>
        <v>0</v>
      </c>
      <c r="G36" s="12" t="str">
        <f>IF($A36="","",IF(F36=0,"Belum Lapor",IF(F36&gt;1,"Data Ganda",IF(COUNTIFS(Sales_Harian!$A$8:$A$507,$B$4,Sales_Harian!$B$8:$B$507,$A36,Sales_Harian!$Z$8:$Z$507,"Dikirim")+COUNTIFS(SPV_Harian!$A$8:$A$507,$B$4,SPV_Harian!$B$8:$B$507,$A36,SPV_Harian!$Y$8:$Y$507,"Dikirim")+COUNTIFS(ASM_Harian!$A$8:$A$507,$B$4,ASM_Harian!$B$8:$B$507,$A36,ASM_Harian!$Y$8:$Y$507,"Dikirim")=1,"Dikirim","Draft"))))</f>
        <v>Belum Lapor</v>
      </c>
      <c r="H36" s="12" t="str">
        <f>IF(OR($A36="",F36=0),"",SUMIFS(Sales_Harian!$AF$8:$AF$507,Sales_Harian!$A$8:$A$507,$B$4,Sales_Harian!$B$8:$B$507,$A36)+SUMIFS(SPV_Harian!$AE$8:$AE$507,SPV_Harian!$A$8:$A$507,$B$4,SPV_Harian!$B$8:$B$507,$A36)+SUMIFS(ASM_Harian!$AE$8:$AE$507,ASM_Harian!$A$8:$A$507,$B$4,ASM_Harian!$B$8:$B$507,$A36))</f>
        <v/>
      </c>
      <c r="I36" s="12" t="str">
        <f>IF(OR($A36="",F36=0),"",SUMIFS(Sales_Harian!$AG$8:$AG$507,Sales_Harian!$A$8:$A$507,$B$4,Sales_Harian!$B$8:$B$507,$A36)+SUMIFS(SPV_Harian!$AF$8:$AF$507,SPV_Harian!$A$8:$A$507,$B$4,SPV_Harian!$B$8:$B$507,$A36)+SUMIFS(ASM_Harian!$AF$8:$AF$507,ASM_Harian!$A$8:$A$507,$B$4,ASM_Harian!$B$8:$B$507,$A36))</f>
        <v/>
      </c>
      <c r="J36" s="12" t="str">
        <f>IF(OR($A36="",F36=0),"",SUMIFS(Sales_Harian!$AH$8:$AH$507,Sales_Harian!$A$8:$A$507,$B$4,Sales_Harian!$B$8:$B$507,$A36)+SUMIFS(SPV_Harian!$AG$8:$AG$507,SPV_Harian!$A$8:$A$507,$B$4,SPV_Harian!$B$8:$B$507,$A36)+SUMIFS(ASM_Harian!$AG$8:$AG$507,ASM_Harian!$A$8:$A$507,$B$4,ASM_Harian!$B$8:$B$507,$A36))</f>
        <v/>
      </c>
      <c r="K36" s="12" t="str">
        <f>IF(OR($A36="",F36=0),"",SUMIFS(Sales_Harian!$AI$8:$AI$507,Sales_Harian!$A$8:$A$507,$B$4,Sales_Harian!$B$8:$B$507,$A36)+SUMIFS(SPV_Harian!$AH$8:$AH$507,SPV_Harian!$A$8:$A$507,$B$4,SPV_Harian!$B$8:$B$507,$A36)+SUMIFS(ASM_Harian!$AH$8:$AH$507,ASM_Harian!$A$8:$A$507,$B$4,ASM_Harian!$B$8:$B$507,$A36))</f>
        <v/>
      </c>
      <c r="L36" s="12" t="str">
        <f>IF(OR($A36="",F36=0),"",SUMIFS(Sales_Harian!$AK$8:$AK$507,Sales_Harian!$A$8:$A$507,$B$4,Sales_Harian!$B$8:$B$507,$A36)+SUMIFS(SPV_Harian!$AJ$8:$AJ$507,SPV_Harian!$A$8:$A$507,$B$4,SPV_Harian!$B$8:$B$507,$A36)+SUMIFS(ASM_Harian!$AJ$8:$AJ$507,ASM_Harian!$A$8:$A$507,$B$4,ASM_Harian!$B$8:$B$507,$A36))</f>
        <v/>
      </c>
      <c r="M36" s="13" t="str">
        <f t="shared" si="0"/>
        <v>n.a.</v>
      </c>
      <c r="N36" s="1" t="str">
        <f>IF($A36="","",IF(G36&lt;&gt;"Dikirim","",IF(COUNTIFS(Sales_Harian!$A$8:$A$507,$B$4,Sales_Harian!$B$8:$B$507,$A36,Sales_Harian!$AB$8:$AB$507,"Disetujui")+COUNTIFS(SPV_Harian!$A$8:$A$507,$B$4,SPV_Harian!$B$8:$B$507,$A36,SPV_Harian!$AA$8:$AA$507,"Disetujui")+COUNTIFS(ASM_Harian!$A$8:$A$507,$B$4,ASM_Harian!$B$8:$B$507,$A36,ASM_Harian!$AA$8:$AA$507,"Disetujui")=1,IF(COUNTIFS(Sales_Harian!$A$8:$A$507,$B$4,Sales_Harian!$B$8:$B$507,$A36,Sales_Harian!$AM$8:$AM$507,"&lt;&gt;OK")+COUNTIFS(SPV_Harian!$A$8:$A$507,$B$4,SPV_Harian!$B$8:$B$507,$A36,SPV_Harian!$AL$8:$AL$507,"&lt;&gt;OK")+COUNTIFS(ASM_Harian!$A$8:$A$507,$B$4,ASM_Harian!$B$8:$B$507,$A36,ASM_Harian!$AL$8:$AL$507,"&lt;&gt;OK")&gt;0,"Review belum valid","Disetujui"),IF(COUNTIFS(Sales_Harian!$A$8:$A$507,$B$4,Sales_Harian!$B$8:$B$507,$A36,Sales_Harian!$AB$8:$AB$507,"Perlu Perbaikan")+COUNTIFS(SPV_Harian!$A$8:$A$507,$B$4,SPV_Harian!$B$8:$B$507,$A36,SPV_Harian!$AA$8:$AA$507,"Perlu Perbaikan")+COUNTIFS(ASM_Harian!$A$8:$A$507,$B$4,ASM_Harian!$B$8:$B$507,$A36,ASM_Harian!$AA$8:$AA$507,"Perlu Perbaikan")=1,"Perlu Perbaikan","Belum Diperiksa"))))</f>
        <v/>
      </c>
      <c r="O36" s="1" t="str">
        <f>IF($A36="","",IF(F36=0,"Belum ada laporan",IF(F36&gt;1,"Hapus/benahi laporan ganda",IF(COUNTIFS(Sales_Harian!$A$8:$A$507,$B$4,Sales_Harian!$B$8:$B$507,$A36,Sales_Harian!$AM$8:$AM$507,"&lt;&gt;OK")+COUNTIFS(SPV_Harian!$A$8:$A$507,$B$4,SPV_Harian!$B$8:$B$507,$A36,SPV_Harian!$AL$8:$AL$507,"&lt;&gt;OK")+COUNTIFS(ASM_Harian!$A$8:$A$507,$B$4,ASM_Harian!$B$8:$B$507,$A36,ASM_Harian!$AL$8:$AL$507,"&lt;&gt;OK")&gt;0,"Periksa validasi_data",IF(SUM(J36:K36)&gt;0,"Ada kegiatan terbuka",IF(N36="Perlu Perbaikan","Tindak lanjuti review",IF(G36="Draft","Kirim laporan",IF(N36="Belum Diperiksa","Menunggu pemeriksaan",""))))))))</f>
        <v>Belum ada laporan</v>
      </c>
    </row>
    <row r="37" spans="1:15" ht="24" customHeight="1">
      <c r="A37" s="1" t="str">
        <f>IF(AND(Master_PIC!A26&lt;&gt;"",Master_PIC!G26="Aktif",Master_PIC!C26&lt;&gt;"Manager"),Master_PIC!A26,"")</f>
        <v>Sch01</v>
      </c>
      <c r="B37" s="1" t="str">
        <f>IF($A37="","",IF(Master_PIC!B26="","",Master_PIC!B26))</f>
        <v>Benny Medianto Wibowo</v>
      </c>
      <c r="C37" s="1" t="str">
        <f>IF($A37="","",IF(Master_PIC!C26="","",Master_PIC!C26))</f>
        <v>Sales</v>
      </c>
      <c r="D37" s="1" t="str">
        <f>IF($A37="","",IF(Master_PIC!D26="","",Master_PIC!D26))</f>
        <v>Cirebon 1 (Lokal)</v>
      </c>
      <c r="E37" s="1" t="str">
        <f>IF($A37="","",IF(Master_PIC!E26="","",Master_PIC!E26))</f>
        <v>Timur</v>
      </c>
      <c r="F37" s="12">
        <f>IF($A37="","",COUNTIFS(Sales_Harian!$A$8:$A$507,$B$4,Sales_Harian!$B$8:$B$507,$A37)+COUNTIFS(SPV_Harian!$A$8:$A$507,$B$4,SPV_Harian!$B$8:$B$507,$A37)+COUNTIFS(ASM_Harian!$A$8:$A$507,$B$4,ASM_Harian!$B$8:$B$507,$A37))</f>
        <v>0</v>
      </c>
      <c r="G37" s="12" t="str">
        <f>IF($A37="","",IF(F37=0,"Belum Lapor",IF(F37&gt;1,"Data Ganda",IF(COUNTIFS(Sales_Harian!$A$8:$A$507,$B$4,Sales_Harian!$B$8:$B$507,$A37,Sales_Harian!$Z$8:$Z$507,"Dikirim")+COUNTIFS(SPV_Harian!$A$8:$A$507,$B$4,SPV_Harian!$B$8:$B$507,$A37,SPV_Harian!$Y$8:$Y$507,"Dikirim")+COUNTIFS(ASM_Harian!$A$8:$A$507,$B$4,ASM_Harian!$B$8:$B$507,$A37,ASM_Harian!$Y$8:$Y$507,"Dikirim")=1,"Dikirim","Draft"))))</f>
        <v>Belum Lapor</v>
      </c>
      <c r="H37" s="12" t="str">
        <f>IF(OR($A37="",F37=0),"",SUMIFS(Sales_Harian!$AF$8:$AF$507,Sales_Harian!$A$8:$A$507,$B$4,Sales_Harian!$B$8:$B$507,$A37)+SUMIFS(SPV_Harian!$AE$8:$AE$507,SPV_Harian!$A$8:$A$507,$B$4,SPV_Harian!$B$8:$B$507,$A37)+SUMIFS(ASM_Harian!$AE$8:$AE$507,ASM_Harian!$A$8:$A$507,$B$4,ASM_Harian!$B$8:$B$507,$A37))</f>
        <v/>
      </c>
      <c r="I37" s="12" t="str">
        <f>IF(OR($A37="",F37=0),"",SUMIFS(Sales_Harian!$AG$8:$AG$507,Sales_Harian!$A$8:$A$507,$B$4,Sales_Harian!$B$8:$B$507,$A37)+SUMIFS(SPV_Harian!$AF$8:$AF$507,SPV_Harian!$A$8:$A$507,$B$4,SPV_Harian!$B$8:$B$507,$A37)+SUMIFS(ASM_Harian!$AF$8:$AF$507,ASM_Harian!$A$8:$A$507,$B$4,ASM_Harian!$B$8:$B$507,$A37))</f>
        <v/>
      </c>
      <c r="J37" s="12" t="str">
        <f>IF(OR($A37="",F37=0),"",SUMIFS(Sales_Harian!$AH$8:$AH$507,Sales_Harian!$A$8:$A$507,$B$4,Sales_Harian!$B$8:$B$507,$A37)+SUMIFS(SPV_Harian!$AG$8:$AG$507,SPV_Harian!$A$8:$A$507,$B$4,SPV_Harian!$B$8:$B$507,$A37)+SUMIFS(ASM_Harian!$AG$8:$AG$507,ASM_Harian!$A$8:$A$507,$B$4,ASM_Harian!$B$8:$B$507,$A37))</f>
        <v/>
      </c>
      <c r="K37" s="12" t="str">
        <f>IF(OR($A37="",F37=0),"",SUMIFS(Sales_Harian!$AI$8:$AI$507,Sales_Harian!$A$8:$A$507,$B$4,Sales_Harian!$B$8:$B$507,$A37)+SUMIFS(SPV_Harian!$AH$8:$AH$507,SPV_Harian!$A$8:$A$507,$B$4,SPV_Harian!$B$8:$B$507,$A37)+SUMIFS(ASM_Harian!$AH$8:$AH$507,ASM_Harian!$A$8:$A$507,$B$4,ASM_Harian!$B$8:$B$507,$A37))</f>
        <v/>
      </c>
      <c r="L37" s="12" t="str">
        <f>IF(OR($A37="",F37=0),"",SUMIFS(Sales_Harian!$AK$8:$AK$507,Sales_Harian!$A$8:$A$507,$B$4,Sales_Harian!$B$8:$B$507,$A37)+SUMIFS(SPV_Harian!$AJ$8:$AJ$507,SPV_Harian!$A$8:$A$507,$B$4,SPV_Harian!$B$8:$B$507,$A37)+SUMIFS(ASM_Harian!$AJ$8:$AJ$507,ASM_Harian!$A$8:$A$507,$B$4,ASM_Harian!$B$8:$B$507,$A37))</f>
        <v/>
      </c>
      <c r="M37" s="13" t="str">
        <f t="shared" si="0"/>
        <v>n.a.</v>
      </c>
      <c r="N37" s="1" t="str">
        <f>IF($A37="","",IF(G37&lt;&gt;"Dikirim","",IF(COUNTIFS(Sales_Harian!$A$8:$A$507,$B$4,Sales_Harian!$B$8:$B$507,$A37,Sales_Harian!$AB$8:$AB$507,"Disetujui")+COUNTIFS(SPV_Harian!$A$8:$A$507,$B$4,SPV_Harian!$B$8:$B$507,$A37,SPV_Harian!$AA$8:$AA$507,"Disetujui")+COUNTIFS(ASM_Harian!$A$8:$A$507,$B$4,ASM_Harian!$B$8:$B$507,$A37,ASM_Harian!$AA$8:$AA$507,"Disetujui")=1,IF(COUNTIFS(Sales_Harian!$A$8:$A$507,$B$4,Sales_Harian!$B$8:$B$507,$A37,Sales_Harian!$AM$8:$AM$507,"&lt;&gt;OK")+COUNTIFS(SPV_Harian!$A$8:$A$507,$B$4,SPV_Harian!$B$8:$B$507,$A37,SPV_Harian!$AL$8:$AL$507,"&lt;&gt;OK")+COUNTIFS(ASM_Harian!$A$8:$A$507,$B$4,ASM_Harian!$B$8:$B$507,$A37,ASM_Harian!$AL$8:$AL$507,"&lt;&gt;OK")&gt;0,"Review belum valid","Disetujui"),IF(COUNTIFS(Sales_Harian!$A$8:$A$507,$B$4,Sales_Harian!$B$8:$B$507,$A37,Sales_Harian!$AB$8:$AB$507,"Perlu Perbaikan")+COUNTIFS(SPV_Harian!$A$8:$A$507,$B$4,SPV_Harian!$B$8:$B$507,$A37,SPV_Harian!$AA$8:$AA$507,"Perlu Perbaikan")+COUNTIFS(ASM_Harian!$A$8:$A$507,$B$4,ASM_Harian!$B$8:$B$507,$A37,ASM_Harian!$AA$8:$AA$507,"Perlu Perbaikan")=1,"Perlu Perbaikan","Belum Diperiksa"))))</f>
        <v/>
      </c>
      <c r="O37" s="1" t="str">
        <f>IF($A37="","",IF(F37=0,"Belum ada laporan",IF(F37&gt;1,"Hapus/benahi laporan ganda",IF(COUNTIFS(Sales_Harian!$A$8:$A$507,$B$4,Sales_Harian!$B$8:$B$507,$A37,Sales_Harian!$AM$8:$AM$507,"&lt;&gt;OK")+COUNTIFS(SPV_Harian!$A$8:$A$507,$B$4,SPV_Harian!$B$8:$B$507,$A37,SPV_Harian!$AL$8:$AL$507,"&lt;&gt;OK")+COUNTIFS(ASM_Harian!$A$8:$A$507,$B$4,ASM_Harian!$B$8:$B$507,$A37,ASM_Harian!$AL$8:$AL$507,"&lt;&gt;OK")&gt;0,"Periksa validasi_data",IF(SUM(J37:K37)&gt;0,"Ada kegiatan terbuka",IF(N37="Perlu Perbaikan","Tindak lanjuti review",IF(G37="Draft","Kirim laporan",IF(N37="Belum Diperiksa","Menunggu pemeriksaan",""))))))))</f>
        <v>Belum ada laporan</v>
      </c>
    </row>
    <row r="38" spans="1:15" ht="24" customHeight="1">
      <c r="A38" s="1" t="str">
        <f>IF(AND(Master_PIC!A28&lt;&gt;"",Master_PIC!G28="Aktif",Master_PIC!C28&lt;&gt;"Manager"),Master_PIC!A28,"")</f>
        <v>Sales15</v>
      </c>
      <c r="B38" s="1" t="str">
        <f>IF($A38="","",IF(Master_PIC!B28="","",Master_PIC!B28))</f>
        <v>Taufik Firmansyah SBFI Bandung</v>
      </c>
      <c r="C38" s="1" t="str">
        <f>IF($A38="","",IF(Master_PIC!C28="","",Master_PIC!C28))</f>
        <v>Sales</v>
      </c>
      <c r="D38" s="1" t="str">
        <f>IF($A38="","",IF(Master_PIC!D28="","",Master_PIC!D28))</f>
        <v>Bandung</v>
      </c>
      <c r="E38" s="1" t="str">
        <f>IF($A38="","",IF(Master_PIC!E28="","",Master_PIC!E28))</f>
        <v>Timur</v>
      </c>
      <c r="F38" s="12">
        <f>IF($A38="","",COUNTIFS(Sales_Harian!$A$8:$A$507,$B$4,Sales_Harian!$B$8:$B$507,$A38)+COUNTIFS(SPV_Harian!$A$8:$A$507,$B$4,SPV_Harian!$B$8:$B$507,$A38)+COUNTIFS(ASM_Harian!$A$8:$A$507,$B$4,ASM_Harian!$B$8:$B$507,$A38))</f>
        <v>0</v>
      </c>
      <c r="G38" s="12" t="str">
        <f>IF($A38="","",IF(F38=0,"Belum Lapor",IF(F38&gt;1,"Data Ganda",IF(COUNTIFS(Sales_Harian!$A$8:$A$507,$B$4,Sales_Harian!$B$8:$B$507,$A38,Sales_Harian!$Z$8:$Z$507,"Dikirim")+COUNTIFS(SPV_Harian!$A$8:$A$507,$B$4,SPV_Harian!$B$8:$B$507,$A38,SPV_Harian!$Y$8:$Y$507,"Dikirim")+COUNTIFS(ASM_Harian!$A$8:$A$507,$B$4,ASM_Harian!$B$8:$B$507,$A38,ASM_Harian!$Y$8:$Y$507,"Dikirim")=1,"Dikirim","Draft"))))</f>
        <v>Belum Lapor</v>
      </c>
      <c r="H38" s="12" t="str">
        <f>IF(OR($A38="",F38=0),"",SUMIFS(Sales_Harian!$AF$8:$AF$507,Sales_Harian!$A$8:$A$507,$B$4,Sales_Harian!$B$8:$B$507,$A38)+SUMIFS(SPV_Harian!$AE$8:$AE$507,SPV_Harian!$A$8:$A$507,$B$4,SPV_Harian!$B$8:$B$507,$A38)+SUMIFS(ASM_Harian!$AE$8:$AE$507,ASM_Harian!$A$8:$A$507,$B$4,ASM_Harian!$B$8:$B$507,$A38))</f>
        <v/>
      </c>
      <c r="I38" s="12" t="str">
        <f>IF(OR($A38="",F38=0),"",SUMIFS(Sales_Harian!$AG$8:$AG$507,Sales_Harian!$A$8:$A$507,$B$4,Sales_Harian!$B$8:$B$507,$A38)+SUMIFS(SPV_Harian!$AF$8:$AF$507,SPV_Harian!$A$8:$A$507,$B$4,SPV_Harian!$B$8:$B$507,$A38)+SUMIFS(ASM_Harian!$AF$8:$AF$507,ASM_Harian!$A$8:$A$507,$B$4,ASM_Harian!$B$8:$B$507,$A38))</f>
        <v/>
      </c>
      <c r="J38" s="12" t="str">
        <f>IF(OR($A38="",F38=0),"",SUMIFS(Sales_Harian!$AH$8:$AH$507,Sales_Harian!$A$8:$A$507,$B$4,Sales_Harian!$B$8:$B$507,$A38)+SUMIFS(SPV_Harian!$AG$8:$AG$507,SPV_Harian!$A$8:$A$507,$B$4,SPV_Harian!$B$8:$B$507,$A38)+SUMIFS(ASM_Harian!$AG$8:$AG$507,ASM_Harian!$A$8:$A$507,$B$4,ASM_Harian!$B$8:$B$507,$A38))</f>
        <v/>
      </c>
      <c r="K38" s="12" t="str">
        <f>IF(OR($A38="",F38=0),"",SUMIFS(Sales_Harian!$AI$8:$AI$507,Sales_Harian!$A$8:$A$507,$B$4,Sales_Harian!$B$8:$B$507,$A38)+SUMIFS(SPV_Harian!$AH$8:$AH$507,SPV_Harian!$A$8:$A$507,$B$4,SPV_Harian!$B$8:$B$507,$A38)+SUMIFS(ASM_Harian!$AH$8:$AH$507,ASM_Harian!$A$8:$A$507,$B$4,ASM_Harian!$B$8:$B$507,$A38))</f>
        <v/>
      </c>
      <c r="L38" s="12" t="str">
        <f>IF(OR($A38="",F38=0),"",SUMIFS(Sales_Harian!$AK$8:$AK$507,Sales_Harian!$A$8:$A$507,$B$4,Sales_Harian!$B$8:$B$507,$A38)+SUMIFS(SPV_Harian!$AJ$8:$AJ$507,SPV_Harian!$A$8:$A$507,$B$4,SPV_Harian!$B$8:$B$507,$A38)+SUMIFS(ASM_Harian!$AJ$8:$AJ$507,ASM_Harian!$A$8:$A$507,$B$4,ASM_Harian!$B$8:$B$507,$A38))</f>
        <v/>
      </c>
      <c r="M38" s="13" t="str">
        <f t="shared" si="0"/>
        <v>n.a.</v>
      </c>
      <c r="N38" s="1" t="str">
        <f>IF($A38="","",IF(G38&lt;&gt;"Dikirim","",IF(COUNTIFS(Sales_Harian!$A$8:$A$507,$B$4,Sales_Harian!$B$8:$B$507,$A38,Sales_Harian!$AB$8:$AB$507,"Disetujui")+COUNTIFS(SPV_Harian!$A$8:$A$507,$B$4,SPV_Harian!$B$8:$B$507,$A38,SPV_Harian!$AA$8:$AA$507,"Disetujui")+COUNTIFS(ASM_Harian!$A$8:$A$507,$B$4,ASM_Harian!$B$8:$B$507,$A38,ASM_Harian!$AA$8:$AA$507,"Disetujui")=1,IF(COUNTIFS(Sales_Harian!$A$8:$A$507,$B$4,Sales_Harian!$B$8:$B$507,$A38,Sales_Harian!$AM$8:$AM$507,"&lt;&gt;OK")+COUNTIFS(SPV_Harian!$A$8:$A$507,$B$4,SPV_Harian!$B$8:$B$507,$A38,SPV_Harian!$AL$8:$AL$507,"&lt;&gt;OK")+COUNTIFS(ASM_Harian!$A$8:$A$507,$B$4,ASM_Harian!$B$8:$B$507,$A38,ASM_Harian!$AL$8:$AL$507,"&lt;&gt;OK")&gt;0,"Review belum valid","Disetujui"),IF(COUNTIFS(Sales_Harian!$A$8:$A$507,$B$4,Sales_Harian!$B$8:$B$507,$A38,Sales_Harian!$AB$8:$AB$507,"Perlu Perbaikan")+COUNTIFS(SPV_Harian!$A$8:$A$507,$B$4,SPV_Harian!$B$8:$B$507,$A38,SPV_Harian!$AA$8:$AA$507,"Perlu Perbaikan")+COUNTIFS(ASM_Harian!$A$8:$A$507,$B$4,ASM_Harian!$B$8:$B$507,$A38,ASM_Harian!$AA$8:$AA$507,"Perlu Perbaikan")=1,"Perlu Perbaikan","Belum Diperiksa"))))</f>
        <v/>
      </c>
      <c r="O38" s="1" t="str">
        <f>IF($A38="","",IF(F38=0,"Belum ada laporan",IF(F38&gt;1,"Hapus/benahi laporan ganda",IF(COUNTIFS(Sales_Harian!$A$8:$A$507,$B$4,Sales_Harian!$B$8:$B$507,$A38,Sales_Harian!$AM$8:$AM$507,"&lt;&gt;OK")+COUNTIFS(SPV_Harian!$A$8:$A$507,$B$4,SPV_Harian!$B$8:$B$507,$A38,SPV_Harian!$AL$8:$AL$507,"&lt;&gt;OK")+COUNTIFS(ASM_Harian!$A$8:$A$507,$B$4,ASM_Harian!$B$8:$B$507,$A38,ASM_Harian!$AL$8:$AL$507,"&lt;&gt;OK")&gt;0,"Periksa validasi_data",IF(SUM(J38:K38)&gt;0,"Ada kegiatan terbuka",IF(N38="Perlu Perbaikan","Tindak lanjuti review",IF(G38="Draft","Kirim laporan",IF(N38="Belum Diperiksa","Menunggu pemeriksaan",""))))))))</f>
        <v>Belum ada laporan</v>
      </c>
    </row>
    <row r="39" spans="1:15" ht="24" customHeight="1">
      <c r="A39" s="1" t="str">
        <f>IF(AND(Master_PIC!A29&lt;&gt;"",Master_PIC!G29="Aktif",Master_PIC!C29&lt;&gt;"Manager"),Master_PIC!A29,"")</f>
        <v>Sales16</v>
      </c>
      <c r="B39" s="1" t="str">
        <f>IF($A39="","",IF(Master_PIC!B29="","",Master_PIC!B29))</f>
        <v>Andri Umbara SBFI Bandung</v>
      </c>
      <c r="C39" s="1" t="str">
        <f>IF($A39="","",IF(Master_PIC!C29="","",Master_PIC!C29))</f>
        <v>Sales</v>
      </c>
      <c r="D39" s="1" t="str">
        <f>IF($A39="","",IF(Master_PIC!D29="","",Master_PIC!D29))</f>
        <v>Bandung</v>
      </c>
      <c r="E39" s="1" t="str">
        <f>IF($A39="","",IF(Master_PIC!E29="","",Master_PIC!E29))</f>
        <v>Timur</v>
      </c>
      <c r="F39" s="12">
        <f>IF($A39="","",COUNTIFS(Sales_Harian!$A$8:$A$507,$B$4,Sales_Harian!$B$8:$B$507,$A39)+COUNTIFS(SPV_Harian!$A$8:$A$507,$B$4,SPV_Harian!$B$8:$B$507,$A39)+COUNTIFS(ASM_Harian!$A$8:$A$507,$B$4,ASM_Harian!$B$8:$B$507,$A39))</f>
        <v>0</v>
      </c>
      <c r="G39" s="12" t="str">
        <f>IF($A39="","",IF(F39=0,"Belum Lapor",IF(F39&gt;1,"Data Ganda",IF(COUNTIFS(Sales_Harian!$A$8:$A$507,$B$4,Sales_Harian!$B$8:$B$507,$A39,Sales_Harian!$Z$8:$Z$507,"Dikirim")+COUNTIFS(SPV_Harian!$A$8:$A$507,$B$4,SPV_Harian!$B$8:$B$507,$A39,SPV_Harian!$Y$8:$Y$507,"Dikirim")+COUNTIFS(ASM_Harian!$A$8:$A$507,$B$4,ASM_Harian!$B$8:$B$507,$A39,ASM_Harian!$Y$8:$Y$507,"Dikirim")=1,"Dikirim","Draft"))))</f>
        <v>Belum Lapor</v>
      </c>
      <c r="H39" s="12" t="str">
        <f>IF(OR($A39="",F39=0),"",SUMIFS(Sales_Harian!$AF$8:$AF$507,Sales_Harian!$A$8:$A$507,$B$4,Sales_Harian!$B$8:$B$507,$A39)+SUMIFS(SPV_Harian!$AE$8:$AE$507,SPV_Harian!$A$8:$A$507,$B$4,SPV_Harian!$B$8:$B$507,$A39)+SUMIFS(ASM_Harian!$AE$8:$AE$507,ASM_Harian!$A$8:$A$507,$B$4,ASM_Harian!$B$8:$B$507,$A39))</f>
        <v/>
      </c>
      <c r="I39" s="12" t="str">
        <f>IF(OR($A39="",F39=0),"",SUMIFS(Sales_Harian!$AG$8:$AG$507,Sales_Harian!$A$8:$A$507,$B$4,Sales_Harian!$B$8:$B$507,$A39)+SUMIFS(SPV_Harian!$AF$8:$AF$507,SPV_Harian!$A$8:$A$507,$B$4,SPV_Harian!$B$8:$B$507,$A39)+SUMIFS(ASM_Harian!$AF$8:$AF$507,ASM_Harian!$A$8:$A$507,$B$4,ASM_Harian!$B$8:$B$507,$A39))</f>
        <v/>
      </c>
      <c r="J39" s="12" t="str">
        <f>IF(OR($A39="",F39=0),"",SUMIFS(Sales_Harian!$AH$8:$AH$507,Sales_Harian!$A$8:$A$507,$B$4,Sales_Harian!$B$8:$B$507,$A39)+SUMIFS(SPV_Harian!$AG$8:$AG$507,SPV_Harian!$A$8:$A$507,$B$4,SPV_Harian!$B$8:$B$507,$A39)+SUMIFS(ASM_Harian!$AG$8:$AG$507,ASM_Harian!$A$8:$A$507,$B$4,ASM_Harian!$B$8:$B$507,$A39))</f>
        <v/>
      </c>
      <c r="K39" s="12" t="str">
        <f>IF(OR($A39="",F39=0),"",SUMIFS(Sales_Harian!$AI$8:$AI$507,Sales_Harian!$A$8:$A$507,$B$4,Sales_Harian!$B$8:$B$507,$A39)+SUMIFS(SPV_Harian!$AH$8:$AH$507,SPV_Harian!$A$8:$A$507,$B$4,SPV_Harian!$B$8:$B$507,$A39)+SUMIFS(ASM_Harian!$AH$8:$AH$507,ASM_Harian!$A$8:$A$507,$B$4,ASM_Harian!$B$8:$B$507,$A39))</f>
        <v/>
      </c>
      <c r="L39" s="12" t="str">
        <f>IF(OR($A39="",F39=0),"",SUMIFS(Sales_Harian!$AK$8:$AK$507,Sales_Harian!$A$8:$A$507,$B$4,Sales_Harian!$B$8:$B$507,$A39)+SUMIFS(SPV_Harian!$AJ$8:$AJ$507,SPV_Harian!$A$8:$A$507,$B$4,SPV_Harian!$B$8:$B$507,$A39)+SUMIFS(ASM_Harian!$AJ$8:$AJ$507,ASM_Harian!$A$8:$A$507,$B$4,ASM_Harian!$B$8:$B$507,$A39))</f>
        <v/>
      </c>
      <c r="M39" s="13" t="str">
        <f t="shared" si="0"/>
        <v>n.a.</v>
      </c>
      <c r="N39" s="1" t="str">
        <f>IF($A39="","",IF(G39&lt;&gt;"Dikirim","",IF(COUNTIFS(Sales_Harian!$A$8:$A$507,$B$4,Sales_Harian!$B$8:$B$507,$A39,Sales_Harian!$AB$8:$AB$507,"Disetujui")+COUNTIFS(SPV_Harian!$A$8:$A$507,$B$4,SPV_Harian!$B$8:$B$507,$A39,SPV_Harian!$AA$8:$AA$507,"Disetujui")+COUNTIFS(ASM_Harian!$A$8:$A$507,$B$4,ASM_Harian!$B$8:$B$507,$A39,ASM_Harian!$AA$8:$AA$507,"Disetujui")=1,IF(COUNTIFS(Sales_Harian!$A$8:$A$507,$B$4,Sales_Harian!$B$8:$B$507,$A39,Sales_Harian!$AM$8:$AM$507,"&lt;&gt;OK")+COUNTIFS(SPV_Harian!$A$8:$A$507,$B$4,SPV_Harian!$B$8:$B$507,$A39,SPV_Harian!$AL$8:$AL$507,"&lt;&gt;OK")+COUNTIFS(ASM_Harian!$A$8:$A$507,$B$4,ASM_Harian!$B$8:$B$507,$A39,ASM_Harian!$AL$8:$AL$507,"&lt;&gt;OK")&gt;0,"Review belum valid","Disetujui"),IF(COUNTIFS(Sales_Harian!$A$8:$A$507,$B$4,Sales_Harian!$B$8:$B$507,$A39,Sales_Harian!$AB$8:$AB$507,"Perlu Perbaikan")+COUNTIFS(SPV_Harian!$A$8:$A$507,$B$4,SPV_Harian!$B$8:$B$507,$A39,SPV_Harian!$AA$8:$AA$507,"Perlu Perbaikan")+COUNTIFS(ASM_Harian!$A$8:$A$507,$B$4,ASM_Harian!$B$8:$B$507,$A39,ASM_Harian!$AA$8:$AA$507,"Perlu Perbaikan")=1,"Perlu Perbaikan","Belum Diperiksa"))))</f>
        <v/>
      </c>
      <c r="O39" s="1" t="str">
        <f>IF($A39="","",IF(F39=0,"Belum ada laporan",IF(F39&gt;1,"Hapus/benahi laporan ganda",IF(COUNTIFS(Sales_Harian!$A$8:$A$507,$B$4,Sales_Harian!$B$8:$B$507,$A39,Sales_Harian!$AM$8:$AM$507,"&lt;&gt;OK")+COUNTIFS(SPV_Harian!$A$8:$A$507,$B$4,SPV_Harian!$B$8:$B$507,$A39,SPV_Harian!$AL$8:$AL$507,"&lt;&gt;OK")+COUNTIFS(ASM_Harian!$A$8:$A$507,$B$4,ASM_Harian!$B$8:$B$507,$A39,ASM_Harian!$AL$8:$AL$507,"&lt;&gt;OK")&gt;0,"Periksa validasi_data",IF(SUM(J39:K39)&gt;0,"Ada kegiatan terbuka",IF(N39="Perlu Perbaikan","Tindak lanjuti review",IF(G39="Draft","Kirim laporan",IF(N39="Belum Diperiksa","Menunggu pemeriksaan",""))))))))</f>
        <v>Belum ada laporan</v>
      </c>
    </row>
    <row r="40" spans="1:15" ht="24" customHeight="1">
      <c r="A40" s="1" t="str">
        <f>IF(AND(Master_PIC!A31&lt;&gt;"",Master_PIC!G31="Aktif",Master_PIC!C31&lt;&gt;"Manager"),Master_PIC!A31,"")</f>
        <v>Sales17</v>
      </c>
      <c r="B40" s="1" t="str">
        <f>IF($A40="","",IF(Master_PIC!B31="","",Master_PIC!B31))</f>
        <v>Eri Sigit Hermawan</v>
      </c>
      <c r="C40" s="1" t="str">
        <f>IF($A40="","",IF(Master_PIC!C31="","",Master_PIC!C31))</f>
        <v>Sales</v>
      </c>
      <c r="D40" s="1" t="str">
        <f>IF($A40="","",IF(Master_PIC!D31="","",Master_PIC!D31))</f>
        <v>Pekalongan</v>
      </c>
      <c r="E40" s="1" t="str">
        <f>IF($A40="","",IF(Master_PIC!E31="","",Master_PIC!E31))</f>
        <v>Timur</v>
      </c>
      <c r="F40" s="12">
        <f>IF($A40="","",COUNTIFS(Sales_Harian!$A$8:$A$507,$B$4,Sales_Harian!$B$8:$B$507,$A40)+COUNTIFS(SPV_Harian!$A$8:$A$507,$B$4,SPV_Harian!$B$8:$B$507,$A40)+COUNTIFS(ASM_Harian!$A$8:$A$507,$B$4,ASM_Harian!$B$8:$B$507,$A40))</f>
        <v>0</v>
      </c>
      <c r="G40" s="12" t="str">
        <f>IF($A40="","",IF(F40=0,"Belum Lapor",IF(F40&gt;1,"Data Ganda",IF(COUNTIFS(Sales_Harian!$A$8:$A$507,$B$4,Sales_Harian!$B$8:$B$507,$A40,Sales_Harian!$Z$8:$Z$507,"Dikirim")+COUNTIFS(SPV_Harian!$A$8:$A$507,$B$4,SPV_Harian!$B$8:$B$507,$A40,SPV_Harian!$Y$8:$Y$507,"Dikirim")+COUNTIFS(ASM_Harian!$A$8:$A$507,$B$4,ASM_Harian!$B$8:$B$507,$A40,ASM_Harian!$Y$8:$Y$507,"Dikirim")=1,"Dikirim","Draft"))))</f>
        <v>Belum Lapor</v>
      </c>
      <c r="H40" s="12" t="str">
        <f>IF(OR($A40="",F40=0),"",SUMIFS(Sales_Harian!$AF$8:$AF$507,Sales_Harian!$A$8:$A$507,$B$4,Sales_Harian!$B$8:$B$507,$A40)+SUMIFS(SPV_Harian!$AE$8:$AE$507,SPV_Harian!$A$8:$A$507,$B$4,SPV_Harian!$B$8:$B$507,$A40)+SUMIFS(ASM_Harian!$AE$8:$AE$507,ASM_Harian!$A$8:$A$507,$B$4,ASM_Harian!$B$8:$B$507,$A40))</f>
        <v/>
      </c>
      <c r="I40" s="12" t="str">
        <f>IF(OR($A40="",F40=0),"",SUMIFS(Sales_Harian!$AG$8:$AG$507,Sales_Harian!$A$8:$A$507,$B$4,Sales_Harian!$B$8:$B$507,$A40)+SUMIFS(SPV_Harian!$AF$8:$AF$507,SPV_Harian!$A$8:$A$507,$B$4,SPV_Harian!$B$8:$B$507,$A40)+SUMIFS(ASM_Harian!$AF$8:$AF$507,ASM_Harian!$A$8:$A$507,$B$4,ASM_Harian!$B$8:$B$507,$A40))</f>
        <v/>
      </c>
      <c r="J40" s="12" t="str">
        <f>IF(OR($A40="",F40=0),"",SUMIFS(Sales_Harian!$AH$8:$AH$507,Sales_Harian!$A$8:$A$507,$B$4,Sales_Harian!$B$8:$B$507,$A40)+SUMIFS(SPV_Harian!$AG$8:$AG$507,SPV_Harian!$A$8:$A$507,$B$4,SPV_Harian!$B$8:$B$507,$A40)+SUMIFS(ASM_Harian!$AG$8:$AG$507,ASM_Harian!$A$8:$A$507,$B$4,ASM_Harian!$B$8:$B$507,$A40))</f>
        <v/>
      </c>
      <c r="K40" s="12" t="str">
        <f>IF(OR($A40="",F40=0),"",SUMIFS(Sales_Harian!$AI$8:$AI$507,Sales_Harian!$A$8:$A$507,$B$4,Sales_Harian!$B$8:$B$507,$A40)+SUMIFS(SPV_Harian!$AH$8:$AH$507,SPV_Harian!$A$8:$A$507,$B$4,SPV_Harian!$B$8:$B$507,$A40)+SUMIFS(ASM_Harian!$AH$8:$AH$507,ASM_Harian!$A$8:$A$507,$B$4,ASM_Harian!$B$8:$B$507,$A40))</f>
        <v/>
      </c>
      <c r="L40" s="12" t="str">
        <f>IF(OR($A40="",F40=0),"",SUMIFS(Sales_Harian!$AK$8:$AK$507,Sales_Harian!$A$8:$A$507,$B$4,Sales_Harian!$B$8:$B$507,$A40)+SUMIFS(SPV_Harian!$AJ$8:$AJ$507,SPV_Harian!$A$8:$A$507,$B$4,SPV_Harian!$B$8:$B$507,$A40)+SUMIFS(ASM_Harian!$AJ$8:$AJ$507,ASM_Harian!$A$8:$A$507,$B$4,ASM_Harian!$B$8:$B$507,$A40))</f>
        <v/>
      </c>
      <c r="M40" s="13" t="str">
        <f t="shared" si="0"/>
        <v>n.a.</v>
      </c>
      <c r="N40" s="1" t="str">
        <f>IF($A40="","",IF(G40&lt;&gt;"Dikirim","",IF(COUNTIFS(Sales_Harian!$A$8:$A$507,$B$4,Sales_Harian!$B$8:$B$507,$A40,Sales_Harian!$AB$8:$AB$507,"Disetujui")+COUNTIFS(SPV_Harian!$A$8:$A$507,$B$4,SPV_Harian!$B$8:$B$507,$A40,SPV_Harian!$AA$8:$AA$507,"Disetujui")+COUNTIFS(ASM_Harian!$A$8:$A$507,$B$4,ASM_Harian!$B$8:$B$507,$A40,ASM_Harian!$AA$8:$AA$507,"Disetujui")=1,IF(COUNTIFS(Sales_Harian!$A$8:$A$507,$B$4,Sales_Harian!$B$8:$B$507,$A40,Sales_Harian!$AM$8:$AM$507,"&lt;&gt;OK")+COUNTIFS(SPV_Harian!$A$8:$A$507,$B$4,SPV_Harian!$B$8:$B$507,$A40,SPV_Harian!$AL$8:$AL$507,"&lt;&gt;OK")+COUNTIFS(ASM_Harian!$A$8:$A$507,$B$4,ASM_Harian!$B$8:$B$507,$A40,ASM_Harian!$AL$8:$AL$507,"&lt;&gt;OK")&gt;0,"Review belum valid","Disetujui"),IF(COUNTIFS(Sales_Harian!$A$8:$A$507,$B$4,Sales_Harian!$B$8:$B$507,$A40,Sales_Harian!$AB$8:$AB$507,"Perlu Perbaikan")+COUNTIFS(SPV_Harian!$A$8:$A$507,$B$4,SPV_Harian!$B$8:$B$507,$A40,SPV_Harian!$AA$8:$AA$507,"Perlu Perbaikan")+COUNTIFS(ASM_Harian!$A$8:$A$507,$B$4,ASM_Harian!$B$8:$B$507,$A40,ASM_Harian!$AA$8:$AA$507,"Perlu Perbaikan")=1,"Perlu Perbaikan","Belum Diperiksa"))))</f>
        <v/>
      </c>
      <c r="O40" s="1" t="str">
        <f>IF($A40="","",IF(F40=0,"Belum ada laporan",IF(F40&gt;1,"Hapus/benahi laporan ganda",IF(COUNTIFS(Sales_Harian!$A$8:$A$507,$B$4,Sales_Harian!$B$8:$B$507,$A40,Sales_Harian!$AM$8:$AM$507,"&lt;&gt;OK")+COUNTIFS(SPV_Harian!$A$8:$A$507,$B$4,SPV_Harian!$B$8:$B$507,$A40,SPV_Harian!$AL$8:$AL$507,"&lt;&gt;OK")+COUNTIFS(ASM_Harian!$A$8:$A$507,$B$4,ASM_Harian!$B$8:$B$507,$A40,ASM_Harian!$AL$8:$AL$507,"&lt;&gt;OK")&gt;0,"Periksa validasi_data",IF(SUM(J40:K40)&gt;0,"Ada kegiatan terbuka",IF(N40="Perlu Perbaikan","Tindak lanjuti review",IF(G40="Draft","Kirim laporan",IF(N40="Belum Diperiksa","Menunggu pemeriksaan",""))))))))</f>
        <v>Belum ada laporan</v>
      </c>
    </row>
    <row r="41" spans="1:15" ht="24" customHeight="1">
      <c r="A41" s="1" t="str">
        <f>IF(AND(Master_PIC!A32&lt;&gt;"",Master_PIC!G32="Aktif",Master_PIC!C32&lt;&gt;"Manager"),Master_PIC!A32,"")</f>
        <v>Sales18</v>
      </c>
      <c r="B41" s="1" t="str">
        <f>IF($A41="","",IF(Master_PIC!B32="","",Master_PIC!B32))</f>
        <v>Eriya Dhika Pratama</v>
      </c>
      <c r="C41" s="1" t="str">
        <f>IF($A41="","",IF(Master_PIC!C32="","",Master_PIC!C32))</f>
        <v>Sales</v>
      </c>
      <c r="D41" s="1" t="str">
        <f>IF($A41="","",IF(Master_PIC!D32="","",Master_PIC!D32))</f>
        <v>Pekalongan</v>
      </c>
      <c r="E41" s="1" t="str">
        <f>IF($A41="","",IF(Master_PIC!E32="","",Master_PIC!E32))</f>
        <v>Timur</v>
      </c>
      <c r="F41" s="12">
        <f>IF($A41="","",COUNTIFS(Sales_Harian!$A$8:$A$507,$B$4,Sales_Harian!$B$8:$B$507,$A41)+COUNTIFS(SPV_Harian!$A$8:$A$507,$B$4,SPV_Harian!$B$8:$B$507,$A41)+COUNTIFS(ASM_Harian!$A$8:$A$507,$B$4,ASM_Harian!$B$8:$B$507,$A41))</f>
        <v>0</v>
      </c>
      <c r="G41" s="12" t="str">
        <f>IF($A41="","",IF(F41=0,"Belum Lapor",IF(F41&gt;1,"Data Ganda",IF(COUNTIFS(Sales_Harian!$A$8:$A$507,$B$4,Sales_Harian!$B$8:$B$507,$A41,Sales_Harian!$Z$8:$Z$507,"Dikirim")+COUNTIFS(SPV_Harian!$A$8:$A$507,$B$4,SPV_Harian!$B$8:$B$507,$A41,SPV_Harian!$Y$8:$Y$507,"Dikirim")+COUNTIFS(ASM_Harian!$A$8:$A$507,$B$4,ASM_Harian!$B$8:$B$507,$A41,ASM_Harian!$Y$8:$Y$507,"Dikirim")=1,"Dikirim","Draft"))))</f>
        <v>Belum Lapor</v>
      </c>
      <c r="H41" s="12" t="str">
        <f>IF(OR($A41="",F41=0),"",SUMIFS(Sales_Harian!$AF$8:$AF$507,Sales_Harian!$A$8:$A$507,$B$4,Sales_Harian!$B$8:$B$507,$A41)+SUMIFS(SPV_Harian!$AE$8:$AE$507,SPV_Harian!$A$8:$A$507,$B$4,SPV_Harian!$B$8:$B$507,$A41)+SUMIFS(ASM_Harian!$AE$8:$AE$507,ASM_Harian!$A$8:$A$507,$B$4,ASM_Harian!$B$8:$B$507,$A41))</f>
        <v/>
      </c>
      <c r="I41" s="12" t="str">
        <f>IF(OR($A41="",F41=0),"",SUMIFS(Sales_Harian!$AG$8:$AG$507,Sales_Harian!$A$8:$A$507,$B$4,Sales_Harian!$B$8:$B$507,$A41)+SUMIFS(SPV_Harian!$AF$8:$AF$507,SPV_Harian!$A$8:$A$507,$B$4,SPV_Harian!$B$8:$B$507,$A41)+SUMIFS(ASM_Harian!$AF$8:$AF$507,ASM_Harian!$A$8:$A$507,$B$4,ASM_Harian!$B$8:$B$507,$A41))</f>
        <v/>
      </c>
      <c r="J41" s="12" t="str">
        <f>IF(OR($A41="",F41=0),"",SUMIFS(Sales_Harian!$AH$8:$AH$507,Sales_Harian!$A$8:$A$507,$B$4,Sales_Harian!$B$8:$B$507,$A41)+SUMIFS(SPV_Harian!$AG$8:$AG$507,SPV_Harian!$A$8:$A$507,$B$4,SPV_Harian!$B$8:$B$507,$A41)+SUMIFS(ASM_Harian!$AG$8:$AG$507,ASM_Harian!$A$8:$A$507,$B$4,ASM_Harian!$B$8:$B$507,$A41))</f>
        <v/>
      </c>
      <c r="K41" s="12" t="str">
        <f>IF(OR($A41="",F41=0),"",SUMIFS(Sales_Harian!$AI$8:$AI$507,Sales_Harian!$A$8:$A$507,$B$4,Sales_Harian!$B$8:$B$507,$A41)+SUMIFS(SPV_Harian!$AH$8:$AH$507,SPV_Harian!$A$8:$A$507,$B$4,SPV_Harian!$B$8:$B$507,$A41)+SUMIFS(ASM_Harian!$AH$8:$AH$507,ASM_Harian!$A$8:$A$507,$B$4,ASM_Harian!$B$8:$B$507,$A41))</f>
        <v/>
      </c>
      <c r="L41" s="12" t="str">
        <f>IF(OR($A41="",F41=0),"",SUMIFS(Sales_Harian!$AK$8:$AK$507,Sales_Harian!$A$8:$A$507,$B$4,Sales_Harian!$B$8:$B$507,$A41)+SUMIFS(SPV_Harian!$AJ$8:$AJ$507,SPV_Harian!$A$8:$A$507,$B$4,SPV_Harian!$B$8:$B$507,$A41)+SUMIFS(ASM_Harian!$AJ$8:$AJ$507,ASM_Harian!$A$8:$A$507,$B$4,ASM_Harian!$B$8:$B$507,$A41))</f>
        <v/>
      </c>
      <c r="M41" s="13" t="str">
        <f t="shared" si="0"/>
        <v>n.a.</v>
      </c>
      <c r="N41" s="1" t="str">
        <f>IF($A41="","",IF(G41&lt;&gt;"Dikirim","",IF(COUNTIFS(Sales_Harian!$A$8:$A$507,$B$4,Sales_Harian!$B$8:$B$507,$A41,Sales_Harian!$AB$8:$AB$507,"Disetujui")+COUNTIFS(SPV_Harian!$A$8:$A$507,$B$4,SPV_Harian!$B$8:$B$507,$A41,SPV_Harian!$AA$8:$AA$507,"Disetujui")+COUNTIFS(ASM_Harian!$A$8:$A$507,$B$4,ASM_Harian!$B$8:$B$507,$A41,ASM_Harian!$AA$8:$AA$507,"Disetujui")=1,IF(COUNTIFS(Sales_Harian!$A$8:$A$507,$B$4,Sales_Harian!$B$8:$B$507,$A41,Sales_Harian!$AM$8:$AM$507,"&lt;&gt;OK")+COUNTIFS(SPV_Harian!$A$8:$A$507,$B$4,SPV_Harian!$B$8:$B$507,$A41,SPV_Harian!$AL$8:$AL$507,"&lt;&gt;OK")+COUNTIFS(ASM_Harian!$A$8:$A$507,$B$4,ASM_Harian!$B$8:$B$507,$A41,ASM_Harian!$AL$8:$AL$507,"&lt;&gt;OK")&gt;0,"Review belum valid","Disetujui"),IF(COUNTIFS(Sales_Harian!$A$8:$A$507,$B$4,Sales_Harian!$B$8:$B$507,$A41,Sales_Harian!$AB$8:$AB$507,"Perlu Perbaikan")+COUNTIFS(SPV_Harian!$A$8:$A$507,$B$4,SPV_Harian!$B$8:$B$507,$A41,SPV_Harian!$AA$8:$AA$507,"Perlu Perbaikan")+COUNTIFS(ASM_Harian!$A$8:$A$507,$B$4,ASM_Harian!$B$8:$B$507,$A41,ASM_Harian!$AA$8:$AA$507,"Perlu Perbaikan")=1,"Perlu Perbaikan","Belum Diperiksa"))))</f>
        <v/>
      </c>
      <c r="O41" s="1" t="str">
        <f>IF($A41="","",IF(F41=0,"Belum ada laporan",IF(F41&gt;1,"Hapus/benahi laporan ganda",IF(COUNTIFS(Sales_Harian!$A$8:$A$507,$B$4,Sales_Harian!$B$8:$B$507,$A41,Sales_Harian!$AM$8:$AM$507,"&lt;&gt;OK")+COUNTIFS(SPV_Harian!$A$8:$A$507,$B$4,SPV_Harian!$B$8:$B$507,$A41,SPV_Harian!$AL$8:$AL$507,"&lt;&gt;OK")+COUNTIFS(ASM_Harian!$A$8:$A$507,$B$4,ASM_Harian!$B$8:$B$507,$A41,ASM_Harian!$AL$8:$AL$507,"&lt;&gt;OK")&gt;0,"Periksa validasi_data",IF(SUM(J41:K41)&gt;0,"Ada kegiatan terbuka",IF(N41="Perlu Perbaikan","Tindak lanjuti review",IF(G41="Draft","Kirim laporan",IF(N41="Belum Diperiksa","Menunggu pemeriksaan",""))))))))</f>
        <v>Belum ada laporan</v>
      </c>
    </row>
    <row r="42" spans="1:15" ht="24" customHeight="1">
      <c r="A42" s="1" t="str">
        <f>IF(AND(Master_PIC!A35&lt;&gt;"",Master_PIC!G35="Aktif",Master_PIC!C35&lt;&gt;"Manager"),Master_PIC!A35,"")</f>
        <v>Sales19</v>
      </c>
      <c r="B42" s="1" t="str">
        <f>IF($A42="","",IF(Master_PIC!B35="","",Master_PIC!B35))</f>
        <v>Tomi Arif Bowo SBFI Bekasi</v>
      </c>
      <c r="C42" s="1" t="str">
        <f>IF($A42="","",IF(Master_PIC!C35="","",Master_PIC!C35))</f>
        <v>Sales</v>
      </c>
      <c r="D42" s="1" t="str">
        <f>IF($A42="","",IF(Master_PIC!D35="","",Master_PIC!D35))</f>
        <v>Bekasi</v>
      </c>
      <c r="E42" s="1" t="str">
        <f>IF($A42="","",IF(Master_PIC!E35="","",Master_PIC!E35))</f>
        <v>Barat</v>
      </c>
      <c r="F42" s="12">
        <f>IF($A42="","",COUNTIFS(Sales_Harian!$A$8:$A$507,$B$4,Sales_Harian!$B$8:$B$507,$A42)+COUNTIFS(SPV_Harian!$A$8:$A$507,$B$4,SPV_Harian!$B$8:$B$507,$A42)+COUNTIFS(ASM_Harian!$A$8:$A$507,$B$4,ASM_Harian!$B$8:$B$507,$A42))</f>
        <v>0</v>
      </c>
      <c r="G42" s="12" t="str">
        <f>IF($A42="","",IF(F42=0,"Belum Lapor",IF(F42&gt;1,"Data Ganda",IF(COUNTIFS(Sales_Harian!$A$8:$A$507,$B$4,Sales_Harian!$B$8:$B$507,$A42,Sales_Harian!$Z$8:$Z$507,"Dikirim")+COUNTIFS(SPV_Harian!$A$8:$A$507,$B$4,SPV_Harian!$B$8:$B$507,$A42,SPV_Harian!$Y$8:$Y$507,"Dikirim")+COUNTIFS(ASM_Harian!$A$8:$A$507,$B$4,ASM_Harian!$B$8:$B$507,$A42,ASM_Harian!$Y$8:$Y$507,"Dikirim")=1,"Dikirim","Draft"))))</f>
        <v>Belum Lapor</v>
      </c>
      <c r="H42" s="12" t="str">
        <f>IF(OR($A42="",F42=0),"",SUMIFS(Sales_Harian!$AF$8:$AF$507,Sales_Harian!$A$8:$A$507,$B$4,Sales_Harian!$B$8:$B$507,$A42)+SUMIFS(SPV_Harian!$AE$8:$AE$507,SPV_Harian!$A$8:$A$507,$B$4,SPV_Harian!$B$8:$B$507,$A42)+SUMIFS(ASM_Harian!$AE$8:$AE$507,ASM_Harian!$A$8:$A$507,$B$4,ASM_Harian!$B$8:$B$507,$A42))</f>
        <v/>
      </c>
      <c r="I42" s="12" t="str">
        <f>IF(OR($A42="",F42=0),"",SUMIFS(Sales_Harian!$AG$8:$AG$507,Sales_Harian!$A$8:$A$507,$B$4,Sales_Harian!$B$8:$B$507,$A42)+SUMIFS(SPV_Harian!$AF$8:$AF$507,SPV_Harian!$A$8:$A$507,$B$4,SPV_Harian!$B$8:$B$507,$A42)+SUMIFS(ASM_Harian!$AF$8:$AF$507,ASM_Harian!$A$8:$A$507,$B$4,ASM_Harian!$B$8:$B$507,$A42))</f>
        <v/>
      </c>
      <c r="J42" s="12" t="str">
        <f>IF(OR($A42="",F42=0),"",SUMIFS(Sales_Harian!$AH$8:$AH$507,Sales_Harian!$A$8:$A$507,$B$4,Sales_Harian!$B$8:$B$507,$A42)+SUMIFS(SPV_Harian!$AG$8:$AG$507,SPV_Harian!$A$8:$A$507,$B$4,SPV_Harian!$B$8:$B$507,$A42)+SUMIFS(ASM_Harian!$AG$8:$AG$507,ASM_Harian!$A$8:$A$507,$B$4,ASM_Harian!$B$8:$B$507,$A42))</f>
        <v/>
      </c>
      <c r="K42" s="12" t="str">
        <f>IF(OR($A42="",F42=0),"",SUMIFS(Sales_Harian!$AI$8:$AI$507,Sales_Harian!$A$8:$A$507,$B$4,Sales_Harian!$B$8:$B$507,$A42)+SUMIFS(SPV_Harian!$AH$8:$AH$507,SPV_Harian!$A$8:$A$507,$B$4,SPV_Harian!$B$8:$B$507,$A42)+SUMIFS(ASM_Harian!$AH$8:$AH$507,ASM_Harian!$A$8:$A$507,$B$4,ASM_Harian!$B$8:$B$507,$A42))</f>
        <v/>
      </c>
      <c r="L42" s="12" t="str">
        <f>IF(OR($A42="",F42=0),"",SUMIFS(Sales_Harian!$AK$8:$AK$507,Sales_Harian!$A$8:$A$507,$B$4,Sales_Harian!$B$8:$B$507,$A42)+SUMIFS(SPV_Harian!$AJ$8:$AJ$507,SPV_Harian!$A$8:$A$507,$B$4,SPV_Harian!$B$8:$B$507,$A42)+SUMIFS(ASM_Harian!$AJ$8:$AJ$507,ASM_Harian!$A$8:$A$507,$B$4,ASM_Harian!$B$8:$B$507,$A42))</f>
        <v/>
      </c>
      <c r="M42" s="13" t="str">
        <f t="shared" si="0"/>
        <v>n.a.</v>
      </c>
      <c r="N42" s="1" t="str">
        <f>IF($A42="","",IF(G42&lt;&gt;"Dikirim","",IF(COUNTIFS(Sales_Harian!$A$8:$A$507,$B$4,Sales_Harian!$B$8:$B$507,$A42,Sales_Harian!$AB$8:$AB$507,"Disetujui")+COUNTIFS(SPV_Harian!$A$8:$A$507,$B$4,SPV_Harian!$B$8:$B$507,$A42,SPV_Harian!$AA$8:$AA$507,"Disetujui")+COUNTIFS(ASM_Harian!$A$8:$A$507,$B$4,ASM_Harian!$B$8:$B$507,$A42,ASM_Harian!$AA$8:$AA$507,"Disetujui")=1,IF(COUNTIFS(Sales_Harian!$A$8:$A$507,$B$4,Sales_Harian!$B$8:$B$507,$A42,Sales_Harian!$AM$8:$AM$507,"&lt;&gt;OK")+COUNTIFS(SPV_Harian!$A$8:$A$507,$B$4,SPV_Harian!$B$8:$B$507,$A42,SPV_Harian!$AL$8:$AL$507,"&lt;&gt;OK")+COUNTIFS(ASM_Harian!$A$8:$A$507,$B$4,ASM_Harian!$B$8:$B$507,$A42,ASM_Harian!$AL$8:$AL$507,"&lt;&gt;OK")&gt;0,"Review belum valid","Disetujui"),IF(COUNTIFS(Sales_Harian!$A$8:$A$507,$B$4,Sales_Harian!$B$8:$B$507,$A42,Sales_Harian!$AB$8:$AB$507,"Perlu Perbaikan")+COUNTIFS(SPV_Harian!$A$8:$A$507,$B$4,SPV_Harian!$B$8:$B$507,$A42,SPV_Harian!$AA$8:$AA$507,"Perlu Perbaikan")+COUNTIFS(ASM_Harian!$A$8:$A$507,$B$4,ASM_Harian!$B$8:$B$507,$A42,ASM_Harian!$AA$8:$AA$507,"Perlu Perbaikan")=1,"Perlu Perbaikan","Belum Diperiksa"))))</f>
        <v/>
      </c>
      <c r="O42" s="1" t="str">
        <f>IF($A42="","",IF(F42=0,"Belum ada laporan",IF(F42&gt;1,"Hapus/benahi laporan ganda",IF(COUNTIFS(Sales_Harian!$A$8:$A$507,$B$4,Sales_Harian!$B$8:$B$507,$A42,Sales_Harian!$AM$8:$AM$507,"&lt;&gt;OK")+COUNTIFS(SPV_Harian!$A$8:$A$507,$B$4,SPV_Harian!$B$8:$B$507,$A42,SPV_Harian!$AL$8:$AL$507,"&lt;&gt;OK")+COUNTIFS(ASM_Harian!$A$8:$A$507,$B$4,ASM_Harian!$B$8:$B$507,$A42,ASM_Harian!$AL$8:$AL$507,"&lt;&gt;OK")&gt;0,"Periksa validasi_data",IF(SUM(J42:K42)&gt;0,"Ada kegiatan terbuka",IF(N42="Perlu Perbaikan","Tindak lanjuti review",IF(G42="Draft","Kirim laporan",IF(N42="Belum Diperiksa","Menunggu pemeriksaan",""))))))))</f>
        <v>Belum ada laporan</v>
      </c>
    </row>
    <row r="43" spans="1:15" ht="24" customHeight="1">
      <c r="A43" s="1" t="str">
        <f>IF(AND(Master_PIC!A36&lt;&gt;"",Master_PIC!G36="Aktif",Master_PIC!C36&lt;&gt;"Manager"),Master_PIC!A36,"")</f>
        <v>Sales20</v>
      </c>
      <c r="B43" s="1" t="str">
        <f>IF($A43="","",IF(Master_PIC!B36="","",Master_PIC!B36))</f>
        <v>Bonnie Bernardie</v>
      </c>
      <c r="C43" s="1" t="str">
        <f>IF($A43="","",IF(Master_PIC!C36="","",Master_PIC!C36))</f>
        <v>Sales</v>
      </c>
      <c r="D43" s="1" t="str">
        <f>IF($A43="","",IF(Master_PIC!D36="","",Master_PIC!D36))</f>
        <v>Bekasi</v>
      </c>
      <c r="E43" s="1" t="str">
        <f>IF($A43="","",IF(Master_PIC!E36="","",Master_PIC!E36))</f>
        <v>Barat</v>
      </c>
      <c r="F43" s="12">
        <f>IF($A43="","",COUNTIFS(Sales_Harian!$A$8:$A$507,$B$4,Sales_Harian!$B$8:$B$507,$A43)+COUNTIFS(SPV_Harian!$A$8:$A$507,$B$4,SPV_Harian!$B$8:$B$507,$A43)+COUNTIFS(ASM_Harian!$A$8:$A$507,$B$4,ASM_Harian!$B$8:$B$507,$A43))</f>
        <v>0</v>
      </c>
      <c r="G43" s="12" t="str">
        <f>IF($A43="","",IF(F43=0,"Belum Lapor",IF(F43&gt;1,"Data Ganda",IF(COUNTIFS(Sales_Harian!$A$8:$A$507,$B$4,Sales_Harian!$B$8:$B$507,$A43,Sales_Harian!$Z$8:$Z$507,"Dikirim")+COUNTIFS(SPV_Harian!$A$8:$A$507,$B$4,SPV_Harian!$B$8:$B$507,$A43,SPV_Harian!$Y$8:$Y$507,"Dikirim")+COUNTIFS(ASM_Harian!$A$8:$A$507,$B$4,ASM_Harian!$B$8:$B$507,$A43,ASM_Harian!$Y$8:$Y$507,"Dikirim")=1,"Dikirim","Draft"))))</f>
        <v>Belum Lapor</v>
      </c>
      <c r="H43" s="12" t="str">
        <f>IF(OR($A43="",F43=0),"",SUMIFS(Sales_Harian!$AF$8:$AF$507,Sales_Harian!$A$8:$A$507,$B$4,Sales_Harian!$B$8:$B$507,$A43)+SUMIFS(SPV_Harian!$AE$8:$AE$507,SPV_Harian!$A$8:$A$507,$B$4,SPV_Harian!$B$8:$B$507,$A43)+SUMIFS(ASM_Harian!$AE$8:$AE$507,ASM_Harian!$A$8:$A$507,$B$4,ASM_Harian!$B$8:$B$507,$A43))</f>
        <v/>
      </c>
      <c r="I43" s="12" t="str">
        <f>IF(OR($A43="",F43=0),"",SUMIFS(Sales_Harian!$AG$8:$AG$507,Sales_Harian!$A$8:$A$507,$B$4,Sales_Harian!$B$8:$B$507,$A43)+SUMIFS(SPV_Harian!$AF$8:$AF$507,SPV_Harian!$A$8:$A$507,$B$4,SPV_Harian!$B$8:$B$507,$A43)+SUMIFS(ASM_Harian!$AF$8:$AF$507,ASM_Harian!$A$8:$A$507,$B$4,ASM_Harian!$B$8:$B$507,$A43))</f>
        <v/>
      </c>
      <c r="J43" s="12" t="str">
        <f>IF(OR($A43="",F43=0),"",SUMIFS(Sales_Harian!$AH$8:$AH$507,Sales_Harian!$A$8:$A$507,$B$4,Sales_Harian!$B$8:$B$507,$A43)+SUMIFS(SPV_Harian!$AG$8:$AG$507,SPV_Harian!$A$8:$A$507,$B$4,SPV_Harian!$B$8:$B$507,$A43)+SUMIFS(ASM_Harian!$AG$8:$AG$507,ASM_Harian!$A$8:$A$507,$B$4,ASM_Harian!$B$8:$B$507,$A43))</f>
        <v/>
      </c>
      <c r="K43" s="12" t="str">
        <f>IF(OR($A43="",F43=0),"",SUMIFS(Sales_Harian!$AI$8:$AI$507,Sales_Harian!$A$8:$A$507,$B$4,Sales_Harian!$B$8:$B$507,$A43)+SUMIFS(SPV_Harian!$AH$8:$AH$507,SPV_Harian!$A$8:$A$507,$B$4,SPV_Harian!$B$8:$B$507,$A43)+SUMIFS(ASM_Harian!$AH$8:$AH$507,ASM_Harian!$A$8:$A$507,$B$4,ASM_Harian!$B$8:$B$507,$A43))</f>
        <v/>
      </c>
      <c r="L43" s="12" t="str">
        <f>IF(OR($A43="",F43=0),"",SUMIFS(Sales_Harian!$AK$8:$AK$507,Sales_Harian!$A$8:$A$507,$B$4,Sales_Harian!$B$8:$B$507,$A43)+SUMIFS(SPV_Harian!$AJ$8:$AJ$507,SPV_Harian!$A$8:$A$507,$B$4,SPV_Harian!$B$8:$B$507,$A43)+SUMIFS(ASM_Harian!$AJ$8:$AJ$507,ASM_Harian!$A$8:$A$507,$B$4,ASM_Harian!$B$8:$B$507,$A43))</f>
        <v/>
      </c>
      <c r="M43" s="13" t="str">
        <f t="shared" si="0"/>
        <v>n.a.</v>
      </c>
      <c r="N43" s="1" t="str">
        <f>IF($A43="","",IF(G43&lt;&gt;"Dikirim","",IF(COUNTIFS(Sales_Harian!$A$8:$A$507,$B$4,Sales_Harian!$B$8:$B$507,$A43,Sales_Harian!$AB$8:$AB$507,"Disetujui")+COUNTIFS(SPV_Harian!$A$8:$A$507,$B$4,SPV_Harian!$B$8:$B$507,$A43,SPV_Harian!$AA$8:$AA$507,"Disetujui")+COUNTIFS(ASM_Harian!$A$8:$A$507,$B$4,ASM_Harian!$B$8:$B$507,$A43,ASM_Harian!$AA$8:$AA$507,"Disetujui")=1,IF(COUNTIFS(Sales_Harian!$A$8:$A$507,$B$4,Sales_Harian!$B$8:$B$507,$A43,Sales_Harian!$AM$8:$AM$507,"&lt;&gt;OK")+COUNTIFS(SPV_Harian!$A$8:$A$507,$B$4,SPV_Harian!$B$8:$B$507,$A43,SPV_Harian!$AL$8:$AL$507,"&lt;&gt;OK")+COUNTIFS(ASM_Harian!$A$8:$A$507,$B$4,ASM_Harian!$B$8:$B$507,$A43,ASM_Harian!$AL$8:$AL$507,"&lt;&gt;OK")&gt;0,"Review belum valid","Disetujui"),IF(COUNTIFS(Sales_Harian!$A$8:$A$507,$B$4,Sales_Harian!$B$8:$B$507,$A43,Sales_Harian!$AB$8:$AB$507,"Perlu Perbaikan")+COUNTIFS(SPV_Harian!$A$8:$A$507,$B$4,SPV_Harian!$B$8:$B$507,$A43,SPV_Harian!$AA$8:$AA$507,"Perlu Perbaikan")+COUNTIFS(ASM_Harian!$A$8:$A$507,$B$4,ASM_Harian!$B$8:$B$507,$A43,ASM_Harian!$AA$8:$AA$507,"Perlu Perbaikan")=1,"Perlu Perbaikan","Belum Diperiksa"))))</f>
        <v/>
      </c>
      <c r="O43" s="1" t="str">
        <f>IF($A43="","",IF(F43=0,"Belum ada laporan",IF(F43&gt;1,"Hapus/benahi laporan ganda",IF(COUNTIFS(Sales_Harian!$A$8:$A$507,$B$4,Sales_Harian!$B$8:$B$507,$A43,Sales_Harian!$AM$8:$AM$507,"&lt;&gt;OK")+COUNTIFS(SPV_Harian!$A$8:$A$507,$B$4,SPV_Harian!$B$8:$B$507,$A43,SPV_Harian!$AL$8:$AL$507,"&lt;&gt;OK")+COUNTIFS(ASM_Harian!$A$8:$A$507,$B$4,ASM_Harian!$B$8:$B$507,$A43,ASM_Harian!$AL$8:$AL$507,"&lt;&gt;OK")&gt;0,"Periksa validasi_data",IF(SUM(J43:K43)&gt;0,"Ada kegiatan terbuka",IF(N43="Perlu Perbaikan","Tindak lanjuti review",IF(G43="Draft","Kirim laporan",IF(N43="Belum Diperiksa","Menunggu pemeriksaan",""))))))))</f>
        <v>Belum ada laporan</v>
      </c>
    </row>
    <row r="44" spans="1:15" ht="24" customHeight="1">
      <c r="A44" s="1" t="str">
        <f>IF(AND(Master_PIC!A37&lt;&gt;"",Master_PIC!G37="Aktif",Master_PIC!C37&lt;&gt;"Manager"),Master_PIC!A37,"")</f>
        <v>Sales21</v>
      </c>
      <c r="B44" s="1" t="str">
        <f>IF($A44="","",IF(Master_PIC!B37="","",Master_PIC!B37))</f>
        <v>Apid Hapidin</v>
      </c>
      <c r="C44" s="1" t="str">
        <f>IF($A44="","",IF(Master_PIC!C37="","",Master_PIC!C37))</f>
        <v>Sales</v>
      </c>
      <c r="D44" s="1" t="str">
        <f>IF($A44="","",IF(Master_PIC!D37="","",Master_PIC!D37))</f>
        <v>Bekasi</v>
      </c>
      <c r="E44" s="1" t="str">
        <f>IF($A44="","",IF(Master_PIC!E37="","",Master_PIC!E37))</f>
        <v>Barat</v>
      </c>
      <c r="F44" s="12">
        <f>IF($A44="","",COUNTIFS(Sales_Harian!$A$8:$A$507,$B$4,Sales_Harian!$B$8:$B$507,$A44)+COUNTIFS(SPV_Harian!$A$8:$A$507,$B$4,SPV_Harian!$B$8:$B$507,$A44)+COUNTIFS(ASM_Harian!$A$8:$A$507,$B$4,ASM_Harian!$B$8:$B$507,$A44))</f>
        <v>0</v>
      </c>
      <c r="G44" s="12" t="str">
        <f>IF($A44="","",IF(F44=0,"Belum Lapor",IF(F44&gt;1,"Data Ganda",IF(COUNTIFS(Sales_Harian!$A$8:$A$507,$B$4,Sales_Harian!$B$8:$B$507,$A44,Sales_Harian!$Z$8:$Z$507,"Dikirim")+COUNTIFS(SPV_Harian!$A$8:$A$507,$B$4,SPV_Harian!$B$8:$B$507,$A44,SPV_Harian!$Y$8:$Y$507,"Dikirim")+COUNTIFS(ASM_Harian!$A$8:$A$507,$B$4,ASM_Harian!$B$8:$B$507,$A44,ASM_Harian!$Y$8:$Y$507,"Dikirim")=1,"Dikirim","Draft"))))</f>
        <v>Belum Lapor</v>
      </c>
      <c r="H44" s="12" t="str">
        <f>IF(OR($A44="",F44=0),"",SUMIFS(Sales_Harian!$AF$8:$AF$507,Sales_Harian!$A$8:$A$507,$B$4,Sales_Harian!$B$8:$B$507,$A44)+SUMIFS(SPV_Harian!$AE$8:$AE$507,SPV_Harian!$A$8:$A$507,$B$4,SPV_Harian!$B$8:$B$507,$A44)+SUMIFS(ASM_Harian!$AE$8:$AE$507,ASM_Harian!$A$8:$A$507,$B$4,ASM_Harian!$B$8:$B$507,$A44))</f>
        <v/>
      </c>
      <c r="I44" s="12" t="str">
        <f>IF(OR($A44="",F44=0),"",SUMIFS(Sales_Harian!$AG$8:$AG$507,Sales_Harian!$A$8:$A$507,$B$4,Sales_Harian!$B$8:$B$507,$A44)+SUMIFS(SPV_Harian!$AF$8:$AF$507,SPV_Harian!$A$8:$A$507,$B$4,SPV_Harian!$B$8:$B$507,$A44)+SUMIFS(ASM_Harian!$AF$8:$AF$507,ASM_Harian!$A$8:$A$507,$B$4,ASM_Harian!$B$8:$B$507,$A44))</f>
        <v/>
      </c>
      <c r="J44" s="12" t="str">
        <f>IF(OR($A44="",F44=0),"",SUMIFS(Sales_Harian!$AH$8:$AH$507,Sales_Harian!$A$8:$A$507,$B$4,Sales_Harian!$B$8:$B$507,$A44)+SUMIFS(SPV_Harian!$AG$8:$AG$507,SPV_Harian!$A$8:$A$507,$B$4,SPV_Harian!$B$8:$B$507,$A44)+SUMIFS(ASM_Harian!$AG$8:$AG$507,ASM_Harian!$A$8:$A$507,$B$4,ASM_Harian!$B$8:$B$507,$A44))</f>
        <v/>
      </c>
      <c r="K44" s="12" t="str">
        <f>IF(OR($A44="",F44=0),"",SUMIFS(Sales_Harian!$AI$8:$AI$507,Sales_Harian!$A$8:$A$507,$B$4,Sales_Harian!$B$8:$B$507,$A44)+SUMIFS(SPV_Harian!$AH$8:$AH$507,SPV_Harian!$A$8:$A$507,$B$4,SPV_Harian!$B$8:$B$507,$A44)+SUMIFS(ASM_Harian!$AH$8:$AH$507,ASM_Harian!$A$8:$A$507,$B$4,ASM_Harian!$B$8:$B$507,$A44))</f>
        <v/>
      </c>
      <c r="L44" s="12" t="str">
        <f>IF(OR($A44="",F44=0),"",SUMIFS(Sales_Harian!$AK$8:$AK$507,Sales_Harian!$A$8:$A$507,$B$4,Sales_Harian!$B$8:$B$507,$A44)+SUMIFS(SPV_Harian!$AJ$8:$AJ$507,SPV_Harian!$A$8:$A$507,$B$4,SPV_Harian!$B$8:$B$507,$A44)+SUMIFS(ASM_Harian!$AJ$8:$AJ$507,ASM_Harian!$A$8:$A$507,$B$4,ASM_Harian!$B$8:$B$507,$A44))</f>
        <v/>
      </c>
      <c r="M44" s="13" t="str">
        <f t="shared" si="0"/>
        <v>n.a.</v>
      </c>
      <c r="N44" s="1" t="str">
        <f>IF($A44="","",IF(G44&lt;&gt;"Dikirim","",IF(COUNTIFS(Sales_Harian!$A$8:$A$507,$B$4,Sales_Harian!$B$8:$B$507,$A44,Sales_Harian!$AB$8:$AB$507,"Disetujui")+COUNTIFS(SPV_Harian!$A$8:$A$507,$B$4,SPV_Harian!$B$8:$B$507,$A44,SPV_Harian!$AA$8:$AA$507,"Disetujui")+COUNTIFS(ASM_Harian!$A$8:$A$507,$B$4,ASM_Harian!$B$8:$B$507,$A44,ASM_Harian!$AA$8:$AA$507,"Disetujui")=1,IF(COUNTIFS(Sales_Harian!$A$8:$A$507,$B$4,Sales_Harian!$B$8:$B$507,$A44,Sales_Harian!$AM$8:$AM$507,"&lt;&gt;OK")+COUNTIFS(SPV_Harian!$A$8:$A$507,$B$4,SPV_Harian!$B$8:$B$507,$A44,SPV_Harian!$AL$8:$AL$507,"&lt;&gt;OK")+COUNTIFS(ASM_Harian!$A$8:$A$507,$B$4,ASM_Harian!$B$8:$B$507,$A44,ASM_Harian!$AL$8:$AL$507,"&lt;&gt;OK")&gt;0,"Review belum valid","Disetujui"),IF(COUNTIFS(Sales_Harian!$A$8:$A$507,$B$4,Sales_Harian!$B$8:$B$507,$A44,Sales_Harian!$AB$8:$AB$507,"Perlu Perbaikan")+COUNTIFS(SPV_Harian!$A$8:$A$507,$B$4,SPV_Harian!$B$8:$B$507,$A44,SPV_Harian!$AA$8:$AA$507,"Perlu Perbaikan")+COUNTIFS(ASM_Harian!$A$8:$A$507,$B$4,ASM_Harian!$B$8:$B$507,$A44,ASM_Harian!$AA$8:$AA$507,"Perlu Perbaikan")=1,"Perlu Perbaikan","Belum Diperiksa"))))</f>
        <v/>
      </c>
      <c r="O44" s="1" t="str">
        <f>IF($A44="","",IF(F44=0,"Belum ada laporan",IF(F44&gt;1,"Hapus/benahi laporan ganda",IF(COUNTIFS(Sales_Harian!$A$8:$A$507,$B$4,Sales_Harian!$B$8:$B$507,$A44,Sales_Harian!$AM$8:$AM$507,"&lt;&gt;OK")+COUNTIFS(SPV_Harian!$A$8:$A$507,$B$4,SPV_Harian!$B$8:$B$507,$A44,SPV_Harian!$AL$8:$AL$507,"&lt;&gt;OK")+COUNTIFS(ASM_Harian!$A$8:$A$507,$B$4,ASM_Harian!$B$8:$B$507,$A44,ASM_Harian!$AL$8:$AL$507,"&lt;&gt;OK")&gt;0,"Periksa validasi_data",IF(SUM(J44:K44)&gt;0,"Ada kegiatan terbuka",IF(N44="Perlu Perbaikan","Tindak lanjuti review",IF(G44="Draft","Kirim laporan",IF(N44="Belum Diperiksa","Menunggu pemeriksaan",""))))))))</f>
        <v>Belum ada laporan</v>
      </c>
    </row>
    <row r="45" spans="1:15" ht="24" customHeight="1">
      <c r="A45" s="1" t="str">
        <f>IF(AND(Master_PIC!A39&lt;&gt;"",Master_PIC!G39="Aktif",Master_PIC!C39&lt;&gt;"Manager"),Master_PIC!A39,"")</f>
        <v>Sales22</v>
      </c>
      <c r="B45" s="1" t="str">
        <f>IF($A45="","",IF(Master_PIC!B39="","",Master_PIC!B39))</f>
        <v>Heru Triyatna</v>
      </c>
      <c r="C45" s="1" t="str">
        <f>IF($A45="","",IF(Master_PIC!C39="","",Master_PIC!C39))</f>
        <v>Sales</v>
      </c>
      <c r="D45" s="1" t="str">
        <f>IF($A45="","",IF(Master_PIC!D39="","",Master_PIC!D39))</f>
        <v>Purwasuka</v>
      </c>
      <c r="E45" s="1" t="str">
        <f>IF($A45="","",IF(Master_PIC!E39="","",Master_PIC!E39))</f>
        <v>Barat</v>
      </c>
      <c r="F45" s="12">
        <f>IF($A45="","",COUNTIFS(Sales_Harian!$A$8:$A$507,$B$4,Sales_Harian!$B$8:$B$507,$A45)+COUNTIFS(SPV_Harian!$A$8:$A$507,$B$4,SPV_Harian!$B$8:$B$507,$A45)+COUNTIFS(ASM_Harian!$A$8:$A$507,$B$4,ASM_Harian!$B$8:$B$507,$A45))</f>
        <v>0</v>
      </c>
      <c r="G45" s="12" t="str">
        <f>IF($A45="","",IF(F45=0,"Belum Lapor",IF(F45&gt;1,"Data Ganda",IF(COUNTIFS(Sales_Harian!$A$8:$A$507,$B$4,Sales_Harian!$B$8:$B$507,$A45,Sales_Harian!$Z$8:$Z$507,"Dikirim")+COUNTIFS(SPV_Harian!$A$8:$A$507,$B$4,SPV_Harian!$B$8:$B$507,$A45,SPV_Harian!$Y$8:$Y$507,"Dikirim")+COUNTIFS(ASM_Harian!$A$8:$A$507,$B$4,ASM_Harian!$B$8:$B$507,$A45,ASM_Harian!$Y$8:$Y$507,"Dikirim")=1,"Dikirim","Draft"))))</f>
        <v>Belum Lapor</v>
      </c>
      <c r="H45" s="12" t="str">
        <f>IF(OR($A45="",F45=0),"",SUMIFS(Sales_Harian!$AF$8:$AF$507,Sales_Harian!$A$8:$A$507,$B$4,Sales_Harian!$B$8:$B$507,$A45)+SUMIFS(SPV_Harian!$AE$8:$AE$507,SPV_Harian!$A$8:$A$507,$B$4,SPV_Harian!$B$8:$B$507,$A45)+SUMIFS(ASM_Harian!$AE$8:$AE$507,ASM_Harian!$A$8:$A$507,$B$4,ASM_Harian!$B$8:$B$507,$A45))</f>
        <v/>
      </c>
      <c r="I45" s="12" t="str">
        <f>IF(OR($A45="",F45=0),"",SUMIFS(Sales_Harian!$AG$8:$AG$507,Sales_Harian!$A$8:$A$507,$B$4,Sales_Harian!$B$8:$B$507,$A45)+SUMIFS(SPV_Harian!$AF$8:$AF$507,SPV_Harian!$A$8:$A$507,$B$4,SPV_Harian!$B$8:$B$507,$A45)+SUMIFS(ASM_Harian!$AF$8:$AF$507,ASM_Harian!$A$8:$A$507,$B$4,ASM_Harian!$B$8:$B$507,$A45))</f>
        <v/>
      </c>
      <c r="J45" s="12" t="str">
        <f>IF(OR($A45="",F45=0),"",SUMIFS(Sales_Harian!$AH$8:$AH$507,Sales_Harian!$A$8:$A$507,$B$4,Sales_Harian!$B$8:$B$507,$A45)+SUMIFS(SPV_Harian!$AG$8:$AG$507,SPV_Harian!$A$8:$A$507,$B$4,SPV_Harian!$B$8:$B$507,$A45)+SUMIFS(ASM_Harian!$AG$8:$AG$507,ASM_Harian!$A$8:$A$507,$B$4,ASM_Harian!$B$8:$B$507,$A45))</f>
        <v/>
      </c>
      <c r="K45" s="12" t="str">
        <f>IF(OR($A45="",F45=0),"",SUMIFS(Sales_Harian!$AI$8:$AI$507,Sales_Harian!$A$8:$A$507,$B$4,Sales_Harian!$B$8:$B$507,$A45)+SUMIFS(SPV_Harian!$AH$8:$AH$507,SPV_Harian!$A$8:$A$507,$B$4,SPV_Harian!$B$8:$B$507,$A45)+SUMIFS(ASM_Harian!$AH$8:$AH$507,ASM_Harian!$A$8:$A$507,$B$4,ASM_Harian!$B$8:$B$507,$A45))</f>
        <v/>
      </c>
      <c r="L45" s="12" t="str">
        <f>IF(OR($A45="",F45=0),"",SUMIFS(Sales_Harian!$AK$8:$AK$507,Sales_Harian!$A$8:$A$507,$B$4,Sales_Harian!$B$8:$B$507,$A45)+SUMIFS(SPV_Harian!$AJ$8:$AJ$507,SPV_Harian!$A$8:$A$507,$B$4,SPV_Harian!$B$8:$B$507,$A45)+SUMIFS(ASM_Harian!$AJ$8:$AJ$507,ASM_Harian!$A$8:$A$507,$B$4,ASM_Harian!$B$8:$B$507,$A45))</f>
        <v/>
      </c>
      <c r="M45" s="13" t="str">
        <f t="shared" si="0"/>
        <v>n.a.</v>
      </c>
      <c r="N45" s="1" t="str">
        <f>IF($A45="","",IF(G45&lt;&gt;"Dikirim","",IF(COUNTIFS(Sales_Harian!$A$8:$A$507,$B$4,Sales_Harian!$B$8:$B$507,$A45,Sales_Harian!$AB$8:$AB$507,"Disetujui")+COUNTIFS(SPV_Harian!$A$8:$A$507,$B$4,SPV_Harian!$B$8:$B$507,$A45,SPV_Harian!$AA$8:$AA$507,"Disetujui")+COUNTIFS(ASM_Harian!$A$8:$A$507,$B$4,ASM_Harian!$B$8:$B$507,$A45,ASM_Harian!$AA$8:$AA$507,"Disetujui")=1,IF(COUNTIFS(Sales_Harian!$A$8:$A$507,$B$4,Sales_Harian!$B$8:$B$507,$A45,Sales_Harian!$AM$8:$AM$507,"&lt;&gt;OK")+COUNTIFS(SPV_Harian!$A$8:$A$507,$B$4,SPV_Harian!$B$8:$B$507,$A45,SPV_Harian!$AL$8:$AL$507,"&lt;&gt;OK")+COUNTIFS(ASM_Harian!$A$8:$A$507,$B$4,ASM_Harian!$B$8:$B$507,$A45,ASM_Harian!$AL$8:$AL$507,"&lt;&gt;OK")&gt;0,"Review belum valid","Disetujui"),IF(COUNTIFS(Sales_Harian!$A$8:$A$507,$B$4,Sales_Harian!$B$8:$B$507,$A45,Sales_Harian!$AB$8:$AB$507,"Perlu Perbaikan")+COUNTIFS(SPV_Harian!$A$8:$A$507,$B$4,SPV_Harian!$B$8:$B$507,$A45,SPV_Harian!$AA$8:$AA$507,"Perlu Perbaikan")+COUNTIFS(ASM_Harian!$A$8:$A$507,$B$4,ASM_Harian!$B$8:$B$507,$A45,ASM_Harian!$AA$8:$AA$507,"Perlu Perbaikan")=1,"Perlu Perbaikan","Belum Diperiksa"))))</f>
        <v/>
      </c>
      <c r="O45" s="1" t="str">
        <f>IF($A45="","",IF(F45=0,"Belum ada laporan",IF(F45&gt;1,"Hapus/benahi laporan ganda",IF(COUNTIFS(Sales_Harian!$A$8:$A$507,$B$4,Sales_Harian!$B$8:$B$507,$A45,Sales_Harian!$AM$8:$AM$507,"&lt;&gt;OK")+COUNTIFS(SPV_Harian!$A$8:$A$507,$B$4,SPV_Harian!$B$8:$B$507,$A45,SPV_Harian!$AL$8:$AL$507,"&lt;&gt;OK")+COUNTIFS(ASM_Harian!$A$8:$A$507,$B$4,ASM_Harian!$B$8:$B$507,$A45,ASM_Harian!$AL$8:$AL$507,"&lt;&gt;OK")&gt;0,"Periksa validasi_data",IF(SUM(J45:K45)&gt;0,"Ada kegiatan terbuka",IF(N45="Perlu Perbaikan","Tindak lanjuti review",IF(G45="Draft","Kirim laporan",IF(N45="Belum Diperiksa","Menunggu pemeriksaan",""))))))))</f>
        <v>Belum ada laporan</v>
      </c>
    </row>
    <row r="46" spans="1:15" ht="24" customHeight="1">
      <c r="A46" s="1" t="str">
        <f>IF(AND(Master_PIC!A40&lt;&gt;"",Master_PIC!G40="Aktif",Master_PIC!C40&lt;&gt;"Manager"),Master_PIC!A40,"")</f>
        <v>Sales23</v>
      </c>
      <c r="B46" s="1" t="str">
        <f>IF($A46="","",IF(Master_PIC!B40="","",Master_PIC!B40))</f>
        <v>M. Sahit</v>
      </c>
      <c r="C46" s="1" t="str">
        <f>IF($A46="","",IF(Master_PIC!C40="","",Master_PIC!C40))</f>
        <v>Sales</v>
      </c>
      <c r="D46" s="1" t="str">
        <f>IF($A46="","",IF(Master_PIC!D40="","",Master_PIC!D40))</f>
        <v>Purwasuka</v>
      </c>
      <c r="E46" s="1" t="str">
        <f>IF($A46="","",IF(Master_PIC!E40="","",Master_PIC!E40))</f>
        <v>Barat</v>
      </c>
      <c r="F46" s="12">
        <f>IF($A46="","",COUNTIFS(Sales_Harian!$A$8:$A$507,$B$4,Sales_Harian!$B$8:$B$507,$A46)+COUNTIFS(SPV_Harian!$A$8:$A$507,$B$4,SPV_Harian!$B$8:$B$507,$A46)+COUNTIFS(ASM_Harian!$A$8:$A$507,$B$4,ASM_Harian!$B$8:$B$507,$A46))</f>
        <v>0</v>
      </c>
      <c r="G46" s="12" t="str">
        <f>IF($A46="","",IF(F46=0,"Belum Lapor",IF(F46&gt;1,"Data Ganda",IF(COUNTIFS(Sales_Harian!$A$8:$A$507,$B$4,Sales_Harian!$B$8:$B$507,$A46,Sales_Harian!$Z$8:$Z$507,"Dikirim")+COUNTIFS(SPV_Harian!$A$8:$A$507,$B$4,SPV_Harian!$B$8:$B$507,$A46,SPV_Harian!$Y$8:$Y$507,"Dikirim")+COUNTIFS(ASM_Harian!$A$8:$A$507,$B$4,ASM_Harian!$B$8:$B$507,$A46,ASM_Harian!$Y$8:$Y$507,"Dikirim")=1,"Dikirim","Draft"))))</f>
        <v>Belum Lapor</v>
      </c>
      <c r="H46" s="12" t="str">
        <f>IF(OR($A46="",F46=0),"",SUMIFS(Sales_Harian!$AF$8:$AF$507,Sales_Harian!$A$8:$A$507,$B$4,Sales_Harian!$B$8:$B$507,$A46)+SUMIFS(SPV_Harian!$AE$8:$AE$507,SPV_Harian!$A$8:$A$507,$B$4,SPV_Harian!$B$8:$B$507,$A46)+SUMIFS(ASM_Harian!$AE$8:$AE$507,ASM_Harian!$A$8:$A$507,$B$4,ASM_Harian!$B$8:$B$507,$A46))</f>
        <v/>
      </c>
      <c r="I46" s="12" t="str">
        <f>IF(OR($A46="",F46=0),"",SUMIFS(Sales_Harian!$AG$8:$AG$507,Sales_Harian!$A$8:$A$507,$B$4,Sales_Harian!$B$8:$B$507,$A46)+SUMIFS(SPV_Harian!$AF$8:$AF$507,SPV_Harian!$A$8:$A$507,$B$4,SPV_Harian!$B$8:$B$507,$A46)+SUMIFS(ASM_Harian!$AF$8:$AF$507,ASM_Harian!$A$8:$A$507,$B$4,ASM_Harian!$B$8:$B$507,$A46))</f>
        <v/>
      </c>
      <c r="J46" s="12" t="str">
        <f>IF(OR($A46="",F46=0),"",SUMIFS(Sales_Harian!$AH$8:$AH$507,Sales_Harian!$A$8:$A$507,$B$4,Sales_Harian!$B$8:$B$507,$A46)+SUMIFS(SPV_Harian!$AG$8:$AG$507,SPV_Harian!$A$8:$A$507,$B$4,SPV_Harian!$B$8:$B$507,$A46)+SUMIFS(ASM_Harian!$AG$8:$AG$507,ASM_Harian!$A$8:$A$507,$B$4,ASM_Harian!$B$8:$B$507,$A46))</f>
        <v/>
      </c>
      <c r="K46" s="12" t="str">
        <f>IF(OR($A46="",F46=0),"",SUMIFS(Sales_Harian!$AI$8:$AI$507,Sales_Harian!$A$8:$A$507,$B$4,Sales_Harian!$B$8:$B$507,$A46)+SUMIFS(SPV_Harian!$AH$8:$AH$507,SPV_Harian!$A$8:$A$507,$B$4,SPV_Harian!$B$8:$B$507,$A46)+SUMIFS(ASM_Harian!$AH$8:$AH$507,ASM_Harian!$A$8:$A$507,$B$4,ASM_Harian!$B$8:$B$507,$A46))</f>
        <v/>
      </c>
      <c r="L46" s="12" t="str">
        <f>IF(OR($A46="",F46=0),"",SUMIFS(Sales_Harian!$AK$8:$AK$507,Sales_Harian!$A$8:$A$507,$B$4,Sales_Harian!$B$8:$B$507,$A46)+SUMIFS(SPV_Harian!$AJ$8:$AJ$507,SPV_Harian!$A$8:$A$507,$B$4,SPV_Harian!$B$8:$B$507,$A46)+SUMIFS(ASM_Harian!$AJ$8:$AJ$507,ASM_Harian!$A$8:$A$507,$B$4,ASM_Harian!$B$8:$B$507,$A46))</f>
        <v/>
      </c>
      <c r="M46" s="13" t="str">
        <f t="shared" si="0"/>
        <v>n.a.</v>
      </c>
      <c r="N46" s="1" t="str">
        <f>IF($A46="","",IF(G46&lt;&gt;"Dikirim","",IF(COUNTIFS(Sales_Harian!$A$8:$A$507,$B$4,Sales_Harian!$B$8:$B$507,$A46,Sales_Harian!$AB$8:$AB$507,"Disetujui")+COUNTIFS(SPV_Harian!$A$8:$A$507,$B$4,SPV_Harian!$B$8:$B$507,$A46,SPV_Harian!$AA$8:$AA$507,"Disetujui")+COUNTIFS(ASM_Harian!$A$8:$A$507,$B$4,ASM_Harian!$B$8:$B$507,$A46,ASM_Harian!$AA$8:$AA$507,"Disetujui")=1,IF(COUNTIFS(Sales_Harian!$A$8:$A$507,$B$4,Sales_Harian!$B$8:$B$507,$A46,Sales_Harian!$AM$8:$AM$507,"&lt;&gt;OK")+COUNTIFS(SPV_Harian!$A$8:$A$507,$B$4,SPV_Harian!$B$8:$B$507,$A46,SPV_Harian!$AL$8:$AL$507,"&lt;&gt;OK")+COUNTIFS(ASM_Harian!$A$8:$A$507,$B$4,ASM_Harian!$B$8:$B$507,$A46,ASM_Harian!$AL$8:$AL$507,"&lt;&gt;OK")&gt;0,"Review belum valid","Disetujui"),IF(COUNTIFS(Sales_Harian!$A$8:$A$507,$B$4,Sales_Harian!$B$8:$B$507,$A46,Sales_Harian!$AB$8:$AB$507,"Perlu Perbaikan")+COUNTIFS(SPV_Harian!$A$8:$A$507,$B$4,SPV_Harian!$B$8:$B$507,$A46,SPV_Harian!$AA$8:$AA$507,"Perlu Perbaikan")+COUNTIFS(ASM_Harian!$A$8:$A$507,$B$4,ASM_Harian!$B$8:$B$507,$A46,ASM_Harian!$AA$8:$AA$507,"Perlu Perbaikan")=1,"Perlu Perbaikan","Belum Diperiksa"))))</f>
        <v/>
      </c>
      <c r="O46" s="1" t="str">
        <f>IF($A46="","",IF(F46=0,"Belum ada laporan",IF(F46&gt;1,"Hapus/benahi laporan ganda",IF(COUNTIFS(Sales_Harian!$A$8:$A$507,$B$4,Sales_Harian!$B$8:$B$507,$A46,Sales_Harian!$AM$8:$AM$507,"&lt;&gt;OK")+COUNTIFS(SPV_Harian!$A$8:$A$507,$B$4,SPV_Harian!$B$8:$B$507,$A46,SPV_Harian!$AL$8:$AL$507,"&lt;&gt;OK")+COUNTIFS(ASM_Harian!$A$8:$A$507,$B$4,ASM_Harian!$B$8:$B$507,$A46,ASM_Harian!$AL$8:$AL$507,"&lt;&gt;OK")&gt;0,"Periksa validasi_data",IF(SUM(J46:K46)&gt;0,"Ada kegiatan terbuka",IF(N46="Perlu Perbaikan","Tindak lanjuti review",IF(G46="Draft","Kirim laporan",IF(N46="Belum Diperiksa","Menunggu pemeriksaan",""))))))))</f>
        <v>Belum ada laporan</v>
      </c>
    </row>
    <row r="47" spans="1:15" ht="24" customHeight="1">
      <c r="A47" s="1" t="str">
        <f>IF(AND(Master_PIC!A41&lt;&gt;"",Master_PIC!G41="Aktif",Master_PIC!C41&lt;&gt;"Manager"),Master_PIC!A41,"")</f>
        <v>Sales24</v>
      </c>
      <c r="B47" s="1" t="str">
        <f>IF($A47="","",IF(Master_PIC!B41="","",Master_PIC!B41))</f>
        <v>Yandhi Rizki Ismail</v>
      </c>
      <c r="C47" s="1" t="str">
        <f>IF($A47="","",IF(Master_PIC!C41="","",Master_PIC!C41))</f>
        <v>Sales</v>
      </c>
      <c r="D47" s="1" t="str">
        <f>IF($A47="","",IF(Master_PIC!D41="","",Master_PIC!D41))</f>
        <v>Tangerang</v>
      </c>
      <c r="E47" s="1" t="str">
        <f>IF($A47="","",IF(Master_PIC!E41="","",Master_PIC!E41))</f>
        <v>Barat</v>
      </c>
      <c r="F47" s="12">
        <f>IF($A47="","",COUNTIFS(Sales_Harian!$A$8:$A$507,$B$4,Sales_Harian!$B$8:$B$507,$A47)+COUNTIFS(SPV_Harian!$A$8:$A$507,$B$4,SPV_Harian!$B$8:$B$507,$A47)+COUNTIFS(ASM_Harian!$A$8:$A$507,$B$4,ASM_Harian!$B$8:$B$507,$A47))</f>
        <v>0</v>
      </c>
      <c r="G47" s="12" t="str">
        <f>IF($A47="","",IF(F47=0,"Belum Lapor",IF(F47&gt;1,"Data Ganda",IF(COUNTIFS(Sales_Harian!$A$8:$A$507,$B$4,Sales_Harian!$B$8:$B$507,$A47,Sales_Harian!$Z$8:$Z$507,"Dikirim")+COUNTIFS(SPV_Harian!$A$8:$A$507,$B$4,SPV_Harian!$B$8:$B$507,$A47,SPV_Harian!$Y$8:$Y$507,"Dikirim")+COUNTIFS(ASM_Harian!$A$8:$A$507,$B$4,ASM_Harian!$B$8:$B$507,$A47,ASM_Harian!$Y$8:$Y$507,"Dikirim")=1,"Dikirim","Draft"))))</f>
        <v>Belum Lapor</v>
      </c>
      <c r="H47" s="12" t="str">
        <f>IF(OR($A47="",F47=0),"",SUMIFS(Sales_Harian!$AF$8:$AF$507,Sales_Harian!$A$8:$A$507,$B$4,Sales_Harian!$B$8:$B$507,$A47)+SUMIFS(SPV_Harian!$AE$8:$AE$507,SPV_Harian!$A$8:$A$507,$B$4,SPV_Harian!$B$8:$B$507,$A47)+SUMIFS(ASM_Harian!$AE$8:$AE$507,ASM_Harian!$A$8:$A$507,$B$4,ASM_Harian!$B$8:$B$507,$A47))</f>
        <v/>
      </c>
      <c r="I47" s="12" t="str">
        <f>IF(OR($A47="",F47=0),"",SUMIFS(Sales_Harian!$AG$8:$AG$507,Sales_Harian!$A$8:$A$507,$B$4,Sales_Harian!$B$8:$B$507,$A47)+SUMIFS(SPV_Harian!$AF$8:$AF$507,SPV_Harian!$A$8:$A$507,$B$4,SPV_Harian!$B$8:$B$507,$A47)+SUMIFS(ASM_Harian!$AF$8:$AF$507,ASM_Harian!$A$8:$A$507,$B$4,ASM_Harian!$B$8:$B$507,$A47))</f>
        <v/>
      </c>
      <c r="J47" s="12" t="str">
        <f>IF(OR($A47="",F47=0),"",SUMIFS(Sales_Harian!$AH$8:$AH$507,Sales_Harian!$A$8:$A$507,$B$4,Sales_Harian!$B$8:$B$507,$A47)+SUMIFS(SPV_Harian!$AG$8:$AG$507,SPV_Harian!$A$8:$A$507,$B$4,SPV_Harian!$B$8:$B$507,$A47)+SUMIFS(ASM_Harian!$AG$8:$AG$507,ASM_Harian!$A$8:$A$507,$B$4,ASM_Harian!$B$8:$B$507,$A47))</f>
        <v/>
      </c>
      <c r="K47" s="12" t="str">
        <f>IF(OR($A47="",F47=0),"",SUMIFS(Sales_Harian!$AI$8:$AI$507,Sales_Harian!$A$8:$A$507,$B$4,Sales_Harian!$B$8:$B$507,$A47)+SUMIFS(SPV_Harian!$AH$8:$AH$507,SPV_Harian!$A$8:$A$507,$B$4,SPV_Harian!$B$8:$B$507,$A47)+SUMIFS(ASM_Harian!$AH$8:$AH$507,ASM_Harian!$A$8:$A$507,$B$4,ASM_Harian!$B$8:$B$507,$A47))</f>
        <v/>
      </c>
      <c r="L47" s="12" t="str">
        <f>IF(OR($A47="",F47=0),"",SUMIFS(Sales_Harian!$AK$8:$AK$507,Sales_Harian!$A$8:$A$507,$B$4,Sales_Harian!$B$8:$B$507,$A47)+SUMIFS(SPV_Harian!$AJ$8:$AJ$507,SPV_Harian!$A$8:$A$507,$B$4,SPV_Harian!$B$8:$B$507,$A47)+SUMIFS(ASM_Harian!$AJ$8:$AJ$507,ASM_Harian!$A$8:$A$507,$B$4,ASM_Harian!$B$8:$B$507,$A47))</f>
        <v/>
      </c>
      <c r="M47" s="13" t="str">
        <f t="shared" si="0"/>
        <v>n.a.</v>
      </c>
      <c r="N47" s="1" t="str">
        <f>IF($A47="","",IF(G47&lt;&gt;"Dikirim","",IF(COUNTIFS(Sales_Harian!$A$8:$A$507,$B$4,Sales_Harian!$B$8:$B$507,$A47,Sales_Harian!$AB$8:$AB$507,"Disetujui")+COUNTIFS(SPV_Harian!$A$8:$A$507,$B$4,SPV_Harian!$B$8:$B$507,$A47,SPV_Harian!$AA$8:$AA$507,"Disetujui")+COUNTIFS(ASM_Harian!$A$8:$A$507,$B$4,ASM_Harian!$B$8:$B$507,$A47,ASM_Harian!$AA$8:$AA$507,"Disetujui")=1,IF(COUNTIFS(Sales_Harian!$A$8:$A$507,$B$4,Sales_Harian!$B$8:$B$507,$A47,Sales_Harian!$AM$8:$AM$507,"&lt;&gt;OK")+COUNTIFS(SPV_Harian!$A$8:$A$507,$B$4,SPV_Harian!$B$8:$B$507,$A47,SPV_Harian!$AL$8:$AL$507,"&lt;&gt;OK")+COUNTIFS(ASM_Harian!$A$8:$A$507,$B$4,ASM_Harian!$B$8:$B$507,$A47,ASM_Harian!$AL$8:$AL$507,"&lt;&gt;OK")&gt;0,"Review belum valid","Disetujui"),IF(COUNTIFS(Sales_Harian!$A$8:$A$507,$B$4,Sales_Harian!$B$8:$B$507,$A47,Sales_Harian!$AB$8:$AB$507,"Perlu Perbaikan")+COUNTIFS(SPV_Harian!$A$8:$A$507,$B$4,SPV_Harian!$B$8:$B$507,$A47,SPV_Harian!$AA$8:$AA$507,"Perlu Perbaikan")+COUNTIFS(ASM_Harian!$A$8:$A$507,$B$4,ASM_Harian!$B$8:$B$507,$A47,ASM_Harian!$AA$8:$AA$507,"Perlu Perbaikan")=1,"Perlu Perbaikan","Belum Diperiksa"))))</f>
        <v/>
      </c>
      <c r="O47" s="1" t="str">
        <f>IF($A47="","",IF(F47=0,"Belum ada laporan",IF(F47&gt;1,"Hapus/benahi laporan ganda",IF(COUNTIFS(Sales_Harian!$A$8:$A$507,$B$4,Sales_Harian!$B$8:$B$507,$A47,Sales_Harian!$AM$8:$AM$507,"&lt;&gt;OK")+COUNTIFS(SPV_Harian!$A$8:$A$507,$B$4,SPV_Harian!$B$8:$B$507,$A47,SPV_Harian!$AL$8:$AL$507,"&lt;&gt;OK")+COUNTIFS(ASM_Harian!$A$8:$A$507,$B$4,ASM_Harian!$B$8:$B$507,$A47,ASM_Harian!$AL$8:$AL$507,"&lt;&gt;OK")&gt;0,"Periksa validasi_data",IF(SUM(J47:K47)&gt;0,"Ada kegiatan terbuka",IF(N47="Perlu Perbaikan","Tindak lanjuti review",IF(G47="Draft","Kirim laporan",IF(N47="Belum Diperiksa","Menunggu pemeriksaan",""))))))))</f>
        <v>Belum ada laporan</v>
      </c>
    </row>
    <row r="48" spans="1:15" ht="24" customHeight="1">
      <c r="A48" s="1" t="str">
        <f>IF(AND(Master_PIC!A42&lt;&gt;"",Master_PIC!G42="Aktif",Master_PIC!C42&lt;&gt;"Manager"),Master_PIC!A42,"")</f>
        <v>Sales25</v>
      </c>
      <c r="B48" s="1" t="str">
        <f>IF($A48="","",IF(Master_PIC!B42="","",Master_PIC!B42))</f>
        <v>M Rizky Satria Saputra</v>
      </c>
      <c r="C48" s="1" t="str">
        <f>IF($A48="","",IF(Master_PIC!C42="","",Master_PIC!C42))</f>
        <v>Sales</v>
      </c>
      <c r="D48" s="1" t="str">
        <f>IF($A48="","",IF(Master_PIC!D42="","",Master_PIC!D42))</f>
        <v>Tangerang</v>
      </c>
      <c r="E48" s="1" t="str">
        <f>IF($A48="","",IF(Master_PIC!E42="","",Master_PIC!E42))</f>
        <v>Barat</v>
      </c>
      <c r="F48" s="12">
        <f>IF($A48="","",COUNTIFS(Sales_Harian!$A$8:$A$507,$B$4,Sales_Harian!$B$8:$B$507,$A48)+COUNTIFS(SPV_Harian!$A$8:$A$507,$B$4,SPV_Harian!$B$8:$B$507,$A48)+COUNTIFS(ASM_Harian!$A$8:$A$507,$B$4,ASM_Harian!$B$8:$B$507,$A48))</f>
        <v>0</v>
      </c>
      <c r="G48" s="12" t="str">
        <f>IF($A48="","",IF(F48=0,"Belum Lapor",IF(F48&gt;1,"Data Ganda",IF(COUNTIFS(Sales_Harian!$A$8:$A$507,$B$4,Sales_Harian!$B$8:$B$507,$A48,Sales_Harian!$Z$8:$Z$507,"Dikirim")+COUNTIFS(SPV_Harian!$A$8:$A$507,$B$4,SPV_Harian!$B$8:$B$507,$A48,SPV_Harian!$Y$8:$Y$507,"Dikirim")+COUNTIFS(ASM_Harian!$A$8:$A$507,$B$4,ASM_Harian!$B$8:$B$507,$A48,ASM_Harian!$Y$8:$Y$507,"Dikirim")=1,"Dikirim","Draft"))))</f>
        <v>Belum Lapor</v>
      </c>
      <c r="H48" s="12" t="str">
        <f>IF(OR($A48="",F48=0),"",SUMIFS(Sales_Harian!$AF$8:$AF$507,Sales_Harian!$A$8:$A$507,$B$4,Sales_Harian!$B$8:$B$507,$A48)+SUMIFS(SPV_Harian!$AE$8:$AE$507,SPV_Harian!$A$8:$A$507,$B$4,SPV_Harian!$B$8:$B$507,$A48)+SUMIFS(ASM_Harian!$AE$8:$AE$507,ASM_Harian!$A$8:$A$507,$B$4,ASM_Harian!$B$8:$B$507,$A48))</f>
        <v/>
      </c>
      <c r="I48" s="12" t="str">
        <f>IF(OR($A48="",F48=0),"",SUMIFS(Sales_Harian!$AG$8:$AG$507,Sales_Harian!$A$8:$A$507,$B$4,Sales_Harian!$B$8:$B$507,$A48)+SUMIFS(SPV_Harian!$AF$8:$AF$507,SPV_Harian!$A$8:$A$507,$B$4,SPV_Harian!$B$8:$B$507,$A48)+SUMIFS(ASM_Harian!$AF$8:$AF$507,ASM_Harian!$A$8:$A$507,$B$4,ASM_Harian!$B$8:$B$507,$A48))</f>
        <v/>
      </c>
      <c r="J48" s="12" t="str">
        <f>IF(OR($A48="",F48=0),"",SUMIFS(Sales_Harian!$AH$8:$AH$507,Sales_Harian!$A$8:$A$507,$B$4,Sales_Harian!$B$8:$B$507,$A48)+SUMIFS(SPV_Harian!$AG$8:$AG$507,SPV_Harian!$A$8:$A$507,$B$4,SPV_Harian!$B$8:$B$507,$A48)+SUMIFS(ASM_Harian!$AG$8:$AG$507,ASM_Harian!$A$8:$A$507,$B$4,ASM_Harian!$B$8:$B$507,$A48))</f>
        <v/>
      </c>
      <c r="K48" s="12" t="str">
        <f>IF(OR($A48="",F48=0),"",SUMIFS(Sales_Harian!$AI$8:$AI$507,Sales_Harian!$A$8:$A$507,$B$4,Sales_Harian!$B$8:$B$507,$A48)+SUMIFS(SPV_Harian!$AH$8:$AH$507,SPV_Harian!$A$8:$A$507,$B$4,SPV_Harian!$B$8:$B$507,$A48)+SUMIFS(ASM_Harian!$AH$8:$AH$507,ASM_Harian!$A$8:$A$507,$B$4,ASM_Harian!$B$8:$B$507,$A48))</f>
        <v/>
      </c>
      <c r="L48" s="12" t="str">
        <f>IF(OR($A48="",F48=0),"",SUMIFS(Sales_Harian!$AK$8:$AK$507,Sales_Harian!$A$8:$A$507,$B$4,Sales_Harian!$B$8:$B$507,$A48)+SUMIFS(SPV_Harian!$AJ$8:$AJ$507,SPV_Harian!$A$8:$A$507,$B$4,SPV_Harian!$B$8:$B$507,$A48)+SUMIFS(ASM_Harian!$AJ$8:$AJ$507,ASM_Harian!$A$8:$A$507,$B$4,ASM_Harian!$B$8:$B$507,$A48))</f>
        <v/>
      </c>
      <c r="M48" s="13" t="str">
        <f t="shared" si="0"/>
        <v>n.a.</v>
      </c>
      <c r="N48" s="1" t="str">
        <f>IF($A48="","",IF(G48&lt;&gt;"Dikirim","",IF(COUNTIFS(Sales_Harian!$A$8:$A$507,$B$4,Sales_Harian!$B$8:$B$507,$A48,Sales_Harian!$AB$8:$AB$507,"Disetujui")+COUNTIFS(SPV_Harian!$A$8:$A$507,$B$4,SPV_Harian!$B$8:$B$507,$A48,SPV_Harian!$AA$8:$AA$507,"Disetujui")+COUNTIFS(ASM_Harian!$A$8:$A$507,$B$4,ASM_Harian!$B$8:$B$507,$A48,ASM_Harian!$AA$8:$AA$507,"Disetujui")=1,IF(COUNTIFS(Sales_Harian!$A$8:$A$507,$B$4,Sales_Harian!$B$8:$B$507,$A48,Sales_Harian!$AM$8:$AM$507,"&lt;&gt;OK")+COUNTIFS(SPV_Harian!$A$8:$A$507,$B$4,SPV_Harian!$B$8:$B$507,$A48,SPV_Harian!$AL$8:$AL$507,"&lt;&gt;OK")+COUNTIFS(ASM_Harian!$A$8:$A$507,$B$4,ASM_Harian!$B$8:$B$507,$A48,ASM_Harian!$AL$8:$AL$507,"&lt;&gt;OK")&gt;0,"Review belum valid","Disetujui"),IF(COUNTIFS(Sales_Harian!$A$8:$A$507,$B$4,Sales_Harian!$B$8:$B$507,$A48,Sales_Harian!$AB$8:$AB$507,"Perlu Perbaikan")+COUNTIFS(SPV_Harian!$A$8:$A$507,$B$4,SPV_Harian!$B$8:$B$507,$A48,SPV_Harian!$AA$8:$AA$507,"Perlu Perbaikan")+COUNTIFS(ASM_Harian!$A$8:$A$507,$B$4,ASM_Harian!$B$8:$B$507,$A48,ASM_Harian!$AA$8:$AA$507,"Perlu Perbaikan")=1,"Perlu Perbaikan","Belum Diperiksa"))))</f>
        <v/>
      </c>
      <c r="O48" s="1" t="str">
        <f>IF($A48="","",IF(F48=0,"Belum ada laporan",IF(F48&gt;1,"Hapus/benahi laporan ganda",IF(COUNTIFS(Sales_Harian!$A$8:$A$507,$B$4,Sales_Harian!$B$8:$B$507,$A48,Sales_Harian!$AM$8:$AM$507,"&lt;&gt;OK")+COUNTIFS(SPV_Harian!$A$8:$A$507,$B$4,SPV_Harian!$B$8:$B$507,$A48,SPV_Harian!$AL$8:$AL$507,"&lt;&gt;OK")+COUNTIFS(ASM_Harian!$A$8:$A$507,$B$4,ASM_Harian!$B$8:$B$507,$A48,ASM_Harian!$AL$8:$AL$507,"&lt;&gt;OK")&gt;0,"Periksa validasi_data",IF(SUM(J48:K48)&gt;0,"Ada kegiatan terbuka",IF(N48="Perlu Perbaikan","Tindak lanjuti review",IF(G48="Draft","Kirim laporan",IF(N48="Belum Diperiksa","Menunggu pemeriksaan",""))))))))</f>
        <v>Belum ada laporan</v>
      </c>
    </row>
    <row r="49" spans="1:15" ht="24" customHeight="1">
      <c r="A49" s="1" t="str">
        <f>IF(AND(Master_PIC!A43&lt;&gt;"",Master_PIC!G43="Aktif",Master_PIC!C43&lt;&gt;"Manager"),Master_PIC!A43,"")</f>
        <v/>
      </c>
      <c r="B49" s="1" t="str">
        <f>IF($A49="","",IF(Master_PIC!B43="","",Master_PIC!B43))</f>
        <v/>
      </c>
      <c r="C49" s="1" t="str">
        <f>IF($A49="","",IF(Master_PIC!C43="","",Master_PIC!C43))</f>
        <v/>
      </c>
      <c r="D49" s="1" t="str">
        <f>IF($A49="","",IF(Master_PIC!D43="","",Master_PIC!D43))</f>
        <v/>
      </c>
      <c r="E49" s="1" t="str">
        <f>IF($A49="","",IF(Master_PIC!E43="","",Master_PIC!E43))</f>
        <v/>
      </c>
      <c r="F49" s="12" t="str">
        <f>IF($A49="","",COUNTIFS(Sales_Harian!$A$8:$A$507,$B$4,Sales_Harian!$B$8:$B$507,$A49)+COUNTIFS(SPV_Harian!$A$8:$A$507,$B$4,SPV_Harian!$B$8:$B$507,$A49)+COUNTIFS(ASM_Harian!$A$8:$A$507,$B$4,ASM_Harian!$B$8:$B$507,$A49))</f>
        <v/>
      </c>
      <c r="G49" s="12" t="str">
        <f>IF($A49="","",IF(F49=0,"Belum Lapor",IF(F49&gt;1,"Data Ganda",IF(COUNTIFS(Sales_Harian!$A$8:$A$507,$B$4,Sales_Harian!$B$8:$B$507,$A49,Sales_Harian!$Z$8:$Z$507,"Dikirim")+COUNTIFS(SPV_Harian!$A$8:$A$507,$B$4,SPV_Harian!$B$8:$B$507,$A49,SPV_Harian!$Y$8:$Y$507,"Dikirim")+COUNTIFS(ASM_Harian!$A$8:$A$507,$B$4,ASM_Harian!$B$8:$B$507,$A49,ASM_Harian!$Y$8:$Y$507,"Dikirim")=1,"Dikirim","Draft"))))</f>
        <v/>
      </c>
      <c r="H49" s="12" t="str">
        <f>IF(OR($A49="",F49=0),"",SUMIFS(Sales_Harian!$AF$8:$AF$507,Sales_Harian!$A$8:$A$507,$B$4,Sales_Harian!$B$8:$B$507,$A49)+SUMIFS(SPV_Harian!$AE$8:$AE$507,SPV_Harian!$A$8:$A$507,$B$4,SPV_Harian!$B$8:$B$507,$A49)+SUMIFS(ASM_Harian!$AE$8:$AE$507,ASM_Harian!$A$8:$A$507,$B$4,ASM_Harian!$B$8:$B$507,$A49))</f>
        <v/>
      </c>
      <c r="I49" s="12" t="str">
        <f>IF(OR($A49="",F49=0),"",SUMIFS(Sales_Harian!$AG$8:$AG$507,Sales_Harian!$A$8:$A$507,$B$4,Sales_Harian!$B$8:$B$507,$A49)+SUMIFS(SPV_Harian!$AF$8:$AF$507,SPV_Harian!$A$8:$A$507,$B$4,SPV_Harian!$B$8:$B$507,$A49)+SUMIFS(ASM_Harian!$AF$8:$AF$507,ASM_Harian!$A$8:$A$507,$B$4,ASM_Harian!$B$8:$B$507,$A49))</f>
        <v/>
      </c>
      <c r="J49" s="12" t="str">
        <f>IF(OR($A49="",F49=0),"",SUMIFS(Sales_Harian!$AH$8:$AH$507,Sales_Harian!$A$8:$A$507,$B$4,Sales_Harian!$B$8:$B$507,$A49)+SUMIFS(SPV_Harian!$AG$8:$AG$507,SPV_Harian!$A$8:$A$507,$B$4,SPV_Harian!$B$8:$B$507,$A49)+SUMIFS(ASM_Harian!$AG$8:$AG$507,ASM_Harian!$A$8:$A$507,$B$4,ASM_Harian!$B$8:$B$507,$A49))</f>
        <v/>
      </c>
      <c r="K49" s="12" t="str">
        <f>IF(OR($A49="",F49=0),"",SUMIFS(Sales_Harian!$AI$8:$AI$507,Sales_Harian!$A$8:$A$507,$B$4,Sales_Harian!$B$8:$B$507,$A49)+SUMIFS(SPV_Harian!$AH$8:$AH$507,SPV_Harian!$A$8:$A$507,$B$4,SPV_Harian!$B$8:$B$507,$A49)+SUMIFS(ASM_Harian!$AH$8:$AH$507,ASM_Harian!$A$8:$A$507,$B$4,ASM_Harian!$B$8:$B$507,$A49))</f>
        <v/>
      </c>
      <c r="L49" s="12" t="str">
        <f>IF(OR($A49="",F49=0),"",SUMIFS(Sales_Harian!$AK$8:$AK$507,Sales_Harian!$A$8:$A$507,$B$4,Sales_Harian!$B$8:$B$507,$A49)+SUMIFS(SPV_Harian!$AJ$8:$AJ$507,SPV_Harian!$A$8:$A$507,$B$4,SPV_Harian!$B$8:$B$507,$A49)+SUMIFS(ASM_Harian!$AJ$8:$AJ$507,ASM_Harian!$A$8:$A$507,$B$4,ASM_Harian!$B$8:$B$507,$A49))</f>
        <v/>
      </c>
      <c r="M49" s="13" t="str">
        <f t="shared" si="0"/>
        <v/>
      </c>
      <c r="N49" s="1" t="str">
        <f>IF($A49="","",IF(G49&lt;&gt;"Dikirim","",IF(COUNTIFS(Sales_Harian!$A$8:$A$507,$B$4,Sales_Harian!$B$8:$B$507,$A49,Sales_Harian!$AB$8:$AB$507,"Disetujui")+COUNTIFS(SPV_Harian!$A$8:$A$507,$B$4,SPV_Harian!$B$8:$B$507,$A49,SPV_Harian!$AA$8:$AA$507,"Disetujui")+COUNTIFS(ASM_Harian!$A$8:$A$507,$B$4,ASM_Harian!$B$8:$B$507,$A49,ASM_Harian!$AA$8:$AA$507,"Disetujui")=1,IF(COUNTIFS(Sales_Harian!$A$8:$A$507,$B$4,Sales_Harian!$B$8:$B$507,$A49,Sales_Harian!$AM$8:$AM$507,"&lt;&gt;OK")+COUNTIFS(SPV_Harian!$A$8:$A$507,$B$4,SPV_Harian!$B$8:$B$507,$A49,SPV_Harian!$AL$8:$AL$507,"&lt;&gt;OK")+COUNTIFS(ASM_Harian!$A$8:$A$507,$B$4,ASM_Harian!$B$8:$B$507,$A49,ASM_Harian!$AL$8:$AL$507,"&lt;&gt;OK")&gt;0,"Review belum valid","Disetujui"),IF(COUNTIFS(Sales_Harian!$A$8:$A$507,$B$4,Sales_Harian!$B$8:$B$507,$A49,Sales_Harian!$AB$8:$AB$507,"Perlu Perbaikan")+COUNTIFS(SPV_Harian!$A$8:$A$507,$B$4,SPV_Harian!$B$8:$B$507,$A49,SPV_Harian!$AA$8:$AA$507,"Perlu Perbaikan")+COUNTIFS(ASM_Harian!$A$8:$A$507,$B$4,ASM_Harian!$B$8:$B$507,$A49,ASM_Harian!$AA$8:$AA$507,"Perlu Perbaikan")=1,"Perlu Perbaikan","Belum Diperiksa"))))</f>
        <v/>
      </c>
      <c r="O49" s="1" t="str">
        <f>IF($A49="","",IF(F49=0,"Belum ada laporan",IF(F49&gt;1,"Hapus/benahi laporan ganda",IF(COUNTIFS(Sales_Harian!$A$8:$A$507,$B$4,Sales_Harian!$B$8:$B$507,$A49,Sales_Harian!$AM$8:$AM$507,"&lt;&gt;OK")+COUNTIFS(SPV_Harian!$A$8:$A$507,$B$4,SPV_Harian!$B$8:$B$507,$A49,SPV_Harian!$AL$8:$AL$507,"&lt;&gt;OK")+COUNTIFS(ASM_Harian!$A$8:$A$507,$B$4,ASM_Harian!$B$8:$B$507,$A49,ASM_Harian!$AL$8:$AL$507,"&lt;&gt;OK")&gt;0,"Periksa validasi_data",IF(SUM(J49:K49)&gt;0,"Ada kegiatan terbuka",IF(N49="Perlu Perbaikan","Tindak lanjuti review",IF(G49="Draft","Kirim laporan",IF(N49="Belum Diperiksa","Menunggu pemeriksaan",""))))))))</f>
        <v/>
      </c>
    </row>
    <row r="50" spans="1:15" ht="24" customHeight="1">
      <c r="A50" s="1" t="str">
        <f>IF(AND(Master_PIC!A44&lt;&gt;"",Master_PIC!G44="Aktif",Master_PIC!C44&lt;&gt;"Manager"),Master_PIC!A44,"")</f>
        <v/>
      </c>
      <c r="B50" s="1" t="str">
        <f>IF($A50="","",IF(Master_PIC!B44="","",Master_PIC!B44))</f>
        <v/>
      </c>
      <c r="C50" s="1" t="str">
        <f>IF($A50="","",IF(Master_PIC!C44="","",Master_PIC!C44))</f>
        <v/>
      </c>
      <c r="D50" s="1" t="str">
        <f>IF($A50="","",IF(Master_PIC!D44="","",Master_PIC!D44))</f>
        <v/>
      </c>
      <c r="E50" s="1" t="str">
        <f>IF($A50="","",IF(Master_PIC!E44="","",Master_PIC!E44))</f>
        <v/>
      </c>
      <c r="F50" s="12" t="str">
        <f>IF($A50="","",COUNTIFS(Sales_Harian!$A$8:$A$507,$B$4,Sales_Harian!$B$8:$B$507,$A50)+COUNTIFS(SPV_Harian!$A$8:$A$507,$B$4,SPV_Harian!$B$8:$B$507,$A50)+COUNTIFS(ASM_Harian!$A$8:$A$507,$B$4,ASM_Harian!$B$8:$B$507,$A50))</f>
        <v/>
      </c>
      <c r="G50" s="12" t="str">
        <f>IF($A50="","",IF(F50=0,"Belum Lapor",IF(F50&gt;1,"Data Ganda",IF(COUNTIFS(Sales_Harian!$A$8:$A$507,$B$4,Sales_Harian!$B$8:$B$507,$A50,Sales_Harian!$Z$8:$Z$507,"Dikirim")+COUNTIFS(SPV_Harian!$A$8:$A$507,$B$4,SPV_Harian!$B$8:$B$507,$A50,SPV_Harian!$Y$8:$Y$507,"Dikirim")+COUNTIFS(ASM_Harian!$A$8:$A$507,$B$4,ASM_Harian!$B$8:$B$507,$A50,ASM_Harian!$Y$8:$Y$507,"Dikirim")=1,"Dikirim","Draft"))))</f>
        <v/>
      </c>
      <c r="H50" s="12" t="str">
        <f>IF(OR($A50="",F50=0),"",SUMIFS(Sales_Harian!$AF$8:$AF$507,Sales_Harian!$A$8:$A$507,$B$4,Sales_Harian!$B$8:$B$507,$A50)+SUMIFS(SPV_Harian!$AE$8:$AE$507,SPV_Harian!$A$8:$A$507,$B$4,SPV_Harian!$B$8:$B$507,$A50)+SUMIFS(ASM_Harian!$AE$8:$AE$507,ASM_Harian!$A$8:$A$507,$B$4,ASM_Harian!$B$8:$B$507,$A50))</f>
        <v/>
      </c>
      <c r="I50" s="12" t="str">
        <f>IF(OR($A50="",F50=0),"",SUMIFS(Sales_Harian!$AG$8:$AG$507,Sales_Harian!$A$8:$A$507,$B$4,Sales_Harian!$B$8:$B$507,$A50)+SUMIFS(SPV_Harian!$AF$8:$AF$507,SPV_Harian!$A$8:$A$507,$B$4,SPV_Harian!$B$8:$B$507,$A50)+SUMIFS(ASM_Harian!$AF$8:$AF$507,ASM_Harian!$A$8:$A$507,$B$4,ASM_Harian!$B$8:$B$507,$A50))</f>
        <v/>
      </c>
      <c r="J50" s="12" t="str">
        <f>IF(OR($A50="",F50=0),"",SUMIFS(Sales_Harian!$AH$8:$AH$507,Sales_Harian!$A$8:$A$507,$B$4,Sales_Harian!$B$8:$B$507,$A50)+SUMIFS(SPV_Harian!$AG$8:$AG$507,SPV_Harian!$A$8:$A$507,$B$4,SPV_Harian!$B$8:$B$507,$A50)+SUMIFS(ASM_Harian!$AG$8:$AG$507,ASM_Harian!$A$8:$A$507,$B$4,ASM_Harian!$B$8:$B$507,$A50))</f>
        <v/>
      </c>
      <c r="K50" s="12" t="str">
        <f>IF(OR($A50="",F50=0),"",SUMIFS(Sales_Harian!$AI$8:$AI$507,Sales_Harian!$A$8:$A$507,$B$4,Sales_Harian!$B$8:$B$507,$A50)+SUMIFS(SPV_Harian!$AH$8:$AH$507,SPV_Harian!$A$8:$A$507,$B$4,SPV_Harian!$B$8:$B$507,$A50)+SUMIFS(ASM_Harian!$AH$8:$AH$507,ASM_Harian!$A$8:$A$507,$B$4,ASM_Harian!$B$8:$B$507,$A50))</f>
        <v/>
      </c>
      <c r="L50" s="12" t="str">
        <f>IF(OR($A50="",F50=0),"",SUMIFS(Sales_Harian!$AK$8:$AK$507,Sales_Harian!$A$8:$A$507,$B$4,Sales_Harian!$B$8:$B$507,$A50)+SUMIFS(SPV_Harian!$AJ$8:$AJ$507,SPV_Harian!$A$8:$A$507,$B$4,SPV_Harian!$B$8:$B$507,$A50)+SUMIFS(ASM_Harian!$AJ$8:$AJ$507,ASM_Harian!$A$8:$A$507,$B$4,ASM_Harian!$B$8:$B$507,$A50))</f>
        <v/>
      </c>
      <c r="M50" s="13" t="str">
        <f t="shared" si="0"/>
        <v/>
      </c>
      <c r="N50" s="1" t="str">
        <f>IF($A50="","",IF(G50&lt;&gt;"Dikirim","",IF(COUNTIFS(Sales_Harian!$A$8:$A$507,$B$4,Sales_Harian!$B$8:$B$507,$A50,Sales_Harian!$AB$8:$AB$507,"Disetujui")+COUNTIFS(SPV_Harian!$A$8:$A$507,$B$4,SPV_Harian!$B$8:$B$507,$A50,SPV_Harian!$AA$8:$AA$507,"Disetujui")+COUNTIFS(ASM_Harian!$A$8:$A$507,$B$4,ASM_Harian!$B$8:$B$507,$A50,ASM_Harian!$AA$8:$AA$507,"Disetujui")=1,IF(COUNTIFS(Sales_Harian!$A$8:$A$507,$B$4,Sales_Harian!$B$8:$B$507,$A50,Sales_Harian!$AM$8:$AM$507,"&lt;&gt;OK")+COUNTIFS(SPV_Harian!$A$8:$A$507,$B$4,SPV_Harian!$B$8:$B$507,$A50,SPV_Harian!$AL$8:$AL$507,"&lt;&gt;OK")+COUNTIFS(ASM_Harian!$A$8:$A$507,$B$4,ASM_Harian!$B$8:$B$507,$A50,ASM_Harian!$AL$8:$AL$507,"&lt;&gt;OK")&gt;0,"Review belum valid","Disetujui"),IF(COUNTIFS(Sales_Harian!$A$8:$A$507,$B$4,Sales_Harian!$B$8:$B$507,$A50,Sales_Harian!$AB$8:$AB$507,"Perlu Perbaikan")+COUNTIFS(SPV_Harian!$A$8:$A$507,$B$4,SPV_Harian!$B$8:$B$507,$A50,SPV_Harian!$AA$8:$AA$507,"Perlu Perbaikan")+COUNTIFS(ASM_Harian!$A$8:$A$507,$B$4,ASM_Harian!$B$8:$B$507,$A50,ASM_Harian!$AA$8:$AA$507,"Perlu Perbaikan")=1,"Perlu Perbaikan","Belum Diperiksa"))))</f>
        <v/>
      </c>
      <c r="O50" s="1" t="str">
        <f>IF($A50="","",IF(F50=0,"Belum ada laporan",IF(F50&gt;1,"Hapus/benahi laporan ganda",IF(COUNTIFS(Sales_Harian!$A$8:$A$507,$B$4,Sales_Harian!$B$8:$B$507,$A50,Sales_Harian!$AM$8:$AM$507,"&lt;&gt;OK")+COUNTIFS(SPV_Harian!$A$8:$A$507,$B$4,SPV_Harian!$B$8:$B$507,$A50,SPV_Harian!$AL$8:$AL$507,"&lt;&gt;OK")+COUNTIFS(ASM_Harian!$A$8:$A$507,$B$4,ASM_Harian!$B$8:$B$507,$A50,ASM_Harian!$AL$8:$AL$507,"&lt;&gt;OK")&gt;0,"Periksa validasi_data",IF(SUM(J50:K50)&gt;0,"Ada kegiatan terbuka",IF(N50="Perlu Perbaikan","Tindak lanjuti review",IF(G50="Draft","Kirim laporan",IF(N50="Belum Diperiksa","Menunggu pemeriksaan",""))))))))</f>
        <v/>
      </c>
    </row>
    <row r="51" spans="1:15" ht="24" customHeight="1">
      <c r="A51" s="1" t="str">
        <f>IF(AND(Master_PIC!A45&lt;&gt;"",Master_PIC!G45="Aktif",Master_PIC!C45&lt;&gt;"Manager"),Master_PIC!A45,"")</f>
        <v/>
      </c>
      <c r="B51" s="1" t="str">
        <f>IF($A51="","",IF(Master_PIC!B45="","",Master_PIC!B45))</f>
        <v/>
      </c>
      <c r="C51" s="1" t="str">
        <f>IF($A51="","",IF(Master_PIC!C45="","",Master_PIC!C45))</f>
        <v/>
      </c>
      <c r="D51" s="1" t="str">
        <f>IF($A51="","",IF(Master_PIC!D45="","",Master_PIC!D45))</f>
        <v/>
      </c>
      <c r="E51" s="1" t="str">
        <f>IF($A51="","",IF(Master_PIC!E45="","",Master_PIC!E45))</f>
        <v/>
      </c>
      <c r="F51" s="12" t="str">
        <f>IF($A51="","",COUNTIFS(Sales_Harian!$A$8:$A$507,$B$4,Sales_Harian!$B$8:$B$507,$A51)+COUNTIFS(SPV_Harian!$A$8:$A$507,$B$4,SPV_Harian!$B$8:$B$507,$A51)+COUNTIFS(ASM_Harian!$A$8:$A$507,$B$4,ASM_Harian!$B$8:$B$507,$A51))</f>
        <v/>
      </c>
      <c r="G51" s="12" t="str">
        <f>IF($A51="","",IF(F51=0,"Belum Lapor",IF(F51&gt;1,"Data Ganda",IF(COUNTIFS(Sales_Harian!$A$8:$A$507,$B$4,Sales_Harian!$B$8:$B$507,$A51,Sales_Harian!$Z$8:$Z$507,"Dikirim")+COUNTIFS(SPV_Harian!$A$8:$A$507,$B$4,SPV_Harian!$B$8:$B$507,$A51,SPV_Harian!$Y$8:$Y$507,"Dikirim")+COUNTIFS(ASM_Harian!$A$8:$A$507,$B$4,ASM_Harian!$B$8:$B$507,$A51,ASM_Harian!$Y$8:$Y$507,"Dikirim")=1,"Dikirim","Draft"))))</f>
        <v/>
      </c>
      <c r="H51" s="12" t="str">
        <f>IF(OR($A51="",F51=0),"",SUMIFS(Sales_Harian!$AF$8:$AF$507,Sales_Harian!$A$8:$A$507,$B$4,Sales_Harian!$B$8:$B$507,$A51)+SUMIFS(SPV_Harian!$AE$8:$AE$507,SPV_Harian!$A$8:$A$507,$B$4,SPV_Harian!$B$8:$B$507,$A51)+SUMIFS(ASM_Harian!$AE$8:$AE$507,ASM_Harian!$A$8:$A$507,$B$4,ASM_Harian!$B$8:$B$507,$A51))</f>
        <v/>
      </c>
      <c r="I51" s="12" t="str">
        <f>IF(OR($A51="",F51=0),"",SUMIFS(Sales_Harian!$AG$8:$AG$507,Sales_Harian!$A$8:$A$507,$B$4,Sales_Harian!$B$8:$B$507,$A51)+SUMIFS(SPV_Harian!$AF$8:$AF$507,SPV_Harian!$A$8:$A$507,$B$4,SPV_Harian!$B$8:$B$507,$A51)+SUMIFS(ASM_Harian!$AF$8:$AF$507,ASM_Harian!$A$8:$A$507,$B$4,ASM_Harian!$B$8:$B$507,$A51))</f>
        <v/>
      </c>
      <c r="J51" s="12" t="str">
        <f>IF(OR($A51="",F51=0),"",SUMIFS(Sales_Harian!$AH$8:$AH$507,Sales_Harian!$A$8:$A$507,$B$4,Sales_Harian!$B$8:$B$507,$A51)+SUMIFS(SPV_Harian!$AG$8:$AG$507,SPV_Harian!$A$8:$A$507,$B$4,SPV_Harian!$B$8:$B$507,$A51)+SUMIFS(ASM_Harian!$AG$8:$AG$507,ASM_Harian!$A$8:$A$507,$B$4,ASM_Harian!$B$8:$B$507,$A51))</f>
        <v/>
      </c>
      <c r="K51" s="12" t="str">
        <f>IF(OR($A51="",F51=0),"",SUMIFS(Sales_Harian!$AI$8:$AI$507,Sales_Harian!$A$8:$A$507,$B$4,Sales_Harian!$B$8:$B$507,$A51)+SUMIFS(SPV_Harian!$AH$8:$AH$507,SPV_Harian!$A$8:$A$507,$B$4,SPV_Harian!$B$8:$B$507,$A51)+SUMIFS(ASM_Harian!$AH$8:$AH$507,ASM_Harian!$A$8:$A$507,$B$4,ASM_Harian!$B$8:$B$507,$A51))</f>
        <v/>
      </c>
      <c r="L51" s="12" t="str">
        <f>IF(OR($A51="",F51=0),"",SUMIFS(Sales_Harian!$AK$8:$AK$507,Sales_Harian!$A$8:$A$507,$B$4,Sales_Harian!$B$8:$B$507,$A51)+SUMIFS(SPV_Harian!$AJ$8:$AJ$507,SPV_Harian!$A$8:$A$507,$B$4,SPV_Harian!$B$8:$B$507,$A51)+SUMIFS(ASM_Harian!$AJ$8:$AJ$507,ASM_Harian!$A$8:$A$507,$B$4,ASM_Harian!$B$8:$B$507,$A51))</f>
        <v/>
      </c>
      <c r="M51" s="13" t="str">
        <f t="shared" si="0"/>
        <v/>
      </c>
      <c r="N51" s="1" t="str">
        <f>IF($A51="","",IF(G51&lt;&gt;"Dikirim","",IF(COUNTIFS(Sales_Harian!$A$8:$A$507,$B$4,Sales_Harian!$B$8:$B$507,$A51,Sales_Harian!$AB$8:$AB$507,"Disetujui")+COUNTIFS(SPV_Harian!$A$8:$A$507,$B$4,SPV_Harian!$B$8:$B$507,$A51,SPV_Harian!$AA$8:$AA$507,"Disetujui")+COUNTIFS(ASM_Harian!$A$8:$A$507,$B$4,ASM_Harian!$B$8:$B$507,$A51,ASM_Harian!$AA$8:$AA$507,"Disetujui")=1,IF(COUNTIFS(Sales_Harian!$A$8:$A$507,$B$4,Sales_Harian!$B$8:$B$507,$A51,Sales_Harian!$AM$8:$AM$507,"&lt;&gt;OK")+COUNTIFS(SPV_Harian!$A$8:$A$507,$B$4,SPV_Harian!$B$8:$B$507,$A51,SPV_Harian!$AL$8:$AL$507,"&lt;&gt;OK")+COUNTIFS(ASM_Harian!$A$8:$A$507,$B$4,ASM_Harian!$B$8:$B$507,$A51,ASM_Harian!$AL$8:$AL$507,"&lt;&gt;OK")&gt;0,"Review belum valid","Disetujui"),IF(COUNTIFS(Sales_Harian!$A$8:$A$507,$B$4,Sales_Harian!$B$8:$B$507,$A51,Sales_Harian!$AB$8:$AB$507,"Perlu Perbaikan")+COUNTIFS(SPV_Harian!$A$8:$A$507,$B$4,SPV_Harian!$B$8:$B$507,$A51,SPV_Harian!$AA$8:$AA$507,"Perlu Perbaikan")+COUNTIFS(ASM_Harian!$A$8:$A$507,$B$4,ASM_Harian!$B$8:$B$507,$A51,ASM_Harian!$AA$8:$AA$507,"Perlu Perbaikan")=1,"Perlu Perbaikan","Belum Diperiksa"))))</f>
        <v/>
      </c>
      <c r="O51" s="1" t="str">
        <f>IF($A51="","",IF(F51=0,"Belum ada laporan",IF(F51&gt;1,"Hapus/benahi laporan ganda",IF(COUNTIFS(Sales_Harian!$A$8:$A$507,$B$4,Sales_Harian!$B$8:$B$507,$A51,Sales_Harian!$AM$8:$AM$507,"&lt;&gt;OK")+COUNTIFS(SPV_Harian!$A$8:$A$507,$B$4,SPV_Harian!$B$8:$B$507,$A51,SPV_Harian!$AL$8:$AL$507,"&lt;&gt;OK")+COUNTIFS(ASM_Harian!$A$8:$A$507,$B$4,ASM_Harian!$B$8:$B$507,$A51,ASM_Harian!$AL$8:$AL$507,"&lt;&gt;OK")&gt;0,"Periksa validasi_data",IF(SUM(J51:K51)&gt;0,"Ada kegiatan terbuka",IF(N51="Perlu Perbaikan","Tindak lanjuti review",IF(G51="Draft","Kirim laporan",IF(N51="Belum Diperiksa","Menunggu pemeriksaan",""))))))))</f>
        <v/>
      </c>
    </row>
    <row r="52" spans="1:15" ht="24" customHeight="1">
      <c r="A52" s="1" t="str">
        <f>IF(AND(Master_PIC!A46&lt;&gt;"",Master_PIC!G46="Aktif",Master_PIC!C46&lt;&gt;"Manager"),Master_PIC!A46,"")</f>
        <v/>
      </c>
      <c r="B52" s="1" t="str">
        <f>IF($A52="","",IF(Master_PIC!B46="","",Master_PIC!B46))</f>
        <v/>
      </c>
      <c r="C52" s="1" t="str">
        <f>IF($A52="","",IF(Master_PIC!C46="","",Master_PIC!C46))</f>
        <v/>
      </c>
      <c r="D52" s="1" t="str">
        <f>IF($A52="","",IF(Master_PIC!D46="","",Master_PIC!D46))</f>
        <v/>
      </c>
      <c r="E52" s="1" t="str">
        <f>IF($A52="","",IF(Master_PIC!E46="","",Master_PIC!E46))</f>
        <v/>
      </c>
      <c r="F52" s="12" t="str">
        <f>IF($A52="","",COUNTIFS(Sales_Harian!$A$8:$A$507,$B$4,Sales_Harian!$B$8:$B$507,$A52)+COUNTIFS(SPV_Harian!$A$8:$A$507,$B$4,SPV_Harian!$B$8:$B$507,$A52)+COUNTIFS(ASM_Harian!$A$8:$A$507,$B$4,ASM_Harian!$B$8:$B$507,$A52))</f>
        <v/>
      </c>
      <c r="G52" s="12" t="str">
        <f>IF($A52="","",IF(F52=0,"Belum Lapor",IF(F52&gt;1,"Data Ganda",IF(COUNTIFS(Sales_Harian!$A$8:$A$507,$B$4,Sales_Harian!$B$8:$B$507,$A52,Sales_Harian!$Z$8:$Z$507,"Dikirim")+COUNTIFS(SPV_Harian!$A$8:$A$507,$B$4,SPV_Harian!$B$8:$B$507,$A52,SPV_Harian!$Y$8:$Y$507,"Dikirim")+COUNTIFS(ASM_Harian!$A$8:$A$507,$B$4,ASM_Harian!$B$8:$B$507,$A52,ASM_Harian!$Y$8:$Y$507,"Dikirim")=1,"Dikirim","Draft"))))</f>
        <v/>
      </c>
      <c r="H52" s="12" t="str">
        <f>IF(OR($A52="",F52=0),"",SUMIFS(Sales_Harian!$AF$8:$AF$507,Sales_Harian!$A$8:$A$507,$B$4,Sales_Harian!$B$8:$B$507,$A52)+SUMIFS(SPV_Harian!$AE$8:$AE$507,SPV_Harian!$A$8:$A$507,$B$4,SPV_Harian!$B$8:$B$507,$A52)+SUMIFS(ASM_Harian!$AE$8:$AE$507,ASM_Harian!$A$8:$A$507,$B$4,ASM_Harian!$B$8:$B$507,$A52))</f>
        <v/>
      </c>
      <c r="I52" s="12" t="str">
        <f>IF(OR($A52="",F52=0),"",SUMIFS(Sales_Harian!$AG$8:$AG$507,Sales_Harian!$A$8:$A$507,$B$4,Sales_Harian!$B$8:$B$507,$A52)+SUMIFS(SPV_Harian!$AF$8:$AF$507,SPV_Harian!$A$8:$A$507,$B$4,SPV_Harian!$B$8:$B$507,$A52)+SUMIFS(ASM_Harian!$AF$8:$AF$507,ASM_Harian!$A$8:$A$507,$B$4,ASM_Harian!$B$8:$B$507,$A52))</f>
        <v/>
      </c>
      <c r="J52" s="12" t="str">
        <f>IF(OR($A52="",F52=0),"",SUMIFS(Sales_Harian!$AH$8:$AH$507,Sales_Harian!$A$8:$A$507,$B$4,Sales_Harian!$B$8:$B$507,$A52)+SUMIFS(SPV_Harian!$AG$8:$AG$507,SPV_Harian!$A$8:$A$507,$B$4,SPV_Harian!$B$8:$B$507,$A52)+SUMIFS(ASM_Harian!$AG$8:$AG$507,ASM_Harian!$A$8:$A$507,$B$4,ASM_Harian!$B$8:$B$507,$A52))</f>
        <v/>
      </c>
      <c r="K52" s="12" t="str">
        <f>IF(OR($A52="",F52=0),"",SUMIFS(Sales_Harian!$AI$8:$AI$507,Sales_Harian!$A$8:$A$507,$B$4,Sales_Harian!$B$8:$B$507,$A52)+SUMIFS(SPV_Harian!$AH$8:$AH$507,SPV_Harian!$A$8:$A$507,$B$4,SPV_Harian!$B$8:$B$507,$A52)+SUMIFS(ASM_Harian!$AH$8:$AH$507,ASM_Harian!$A$8:$A$507,$B$4,ASM_Harian!$B$8:$B$507,$A52))</f>
        <v/>
      </c>
      <c r="L52" s="12" t="str">
        <f>IF(OR($A52="",F52=0),"",SUMIFS(Sales_Harian!$AK$8:$AK$507,Sales_Harian!$A$8:$A$507,$B$4,Sales_Harian!$B$8:$B$507,$A52)+SUMIFS(SPV_Harian!$AJ$8:$AJ$507,SPV_Harian!$A$8:$A$507,$B$4,SPV_Harian!$B$8:$B$507,$A52)+SUMIFS(ASM_Harian!$AJ$8:$AJ$507,ASM_Harian!$A$8:$A$507,$B$4,ASM_Harian!$B$8:$B$507,$A52))</f>
        <v/>
      </c>
      <c r="M52" s="13" t="str">
        <f t="shared" ref="M52:M79" si="1">IF($A52="","",IF(OR(F52&lt;&gt;1,H52=0),"n.a.",I52/H52))</f>
        <v/>
      </c>
      <c r="N52" s="1" t="str">
        <f>IF($A52="","",IF(G52&lt;&gt;"Dikirim","",IF(COUNTIFS(Sales_Harian!$A$8:$A$507,$B$4,Sales_Harian!$B$8:$B$507,$A52,Sales_Harian!$AB$8:$AB$507,"Disetujui")+COUNTIFS(SPV_Harian!$A$8:$A$507,$B$4,SPV_Harian!$B$8:$B$507,$A52,SPV_Harian!$AA$8:$AA$507,"Disetujui")+COUNTIFS(ASM_Harian!$A$8:$A$507,$B$4,ASM_Harian!$B$8:$B$507,$A52,ASM_Harian!$AA$8:$AA$507,"Disetujui")=1,IF(COUNTIFS(Sales_Harian!$A$8:$A$507,$B$4,Sales_Harian!$B$8:$B$507,$A52,Sales_Harian!$AM$8:$AM$507,"&lt;&gt;OK")+COUNTIFS(SPV_Harian!$A$8:$A$507,$B$4,SPV_Harian!$B$8:$B$507,$A52,SPV_Harian!$AL$8:$AL$507,"&lt;&gt;OK")+COUNTIFS(ASM_Harian!$A$8:$A$507,$B$4,ASM_Harian!$B$8:$B$507,$A52,ASM_Harian!$AL$8:$AL$507,"&lt;&gt;OK")&gt;0,"Review belum valid","Disetujui"),IF(COUNTIFS(Sales_Harian!$A$8:$A$507,$B$4,Sales_Harian!$B$8:$B$507,$A52,Sales_Harian!$AB$8:$AB$507,"Perlu Perbaikan")+COUNTIFS(SPV_Harian!$A$8:$A$507,$B$4,SPV_Harian!$B$8:$B$507,$A52,SPV_Harian!$AA$8:$AA$507,"Perlu Perbaikan")+COUNTIFS(ASM_Harian!$A$8:$A$507,$B$4,ASM_Harian!$B$8:$B$507,$A52,ASM_Harian!$AA$8:$AA$507,"Perlu Perbaikan")=1,"Perlu Perbaikan","Belum Diperiksa"))))</f>
        <v/>
      </c>
      <c r="O52" s="1" t="str">
        <f>IF($A52="","",IF(F52=0,"Belum ada laporan",IF(F52&gt;1,"Hapus/benahi laporan ganda",IF(COUNTIFS(Sales_Harian!$A$8:$A$507,$B$4,Sales_Harian!$B$8:$B$507,$A52,Sales_Harian!$AM$8:$AM$507,"&lt;&gt;OK")+COUNTIFS(SPV_Harian!$A$8:$A$507,$B$4,SPV_Harian!$B$8:$B$507,$A52,SPV_Harian!$AL$8:$AL$507,"&lt;&gt;OK")+COUNTIFS(ASM_Harian!$A$8:$A$507,$B$4,ASM_Harian!$B$8:$B$507,$A52,ASM_Harian!$AL$8:$AL$507,"&lt;&gt;OK")&gt;0,"Periksa validasi_data",IF(SUM(J52:K52)&gt;0,"Ada kegiatan terbuka",IF(N52="Perlu Perbaikan","Tindak lanjuti review",IF(G52="Draft","Kirim laporan",IF(N52="Belum Diperiksa","Menunggu pemeriksaan",""))))))))</f>
        <v/>
      </c>
    </row>
    <row r="53" spans="1:15" ht="24" customHeight="1">
      <c r="A53" s="1" t="str">
        <f>IF(AND(Master_PIC!A47&lt;&gt;"",Master_PIC!G47="Aktif",Master_PIC!C47&lt;&gt;"Manager"),Master_PIC!A47,"")</f>
        <v/>
      </c>
      <c r="B53" s="1" t="str">
        <f>IF($A53="","",IF(Master_PIC!B47="","",Master_PIC!B47))</f>
        <v/>
      </c>
      <c r="C53" s="1" t="str">
        <f>IF($A53="","",IF(Master_PIC!C47="","",Master_PIC!C47))</f>
        <v/>
      </c>
      <c r="D53" s="1" t="str">
        <f>IF($A53="","",IF(Master_PIC!D47="","",Master_PIC!D47))</f>
        <v/>
      </c>
      <c r="E53" s="1" t="str">
        <f>IF($A53="","",IF(Master_PIC!E47="","",Master_PIC!E47))</f>
        <v/>
      </c>
      <c r="F53" s="12" t="str">
        <f>IF($A53="","",COUNTIFS(Sales_Harian!$A$8:$A$507,$B$4,Sales_Harian!$B$8:$B$507,$A53)+COUNTIFS(SPV_Harian!$A$8:$A$507,$B$4,SPV_Harian!$B$8:$B$507,$A53)+COUNTIFS(ASM_Harian!$A$8:$A$507,$B$4,ASM_Harian!$B$8:$B$507,$A53))</f>
        <v/>
      </c>
      <c r="G53" s="12" t="str">
        <f>IF($A53="","",IF(F53=0,"Belum Lapor",IF(F53&gt;1,"Data Ganda",IF(COUNTIFS(Sales_Harian!$A$8:$A$507,$B$4,Sales_Harian!$B$8:$B$507,$A53,Sales_Harian!$Z$8:$Z$507,"Dikirim")+COUNTIFS(SPV_Harian!$A$8:$A$507,$B$4,SPV_Harian!$B$8:$B$507,$A53,SPV_Harian!$Y$8:$Y$507,"Dikirim")+COUNTIFS(ASM_Harian!$A$8:$A$507,$B$4,ASM_Harian!$B$8:$B$507,$A53,ASM_Harian!$Y$8:$Y$507,"Dikirim")=1,"Dikirim","Draft"))))</f>
        <v/>
      </c>
      <c r="H53" s="12" t="str">
        <f>IF(OR($A53="",F53=0),"",SUMIFS(Sales_Harian!$AF$8:$AF$507,Sales_Harian!$A$8:$A$507,$B$4,Sales_Harian!$B$8:$B$507,$A53)+SUMIFS(SPV_Harian!$AE$8:$AE$507,SPV_Harian!$A$8:$A$507,$B$4,SPV_Harian!$B$8:$B$507,$A53)+SUMIFS(ASM_Harian!$AE$8:$AE$507,ASM_Harian!$A$8:$A$507,$B$4,ASM_Harian!$B$8:$B$507,$A53))</f>
        <v/>
      </c>
      <c r="I53" s="12" t="str">
        <f>IF(OR($A53="",F53=0),"",SUMIFS(Sales_Harian!$AG$8:$AG$507,Sales_Harian!$A$8:$A$507,$B$4,Sales_Harian!$B$8:$B$507,$A53)+SUMIFS(SPV_Harian!$AF$8:$AF$507,SPV_Harian!$A$8:$A$507,$B$4,SPV_Harian!$B$8:$B$507,$A53)+SUMIFS(ASM_Harian!$AF$8:$AF$507,ASM_Harian!$A$8:$A$507,$B$4,ASM_Harian!$B$8:$B$507,$A53))</f>
        <v/>
      </c>
      <c r="J53" s="12" t="str">
        <f>IF(OR($A53="",F53=0),"",SUMIFS(Sales_Harian!$AH$8:$AH$507,Sales_Harian!$A$8:$A$507,$B$4,Sales_Harian!$B$8:$B$507,$A53)+SUMIFS(SPV_Harian!$AG$8:$AG$507,SPV_Harian!$A$8:$A$507,$B$4,SPV_Harian!$B$8:$B$507,$A53)+SUMIFS(ASM_Harian!$AG$8:$AG$507,ASM_Harian!$A$8:$A$507,$B$4,ASM_Harian!$B$8:$B$507,$A53))</f>
        <v/>
      </c>
      <c r="K53" s="12" t="str">
        <f>IF(OR($A53="",F53=0),"",SUMIFS(Sales_Harian!$AI$8:$AI$507,Sales_Harian!$A$8:$A$507,$B$4,Sales_Harian!$B$8:$B$507,$A53)+SUMIFS(SPV_Harian!$AH$8:$AH$507,SPV_Harian!$A$8:$A$507,$B$4,SPV_Harian!$B$8:$B$507,$A53)+SUMIFS(ASM_Harian!$AH$8:$AH$507,ASM_Harian!$A$8:$A$507,$B$4,ASM_Harian!$B$8:$B$507,$A53))</f>
        <v/>
      </c>
      <c r="L53" s="12" t="str">
        <f>IF(OR($A53="",F53=0),"",SUMIFS(Sales_Harian!$AK$8:$AK$507,Sales_Harian!$A$8:$A$507,$B$4,Sales_Harian!$B$8:$B$507,$A53)+SUMIFS(SPV_Harian!$AJ$8:$AJ$507,SPV_Harian!$A$8:$A$507,$B$4,SPV_Harian!$B$8:$B$507,$A53)+SUMIFS(ASM_Harian!$AJ$8:$AJ$507,ASM_Harian!$A$8:$A$507,$B$4,ASM_Harian!$B$8:$B$507,$A53))</f>
        <v/>
      </c>
      <c r="M53" s="13" t="str">
        <f t="shared" si="1"/>
        <v/>
      </c>
      <c r="N53" s="1" t="str">
        <f>IF($A53="","",IF(G53&lt;&gt;"Dikirim","",IF(COUNTIFS(Sales_Harian!$A$8:$A$507,$B$4,Sales_Harian!$B$8:$B$507,$A53,Sales_Harian!$AB$8:$AB$507,"Disetujui")+COUNTIFS(SPV_Harian!$A$8:$A$507,$B$4,SPV_Harian!$B$8:$B$507,$A53,SPV_Harian!$AA$8:$AA$507,"Disetujui")+COUNTIFS(ASM_Harian!$A$8:$A$507,$B$4,ASM_Harian!$B$8:$B$507,$A53,ASM_Harian!$AA$8:$AA$507,"Disetujui")=1,IF(COUNTIFS(Sales_Harian!$A$8:$A$507,$B$4,Sales_Harian!$B$8:$B$507,$A53,Sales_Harian!$AM$8:$AM$507,"&lt;&gt;OK")+COUNTIFS(SPV_Harian!$A$8:$A$507,$B$4,SPV_Harian!$B$8:$B$507,$A53,SPV_Harian!$AL$8:$AL$507,"&lt;&gt;OK")+COUNTIFS(ASM_Harian!$A$8:$A$507,$B$4,ASM_Harian!$B$8:$B$507,$A53,ASM_Harian!$AL$8:$AL$507,"&lt;&gt;OK")&gt;0,"Review belum valid","Disetujui"),IF(COUNTIFS(Sales_Harian!$A$8:$A$507,$B$4,Sales_Harian!$B$8:$B$507,$A53,Sales_Harian!$AB$8:$AB$507,"Perlu Perbaikan")+COUNTIFS(SPV_Harian!$A$8:$A$507,$B$4,SPV_Harian!$B$8:$B$507,$A53,SPV_Harian!$AA$8:$AA$507,"Perlu Perbaikan")+COUNTIFS(ASM_Harian!$A$8:$A$507,$B$4,ASM_Harian!$B$8:$B$507,$A53,ASM_Harian!$AA$8:$AA$507,"Perlu Perbaikan")=1,"Perlu Perbaikan","Belum Diperiksa"))))</f>
        <v/>
      </c>
      <c r="O53" s="1" t="str">
        <f>IF($A53="","",IF(F53=0,"Belum ada laporan",IF(F53&gt;1,"Hapus/benahi laporan ganda",IF(COUNTIFS(Sales_Harian!$A$8:$A$507,$B$4,Sales_Harian!$B$8:$B$507,$A53,Sales_Harian!$AM$8:$AM$507,"&lt;&gt;OK")+COUNTIFS(SPV_Harian!$A$8:$A$507,$B$4,SPV_Harian!$B$8:$B$507,$A53,SPV_Harian!$AL$8:$AL$507,"&lt;&gt;OK")+COUNTIFS(ASM_Harian!$A$8:$A$507,$B$4,ASM_Harian!$B$8:$B$507,$A53,ASM_Harian!$AL$8:$AL$507,"&lt;&gt;OK")&gt;0,"Periksa validasi_data",IF(SUM(J53:K53)&gt;0,"Ada kegiatan terbuka",IF(N53="Perlu Perbaikan","Tindak lanjuti review",IF(G53="Draft","Kirim laporan",IF(N53="Belum Diperiksa","Menunggu pemeriksaan",""))))))))</f>
        <v/>
      </c>
    </row>
    <row r="54" spans="1:15" ht="24" customHeight="1">
      <c r="A54" s="1" t="str">
        <f>IF(AND(Master_PIC!A48&lt;&gt;"",Master_PIC!G48="Aktif",Master_PIC!C48&lt;&gt;"Manager"),Master_PIC!A48,"")</f>
        <v/>
      </c>
      <c r="B54" s="1" t="str">
        <f>IF($A54="","",IF(Master_PIC!B48="","",Master_PIC!B48))</f>
        <v/>
      </c>
      <c r="C54" s="1" t="str">
        <f>IF($A54="","",IF(Master_PIC!C48="","",Master_PIC!C48))</f>
        <v/>
      </c>
      <c r="D54" s="1" t="str">
        <f>IF($A54="","",IF(Master_PIC!D48="","",Master_PIC!D48))</f>
        <v/>
      </c>
      <c r="E54" s="1" t="str">
        <f>IF($A54="","",IF(Master_PIC!E48="","",Master_PIC!E48))</f>
        <v/>
      </c>
      <c r="F54" s="12" t="str">
        <f>IF($A54="","",COUNTIFS(Sales_Harian!$A$8:$A$507,$B$4,Sales_Harian!$B$8:$B$507,$A54)+COUNTIFS(SPV_Harian!$A$8:$A$507,$B$4,SPV_Harian!$B$8:$B$507,$A54)+COUNTIFS(ASM_Harian!$A$8:$A$507,$B$4,ASM_Harian!$B$8:$B$507,$A54))</f>
        <v/>
      </c>
      <c r="G54" s="12" t="str">
        <f>IF($A54="","",IF(F54=0,"Belum Lapor",IF(F54&gt;1,"Data Ganda",IF(COUNTIFS(Sales_Harian!$A$8:$A$507,$B$4,Sales_Harian!$B$8:$B$507,$A54,Sales_Harian!$Z$8:$Z$507,"Dikirim")+COUNTIFS(SPV_Harian!$A$8:$A$507,$B$4,SPV_Harian!$B$8:$B$507,$A54,SPV_Harian!$Y$8:$Y$507,"Dikirim")+COUNTIFS(ASM_Harian!$A$8:$A$507,$B$4,ASM_Harian!$B$8:$B$507,$A54,ASM_Harian!$Y$8:$Y$507,"Dikirim")=1,"Dikirim","Draft"))))</f>
        <v/>
      </c>
      <c r="H54" s="12" t="str">
        <f>IF(OR($A54="",F54=0),"",SUMIFS(Sales_Harian!$AF$8:$AF$507,Sales_Harian!$A$8:$A$507,$B$4,Sales_Harian!$B$8:$B$507,$A54)+SUMIFS(SPV_Harian!$AE$8:$AE$507,SPV_Harian!$A$8:$A$507,$B$4,SPV_Harian!$B$8:$B$507,$A54)+SUMIFS(ASM_Harian!$AE$8:$AE$507,ASM_Harian!$A$8:$A$507,$B$4,ASM_Harian!$B$8:$B$507,$A54))</f>
        <v/>
      </c>
      <c r="I54" s="12" t="str">
        <f>IF(OR($A54="",F54=0),"",SUMIFS(Sales_Harian!$AG$8:$AG$507,Sales_Harian!$A$8:$A$507,$B$4,Sales_Harian!$B$8:$B$507,$A54)+SUMIFS(SPV_Harian!$AF$8:$AF$507,SPV_Harian!$A$8:$A$507,$B$4,SPV_Harian!$B$8:$B$507,$A54)+SUMIFS(ASM_Harian!$AF$8:$AF$507,ASM_Harian!$A$8:$A$507,$B$4,ASM_Harian!$B$8:$B$507,$A54))</f>
        <v/>
      </c>
      <c r="J54" s="12" t="str">
        <f>IF(OR($A54="",F54=0),"",SUMIFS(Sales_Harian!$AH$8:$AH$507,Sales_Harian!$A$8:$A$507,$B$4,Sales_Harian!$B$8:$B$507,$A54)+SUMIFS(SPV_Harian!$AG$8:$AG$507,SPV_Harian!$A$8:$A$507,$B$4,SPV_Harian!$B$8:$B$507,$A54)+SUMIFS(ASM_Harian!$AG$8:$AG$507,ASM_Harian!$A$8:$A$507,$B$4,ASM_Harian!$B$8:$B$507,$A54))</f>
        <v/>
      </c>
      <c r="K54" s="12" t="str">
        <f>IF(OR($A54="",F54=0),"",SUMIFS(Sales_Harian!$AI$8:$AI$507,Sales_Harian!$A$8:$A$507,$B$4,Sales_Harian!$B$8:$B$507,$A54)+SUMIFS(SPV_Harian!$AH$8:$AH$507,SPV_Harian!$A$8:$A$507,$B$4,SPV_Harian!$B$8:$B$507,$A54)+SUMIFS(ASM_Harian!$AH$8:$AH$507,ASM_Harian!$A$8:$A$507,$B$4,ASM_Harian!$B$8:$B$507,$A54))</f>
        <v/>
      </c>
      <c r="L54" s="12" t="str">
        <f>IF(OR($A54="",F54=0),"",SUMIFS(Sales_Harian!$AK$8:$AK$507,Sales_Harian!$A$8:$A$507,$B$4,Sales_Harian!$B$8:$B$507,$A54)+SUMIFS(SPV_Harian!$AJ$8:$AJ$507,SPV_Harian!$A$8:$A$507,$B$4,SPV_Harian!$B$8:$B$507,$A54)+SUMIFS(ASM_Harian!$AJ$8:$AJ$507,ASM_Harian!$A$8:$A$507,$B$4,ASM_Harian!$B$8:$B$507,$A54))</f>
        <v/>
      </c>
      <c r="M54" s="13" t="str">
        <f t="shared" si="1"/>
        <v/>
      </c>
      <c r="N54" s="1" t="str">
        <f>IF($A54="","",IF(G54&lt;&gt;"Dikirim","",IF(COUNTIFS(Sales_Harian!$A$8:$A$507,$B$4,Sales_Harian!$B$8:$B$507,$A54,Sales_Harian!$AB$8:$AB$507,"Disetujui")+COUNTIFS(SPV_Harian!$A$8:$A$507,$B$4,SPV_Harian!$B$8:$B$507,$A54,SPV_Harian!$AA$8:$AA$507,"Disetujui")+COUNTIFS(ASM_Harian!$A$8:$A$507,$B$4,ASM_Harian!$B$8:$B$507,$A54,ASM_Harian!$AA$8:$AA$507,"Disetujui")=1,IF(COUNTIFS(Sales_Harian!$A$8:$A$507,$B$4,Sales_Harian!$B$8:$B$507,$A54,Sales_Harian!$AM$8:$AM$507,"&lt;&gt;OK")+COUNTIFS(SPV_Harian!$A$8:$A$507,$B$4,SPV_Harian!$B$8:$B$507,$A54,SPV_Harian!$AL$8:$AL$507,"&lt;&gt;OK")+COUNTIFS(ASM_Harian!$A$8:$A$507,$B$4,ASM_Harian!$B$8:$B$507,$A54,ASM_Harian!$AL$8:$AL$507,"&lt;&gt;OK")&gt;0,"Review belum valid","Disetujui"),IF(COUNTIFS(Sales_Harian!$A$8:$A$507,$B$4,Sales_Harian!$B$8:$B$507,$A54,Sales_Harian!$AB$8:$AB$507,"Perlu Perbaikan")+COUNTIFS(SPV_Harian!$A$8:$A$507,$B$4,SPV_Harian!$B$8:$B$507,$A54,SPV_Harian!$AA$8:$AA$507,"Perlu Perbaikan")+COUNTIFS(ASM_Harian!$A$8:$A$507,$B$4,ASM_Harian!$B$8:$B$507,$A54,ASM_Harian!$AA$8:$AA$507,"Perlu Perbaikan")=1,"Perlu Perbaikan","Belum Diperiksa"))))</f>
        <v/>
      </c>
      <c r="O54" s="1" t="str">
        <f>IF($A54="","",IF(F54=0,"Belum ada laporan",IF(F54&gt;1,"Hapus/benahi laporan ganda",IF(COUNTIFS(Sales_Harian!$A$8:$A$507,$B$4,Sales_Harian!$B$8:$B$507,$A54,Sales_Harian!$AM$8:$AM$507,"&lt;&gt;OK")+COUNTIFS(SPV_Harian!$A$8:$A$507,$B$4,SPV_Harian!$B$8:$B$507,$A54,SPV_Harian!$AL$8:$AL$507,"&lt;&gt;OK")+COUNTIFS(ASM_Harian!$A$8:$A$507,$B$4,ASM_Harian!$B$8:$B$507,$A54,ASM_Harian!$AL$8:$AL$507,"&lt;&gt;OK")&gt;0,"Periksa validasi_data",IF(SUM(J54:K54)&gt;0,"Ada kegiatan terbuka",IF(N54="Perlu Perbaikan","Tindak lanjuti review",IF(G54="Draft","Kirim laporan",IF(N54="Belum Diperiksa","Menunggu pemeriksaan",""))))))))</f>
        <v/>
      </c>
    </row>
    <row r="55" spans="1:15" ht="24" customHeight="1">
      <c r="A55" s="1" t="str">
        <f>IF(AND(Master_PIC!A49&lt;&gt;"",Master_PIC!G49="Aktif",Master_PIC!C49&lt;&gt;"Manager"),Master_PIC!A49,"")</f>
        <v/>
      </c>
      <c r="B55" s="1" t="str">
        <f>IF($A55="","",IF(Master_PIC!B49="","",Master_PIC!B49))</f>
        <v/>
      </c>
      <c r="C55" s="1" t="str">
        <f>IF($A55="","",IF(Master_PIC!C49="","",Master_PIC!C49))</f>
        <v/>
      </c>
      <c r="D55" s="1" t="str">
        <f>IF($A55="","",IF(Master_PIC!D49="","",Master_PIC!D49))</f>
        <v/>
      </c>
      <c r="E55" s="1" t="str">
        <f>IF($A55="","",IF(Master_PIC!E49="","",Master_PIC!E49))</f>
        <v/>
      </c>
      <c r="F55" s="12" t="str">
        <f>IF($A55="","",COUNTIFS(Sales_Harian!$A$8:$A$507,$B$4,Sales_Harian!$B$8:$B$507,$A55)+COUNTIFS(SPV_Harian!$A$8:$A$507,$B$4,SPV_Harian!$B$8:$B$507,$A55)+COUNTIFS(ASM_Harian!$A$8:$A$507,$B$4,ASM_Harian!$B$8:$B$507,$A55))</f>
        <v/>
      </c>
      <c r="G55" s="12" t="str">
        <f>IF($A55="","",IF(F55=0,"Belum Lapor",IF(F55&gt;1,"Data Ganda",IF(COUNTIFS(Sales_Harian!$A$8:$A$507,$B$4,Sales_Harian!$B$8:$B$507,$A55,Sales_Harian!$Z$8:$Z$507,"Dikirim")+COUNTIFS(SPV_Harian!$A$8:$A$507,$B$4,SPV_Harian!$B$8:$B$507,$A55,SPV_Harian!$Y$8:$Y$507,"Dikirim")+COUNTIFS(ASM_Harian!$A$8:$A$507,$B$4,ASM_Harian!$B$8:$B$507,$A55,ASM_Harian!$Y$8:$Y$507,"Dikirim")=1,"Dikirim","Draft"))))</f>
        <v/>
      </c>
      <c r="H55" s="12" t="str">
        <f>IF(OR($A55="",F55=0),"",SUMIFS(Sales_Harian!$AF$8:$AF$507,Sales_Harian!$A$8:$A$507,$B$4,Sales_Harian!$B$8:$B$507,$A55)+SUMIFS(SPV_Harian!$AE$8:$AE$507,SPV_Harian!$A$8:$A$507,$B$4,SPV_Harian!$B$8:$B$507,$A55)+SUMIFS(ASM_Harian!$AE$8:$AE$507,ASM_Harian!$A$8:$A$507,$B$4,ASM_Harian!$B$8:$B$507,$A55))</f>
        <v/>
      </c>
      <c r="I55" s="12" t="str">
        <f>IF(OR($A55="",F55=0),"",SUMIFS(Sales_Harian!$AG$8:$AG$507,Sales_Harian!$A$8:$A$507,$B$4,Sales_Harian!$B$8:$B$507,$A55)+SUMIFS(SPV_Harian!$AF$8:$AF$507,SPV_Harian!$A$8:$A$507,$B$4,SPV_Harian!$B$8:$B$507,$A55)+SUMIFS(ASM_Harian!$AF$8:$AF$507,ASM_Harian!$A$8:$A$507,$B$4,ASM_Harian!$B$8:$B$507,$A55))</f>
        <v/>
      </c>
      <c r="J55" s="12" t="str">
        <f>IF(OR($A55="",F55=0),"",SUMIFS(Sales_Harian!$AH$8:$AH$507,Sales_Harian!$A$8:$A$507,$B$4,Sales_Harian!$B$8:$B$507,$A55)+SUMIFS(SPV_Harian!$AG$8:$AG$507,SPV_Harian!$A$8:$A$507,$B$4,SPV_Harian!$B$8:$B$507,$A55)+SUMIFS(ASM_Harian!$AG$8:$AG$507,ASM_Harian!$A$8:$A$507,$B$4,ASM_Harian!$B$8:$B$507,$A55))</f>
        <v/>
      </c>
      <c r="K55" s="12" t="str">
        <f>IF(OR($A55="",F55=0),"",SUMIFS(Sales_Harian!$AI$8:$AI$507,Sales_Harian!$A$8:$A$507,$B$4,Sales_Harian!$B$8:$B$507,$A55)+SUMIFS(SPV_Harian!$AH$8:$AH$507,SPV_Harian!$A$8:$A$507,$B$4,SPV_Harian!$B$8:$B$507,$A55)+SUMIFS(ASM_Harian!$AH$8:$AH$507,ASM_Harian!$A$8:$A$507,$B$4,ASM_Harian!$B$8:$B$507,$A55))</f>
        <v/>
      </c>
      <c r="L55" s="12" t="str">
        <f>IF(OR($A55="",F55=0),"",SUMIFS(Sales_Harian!$AK$8:$AK$507,Sales_Harian!$A$8:$A$507,$B$4,Sales_Harian!$B$8:$B$507,$A55)+SUMIFS(SPV_Harian!$AJ$8:$AJ$507,SPV_Harian!$A$8:$A$507,$B$4,SPV_Harian!$B$8:$B$507,$A55)+SUMIFS(ASM_Harian!$AJ$8:$AJ$507,ASM_Harian!$A$8:$A$507,$B$4,ASM_Harian!$B$8:$B$507,$A55))</f>
        <v/>
      </c>
      <c r="M55" s="13" t="str">
        <f t="shared" si="1"/>
        <v/>
      </c>
      <c r="N55" s="1" t="str">
        <f>IF($A55="","",IF(G55&lt;&gt;"Dikirim","",IF(COUNTIFS(Sales_Harian!$A$8:$A$507,$B$4,Sales_Harian!$B$8:$B$507,$A55,Sales_Harian!$AB$8:$AB$507,"Disetujui")+COUNTIFS(SPV_Harian!$A$8:$A$507,$B$4,SPV_Harian!$B$8:$B$507,$A55,SPV_Harian!$AA$8:$AA$507,"Disetujui")+COUNTIFS(ASM_Harian!$A$8:$A$507,$B$4,ASM_Harian!$B$8:$B$507,$A55,ASM_Harian!$AA$8:$AA$507,"Disetujui")=1,IF(COUNTIFS(Sales_Harian!$A$8:$A$507,$B$4,Sales_Harian!$B$8:$B$507,$A55,Sales_Harian!$AM$8:$AM$507,"&lt;&gt;OK")+COUNTIFS(SPV_Harian!$A$8:$A$507,$B$4,SPV_Harian!$B$8:$B$507,$A55,SPV_Harian!$AL$8:$AL$507,"&lt;&gt;OK")+COUNTIFS(ASM_Harian!$A$8:$A$507,$B$4,ASM_Harian!$B$8:$B$507,$A55,ASM_Harian!$AL$8:$AL$507,"&lt;&gt;OK")&gt;0,"Review belum valid","Disetujui"),IF(COUNTIFS(Sales_Harian!$A$8:$A$507,$B$4,Sales_Harian!$B$8:$B$507,$A55,Sales_Harian!$AB$8:$AB$507,"Perlu Perbaikan")+COUNTIFS(SPV_Harian!$A$8:$A$507,$B$4,SPV_Harian!$B$8:$B$507,$A55,SPV_Harian!$AA$8:$AA$507,"Perlu Perbaikan")+COUNTIFS(ASM_Harian!$A$8:$A$507,$B$4,ASM_Harian!$B$8:$B$507,$A55,ASM_Harian!$AA$8:$AA$507,"Perlu Perbaikan")=1,"Perlu Perbaikan","Belum Diperiksa"))))</f>
        <v/>
      </c>
      <c r="O55" s="1" t="str">
        <f>IF($A55="","",IF(F55=0,"Belum ada laporan",IF(F55&gt;1,"Hapus/benahi laporan ganda",IF(COUNTIFS(Sales_Harian!$A$8:$A$507,$B$4,Sales_Harian!$B$8:$B$507,$A55,Sales_Harian!$AM$8:$AM$507,"&lt;&gt;OK")+COUNTIFS(SPV_Harian!$A$8:$A$507,$B$4,SPV_Harian!$B$8:$B$507,$A55,SPV_Harian!$AL$8:$AL$507,"&lt;&gt;OK")+COUNTIFS(ASM_Harian!$A$8:$A$507,$B$4,ASM_Harian!$B$8:$B$507,$A55,ASM_Harian!$AL$8:$AL$507,"&lt;&gt;OK")&gt;0,"Periksa validasi_data",IF(SUM(J55:K55)&gt;0,"Ada kegiatan terbuka",IF(N55="Perlu Perbaikan","Tindak lanjuti review",IF(G55="Draft","Kirim laporan",IF(N55="Belum Diperiksa","Menunggu pemeriksaan",""))))))))</f>
        <v/>
      </c>
    </row>
    <row r="56" spans="1:15" ht="24" customHeight="1">
      <c r="A56" s="1" t="str">
        <f>IF(AND(Master_PIC!A50&lt;&gt;"",Master_PIC!G50="Aktif",Master_PIC!C50&lt;&gt;"Manager"),Master_PIC!A50,"")</f>
        <v/>
      </c>
      <c r="B56" s="1" t="str">
        <f>IF($A56="","",IF(Master_PIC!B50="","",Master_PIC!B50))</f>
        <v/>
      </c>
      <c r="C56" s="1" t="str">
        <f>IF($A56="","",IF(Master_PIC!C50="","",Master_PIC!C50))</f>
        <v/>
      </c>
      <c r="D56" s="1" t="str">
        <f>IF($A56="","",IF(Master_PIC!D50="","",Master_PIC!D50))</f>
        <v/>
      </c>
      <c r="E56" s="1" t="str">
        <f>IF($A56="","",IF(Master_PIC!E50="","",Master_PIC!E50))</f>
        <v/>
      </c>
      <c r="F56" s="12" t="str">
        <f>IF($A56="","",COUNTIFS(Sales_Harian!$A$8:$A$507,$B$4,Sales_Harian!$B$8:$B$507,$A56)+COUNTIFS(SPV_Harian!$A$8:$A$507,$B$4,SPV_Harian!$B$8:$B$507,$A56)+COUNTIFS(ASM_Harian!$A$8:$A$507,$B$4,ASM_Harian!$B$8:$B$507,$A56))</f>
        <v/>
      </c>
      <c r="G56" s="12" t="str">
        <f>IF($A56="","",IF(F56=0,"Belum Lapor",IF(F56&gt;1,"Data Ganda",IF(COUNTIFS(Sales_Harian!$A$8:$A$507,$B$4,Sales_Harian!$B$8:$B$507,$A56,Sales_Harian!$Z$8:$Z$507,"Dikirim")+COUNTIFS(SPV_Harian!$A$8:$A$507,$B$4,SPV_Harian!$B$8:$B$507,$A56,SPV_Harian!$Y$8:$Y$507,"Dikirim")+COUNTIFS(ASM_Harian!$A$8:$A$507,$B$4,ASM_Harian!$B$8:$B$507,$A56,ASM_Harian!$Y$8:$Y$507,"Dikirim")=1,"Dikirim","Draft"))))</f>
        <v/>
      </c>
      <c r="H56" s="12" t="str">
        <f>IF(OR($A56="",F56=0),"",SUMIFS(Sales_Harian!$AF$8:$AF$507,Sales_Harian!$A$8:$A$507,$B$4,Sales_Harian!$B$8:$B$507,$A56)+SUMIFS(SPV_Harian!$AE$8:$AE$507,SPV_Harian!$A$8:$A$507,$B$4,SPV_Harian!$B$8:$B$507,$A56)+SUMIFS(ASM_Harian!$AE$8:$AE$507,ASM_Harian!$A$8:$A$507,$B$4,ASM_Harian!$B$8:$B$507,$A56))</f>
        <v/>
      </c>
      <c r="I56" s="12" t="str">
        <f>IF(OR($A56="",F56=0),"",SUMIFS(Sales_Harian!$AG$8:$AG$507,Sales_Harian!$A$8:$A$507,$B$4,Sales_Harian!$B$8:$B$507,$A56)+SUMIFS(SPV_Harian!$AF$8:$AF$507,SPV_Harian!$A$8:$A$507,$B$4,SPV_Harian!$B$8:$B$507,$A56)+SUMIFS(ASM_Harian!$AF$8:$AF$507,ASM_Harian!$A$8:$A$507,$B$4,ASM_Harian!$B$8:$B$507,$A56))</f>
        <v/>
      </c>
      <c r="J56" s="12" t="str">
        <f>IF(OR($A56="",F56=0),"",SUMIFS(Sales_Harian!$AH$8:$AH$507,Sales_Harian!$A$8:$A$507,$B$4,Sales_Harian!$B$8:$B$507,$A56)+SUMIFS(SPV_Harian!$AG$8:$AG$507,SPV_Harian!$A$8:$A$507,$B$4,SPV_Harian!$B$8:$B$507,$A56)+SUMIFS(ASM_Harian!$AG$8:$AG$507,ASM_Harian!$A$8:$A$507,$B$4,ASM_Harian!$B$8:$B$507,$A56))</f>
        <v/>
      </c>
      <c r="K56" s="12" t="str">
        <f>IF(OR($A56="",F56=0),"",SUMIFS(Sales_Harian!$AI$8:$AI$507,Sales_Harian!$A$8:$A$507,$B$4,Sales_Harian!$B$8:$B$507,$A56)+SUMIFS(SPV_Harian!$AH$8:$AH$507,SPV_Harian!$A$8:$A$507,$B$4,SPV_Harian!$B$8:$B$507,$A56)+SUMIFS(ASM_Harian!$AH$8:$AH$507,ASM_Harian!$A$8:$A$507,$B$4,ASM_Harian!$B$8:$B$507,$A56))</f>
        <v/>
      </c>
      <c r="L56" s="12" t="str">
        <f>IF(OR($A56="",F56=0),"",SUMIFS(Sales_Harian!$AK$8:$AK$507,Sales_Harian!$A$8:$A$507,$B$4,Sales_Harian!$B$8:$B$507,$A56)+SUMIFS(SPV_Harian!$AJ$8:$AJ$507,SPV_Harian!$A$8:$A$507,$B$4,SPV_Harian!$B$8:$B$507,$A56)+SUMIFS(ASM_Harian!$AJ$8:$AJ$507,ASM_Harian!$A$8:$A$507,$B$4,ASM_Harian!$B$8:$B$507,$A56))</f>
        <v/>
      </c>
      <c r="M56" s="13" t="str">
        <f t="shared" si="1"/>
        <v/>
      </c>
      <c r="N56" s="1" t="str">
        <f>IF($A56="","",IF(G56&lt;&gt;"Dikirim","",IF(COUNTIFS(Sales_Harian!$A$8:$A$507,$B$4,Sales_Harian!$B$8:$B$507,$A56,Sales_Harian!$AB$8:$AB$507,"Disetujui")+COUNTIFS(SPV_Harian!$A$8:$A$507,$B$4,SPV_Harian!$B$8:$B$507,$A56,SPV_Harian!$AA$8:$AA$507,"Disetujui")+COUNTIFS(ASM_Harian!$A$8:$A$507,$B$4,ASM_Harian!$B$8:$B$507,$A56,ASM_Harian!$AA$8:$AA$507,"Disetujui")=1,IF(COUNTIFS(Sales_Harian!$A$8:$A$507,$B$4,Sales_Harian!$B$8:$B$507,$A56,Sales_Harian!$AM$8:$AM$507,"&lt;&gt;OK")+COUNTIFS(SPV_Harian!$A$8:$A$507,$B$4,SPV_Harian!$B$8:$B$507,$A56,SPV_Harian!$AL$8:$AL$507,"&lt;&gt;OK")+COUNTIFS(ASM_Harian!$A$8:$A$507,$B$4,ASM_Harian!$B$8:$B$507,$A56,ASM_Harian!$AL$8:$AL$507,"&lt;&gt;OK")&gt;0,"Review belum valid","Disetujui"),IF(COUNTIFS(Sales_Harian!$A$8:$A$507,$B$4,Sales_Harian!$B$8:$B$507,$A56,Sales_Harian!$AB$8:$AB$507,"Perlu Perbaikan")+COUNTIFS(SPV_Harian!$A$8:$A$507,$B$4,SPV_Harian!$B$8:$B$507,$A56,SPV_Harian!$AA$8:$AA$507,"Perlu Perbaikan")+COUNTIFS(ASM_Harian!$A$8:$A$507,$B$4,ASM_Harian!$B$8:$B$507,$A56,ASM_Harian!$AA$8:$AA$507,"Perlu Perbaikan")=1,"Perlu Perbaikan","Belum Diperiksa"))))</f>
        <v/>
      </c>
      <c r="O56" s="1" t="str">
        <f>IF($A56="","",IF(F56=0,"Belum ada laporan",IF(F56&gt;1,"Hapus/benahi laporan ganda",IF(COUNTIFS(Sales_Harian!$A$8:$A$507,$B$4,Sales_Harian!$B$8:$B$507,$A56,Sales_Harian!$AM$8:$AM$507,"&lt;&gt;OK")+COUNTIFS(SPV_Harian!$A$8:$A$507,$B$4,SPV_Harian!$B$8:$B$507,$A56,SPV_Harian!$AL$8:$AL$507,"&lt;&gt;OK")+COUNTIFS(ASM_Harian!$A$8:$A$507,$B$4,ASM_Harian!$B$8:$B$507,$A56,ASM_Harian!$AL$8:$AL$507,"&lt;&gt;OK")&gt;0,"Periksa validasi_data",IF(SUM(J56:K56)&gt;0,"Ada kegiatan terbuka",IF(N56="Perlu Perbaikan","Tindak lanjuti review",IF(G56="Draft","Kirim laporan",IF(N56="Belum Diperiksa","Menunggu pemeriksaan",""))))))))</f>
        <v/>
      </c>
    </row>
    <row r="57" spans="1:15" ht="24" customHeight="1">
      <c r="A57" s="1" t="str">
        <f>IF(AND(Master_PIC!A51&lt;&gt;"",Master_PIC!G51="Aktif",Master_PIC!C51&lt;&gt;"Manager"),Master_PIC!A51,"")</f>
        <v/>
      </c>
      <c r="B57" s="1" t="str">
        <f>IF($A57="","",IF(Master_PIC!B51="","",Master_PIC!B51))</f>
        <v/>
      </c>
      <c r="C57" s="1" t="str">
        <f>IF($A57="","",IF(Master_PIC!C51="","",Master_PIC!C51))</f>
        <v/>
      </c>
      <c r="D57" s="1" t="str">
        <f>IF($A57="","",IF(Master_PIC!D51="","",Master_PIC!D51))</f>
        <v/>
      </c>
      <c r="E57" s="1" t="str">
        <f>IF($A57="","",IF(Master_PIC!E51="","",Master_PIC!E51))</f>
        <v/>
      </c>
      <c r="F57" s="12" t="str">
        <f>IF($A57="","",COUNTIFS(Sales_Harian!$A$8:$A$507,$B$4,Sales_Harian!$B$8:$B$507,$A57)+COUNTIFS(SPV_Harian!$A$8:$A$507,$B$4,SPV_Harian!$B$8:$B$507,$A57)+COUNTIFS(ASM_Harian!$A$8:$A$507,$B$4,ASM_Harian!$B$8:$B$507,$A57))</f>
        <v/>
      </c>
      <c r="G57" s="12" t="str">
        <f>IF($A57="","",IF(F57=0,"Belum Lapor",IF(F57&gt;1,"Data Ganda",IF(COUNTIFS(Sales_Harian!$A$8:$A$507,$B$4,Sales_Harian!$B$8:$B$507,$A57,Sales_Harian!$Z$8:$Z$507,"Dikirim")+COUNTIFS(SPV_Harian!$A$8:$A$507,$B$4,SPV_Harian!$B$8:$B$507,$A57,SPV_Harian!$Y$8:$Y$507,"Dikirim")+COUNTIFS(ASM_Harian!$A$8:$A$507,$B$4,ASM_Harian!$B$8:$B$507,$A57,ASM_Harian!$Y$8:$Y$507,"Dikirim")=1,"Dikirim","Draft"))))</f>
        <v/>
      </c>
      <c r="H57" s="12" t="str">
        <f>IF(OR($A57="",F57=0),"",SUMIFS(Sales_Harian!$AF$8:$AF$507,Sales_Harian!$A$8:$A$507,$B$4,Sales_Harian!$B$8:$B$507,$A57)+SUMIFS(SPV_Harian!$AE$8:$AE$507,SPV_Harian!$A$8:$A$507,$B$4,SPV_Harian!$B$8:$B$507,$A57)+SUMIFS(ASM_Harian!$AE$8:$AE$507,ASM_Harian!$A$8:$A$507,$B$4,ASM_Harian!$B$8:$B$507,$A57))</f>
        <v/>
      </c>
      <c r="I57" s="12" t="str">
        <f>IF(OR($A57="",F57=0),"",SUMIFS(Sales_Harian!$AG$8:$AG$507,Sales_Harian!$A$8:$A$507,$B$4,Sales_Harian!$B$8:$B$507,$A57)+SUMIFS(SPV_Harian!$AF$8:$AF$507,SPV_Harian!$A$8:$A$507,$B$4,SPV_Harian!$B$8:$B$507,$A57)+SUMIFS(ASM_Harian!$AF$8:$AF$507,ASM_Harian!$A$8:$A$507,$B$4,ASM_Harian!$B$8:$B$507,$A57))</f>
        <v/>
      </c>
      <c r="J57" s="12" t="str">
        <f>IF(OR($A57="",F57=0),"",SUMIFS(Sales_Harian!$AH$8:$AH$507,Sales_Harian!$A$8:$A$507,$B$4,Sales_Harian!$B$8:$B$507,$A57)+SUMIFS(SPV_Harian!$AG$8:$AG$507,SPV_Harian!$A$8:$A$507,$B$4,SPV_Harian!$B$8:$B$507,$A57)+SUMIFS(ASM_Harian!$AG$8:$AG$507,ASM_Harian!$A$8:$A$507,$B$4,ASM_Harian!$B$8:$B$507,$A57))</f>
        <v/>
      </c>
      <c r="K57" s="12" t="str">
        <f>IF(OR($A57="",F57=0),"",SUMIFS(Sales_Harian!$AI$8:$AI$507,Sales_Harian!$A$8:$A$507,$B$4,Sales_Harian!$B$8:$B$507,$A57)+SUMIFS(SPV_Harian!$AH$8:$AH$507,SPV_Harian!$A$8:$A$507,$B$4,SPV_Harian!$B$8:$B$507,$A57)+SUMIFS(ASM_Harian!$AH$8:$AH$507,ASM_Harian!$A$8:$A$507,$B$4,ASM_Harian!$B$8:$B$507,$A57))</f>
        <v/>
      </c>
      <c r="L57" s="12" t="str">
        <f>IF(OR($A57="",F57=0),"",SUMIFS(Sales_Harian!$AK$8:$AK$507,Sales_Harian!$A$8:$A$507,$B$4,Sales_Harian!$B$8:$B$507,$A57)+SUMIFS(SPV_Harian!$AJ$8:$AJ$507,SPV_Harian!$A$8:$A$507,$B$4,SPV_Harian!$B$8:$B$507,$A57)+SUMIFS(ASM_Harian!$AJ$8:$AJ$507,ASM_Harian!$A$8:$A$507,$B$4,ASM_Harian!$B$8:$B$507,$A57))</f>
        <v/>
      </c>
      <c r="M57" s="13" t="str">
        <f t="shared" si="1"/>
        <v/>
      </c>
      <c r="N57" s="1" t="str">
        <f>IF($A57="","",IF(G57&lt;&gt;"Dikirim","",IF(COUNTIFS(Sales_Harian!$A$8:$A$507,$B$4,Sales_Harian!$B$8:$B$507,$A57,Sales_Harian!$AB$8:$AB$507,"Disetujui")+COUNTIFS(SPV_Harian!$A$8:$A$507,$B$4,SPV_Harian!$B$8:$B$507,$A57,SPV_Harian!$AA$8:$AA$507,"Disetujui")+COUNTIFS(ASM_Harian!$A$8:$A$507,$B$4,ASM_Harian!$B$8:$B$507,$A57,ASM_Harian!$AA$8:$AA$507,"Disetujui")=1,IF(COUNTIFS(Sales_Harian!$A$8:$A$507,$B$4,Sales_Harian!$B$8:$B$507,$A57,Sales_Harian!$AM$8:$AM$507,"&lt;&gt;OK")+COUNTIFS(SPV_Harian!$A$8:$A$507,$B$4,SPV_Harian!$B$8:$B$507,$A57,SPV_Harian!$AL$8:$AL$507,"&lt;&gt;OK")+COUNTIFS(ASM_Harian!$A$8:$A$507,$B$4,ASM_Harian!$B$8:$B$507,$A57,ASM_Harian!$AL$8:$AL$507,"&lt;&gt;OK")&gt;0,"Review belum valid","Disetujui"),IF(COUNTIFS(Sales_Harian!$A$8:$A$507,$B$4,Sales_Harian!$B$8:$B$507,$A57,Sales_Harian!$AB$8:$AB$507,"Perlu Perbaikan")+COUNTIFS(SPV_Harian!$A$8:$A$507,$B$4,SPV_Harian!$B$8:$B$507,$A57,SPV_Harian!$AA$8:$AA$507,"Perlu Perbaikan")+COUNTIFS(ASM_Harian!$A$8:$A$507,$B$4,ASM_Harian!$B$8:$B$507,$A57,ASM_Harian!$AA$8:$AA$507,"Perlu Perbaikan")=1,"Perlu Perbaikan","Belum Diperiksa"))))</f>
        <v/>
      </c>
      <c r="O57" s="1" t="str">
        <f>IF($A57="","",IF(F57=0,"Belum ada laporan",IF(F57&gt;1,"Hapus/benahi laporan ganda",IF(COUNTIFS(Sales_Harian!$A$8:$A$507,$B$4,Sales_Harian!$B$8:$B$507,$A57,Sales_Harian!$AM$8:$AM$507,"&lt;&gt;OK")+COUNTIFS(SPV_Harian!$A$8:$A$507,$B$4,SPV_Harian!$B$8:$B$507,$A57,SPV_Harian!$AL$8:$AL$507,"&lt;&gt;OK")+COUNTIFS(ASM_Harian!$A$8:$A$507,$B$4,ASM_Harian!$B$8:$B$507,$A57,ASM_Harian!$AL$8:$AL$507,"&lt;&gt;OK")&gt;0,"Periksa validasi_data",IF(SUM(J57:K57)&gt;0,"Ada kegiatan terbuka",IF(N57="Perlu Perbaikan","Tindak lanjuti review",IF(G57="Draft","Kirim laporan",IF(N57="Belum Diperiksa","Menunggu pemeriksaan",""))))))))</f>
        <v/>
      </c>
    </row>
    <row r="58" spans="1:15" ht="24" customHeight="1">
      <c r="A58" s="1" t="str">
        <f>IF(AND(Master_PIC!A52&lt;&gt;"",Master_PIC!G52="Aktif",Master_PIC!C52&lt;&gt;"Manager"),Master_PIC!A52,"")</f>
        <v/>
      </c>
      <c r="B58" s="1" t="str">
        <f>IF($A58="","",IF(Master_PIC!B52="","",Master_PIC!B52))</f>
        <v/>
      </c>
      <c r="C58" s="1" t="str">
        <f>IF($A58="","",IF(Master_PIC!C52="","",Master_PIC!C52))</f>
        <v/>
      </c>
      <c r="D58" s="1" t="str">
        <f>IF($A58="","",IF(Master_PIC!D52="","",Master_PIC!D52))</f>
        <v/>
      </c>
      <c r="E58" s="1" t="str">
        <f>IF($A58="","",IF(Master_PIC!E52="","",Master_PIC!E52))</f>
        <v/>
      </c>
      <c r="F58" s="12" t="str">
        <f>IF($A58="","",COUNTIFS(Sales_Harian!$A$8:$A$507,$B$4,Sales_Harian!$B$8:$B$507,$A58)+COUNTIFS(SPV_Harian!$A$8:$A$507,$B$4,SPV_Harian!$B$8:$B$507,$A58)+COUNTIFS(ASM_Harian!$A$8:$A$507,$B$4,ASM_Harian!$B$8:$B$507,$A58))</f>
        <v/>
      </c>
      <c r="G58" s="12" t="str">
        <f>IF($A58="","",IF(F58=0,"Belum Lapor",IF(F58&gt;1,"Data Ganda",IF(COUNTIFS(Sales_Harian!$A$8:$A$507,$B$4,Sales_Harian!$B$8:$B$507,$A58,Sales_Harian!$Z$8:$Z$507,"Dikirim")+COUNTIFS(SPV_Harian!$A$8:$A$507,$B$4,SPV_Harian!$B$8:$B$507,$A58,SPV_Harian!$Y$8:$Y$507,"Dikirim")+COUNTIFS(ASM_Harian!$A$8:$A$507,$B$4,ASM_Harian!$B$8:$B$507,$A58,ASM_Harian!$Y$8:$Y$507,"Dikirim")=1,"Dikirim","Draft"))))</f>
        <v/>
      </c>
      <c r="H58" s="12" t="str">
        <f>IF(OR($A58="",F58=0),"",SUMIFS(Sales_Harian!$AF$8:$AF$507,Sales_Harian!$A$8:$A$507,$B$4,Sales_Harian!$B$8:$B$507,$A58)+SUMIFS(SPV_Harian!$AE$8:$AE$507,SPV_Harian!$A$8:$A$507,$B$4,SPV_Harian!$B$8:$B$507,$A58)+SUMIFS(ASM_Harian!$AE$8:$AE$507,ASM_Harian!$A$8:$A$507,$B$4,ASM_Harian!$B$8:$B$507,$A58))</f>
        <v/>
      </c>
      <c r="I58" s="12" t="str">
        <f>IF(OR($A58="",F58=0),"",SUMIFS(Sales_Harian!$AG$8:$AG$507,Sales_Harian!$A$8:$A$507,$B$4,Sales_Harian!$B$8:$B$507,$A58)+SUMIFS(SPV_Harian!$AF$8:$AF$507,SPV_Harian!$A$8:$A$507,$B$4,SPV_Harian!$B$8:$B$507,$A58)+SUMIFS(ASM_Harian!$AF$8:$AF$507,ASM_Harian!$A$8:$A$507,$B$4,ASM_Harian!$B$8:$B$507,$A58))</f>
        <v/>
      </c>
      <c r="J58" s="12" t="str">
        <f>IF(OR($A58="",F58=0),"",SUMIFS(Sales_Harian!$AH$8:$AH$507,Sales_Harian!$A$8:$A$507,$B$4,Sales_Harian!$B$8:$B$507,$A58)+SUMIFS(SPV_Harian!$AG$8:$AG$507,SPV_Harian!$A$8:$A$507,$B$4,SPV_Harian!$B$8:$B$507,$A58)+SUMIFS(ASM_Harian!$AG$8:$AG$507,ASM_Harian!$A$8:$A$507,$B$4,ASM_Harian!$B$8:$B$507,$A58))</f>
        <v/>
      </c>
      <c r="K58" s="12" t="str">
        <f>IF(OR($A58="",F58=0),"",SUMIFS(Sales_Harian!$AI$8:$AI$507,Sales_Harian!$A$8:$A$507,$B$4,Sales_Harian!$B$8:$B$507,$A58)+SUMIFS(SPV_Harian!$AH$8:$AH$507,SPV_Harian!$A$8:$A$507,$B$4,SPV_Harian!$B$8:$B$507,$A58)+SUMIFS(ASM_Harian!$AH$8:$AH$507,ASM_Harian!$A$8:$A$507,$B$4,ASM_Harian!$B$8:$B$507,$A58))</f>
        <v/>
      </c>
      <c r="L58" s="12" t="str">
        <f>IF(OR($A58="",F58=0),"",SUMIFS(Sales_Harian!$AK$8:$AK$507,Sales_Harian!$A$8:$A$507,$B$4,Sales_Harian!$B$8:$B$507,$A58)+SUMIFS(SPV_Harian!$AJ$8:$AJ$507,SPV_Harian!$A$8:$A$507,$B$4,SPV_Harian!$B$8:$B$507,$A58)+SUMIFS(ASM_Harian!$AJ$8:$AJ$507,ASM_Harian!$A$8:$A$507,$B$4,ASM_Harian!$B$8:$B$507,$A58))</f>
        <v/>
      </c>
      <c r="M58" s="13" t="str">
        <f t="shared" si="1"/>
        <v/>
      </c>
      <c r="N58" s="1" t="str">
        <f>IF($A58="","",IF(G58&lt;&gt;"Dikirim","",IF(COUNTIFS(Sales_Harian!$A$8:$A$507,$B$4,Sales_Harian!$B$8:$B$507,$A58,Sales_Harian!$AB$8:$AB$507,"Disetujui")+COUNTIFS(SPV_Harian!$A$8:$A$507,$B$4,SPV_Harian!$B$8:$B$507,$A58,SPV_Harian!$AA$8:$AA$507,"Disetujui")+COUNTIFS(ASM_Harian!$A$8:$A$507,$B$4,ASM_Harian!$B$8:$B$507,$A58,ASM_Harian!$AA$8:$AA$507,"Disetujui")=1,IF(COUNTIFS(Sales_Harian!$A$8:$A$507,$B$4,Sales_Harian!$B$8:$B$507,$A58,Sales_Harian!$AM$8:$AM$507,"&lt;&gt;OK")+COUNTIFS(SPV_Harian!$A$8:$A$507,$B$4,SPV_Harian!$B$8:$B$507,$A58,SPV_Harian!$AL$8:$AL$507,"&lt;&gt;OK")+COUNTIFS(ASM_Harian!$A$8:$A$507,$B$4,ASM_Harian!$B$8:$B$507,$A58,ASM_Harian!$AL$8:$AL$507,"&lt;&gt;OK")&gt;0,"Review belum valid","Disetujui"),IF(COUNTIFS(Sales_Harian!$A$8:$A$507,$B$4,Sales_Harian!$B$8:$B$507,$A58,Sales_Harian!$AB$8:$AB$507,"Perlu Perbaikan")+COUNTIFS(SPV_Harian!$A$8:$A$507,$B$4,SPV_Harian!$B$8:$B$507,$A58,SPV_Harian!$AA$8:$AA$507,"Perlu Perbaikan")+COUNTIFS(ASM_Harian!$A$8:$A$507,$B$4,ASM_Harian!$B$8:$B$507,$A58,ASM_Harian!$AA$8:$AA$507,"Perlu Perbaikan")=1,"Perlu Perbaikan","Belum Diperiksa"))))</f>
        <v/>
      </c>
      <c r="O58" s="1" t="str">
        <f>IF($A58="","",IF(F58=0,"Belum ada laporan",IF(F58&gt;1,"Hapus/benahi laporan ganda",IF(COUNTIFS(Sales_Harian!$A$8:$A$507,$B$4,Sales_Harian!$B$8:$B$507,$A58,Sales_Harian!$AM$8:$AM$507,"&lt;&gt;OK")+COUNTIFS(SPV_Harian!$A$8:$A$507,$B$4,SPV_Harian!$B$8:$B$507,$A58,SPV_Harian!$AL$8:$AL$507,"&lt;&gt;OK")+COUNTIFS(ASM_Harian!$A$8:$A$507,$B$4,ASM_Harian!$B$8:$B$507,$A58,ASM_Harian!$AL$8:$AL$507,"&lt;&gt;OK")&gt;0,"Periksa validasi_data",IF(SUM(J58:K58)&gt;0,"Ada kegiatan terbuka",IF(N58="Perlu Perbaikan","Tindak lanjuti review",IF(G58="Draft","Kirim laporan",IF(N58="Belum Diperiksa","Menunggu pemeriksaan",""))))))))</f>
        <v/>
      </c>
    </row>
    <row r="59" spans="1:15" ht="24" customHeight="1">
      <c r="A59" s="1" t="str">
        <f>IF(AND(Master_PIC!A53&lt;&gt;"",Master_PIC!G53="Aktif",Master_PIC!C53&lt;&gt;"Manager"),Master_PIC!A53,"")</f>
        <v/>
      </c>
      <c r="B59" s="1" t="str">
        <f>IF($A59="","",IF(Master_PIC!B53="","",Master_PIC!B53))</f>
        <v/>
      </c>
      <c r="C59" s="1" t="str">
        <f>IF($A59="","",IF(Master_PIC!C53="","",Master_PIC!C53))</f>
        <v/>
      </c>
      <c r="D59" s="1" t="str">
        <f>IF($A59="","",IF(Master_PIC!D53="","",Master_PIC!D53))</f>
        <v/>
      </c>
      <c r="E59" s="1" t="str">
        <f>IF($A59="","",IF(Master_PIC!E53="","",Master_PIC!E53))</f>
        <v/>
      </c>
      <c r="F59" s="12" t="str">
        <f>IF($A59="","",COUNTIFS(Sales_Harian!$A$8:$A$507,$B$4,Sales_Harian!$B$8:$B$507,$A59)+COUNTIFS(SPV_Harian!$A$8:$A$507,$B$4,SPV_Harian!$B$8:$B$507,$A59)+COUNTIFS(ASM_Harian!$A$8:$A$507,$B$4,ASM_Harian!$B$8:$B$507,$A59))</f>
        <v/>
      </c>
      <c r="G59" s="12" t="str">
        <f>IF($A59="","",IF(F59=0,"Belum Lapor",IF(F59&gt;1,"Data Ganda",IF(COUNTIFS(Sales_Harian!$A$8:$A$507,$B$4,Sales_Harian!$B$8:$B$507,$A59,Sales_Harian!$Z$8:$Z$507,"Dikirim")+COUNTIFS(SPV_Harian!$A$8:$A$507,$B$4,SPV_Harian!$B$8:$B$507,$A59,SPV_Harian!$Y$8:$Y$507,"Dikirim")+COUNTIFS(ASM_Harian!$A$8:$A$507,$B$4,ASM_Harian!$B$8:$B$507,$A59,ASM_Harian!$Y$8:$Y$507,"Dikirim")=1,"Dikirim","Draft"))))</f>
        <v/>
      </c>
      <c r="H59" s="12" t="str">
        <f>IF(OR($A59="",F59=0),"",SUMIFS(Sales_Harian!$AF$8:$AF$507,Sales_Harian!$A$8:$A$507,$B$4,Sales_Harian!$B$8:$B$507,$A59)+SUMIFS(SPV_Harian!$AE$8:$AE$507,SPV_Harian!$A$8:$A$507,$B$4,SPV_Harian!$B$8:$B$507,$A59)+SUMIFS(ASM_Harian!$AE$8:$AE$507,ASM_Harian!$A$8:$A$507,$B$4,ASM_Harian!$B$8:$B$507,$A59))</f>
        <v/>
      </c>
      <c r="I59" s="12" t="str">
        <f>IF(OR($A59="",F59=0),"",SUMIFS(Sales_Harian!$AG$8:$AG$507,Sales_Harian!$A$8:$A$507,$B$4,Sales_Harian!$B$8:$B$507,$A59)+SUMIFS(SPV_Harian!$AF$8:$AF$507,SPV_Harian!$A$8:$A$507,$B$4,SPV_Harian!$B$8:$B$507,$A59)+SUMIFS(ASM_Harian!$AF$8:$AF$507,ASM_Harian!$A$8:$A$507,$B$4,ASM_Harian!$B$8:$B$507,$A59))</f>
        <v/>
      </c>
      <c r="J59" s="12" t="str">
        <f>IF(OR($A59="",F59=0),"",SUMIFS(Sales_Harian!$AH$8:$AH$507,Sales_Harian!$A$8:$A$507,$B$4,Sales_Harian!$B$8:$B$507,$A59)+SUMIFS(SPV_Harian!$AG$8:$AG$507,SPV_Harian!$A$8:$A$507,$B$4,SPV_Harian!$B$8:$B$507,$A59)+SUMIFS(ASM_Harian!$AG$8:$AG$507,ASM_Harian!$A$8:$A$507,$B$4,ASM_Harian!$B$8:$B$507,$A59))</f>
        <v/>
      </c>
      <c r="K59" s="12" t="str">
        <f>IF(OR($A59="",F59=0),"",SUMIFS(Sales_Harian!$AI$8:$AI$507,Sales_Harian!$A$8:$A$507,$B$4,Sales_Harian!$B$8:$B$507,$A59)+SUMIFS(SPV_Harian!$AH$8:$AH$507,SPV_Harian!$A$8:$A$507,$B$4,SPV_Harian!$B$8:$B$507,$A59)+SUMIFS(ASM_Harian!$AH$8:$AH$507,ASM_Harian!$A$8:$A$507,$B$4,ASM_Harian!$B$8:$B$507,$A59))</f>
        <v/>
      </c>
      <c r="L59" s="12" t="str">
        <f>IF(OR($A59="",F59=0),"",SUMIFS(Sales_Harian!$AK$8:$AK$507,Sales_Harian!$A$8:$A$507,$B$4,Sales_Harian!$B$8:$B$507,$A59)+SUMIFS(SPV_Harian!$AJ$8:$AJ$507,SPV_Harian!$A$8:$A$507,$B$4,SPV_Harian!$B$8:$B$507,$A59)+SUMIFS(ASM_Harian!$AJ$8:$AJ$507,ASM_Harian!$A$8:$A$507,$B$4,ASM_Harian!$B$8:$B$507,$A59))</f>
        <v/>
      </c>
      <c r="M59" s="13" t="str">
        <f t="shared" si="1"/>
        <v/>
      </c>
      <c r="N59" s="1" t="str">
        <f>IF($A59="","",IF(G59&lt;&gt;"Dikirim","",IF(COUNTIFS(Sales_Harian!$A$8:$A$507,$B$4,Sales_Harian!$B$8:$B$507,$A59,Sales_Harian!$AB$8:$AB$507,"Disetujui")+COUNTIFS(SPV_Harian!$A$8:$A$507,$B$4,SPV_Harian!$B$8:$B$507,$A59,SPV_Harian!$AA$8:$AA$507,"Disetujui")+COUNTIFS(ASM_Harian!$A$8:$A$507,$B$4,ASM_Harian!$B$8:$B$507,$A59,ASM_Harian!$AA$8:$AA$507,"Disetujui")=1,IF(COUNTIFS(Sales_Harian!$A$8:$A$507,$B$4,Sales_Harian!$B$8:$B$507,$A59,Sales_Harian!$AM$8:$AM$507,"&lt;&gt;OK")+COUNTIFS(SPV_Harian!$A$8:$A$507,$B$4,SPV_Harian!$B$8:$B$507,$A59,SPV_Harian!$AL$8:$AL$507,"&lt;&gt;OK")+COUNTIFS(ASM_Harian!$A$8:$A$507,$B$4,ASM_Harian!$B$8:$B$507,$A59,ASM_Harian!$AL$8:$AL$507,"&lt;&gt;OK")&gt;0,"Review belum valid","Disetujui"),IF(COUNTIFS(Sales_Harian!$A$8:$A$507,$B$4,Sales_Harian!$B$8:$B$507,$A59,Sales_Harian!$AB$8:$AB$507,"Perlu Perbaikan")+COUNTIFS(SPV_Harian!$A$8:$A$507,$B$4,SPV_Harian!$B$8:$B$507,$A59,SPV_Harian!$AA$8:$AA$507,"Perlu Perbaikan")+COUNTIFS(ASM_Harian!$A$8:$A$507,$B$4,ASM_Harian!$B$8:$B$507,$A59,ASM_Harian!$AA$8:$AA$507,"Perlu Perbaikan")=1,"Perlu Perbaikan","Belum Diperiksa"))))</f>
        <v/>
      </c>
      <c r="O59" s="1" t="str">
        <f>IF($A59="","",IF(F59=0,"Belum ada laporan",IF(F59&gt;1,"Hapus/benahi laporan ganda",IF(COUNTIFS(Sales_Harian!$A$8:$A$507,$B$4,Sales_Harian!$B$8:$B$507,$A59,Sales_Harian!$AM$8:$AM$507,"&lt;&gt;OK")+COUNTIFS(SPV_Harian!$A$8:$A$507,$B$4,SPV_Harian!$B$8:$B$507,$A59,SPV_Harian!$AL$8:$AL$507,"&lt;&gt;OK")+COUNTIFS(ASM_Harian!$A$8:$A$507,$B$4,ASM_Harian!$B$8:$B$507,$A59,ASM_Harian!$AL$8:$AL$507,"&lt;&gt;OK")&gt;0,"Periksa validasi_data",IF(SUM(J59:K59)&gt;0,"Ada kegiatan terbuka",IF(N59="Perlu Perbaikan","Tindak lanjuti review",IF(G59="Draft","Kirim laporan",IF(N59="Belum Diperiksa","Menunggu pemeriksaan",""))))))))</f>
        <v/>
      </c>
    </row>
    <row r="60" spans="1:15" ht="24" customHeight="1">
      <c r="A60" s="1" t="str">
        <f>IF(AND(Master_PIC!A54&lt;&gt;"",Master_PIC!G54="Aktif",Master_PIC!C54&lt;&gt;"Manager"),Master_PIC!A54,"")</f>
        <v/>
      </c>
      <c r="B60" s="1" t="str">
        <f>IF($A60="","",IF(Master_PIC!B54="","",Master_PIC!B54))</f>
        <v/>
      </c>
      <c r="C60" s="1" t="str">
        <f>IF($A60="","",IF(Master_PIC!C54="","",Master_PIC!C54))</f>
        <v/>
      </c>
      <c r="D60" s="1" t="str">
        <f>IF($A60="","",IF(Master_PIC!D54="","",Master_PIC!D54))</f>
        <v/>
      </c>
      <c r="E60" s="1" t="str">
        <f>IF($A60="","",IF(Master_PIC!E54="","",Master_PIC!E54))</f>
        <v/>
      </c>
      <c r="F60" s="12" t="str">
        <f>IF($A60="","",COUNTIFS(Sales_Harian!$A$8:$A$507,$B$4,Sales_Harian!$B$8:$B$507,$A60)+COUNTIFS(SPV_Harian!$A$8:$A$507,$B$4,SPV_Harian!$B$8:$B$507,$A60)+COUNTIFS(ASM_Harian!$A$8:$A$507,$B$4,ASM_Harian!$B$8:$B$507,$A60))</f>
        <v/>
      </c>
      <c r="G60" s="12" t="str">
        <f>IF($A60="","",IF(F60=0,"Belum Lapor",IF(F60&gt;1,"Data Ganda",IF(COUNTIFS(Sales_Harian!$A$8:$A$507,$B$4,Sales_Harian!$B$8:$B$507,$A60,Sales_Harian!$Z$8:$Z$507,"Dikirim")+COUNTIFS(SPV_Harian!$A$8:$A$507,$B$4,SPV_Harian!$B$8:$B$507,$A60,SPV_Harian!$Y$8:$Y$507,"Dikirim")+COUNTIFS(ASM_Harian!$A$8:$A$507,$B$4,ASM_Harian!$B$8:$B$507,$A60,ASM_Harian!$Y$8:$Y$507,"Dikirim")=1,"Dikirim","Draft"))))</f>
        <v/>
      </c>
      <c r="H60" s="12" t="str">
        <f>IF(OR($A60="",F60=0),"",SUMIFS(Sales_Harian!$AF$8:$AF$507,Sales_Harian!$A$8:$A$507,$B$4,Sales_Harian!$B$8:$B$507,$A60)+SUMIFS(SPV_Harian!$AE$8:$AE$507,SPV_Harian!$A$8:$A$507,$B$4,SPV_Harian!$B$8:$B$507,$A60)+SUMIFS(ASM_Harian!$AE$8:$AE$507,ASM_Harian!$A$8:$A$507,$B$4,ASM_Harian!$B$8:$B$507,$A60))</f>
        <v/>
      </c>
      <c r="I60" s="12" t="str">
        <f>IF(OR($A60="",F60=0),"",SUMIFS(Sales_Harian!$AG$8:$AG$507,Sales_Harian!$A$8:$A$507,$B$4,Sales_Harian!$B$8:$B$507,$A60)+SUMIFS(SPV_Harian!$AF$8:$AF$507,SPV_Harian!$A$8:$A$507,$B$4,SPV_Harian!$B$8:$B$507,$A60)+SUMIFS(ASM_Harian!$AF$8:$AF$507,ASM_Harian!$A$8:$A$507,$B$4,ASM_Harian!$B$8:$B$507,$A60))</f>
        <v/>
      </c>
      <c r="J60" s="12" t="str">
        <f>IF(OR($A60="",F60=0),"",SUMIFS(Sales_Harian!$AH$8:$AH$507,Sales_Harian!$A$8:$A$507,$B$4,Sales_Harian!$B$8:$B$507,$A60)+SUMIFS(SPV_Harian!$AG$8:$AG$507,SPV_Harian!$A$8:$A$507,$B$4,SPV_Harian!$B$8:$B$507,$A60)+SUMIFS(ASM_Harian!$AG$8:$AG$507,ASM_Harian!$A$8:$A$507,$B$4,ASM_Harian!$B$8:$B$507,$A60))</f>
        <v/>
      </c>
      <c r="K60" s="12" t="str">
        <f>IF(OR($A60="",F60=0),"",SUMIFS(Sales_Harian!$AI$8:$AI$507,Sales_Harian!$A$8:$A$507,$B$4,Sales_Harian!$B$8:$B$507,$A60)+SUMIFS(SPV_Harian!$AH$8:$AH$507,SPV_Harian!$A$8:$A$507,$B$4,SPV_Harian!$B$8:$B$507,$A60)+SUMIFS(ASM_Harian!$AH$8:$AH$507,ASM_Harian!$A$8:$A$507,$B$4,ASM_Harian!$B$8:$B$507,$A60))</f>
        <v/>
      </c>
      <c r="L60" s="12" t="str">
        <f>IF(OR($A60="",F60=0),"",SUMIFS(Sales_Harian!$AK$8:$AK$507,Sales_Harian!$A$8:$A$507,$B$4,Sales_Harian!$B$8:$B$507,$A60)+SUMIFS(SPV_Harian!$AJ$8:$AJ$507,SPV_Harian!$A$8:$A$507,$B$4,SPV_Harian!$B$8:$B$507,$A60)+SUMIFS(ASM_Harian!$AJ$8:$AJ$507,ASM_Harian!$A$8:$A$507,$B$4,ASM_Harian!$B$8:$B$507,$A60))</f>
        <v/>
      </c>
      <c r="M60" s="13" t="str">
        <f t="shared" si="1"/>
        <v/>
      </c>
      <c r="N60" s="1" t="str">
        <f>IF($A60="","",IF(G60&lt;&gt;"Dikirim","",IF(COUNTIFS(Sales_Harian!$A$8:$A$507,$B$4,Sales_Harian!$B$8:$B$507,$A60,Sales_Harian!$AB$8:$AB$507,"Disetujui")+COUNTIFS(SPV_Harian!$A$8:$A$507,$B$4,SPV_Harian!$B$8:$B$507,$A60,SPV_Harian!$AA$8:$AA$507,"Disetujui")+COUNTIFS(ASM_Harian!$A$8:$A$507,$B$4,ASM_Harian!$B$8:$B$507,$A60,ASM_Harian!$AA$8:$AA$507,"Disetujui")=1,IF(COUNTIFS(Sales_Harian!$A$8:$A$507,$B$4,Sales_Harian!$B$8:$B$507,$A60,Sales_Harian!$AM$8:$AM$507,"&lt;&gt;OK")+COUNTIFS(SPV_Harian!$A$8:$A$507,$B$4,SPV_Harian!$B$8:$B$507,$A60,SPV_Harian!$AL$8:$AL$507,"&lt;&gt;OK")+COUNTIFS(ASM_Harian!$A$8:$A$507,$B$4,ASM_Harian!$B$8:$B$507,$A60,ASM_Harian!$AL$8:$AL$507,"&lt;&gt;OK")&gt;0,"Review belum valid","Disetujui"),IF(COUNTIFS(Sales_Harian!$A$8:$A$507,$B$4,Sales_Harian!$B$8:$B$507,$A60,Sales_Harian!$AB$8:$AB$507,"Perlu Perbaikan")+COUNTIFS(SPV_Harian!$A$8:$A$507,$B$4,SPV_Harian!$B$8:$B$507,$A60,SPV_Harian!$AA$8:$AA$507,"Perlu Perbaikan")+COUNTIFS(ASM_Harian!$A$8:$A$507,$B$4,ASM_Harian!$B$8:$B$507,$A60,ASM_Harian!$AA$8:$AA$507,"Perlu Perbaikan")=1,"Perlu Perbaikan","Belum Diperiksa"))))</f>
        <v/>
      </c>
      <c r="O60" s="1" t="str">
        <f>IF($A60="","",IF(F60=0,"Belum ada laporan",IF(F60&gt;1,"Hapus/benahi laporan ganda",IF(COUNTIFS(Sales_Harian!$A$8:$A$507,$B$4,Sales_Harian!$B$8:$B$507,$A60,Sales_Harian!$AM$8:$AM$507,"&lt;&gt;OK")+COUNTIFS(SPV_Harian!$A$8:$A$507,$B$4,SPV_Harian!$B$8:$B$507,$A60,SPV_Harian!$AL$8:$AL$507,"&lt;&gt;OK")+COUNTIFS(ASM_Harian!$A$8:$A$507,$B$4,ASM_Harian!$B$8:$B$507,$A60,ASM_Harian!$AL$8:$AL$507,"&lt;&gt;OK")&gt;0,"Periksa validasi_data",IF(SUM(J60:K60)&gt;0,"Ada kegiatan terbuka",IF(N60="Perlu Perbaikan","Tindak lanjuti review",IF(G60="Draft","Kirim laporan",IF(N60="Belum Diperiksa","Menunggu pemeriksaan",""))))))))</f>
        <v/>
      </c>
    </row>
    <row r="61" spans="1:15" ht="24" customHeight="1">
      <c r="A61" s="1" t="str">
        <f>IF(AND(Master_PIC!A55&lt;&gt;"",Master_PIC!G55="Aktif",Master_PIC!C55&lt;&gt;"Manager"),Master_PIC!A55,"")</f>
        <v/>
      </c>
      <c r="B61" s="1" t="str">
        <f>IF($A61="","",IF(Master_PIC!B55="","",Master_PIC!B55))</f>
        <v/>
      </c>
      <c r="C61" s="1" t="str">
        <f>IF($A61="","",IF(Master_PIC!C55="","",Master_PIC!C55))</f>
        <v/>
      </c>
      <c r="D61" s="1" t="str">
        <f>IF($A61="","",IF(Master_PIC!D55="","",Master_PIC!D55))</f>
        <v/>
      </c>
      <c r="E61" s="1" t="str">
        <f>IF($A61="","",IF(Master_PIC!E55="","",Master_PIC!E55))</f>
        <v/>
      </c>
      <c r="F61" s="12" t="str">
        <f>IF($A61="","",COUNTIFS(Sales_Harian!$A$8:$A$507,$B$4,Sales_Harian!$B$8:$B$507,$A61)+COUNTIFS(SPV_Harian!$A$8:$A$507,$B$4,SPV_Harian!$B$8:$B$507,$A61)+COUNTIFS(ASM_Harian!$A$8:$A$507,$B$4,ASM_Harian!$B$8:$B$507,$A61))</f>
        <v/>
      </c>
      <c r="G61" s="12" t="str">
        <f>IF($A61="","",IF(F61=0,"Belum Lapor",IF(F61&gt;1,"Data Ganda",IF(COUNTIFS(Sales_Harian!$A$8:$A$507,$B$4,Sales_Harian!$B$8:$B$507,$A61,Sales_Harian!$Z$8:$Z$507,"Dikirim")+COUNTIFS(SPV_Harian!$A$8:$A$507,$B$4,SPV_Harian!$B$8:$B$507,$A61,SPV_Harian!$Y$8:$Y$507,"Dikirim")+COUNTIFS(ASM_Harian!$A$8:$A$507,$B$4,ASM_Harian!$B$8:$B$507,$A61,ASM_Harian!$Y$8:$Y$507,"Dikirim")=1,"Dikirim","Draft"))))</f>
        <v/>
      </c>
      <c r="H61" s="12" t="str">
        <f>IF(OR($A61="",F61=0),"",SUMIFS(Sales_Harian!$AF$8:$AF$507,Sales_Harian!$A$8:$A$507,$B$4,Sales_Harian!$B$8:$B$507,$A61)+SUMIFS(SPV_Harian!$AE$8:$AE$507,SPV_Harian!$A$8:$A$507,$B$4,SPV_Harian!$B$8:$B$507,$A61)+SUMIFS(ASM_Harian!$AE$8:$AE$507,ASM_Harian!$A$8:$A$507,$B$4,ASM_Harian!$B$8:$B$507,$A61))</f>
        <v/>
      </c>
      <c r="I61" s="12" t="str">
        <f>IF(OR($A61="",F61=0),"",SUMIFS(Sales_Harian!$AG$8:$AG$507,Sales_Harian!$A$8:$A$507,$B$4,Sales_Harian!$B$8:$B$507,$A61)+SUMIFS(SPV_Harian!$AF$8:$AF$507,SPV_Harian!$A$8:$A$507,$B$4,SPV_Harian!$B$8:$B$507,$A61)+SUMIFS(ASM_Harian!$AF$8:$AF$507,ASM_Harian!$A$8:$A$507,$B$4,ASM_Harian!$B$8:$B$507,$A61))</f>
        <v/>
      </c>
      <c r="J61" s="12" t="str">
        <f>IF(OR($A61="",F61=0),"",SUMIFS(Sales_Harian!$AH$8:$AH$507,Sales_Harian!$A$8:$A$507,$B$4,Sales_Harian!$B$8:$B$507,$A61)+SUMIFS(SPV_Harian!$AG$8:$AG$507,SPV_Harian!$A$8:$A$507,$B$4,SPV_Harian!$B$8:$B$507,$A61)+SUMIFS(ASM_Harian!$AG$8:$AG$507,ASM_Harian!$A$8:$A$507,$B$4,ASM_Harian!$B$8:$B$507,$A61))</f>
        <v/>
      </c>
      <c r="K61" s="12" t="str">
        <f>IF(OR($A61="",F61=0),"",SUMIFS(Sales_Harian!$AI$8:$AI$507,Sales_Harian!$A$8:$A$507,$B$4,Sales_Harian!$B$8:$B$507,$A61)+SUMIFS(SPV_Harian!$AH$8:$AH$507,SPV_Harian!$A$8:$A$507,$B$4,SPV_Harian!$B$8:$B$507,$A61)+SUMIFS(ASM_Harian!$AH$8:$AH$507,ASM_Harian!$A$8:$A$507,$B$4,ASM_Harian!$B$8:$B$507,$A61))</f>
        <v/>
      </c>
      <c r="L61" s="12" t="str">
        <f>IF(OR($A61="",F61=0),"",SUMIFS(Sales_Harian!$AK$8:$AK$507,Sales_Harian!$A$8:$A$507,$B$4,Sales_Harian!$B$8:$B$507,$A61)+SUMIFS(SPV_Harian!$AJ$8:$AJ$507,SPV_Harian!$A$8:$A$507,$B$4,SPV_Harian!$B$8:$B$507,$A61)+SUMIFS(ASM_Harian!$AJ$8:$AJ$507,ASM_Harian!$A$8:$A$507,$B$4,ASM_Harian!$B$8:$B$507,$A61))</f>
        <v/>
      </c>
      <c r="M61" s="13" t="str">
        <f t="shared" si="1"/>
        <v/>
      </c>
      <c r="N61" s="1" t="str">
        <f>IF($A61="","",IF(G61&lt;&gt;"Dikirim","",IF(COUNTIFS(Sales_Harian!$A$8:$A$507,$B$4,Sales_Harian!$B$8:$B$507,$A61,Sales_Harian!$AB$8:$AB$507,"Disetujui")+COUNTIFS(SPV_Harian!$A$8:$A$507,$B$4,SPV_Harian!$B$8:$B$507,$A61,SPV_Harian!$AA$8:$AA$507,"Disetujui")+COUNTIFS(ASM_Harian!$A$8:$A$507,$B$4,ASM_Harian!$B$8:$B$507,$A61,ASM_Harian!$AA$8:$AA$507,"Disetujui")=1,IF(COUNTIFS(Sales_Harian!$A$8:$A$507,$B$4,Sales_Harian!$B$8:$B$507,$A61,Sales_Harian!$AM$8:$AM$507,"&lt;&gt;OK")+COUNTIFS(SPV_Harian!$A$8:$A$507,$B$4,SPV_Harian!$B$8:$B$507,$A61,SPV_Harian!$AL$8:$AL$507,"&lt;&gt;OK")+COUNTIFS(ASM_Harian!$A$8:$A$507,$B$4,ASM_Harian!$B$8:$B$507,$A61,ASM_Harian!$AL$8:$AL$507,"&lt;&gt;OK")&gt;0,"Review belum valid","Disetujui"),IF(COUNTIFS(Sales_Harian!$A$8:$A$507,$B$4,Sales_Harian!$B$8:$B$507,$A61,Sales_Harian!$AB$8:$AB$507,"Perlu Perbaikan")+COUNTIFS(SPV_Harian!$A$8:$A$507,$B$4,SPV_Harian!$B$8:$B$507,$A61,SPV_Harian!$AA$8:$AA$507,"Perlu Perbaikan")+COUNTIFS(ASM_Harian!$A$8:$A$507,$B$4,ASM_Harian!$B$8:$B$507,$A61,ASM_Harian!$AA$8:$AA$507,"Perlu Perbaikan")=1,"Perlu Perbaikan","Belum Diperiksa"))))</f>
        <v/>
      </c>
      <c r="O61" s="1" t="str">
        <f>IF($A61="","",IF(F61=0,"Belum ada laporan",IF(F61&gt;1,"Hapus/benahi laporan ganda",IF(COUNTIFS(Sales_Harian!$A$8:$A$507,$B$4,Sales_Harian!$B$8:$B$507,$A61,Sales_Harian!$AM$8:$AM$507,"&lt;&gt;OK")+COUNTIFS(SPV_Harian!$A$8:$A$507,$B$4,SPV_Harian!$B$8:$B$507,$A61,SPV_Harian!$AL$8:$AL$507,"&lt;&gt;OK")+COUNTIFS(ASM_Harian!$A$8:$A$507,$B$4,ASM_Harian!$B$8:$B$507,$A61,ASM_Harian!$AL$8:$AL$507,"&lt;&gt;OK")&gt;0,"Periksa validasi_data",IF(SUM(J61:K61)&gt;0,"Ada kegiatan terbuka",IF(N61="Perlu Perbaikan","Tindak lanjuti review",IF(G61="Draft","Kirim laporan",IF(N61="Belum Diperiksa","Menunggu pemeriksaan",""))))))))</f>
        <v/>
      </c>
    </row>
    <row r="62" spans="1:15" ht="24" customHeight="1">
      <c r="A62" s="1" t="str">
        <f>IF(AND(Master_PIC!A56&lt;&gt;"",Master_PIC!G56="Aktif",Master_PIC!C56&lt;&gt;"Manager"),Master_PIC!A56,"")</f>
        <v/>
      </c>
      <c r="B62" s="1" t="str">
        <f>IF($A62="","",IF(Master_PIC!B56="","",Master_PIC!B56))</f>
        <v/>
      </c>
      <c r="C62" s="1" t="str">
        <f>IF($A62="","",IF(Master_PIC!C56="","",Master_PIC!C56))</f>
        <v/>
      </c>
      <c r="D62" s="1" t="str">
        <f>IF($A62="","",IF(Master_PIC!D56="","",Master_PIC!D56))</f>
        <v/>
      </c>
      <c r="E62" s="1" t="str">
        <f>IF($A62="","",IF(Master_PIC!E56="","",Master_PIC!E56))</f>
        <v/>
      </c>
      <c r="F62" s="12" t="str">
        <f>IF($A62="","",COUNTIFS(Sales_Harian!$A$8:$A$507,$B$4,Sales_Harian!$B$8:$B$507,$A62)+COUNTIFS(SPV_Harian!$A$8:$A$507,$B$4,SPV_Harian!$B$8:$B$507,$A62)+COUNTIFS(ASM_Harian!$A$8:$A$507,$B$4,ASM_Harian!$B$8:$B$507,$A62))</f>
        <v/>
      </c>
      <c r="G62" s="12" t="str">
        <f>IF($A62="","",IF(F62=0,"Belum Lapor",IF(F62&gt;1,"Data Ganda",IF(COUNTIFS(Sales_Harian!$A$8:$A$507,$B$4,Sales_Harian!$B$8:$B$507,$A62,Sales_Harian!$Z$8:$Z$507,"Dikirim")+COUNTIFS(SPV_Harian!$A$8:$A$507,$B$4,SPV_Harian!$B$8:$B$507,$A62,SPV_Harian!$Y$8:$Y$507,"Dikirim")+COUNTIFS(ASM_Harian!$A$8:$A$507,$B$4,ASM_Harian!$B$8:$B$507,$A62,ASM_Harian!$Y$8:$Y$507,"Dikirim")=1,"Dikirim","Draft"))))</f>
        <v/>
      </c>
      <c r="H62" s="12" t="str">
        <f>IF(OR($A62="",F62=0),"",SUMIFS(Sales_Harian!$AF$8:$AF$507,Sales_Harian!$A$8:$A$507,$B$4,Sales_Harian!$B$8:$B$507,$A62)+SUMIFS(SPV_Harian!$AE$8:$AE$507,SPV_Harian!$A$8:$A$507,$B$4,SPV_Harian!$B$8:$B$507,$A62)+SUMIFS(ASM_Harian!$AE$8:$AE$507,ASM_Harian!$A$8:$A$507,$B$4,ASM_Harian!$B$8:$B$507,$A62))</f>
        <v/>
      </c>
      <c r="I62" s="12" t="str">
        <f>IF(OR($A62="",F62=0),"",SUMIFS(Sales_Harian!$AG$8:$AG$507,Sales_Harian!$A$8:$A$507,$B$4,Sales_Harian!$B$8:$B$507,$A62)+SUMIFS(SPV_Harian!$AF$8:$AF$507,SPV_Harian!$A$8:$A$507,$B$4,SPV_Harian!$B$8:$B$507,$A62)+SUMIFS(ASM_Harian!$AF$8:$AF$507,ASM_Harian!$A$8:$A$507,$B$4,ASM_Harian!$B$8:$B$507,$A62))</f>
        <v/>
      </c>
      <c r="J62" s="12" t="str">
        <f>IF(OR($A62="",F62=0),"",SUMIFS(Sales_Harian!$AH$8:$AH$507,Sales_Harian!$A$8:$A$507,$B$4,Sales_Harian!$B$8:$B$507,$A62)+SUMIFS(SPV_Harian!$AG$8:$AG$507,SPV_Harian!$A$8:$A$507,$B$4,SPV_Harian!$B$8:$B$507,$A62)+SUMIFS(ASM_Harian!$AG$8:$AG$507,ASM_Harian!$A$8:$A$507,$B$4,ASM_Harian!$B$8:$B$507,$A62))</f>
        <v/>
      </c>
      <c r="K62" s="12" t="str">
        <f>IF(OR($A62="",F62=0),"",SUMIFS(Sales_Harian!$AI$8:$AI$507,Sales_Harian!$A$8:$A$507,$B$4,Sales_Harian!$B$8:$B$507,$A62)+SUMIFS(SPV_Harian!$AH$8:$AH$507,SPV_Harian!$A$8:$A$507,$B$4,SPV_Harian!$B$8:$B$507,$A62)+SUMIFS(ASM_Harian!$AH$8:$AH$507,ASM_Harian!$A$8:$A$507,$B$4,ASM_Harian!$B$8:$B$507,$A62))</f>
        <v/>
      </c>
      <c r="L62" s="12" t="str">
        <f>IF(OR($A62="",F62=0),"",SUMIFS(Sales_Harian!$AK$8:$AK$507,Sales_Harian!$A$8:$A$507,$B$4,Sales_Harian!$B$8:$B$507,$A62)+SUMIFS(SPV_Harian!$AJ$8:$AJ$507,SPV_Harian!$A$8:$A$507,$B$4,SPV_Harian!$B$8:$B$507,$A62)+SUMIFS(ASM_Harian!$AJ$8:$AJ$507,ASM_Harian!$A$8:$A$507,$B$4,ASM_Harian!$B$8:$B$507,$A62))</f>
        <v/>
      </c>
      <c r="M62" s="13" t="str">
        <f t="shared" si="1"/>
        <v/>
      </c>
      <c r="N62" s="1" t="str">
        <f>IF($A62="","",IF(G62&lt;&gt;"Dikirim","",IF(COUNTIFS(Sales_Harian!$A$8:$A$507,$B$4,Sales_Harian!$B$8:$B$507,$A62,Sales_Harian!$AB$8:$AB$507,"Disetujui")+COUNTIFS(SPV_Harian!$A$8:$A$507,$B$4,SPV_Harian!$B$8:$B$507,$A62,SPV_Harian!$AA$8:$AA$507,"Disetujui")+COUNTIFS(ASM_Harian!$A$8:$A$507,$B$4,ASM_Harian!$B$8:$B$507,$A62,ASM_Harian!$AA$8:$AA$507,"Disetujui")=1,IF(COUNTIFS(Sales_Harian!$A$8:$A$507,$B$4,Sales_Harian!$B$8:$B$507,$A62,Sales_Harian!$AM$8:$AM$507,"&lt;&gt;OK")+COUNTIFS(SPV_Harian!$A$8:$A$507,$B$4,SPV_Harian!$B$8:$B$507,$A62,SPV_Harian!$AL$8:$AL$507,"&lt;&gt;OK")+COUNTIFS(ASM_Harian!$A$8:$A$507,$B$4,ASM_Harian!$B$8:$B$507,$A62,ASM_Harian!$AL$8:$AL$507,"&lt;&gt;OK")&gt;0,"Review belum valid","Disetujui"),IF(COUNTIFS(Sales_Harian!$A$8:$A$507,$B$4,Sales_Harian!$B$8:$B$507,$A62,Sales_Harian!$AB$8:$AB$507,"Perlu Perbaikan")+COUNTIFS(SPV_Harian!$A$8:$A$507,$B$4,SPV_Harian!$B$8:$B$507,$A62,SPV_Harian!$AA$8:$AA$507,"Perlu Perbaikan")+COUNTIFS(ASM_Harian!$A$8:$A$507,$B$4,ASM_Harian!$B$8:$B$507,$A62,ASM_Harian!$AA$8:$AA$507,"Perlu Perbaikan")=1,"Perlu Perbaikan","Belum Diperiksa"))))</f>
        <v/>
      </c>
      <c r="O62" s="1" t="str">
        <f>IF($A62="","",IF(F62=0,"Belum ada laporan",IF(F62&gt;1,"Hapus/benahi laporan ganda",IF(COUNTIFS(Sales_Harian!$A$8:$A$507,$B$4,Sales_Harian!$B$8:$B$507,$A62,Sales_Harian!$AM$8:$AM$507,"&lt;&gt;OK")+COUNTIFS(SPV_Harian!$A$8:$A$507,$B$4,SPV_Harian!$B$8:$B$507,$A62,SPV_Harian!$AL$8:$AL$507,"&lt;&gt;OK")+COUNTIFS(ASM_Harian!$A$8:$A$507,$B$4,ASM_Harian!$B$8:$B$507,$A62,ASM_Harian!$AL$8:$AL$507,"&lt;&gt;OK")&gt;0,"Periksa validasi_data",IF(SUM(J62:K62)&gt;0,"Ada kegiatan terbuka",IF(N62="Perlu Perbaikan","Tindak lanjuti review",IF(G62="Draft","Kirim laporan",IF(N62="Belum Diperiksa","Menunggu pemeriksaan",""))))))))</f>
        <v/>
      </c>
    </row>
    <row r="63" spans="1:15" ht="24" customHeight="1">
      <c r="A63" s="1" t="str">
        <f>IF(AND(Master_PIC!A57&lt;&gt;"",Master_PIC!G57="Aktif",Master_PIC!C57&lt;&gt;"Manager"),Master_PIC!A57,"")</f>
        <v/>
      </c>
      <c r="B63" s="1" t="str">
        <f>IF($A63="","",IF(Master_PIC!B57="","",Master_PIC!B57))</f>
        <v/>
      </c>
      <c r="C63" s="1" t="str">
        <f>IF($A63="","",IF(Master_PIC!C57="","",Master_PIC!C57))</f>
        <v/>
      </c>
      <c r="D63" s="1" t="str">
        <f>IF($A63="","",IF(Master_PIC!D57="","",Master_PIC!D57))</f>
        <v/>
      </c>
      <c r="E63" s="1" t="str">
        <f>IF($A63="","",IF(Master_PIC!E57="","",Master_PIC!E57))</f>
        <v/>
      </c>
      <c r="F63" s="12" t="str">
        <f>IF($A63="","",COUNTIFS(Sales_Harian!$A$8:$A$507,$B$4,Sales_Harian!$B$8:$B$507,$A63)+COUNTIFS(SPV_Harian!$A$8:$A$507,$B$4,SPV_Harian!$B$8:$B$507,$A63)+COUNTIFS(ASM_Harian!$A$8:$A$507,$B$4,ASM_Harian!$B$8:$B$507,$A63))</f>
        <v/>
      </c>
      <c r="G63" s="12" t="str">
        <f>IF($A63="","",IF(F63=0,"Belum Lapor",IF(F63&gt;1,"Data Ganda",IF(COUNTIFS(Sales_Harian!$A$8:$A$507,$B$4,Sales_Harian!$B$8:$B$507,$A63,Sales_Harian!$Z$8:$Z$507,"Dikirim")+COUNTIFS(SPV_Harian!$A$8:$A$507,$B$4,SPV_Harian!$B$8:$B$507,$A63,SPV_Harian!$Y$8:$Y$507,"Dikirim")+COUNTIFS(ASM_Harian!$A$8:$A$507,$B$4,ASM_Harian!$B$8:$B$507,$A63,ASM_Harian!$Y$8:$Y$507,"Dikirim")=1,"Dikirim","Draft"))))</f>
        <v/>
      </c>
      <c r="H63" s="12" t="str">
        <f>IF(OR($A63="",F63=0),"",SUMIFS(Sales_Harian!$AF$8:$AF$507,Sales_Harian!$A$8:$A$507,$B$4,Sales_Harian!$B$8:$B$507,$A63)+SUMIFS(SPV_Harian!$AE$8:$AE$507,SPV_Harian!$A$8:$A$507,$B$4,SPV_Harian!$B$8:$B$507,$A63)+SUMIFS(ASM_Harian!$AE$8:$AE$507,ASM_Harian!$A$8:$A$507,$B$4,ASM_Harian!$B$8:$B$507,$A63))</f>
        <v/>
      </c>
      <c r="I63" s="12" t="str">
        <f>IF(OR($A63="",F63=0),"",SUMIFS(Sales_Harian!$AG$8:$AG$507,Sales_Harian!$A$8:$A$507,$B$4,Sales_Harian!$B$8:$B$507,$A63)+SUMIFS(SPV_Harian!$AF$8:$AF$507,SPV_Harian!$A$8:$A$507,$B$4,SPV_Harian!$B$8:$B$507,$A63)+SUMIFS(ASM_Harian!$AF$8:$AF$507,ASM_Harian!$A$8:$A$507,$B$4,ASM_Harian!$B$8:$B$507,$A63))</f>
        <v/>
      </c>
      <c r="J63" s="12" t="str">
        <f>IF(OR($A63="",F63=0),"",SUMIFS(Sales_Harian!$AH$8:$AH$507,Sales_Harian!$A$8:$A$507,$B$4,Sales_Harian!$B$8:$B$507,$A63)+SUMIFS(SPV_Harian!$AG$8:$AG$507,SPV_Harian!$A$8:$A$507,$B$4,SPV_Harian!$B$8:$B$507,$A63)+SUMIFS(ASM_Harian!$AG$8:$AG$507,ASM_Harian!$A$8:$A$507,$B$4,ASM_Harian!$B$8:$B$507,$A63))</f>
        <v/>
      </c>
      <c r="K63" s="12" t="str">
        <f>IF(OR($A63="",F63=0),"",SUMIFS(Sales_Harian!$AI$8:$AI$507,Sales_Harian!$A$8:$A$507,$B$4,Sales_Harian!$B$8:$B$507,$A63)+SUMIFS(SPV_Harian!$AH$8:$AH$507,SPV_Harian!$A$8:$A$507,$B$4,SPV_Harian!$B$8:$B$507,$A63)+SUMIFS(ASM_Harian!$AH$8:$AH$507,ASM_Harian!$A$8:$A$507,$B$4,ASM_Harian!$B$8:$B$507,$A63))</f>
        <v/>
      </c>
      <c r="L63" s="12" t="str">
        <f>IF(OR($A63="",F63=0),"",SUMIFS(Sales_Harian!$AK$8:$AK$507,Sales_Harian!$A$8:$A$507,$B$4,Sales_Harian!$B$8:$B$507,$A63)+SUMIFS(SPV_Harian!$AJ$8:$AJ$507,SPV_Harian!$A$8:$A$507,$B$4,SPV_Harian!$B$8:$B$507,$A63)+SUMIFS(ASM_Harian!$AJ$8:$AJ$507,ASM_Harian!$A$8:$A$507,$B$4,ASM_Harian!$B$8:$B$507,$A63))</f>
        <v/>
      </c>
      <c r="M63" s="13" t="str">
        <f t="shared" si="1"/>
        <v/>
      </c>
      <c r="N63" s="1" t="str">
        <f>IF($A63="","",IF(G63&lt;&gt;"Dikirim","",IF(COUNTIFS(Sales_Harian!$A$8:$A$507,$B$4,Sales_Harian!$B$8:$B$507,$A63,Sales_Harian!$AB$8:$AB$507,"Disetujui")+COUNTIFS(SPV_Harian!$A$8:$A$507,$B$4,SPV_Harian!$B$8:$B$507,$A63,SPV_Harian!$AA$8:$AA$507,"Disetujui")+COUNTIFS(ASM_Harian!$A$8:$A$507,$B$4,ASM_Harian!$B$8:$B$507,$A63,ASM_Harian!$AA$8:$AA$507,"Disetujui")=1,IF(COUNTIFS(Sales_Harian!$A$8:$A$507,$B$4,Sales_Harian!$B$8:$B$507,$A63,Sales_Harian!$AM$8:$AM$507,"&lt;&gt;OK")+COUNTIFS(SPV_Harian!$A$8:$A$507,$B$4,SPV_Harian!$B$8:$B$507,$A63,SPV_Harian!$AL$8:$AL$507,"&lt;&gt;OK")+COUNTIFS(ASM_Harian!$A$8:$A$507,$B$4,ASM_Harian!$B$8:$B$507,$A63,ASM_Harian!$AL$8:$AL$507,"&lt;&gt;OK")&gt;0,"Review belum valid","Disetujui"),IF(COUNTIFS(Sales_Harian!$A$8:$A$507,$B$4,Sales_Harian!$B$8:$B$507,$A63,Sales_Harian!$AB$8:$AB$507,"Perlu Perbaikan")+COUNTIFS(SPV_Harian!$A$8:$A$507,$B$4,SPV_Harian!$B$8:$B$507,$A63,SPV_Harian!$AA$8:$AA$507,"Perlu Perbaikan")+COUNTIFS(ASM_Harian!$A$8:$A$507,$B$4,ASM_Harian!$B$8:$B$507,$A63,ASM_Harian!$AA$8:$AA$507,"Perlu Perbaikan")=1,"Perlu Perbaikan","Belum Diperiksa"))))</f>
        <v/>
      </c>
      <c r="O63" s="1" t="str">
        <f>IF($A63="","",IF(F63=0,"Belum ada laporan",IF(F63&gt;1,"Hapus/benahi laporan ganda",IF(COUNTIFS(Sales_Harian!$A$8:$A$507,$B$4,Sales_Harian!$B$8:$B$507,$A63,Sales_Harian!$AM$8:$AM$507,"&lt;&gt;OK")+COUNTIFS(SPV_Harian!$A$8:$A$507,$B$4,SPV_Harian!$B$8:$B$507,$A63,SPV_Harian!$AL$8:$AL$507,"&lt;&gt;OK")+COUNTIFS(ASM_Harian!$A$8:$A$507,$B$4,ASM_Harian!$B$8:$B$507,$A63,ASM_Harian!$AL$8:$AL$507,"&lt;&gt;OK")&gt;0,"Periksa validasi_data",IF(SUM(J63:K63)&gt;0,"Ada kegiatan terbuka",IF(N63="Perlu Perbaikan","Tindak lanjuti review",IF(G63="Draft","Kirim laporan",IF(N63="Belum Diperiksa","Menunggu pemeriksaan",""))))))))</f>
        <v/>
      </c>
    </row>
    <row r="64" spans="1:15" ht="24" customHeight="1">
      <c r="A64" s="1" t="str">
        <f>IF(AND(Master_PIC!A58&lt;&gt;"",Master_PIC!G58="Aktif",Master_PIC!C58&lt;&gt;"Manager"),Master_PIC!A58,"")</f>
        <v/>
      </c>
      <c r="B64" s="1" t="str">
        <f>IF($A64="","",IF(Master_PIC!B58="","",Master_PIC!B58))</f>
        <v/>
      </c>
      <c r="C64" s="1" t="str">
        <f>IF($A64="","",IF(Master_PIC!C58="","",Master_PIC!C58))</f>
        <v/>
      </c>
      <c r="D64" s="1" t="str">
        <f>IF($A64="","",IF(Master_PIC!D58="","",Master_PIC!D58))</f>
        <v/>
      </c>
      <c r="E64" s="1" t="str">
        <f>IF($A64="","",IF(Master_PIC!E58="","",Master_PIC!E58))</f>
        <v/>
      </c>
      <c r="F64" s="12" t="str">
        <f>IF($A64="","",COUNTIFS(Sales_Harian!$A$8:$A$507,$B$4,Sales_Harian!$B$8:$B$507,$A64)+COUNTIFS(SPV_Harian!$A$8:$A$507,$B$4,SPV_Harian!$B$8:$B$507,$A64)+COUNTIFS(ASM_Harian!$A$8:$A$507,$B$4,ASM_Harian!$B$8:$B$507,$A64))</f>
        <v/>
      </c>
      <c r="G64" s="12" t="str">
        <f>IF($A64="","",IF(F64=0,"Belum Lapor",IF(F64&gt;1,"Data Ganda",IF(COUNTIFS(Sales_Harian!$A$8:$A$507,$B$4,Sales_Harian!$B$8:$B$507,$A64,Sales_Harian!$Z$8:$Z$507,"Dikirim")+COUNTIFS(SPV_Harian!$A$8:$A$507,$B$4,SPV_Harian!$B$8:$B$507,$A64,SPV_Harian!$Y$8:$Y$507,"Dikirim")+COUNTIFS(ASM_Harian!$A$8:$A$507,$B$4,ASM_Harian!$B$8:$B$507,$A64,ASM_Harian!$Y$8:$Y$507,"Dikirim")=1,"Dikirim","Draft"))))</f>
        <v/>
      </c>
      <c r="H64" s="12" t="str">
        <f>IF(OR($A64="",F64=0),"",SUMIFS(Sales_Harian!$AF$8:$AF$507,Sales_Harian!$A$8:$A$507,$B$4,Sales_Harian!$B$8:$B$507,$A64)+SUMIFS(SPV_Harian!$AE$8:$AE$507,SPV_Harian!$A$8:$A$507,$B$4,SPV_Harian!$B$8:$B$507,$A64)+SUMIFS(ASM_Harian!$AE$8:$AE$507,ASM_Harian!$A$8:$A$507,$B$4,ASM_Harian!$B$8:$B$507,$A64))</f>
        <v/>
      </c>
      <c r="I64" s="12" t="str">
        <f>IF(OR($A64="",F64=0),"",SUMIFS(Sales_Harian!$AG$8:$AG$507,Sales_Harian!$A$8:$A$507,$B$4,Sales_Harian!$B$8:$B$507,$A64)+SUMIFS(SPV_Harian!$AF$8:$AF$507,SPV_Harian!$A$8:$A$507,$B$4,SPV_Harian!$B$8:$B$507,$A64)+SUMIFS(ASM_Harian!$AF$8:$AF$507,ASM_Harian!$A$8:$A$507,$B$4,ASM_Harian!$B$8:$B$507,$A64))</f>
        <v/>
      </c>
      <c r="J64" s="12" t="str">
        <f>IF(OR($A64="",F64=0),"",SUMIFS(Sales_Harian!$AH$8:$AH$507,Sales_Harian!$A$8:$A$507,$B$4,Sales_Harian!$B$8:$B$507,$A64)+SUMIFS(SPV_Harian!$AG$8:$AG$507,SPV_Harian!$A$8:$A$507,$B$4,SPV_Harian!$B$8:$B$507,$A64)+SUMIFS(ASM_Harian!$AG$8:$AG$507,ASM_Harian!$A$8:$A$507,$B$4,ASM_Harian!$B$8:$B$507,$A64))</f>
        <v/>
      </c>
      <c r="K64" s="12" t="str">
        <f>IF(OR($A64="",F64=0),"",SUMIFS(Sales_Harian!$AI$8:$AI$507,Sales_Harian!$A$8:$A$507,$B$4,Sales_Harian!$B$8:$B$507,$A64)+SUMIFS(SPV_Harian!$AH$8:$AH$507,SPV_Harian!$A$8:$A$507,$B$4,SPV_Harian!$B$8:$B$507,$A64)+SUMIFS(ASM_Harian!$AH$8:$AH$507,ASM_Harian!$A$8:$A$507,$B$4,ASM_Harian!$B$8:$B$507,$A64))</f>
        <v/>
      </c>
      <c r="L64" s="12" t="str">
        <f>IF(OR($A64="",F64=0),"",SUMIFS(Sales_Harian!$AK$8:$AK$507,Sales_Harian!$A$8:$A$507,$B$4,Sales_Harian!$B$8:$B$507,$A64)+SUMIFS(SPV_Harian!$AJ$8:$AJ$507,SPV_Harian!$A$8:$A$507,$B$4,SPV_Harian!$B$8:$B$507,$A64)+SUMIFS(ASM_Harian!$AJ$8:$AJ$507,ASM_Harian!$A$8:$A$507,$B$4,ASM_Harian!$B$8:$B$507,$A64))</f>
        <v/>
      </c>
      <c r="M64" s="13" t="str">
        <f t="shared" si="1"/>
        <v/>
      </c>
      <c r="N64" s="1" t="str">
        <f>IF($A64="","",IF(G64&lt;&gt;"Dikirim","",IF(COUNTIFS(Sales_Harian!$A$8:$A$507,$B$4,Sales_Harian!$B$8:$B$507,$A64,Sales_Harian!$AB$8:$AB$507,"Disetujui")+COUNTIFS(SPV_Harian!$A$8:$A$507,$B$4,SPV_Harian!$B$8:$B$507,$A64,SPV_Harian!$AA$8:$AA$507,"Disetujui")+COUNTIFS(ASM_Harian!$A$8:$A$507,$B$4,ASM_Harian!$B$8:$B$507,$A64,ASM_Harian!$AA$8:$AA$507,"Disetujui")=1,IF(COUNTIFS(Sales_Harian!$A$8:$A$507,$B$4,Sales_Harian!$B$8:$B$507,$A64,Sales_Harian!$AM$8:$AM$507,"&lt;&gt;OK")+COUNTIFS(SPV_Harian!$A$8:$A$507,$B$4,SPV_Harian!$B$8:$B$507,$A64,SPV_Harian!$AL$8:$AL$507,"&lt;&gt;OK")+COUNTIFS(ASM_Harian!$A$8:$A$507,$B$4,ASM_Harian!$B$8:$B$507,$A64,ASM_Harian!$AL$8:$AL$507,"&lt;&gt;OK")&gt;0,"Review belum valid","Disetujui"),IF(COUNTIFS(Sales_Harian!$A$8:$A$507,$B$4,Sales_Harian!$B$8:$B$507,$A64,Sales_Harian!$AB$8:$AB$507,"Perlu Perbaikan")+COUNTIFS(SPV_Harian!$A$8:$A$507,$B$4,SPV_Harian!$B$8:$B$507,$A64,SPV_Harian!$AA$8:$AA$507,"Perlu Perbaikan")+COUNTIFS(ASM_Harian!$A$8:$A$507,$B$4,ASM_Harian!$B$8:$B$507,$A64,ASM_Harian!$AA$8:$AA$507,"Perlu Perbaikan")=1,"Perlu Perbaikan","Belum Diperiksa"))))</f>
        <v/>
      </c>
      <c r="O64" s="1" t="str">
        <f>IF($A64="","",IF(F64=0,"Belum ada laporan",IF(F64&gt;1,"Hapus/benahi laporan ganda",IF(COUNTIFS(Sales_Harian!$A$8:$A$507,$B$4,Sales_Harian!$B$8:$B$507,$A64,Sales_Harian!$AM$8:$AM$507,"&lt;&gt;OK")+COUNTIFS(SPV_Harian!$A$8:$A$507,$B$4,SPV_Harian!$B$8:$B$507,$A64,SPV_Harian!$AL$8:$AL$507,"&lt;&gt;OK")+COUNTIFS(ASM_Harian!$A$8:$A$507,$B$4,ASM_Harian!$B$8:$B$507,$A64,ASM_Harian!$AL$8:$AL$507,"&lt;&gt;OK")&gt;0,"Periksa validasi_data",IF(SUM(J64:K64)&gt;0,"Ada kegiatan terbuka",IF(N64="Perlu Perbaikan","Tindak lanjuti review",IF(G64="Draft","Kirim laporan",IF(N64="Belum Diperiksa","Menunggu pemeriksaan",""))))))))</f>
        <v/>
      </c>
    </row>
    <row r="65" spans="1:15" ht="24" customHeight="1">
      <c r="A65" s="1" t="str">
        <f>IF(AND(Master_PIC!A59&lt;&gt;"",Master_PIC!G59="Aktif",Master_PIC!C59&lt;&gt;"Manager"),Master_PIC!A59,"")</f>
        <v/>
      </c>
      <c r="B65" s="1" t="str">
        <f>IF($A65="","",IF(Master_PIC!B59="","",Master_PIC!B59))</f>
        <v/>
      </c>
      <c r="C65" s="1" t="str">
        <f>IF($A65="","",IF(Master_PIC!C59="","",Master_PIC!C59))</f>
        <v/>
      </c>
      <c r="D65" s="1" t="str">
        <f>IF($A65="","",IF(Master_PIC!D59="","",Master_PIC!D59))</f>
        <v/>
      </c>
      <c r="E65" s="1" t="str">
        <f>IF($A65="","",IF(Master_PIC!E59="","",Master_PIC!E59))</f>
        <v/>
      </c>
      <c r="F65" s="12" t="str">
        <f>IF($A65="","",COUNTIFS(Sales_Harian!$A$8:$A$507,$B$4,Sales_Harian!$B$8:$B$507,$A65)+COUNTIFS(SPV_Harian!$A$8:$A$507,$B$4,SPV_Harian!$B$8:$B$507,$A65)+COUNTIFS(ASM_Harian!$A$8:$A$507,$B$4,ASM_Harian!$B$8:$B$507,$A65))</f>
        <v/>
      </c>
      <c r="G65" s="12" t="str">
        <f>IF($A65="","",IF(F65=0,"Belum Lapor",IF(F65&gt;1,"Data Ganda",IF(COUNTIFS(Sales_Harian!$A$8:$A$507,$B$4,Sales_Harian!$B$8:$B$507,$A65,Sales_Harian!$Z$8:$Z$507,"Dikirim")+COUNTIFS(SPV_Harian!$A$8:$A$507,$B$4,SPV_Harian!$B$8:$B$507,$A65,SPV_Harian!$Y$8:$Y$507,"Dikirim")+COUNTIFS(ASM_Harian!$A$8:$A$507,$B$4,ASM_Harian!$B$8:$B$507,$A65,ASM_Harian!$Y$8:$Y$507,"Dikirim")=1,"Dikirim","Draft"))))</f>
        <v/>
      </c>
      <c r="H65" s="12" t="str">
        <f>IF(OR($A65="",F65=0),"",SUMIFS(Sales_Harian!$AF$8:$AF$507,Sales_Harian!$A$8:$A$507,$B$4,Sales_Harian!$B$8:$B$507,$A65)+SUMIFS(SPV_Harian!$AE$8:$AE$507,SPV_Harian!$A$8:$A$507,$B$4,SPV_Harian!$B$8:$B$507,$A65)+SUMIFS(ASM_Harian!$AE$8:$AE$507,ASM_Harian!$A$8:$A$507,$B$4,ASM_Harian!$B$8:$B$507,$A65))</f>
        <v/>
      </c>
      <c r="I65" s="12" t="str">
        <f>IF(OR($A65="",F65=0),"",SUMIFS(Sales_Harian!$AG$8:$AG$507,Sales_Harian!$A$8:$A$507,$B$4,Sales_Harian!$B$8:$B$507,$A65)+SUMIFS(SPV_Harian!$AF$8:$AF$507,SPV_Harian!$A$8:$A$507,$B$4,SPV_Harian!$B$8:$B$507,$A65)+SUMIFS(ASM_Harian!$AF$8:$AF$507,ASM_Harian!$A$8:$A$507,$B$4,ASM_Harian!$B$8:$B$507,$A65))</f>
        <v/>
      </c>
      <c r="J65" s="12" t="str">
        <f>IF(OR($A65="",F65=0),"",SUMIFS(Sales_Harian!$AH$8:$AH$507,Sales_Harian!$A$8:$A$507,$B$4,Sales_Harian!$B$8:$B$507,$A65)+SUMIFS(SPV_Harian!$AG$8:$AG$507,SPV_Harian!$A$8:$A$507,$B$4,SPV_Harian!$B$8:$B$507,$A65)+SUMIFS(ASM_Harian!$AG$8:$AG$507,ASM_Harian!$A$8:$A$507,$B$4,ASM_Harian!$B$8:$B$507,$A65))</f>
        <v/>
      </c>
      <c r="K65" s="12" t="str">
        <f>IF(OR($A65="",F65=0),"",SUMIFS(Sales_Harian!$AI$8:$AI$507,Sales_Harian!$A$8:$A$507,$B$4,Sales_Harian!$B$8:$B$507,$A65)+SUMIFS(SPV_Harian!$AH$8:$AH$507,SPV_Harian!$A$8:$A$507,$B$4,SPV_Harian!$B$8:$B$507,$A65)+SUMIFS(ASM_Harian!$AH$8:$AH$507,ASM_Harian!$A$8:$A$507,$B$4,ASM_Harian!$B$8:$B$507,$A65))</f>
        <v/>
      </c>
      <c r="L65" s="12" t="str">
        <f>IF(OR($A65="",F65=0),"",SUMIFS(Sales_Harian!$AK$8:$AK$507,Sales_Harian!$A$8:$A$507,$B$4,Sales_Harian!$B$8:$B$507,$A65)+SUMIFS(SPV_Harian!$AJ$8:$AJ$507,SPV_Harian!$A$8:$A$507,$B$4,SPV_Harian!$B$8:$B$507,$A65)+SUMIFS(ASM_Harian!$AJ$8:$AJ$507,ASM_Harian!$A$8:$A$507,$B$4,ASM_Harian!$B$8:$B$507,$A65))</f>
        <v/>
      </c>
      <c r="M65" s="13" t="str">
        <f t="shared" si="1"/>
        <v/>
      </c>
      <c r="N65" s="1" t="str">
        <f>IF($A65="","",IF(G65&lt;&gt;"Dikirim","",IF(COUNTIFS(Sales_Harian!$A$8:$A$507,$B$4,Sales_Harian!$B$8:$B$507,$A65,Sales_Harian!$AB$8:$AB$507,"Disetujui")+COUNTIFS(SPV_Harian!$A$8:$A$507,$B$4,SPV_Harian!$B$8:$B$507,$A65,SPV_Harian!$AA$8:$AA$507,"Disetujui")+COUNTIFS(ASM_Harian!$A$8:$A$507,$B$4,ASM_Harian!$B$8:$B$507,$A65,ASM_Harian!$AA$8:$AA$507,"Disetujui")=1,IF(COUNTIFS(Sales_Harian!$A$8:$A$507,$B$4,Sales_Harian!$B$8:$B$507,$A65,Sales_Harian!$AM$8:$AM$507,"&lt;&gt;OK")+COUNTIFS(SPV_Harian!$A$8:$A$507,$B$4,SPV_Harian!$B$8:$B$507,$A65,SPV_Harian!$AL$8:$AL$507,"&lt;&gt;OK")+COUNTIFS(ASM_Harian!$A$8:$A$507,$B$4,ASM_Harian!$B$8:$B$507,$A65,ASM_Harian!$AL$8:$AL$507,"&lt;&gt;OK")&gt;0,"Review belum valid","Disetujui"),IF(COUNTIFS(Sales_Harian!$A$8:$A$507,$B$4,Sales_Harian!$B$8:$B$507,$A65,Sales_Harian!$AB$8:$AB$507,"Perlu Perbaikan")+COUNTIFS(SPV_Harian!$A$8:$A$507,$B$4,SPV_Harian!$B$8:$B$507,$A65,SPV_Harian!$AA$8:$AA$507,"Perlu Perbaikan")+COUNTIFS(ASM_Harian!$A$8:$A$507,$B$4,ASM_Harian!$B$8:$B$507,$A65,ASM_Harian!$AA$8:$AA$507,"Perlu Perbaikan")=1,"Perlu Perbaikan","Belum Diperiksa"))))</f>
        <v/>
      </c>
      <c r="O65" s="1" t="str">
        <f>IF($A65="","",IF(F65=0,"Belum ada laporan",IF(F65&gt;1,"Hapus/benahi laporan ganda",IF(COUNTIFS(Sales_Harian!$A$8:$A$507,$B$4,Sales_Harian!$B$8:$B$507,$A65,Sales_Harian!$AM$8:$AM$507,"&lt;&gt;OK")+COUNTIFS(SPV_Harian!$A$8:$A$507,$B$4,SPV_Harian!$B$8:$B$507,$A65,SPV_Harian!$AL$8:$AL$507,"&lt;&gt;OK")+COUNTIFS(ASM_Harian!$A$8:$A$507,$B$4,ASM_Harian!$B$8:$B$507,$A65,ASM_Harian!$AL$8:$AL$507,"&lt;&gt;OK")&gt;0,"Periksa validasi_data",IF(SUM(J65:K65)&gt;0,"Ada kegiatan terbuka",IF(N65="Perlu Perbaikan","Tindak lanjuti review",IF(G65="Draft","Kirim laporan",IF(N65="Belum Diperiksa","Menunggu pemeriksaan",""))))))))</f>
        <v/>
      </c>
    </row>
    <row r="66" spans="1:15" ht="24" customHeight="1">
      <c r="A66" s="1" t="str">
        <f>IF(AND(Master_PIC!A60&lt;&gt;"",Master_PIC!G60="Aktif",Master_PIC!C60&lt;&gt;"Manager"),Master_PIC!A60,"")</f>
        <v/>
      </c>
      <c r="B66" s="1" t="str">
        <f>IF($A66="","",IF(Master_PIC!B60="","",Master_PIC!B60))</f>
        <v/>
      </c>
      <c r="C66" s="1" t="str">
        <f>IF($A66="","",IF(Master_PIC!C60="","",Master_PIC!C60))</f>
        <v/>
      </c>
      <c r="D66" s="1" t="str">
        <f>IF($A66="","",IF(Master_PIC!D60="","",Master_PIC!D60))</f>
        <v/>
      </c>
      <c r="E66" s="1" t="str">
        <f>IF($A66="","",IF(Master_PIC!E60="","",Master_PIC!E60))</f>
        <v/>
      </c>
      <c r="F66" s="12" t="str">
        <f>IF($A66="","",COUNTIFS(Sales_Harian!$A$8:$A$507,$B$4,Sales_Harian!$B$8:$B$507,$A66)+COUNTIFS(SPV_Harian!$A$8:$A$507,$B$4,SPV_Harian!$B$8:$B$507,$A66)+COUNTIFS(ASM_Harian!$A$8:$A$507,$B$4,ASM_Harian!$B$8:$B$507,$A66))</f>
        <v/>
      </c>
      <c r="G66" s="12" t="str">
        <f>IF($A66="","",IF(F66=0,"Belum Lapor",IF(F66&gt;1,"Data Ganda",IF(COUNTIFS(Sales_Harian!$A$8:$A$507,$B$4,Sales_Harian!$B$8:$B$507,$A66,Sales_Harian!$Z$8:$Z$507,"Dikirim")+COUNTIFS(SPV_Harian!$A$8:$A$507,$B$4,SPV_Harian!$B$8:$B$507,$A66,SPV_Harian!$Y$8:$Y$507,"Dikirim")+COUNTIFS(ASM_Harian!$A$8:$A$507,$B$4,ASM_Harian!$B$8:$B$507,$A66,ASM_Harian!$Y$8:$Y$507,"Dikirim")=1,"Dikirim","Draft"))))</f>
        <v/>
      </c>
      <c r="H66" s="12" t="str">
        <f>IF(OR($A66="",F66=0),"",SUMIFS(Sales_Harian!$AF$8:$AF$507,Sales_Harian!$A$8:$A$507,$B$4,Sales_Harian!$B$8:$B$507,$A66)+SUMIFS(SPV_Harian!$AE$8:$AE$507,SPV_Harian!$A$8:$A$507,$B$4,SPV_Harian!$B$8:$B$507,$A66)+SUMIFS(ASM_Harian!$AE$8:$AE$507,ASM_Harian!$A$8:$A$507,$B$4,ASM_Harian!$B$8:$B$507,$A66))</f>
        <v/>
      </c>
      <c r="I66" s="12" t="str">
        <f>IF(OR($A66="",F66=0),"",SUMIFS(Sales_Harian!$AG$8:$AG$507,Sales_Harian!$A$8:$A$507,$B$4,Sales_Harian!$B$8:$B$507,$A66)+SUMIFS(SPV_Harian!$AF$8:$AF$507,SPV_Harian!$A$8:$A$507,$B$4,SPV_Harian!$B$8:$B$507,$A66)+SUMIFS(ASM_Harian!$AF$8:$AF$507,ASM_Harian!$A$8:$A$507,$B$4,ASM_Harian!$B$8:$B$507,$A66))</f>
        <v/>
      </c>
      <c r="J66" s="12" t="str">
        <f>IF(OR($A66="",F66=0),"",SUMIFS(Sales_Harian!$AH$8:$AH$507,Sales_Harian!$A$8:$A$507,$B$4,Sales_Harian!$B$8:$B$507,$A66)+SUMIFS(SPV_Harian!$AG$8:$AG$507,SPV_Harian!$A$8:$A$507,$B$4,SPV_Harian!$B$8:$B$507,$A66)+SUMIFS(ASM_Harian!$AG$8:$AG$507,ASM_Harian!$A$8:$A$507,$B$4,ASM_Harian!$B$8:$B$507,$A66))</f>
        <v/>
      </c>
      <c r="K66" s="12" t="str">
        <f>IF(OR($A66="",F66=0),"",SUMIFS(Sales_Harian!$AI$8:$AI$507,Sales_Harian!$A$8:$A$507,$B$4,Sales_Harian!$B$8:$B$507,$A66)+SUMIFS(SPV_Harian!$AH$8:$AH$507,SPV_Harian!$A$8:$A$507,$B$4,SPV_Harian!$B$8:$B$507,$A66)+SUMIFS(ASM_Harian!$AH$8:$AH$507,ASM_Harian!$A$8:$A$507,$B$4,ASM_Harian!$B$8:$B$507,$A66))</f>
        <v/>
      </c>
      <c r="L66" s="12" t="str">
        <f>IF(OR($A66="",F66=0),"",SUMIFS(Sales_Harian!$AK$8:$AK$507,Sales_Harian!$A$8:$A$507,$B$4,Sales_Harian!$B$8:$B$507,$A66)+SUMIFS(SPV_Harian!$AJ$8:$AJ$507,SPV_Harian!$A$8:$A$507,$B$4,SPV_Harian!$B$8:$B$507,$A66)+SUMIFS(ASM_Harian!$AJ$8:$AJ$507,ASM_Harian!$A$8:$A$507,$B$4,ASM_Harian!$B$8:$B$507,$A66))</f>
        <v/>
      </c>
      <c r="M66" s="13" t="str">
        <f t="shared" si="1"/>
        <v/>
      </c>
      <c r="N66" s="1" t="str">
        <f>IF($A66="","",IF(G66&lt;&gt;"Dikirim","",IF(COUNTIFS(Sales_Harian!$A$8:$A$507,$B$4,Sales_Harian!$B$8:$B$507,$A66,Sales_Harian!$AB$8:$AB$507,"Disetujui")+COUNTIFS(SPV_Harian!$A$8:$A$507,$B$4,SPV_Harian!$B$8:$B$507,$A66,SPV_Harian!$AA$8:$AA$507,"Disetujui")+COUNTIFS(ASM_Harian!$A$8:$A$507,$B$4,ASM_Harian!$B$8:$B$507,$A66,ASM_Harian!$AA$8:$AA$507,"Disetujui")=1,IF(COUNTIFS(Sales_Harian!$A$8:$A$507,$B$4,Sales_Harian!$B$8:$B$507,$A66,Sales_Harian!$AM$8:$AM$507,"&lt;&gt;OK")+COUNTIFS(SPV_Harian!$A$8:$A$507,$B$4,SPV_Harian!$B$8:$B$507,$A66,SPV_Harian!$AL$8:$AL$507,"&lt;&gt;OK")+COUNTIFS(ASM_Harian!$A$8:$A$507,$B$4,ASM_Harian!$B$8:$B$507,$A66,ASM_Harian!$AL$8:$AL$507,"&lt;&gt;OK")&gt;0,"Review belum valid","Disetujui"),IF(COUNTIFS(Sales_Harian!$A$8:$A$507,$B$4,Sales_Harian!$B$8:$B$507,$A66,Sales_Harian!$AB$8:$AB$507,"Perlu Perbaikan")+COUNTIFS(SPV_Harian!$A$8:$A$507,$B$4,SPV_Harian!$B$8:$B$507,$A66,SPV_Harian!$AA$8:$AA$507,"Perlu Perbaikan")+COUNTIFS(ASM_Harian!$A$8:$A$507,$B$4,ASM_Harian!$B$8:$B$507,$A66,ASM_Harian!$AA$8:$AA$507,"Perlu Perbaikan")=1,"Perlu Perbaikan","Belum Diperiksa"))))</f>
        <v/>
      </c>
      <c r="O66" s="1" t="str">
        <f>IF($A66="","",IF(F66=0,"Belum ada laporan",IF(F66&gt;1,"Hapus/benahi laporan ganda",IF(COUNTIFS(Sales_Harian!$A$8:$A$507,$B$4,Sales_Harian!$B$8:$B$507,$A66,Sales_Harian!$AM$8:$AM$507,"&lt;&gt;OK")+COUNTIFS(SPV_Harian!$A$8:$A$507,$B$4,SPV_Harian!$B$8:$B$507,$A66,SPV_Harian!$AL$8:$AL$507,"&lt;&gt;OK")+COUNTIFS(ASM_Harian!$A$8:$A$507,$B$4,ASM_Harian!$B$8:$B$507,$A66,ASM_Harian!$AL$8:$AL$507,"&lt;&gt;OK")&gt;0,"Periksa validasi_data",IF(SUM(J66:K66)&gt;0,"Ada kegiatan terbuka",IF(N66="Perlu Perbaikan","Tindak lanjuti review",IF(G66="Draft","Kirim laporan",IF(N66="Belum Diperiksa","Menunggu pemeriksaan",""))))))))</f>
        <v/>
      </c>
    </row>
    <row r="67" spans="1:15" ht="24" customHeight="1">
      <c r="A67" s="1" t="str">
        <f>IF(AND(Master_PIC!A61&lt;&gt;"",Master_PIC!G61="Aktif",Master_PIC!C61&lt;&gt;"Manager"),Master_PIC!A61,"")</f>
        <v/>
      </c>
      <c r="B67" s="1" t="str">
        <f>IF($A67="","",IF(Master_PIC!B61="","",Master_PIC!B61))</f>
        <v/>
      </c>
      <c r="C67" s="1" t="str">
        <f>IF($A67="","",IF(Master_PIC!C61="","",Master_PIC!C61))</f>
        <v/>
      </c>
      <c r="D67" s="1" t="str">
        <f>IF($A67="","",IF(Master_PIC!D61="","",Master_PIC!D61))</f>
        <v/>
      </c>
      <c r="E67" s="1" t="str">
        <f>IF($A67="","",IF(Master_PIC!E61="","",Master_PIC!E61))</f>
        <v/>
      </c>
      <c r="F67" s="12" t="str">
        <f>IF($A67="","",COUNTIFS(Sales_Harian!$A$8:$A$507,$B$4,Sales_Harian!$B$8:$B$507,$A67)+COUNTIFS(SPV_Harian!$A$8:$A$507,$B$4,SPV_Harian!$B$8:$B$507,$A67)+COUNTIFS(ASM_Harian!$A$8:$A$507,$B$4,ASM_Harian!$B$8:$B$507,$A67))</f>
        <v/>
      </c>
      <c r="G67" s="12" t="str">
        <f>IF($A67="","",IF(F67=0,"Belum Lapor",IF(F67&gt;1,"Data Ganda",IF(COUNTIFS(Sales_Harian!$A$8:$A$507,$B$4,Sales_Harian!$B$8:$B$507,$A67,Sales_Harian!$Z$8:$Z$507,"Dikirim")+COUNTIFS(SPV_Harian!$A$8:$A$507,$B$4,SPV_Harian!$B$8:$B$507,$A67,SPV_Harian!$Y$8:$Y$507,"Dikirim")+COUNTIFS(ASM_Harian!$A$8:$A$507,$B$4,ASM_Harian!$B$8:$B$507,$A67,ASM_Harian!$Y$8:$Y$507,"Dikirim")=1,"Dikirim","Draft"))))</f>
        <v/>
      </c>
      <c r="H67" s="12" t="str">
        <f>IF(OR($A67="",F67=0),"",SUMIFS(Sales_Harian!$AF$8:$AF$507,Sales_Harian!$A$8:$A$507,$B$4,Sales_Harian!$B$8:$B$507,$A67)+SUMIFS(SPV_Harian!$AE$8:$AE$507,SPV_Harian!$A$8:$A$507,$B$4,SPV_Harian!$B$8:$B$507,$A67)+SUMIFS(ASM_Harian!$AE$8:$AE$507,ASM_Harian!$A$8:$A$507,$B$4,ASM_Harian!$B$8:$B$507,$A67))</f>
        <v/>
      </c>
      <c r="I67" s="12" t="str">
        <f>IF(OR($A67="",F67=0),"",SUMIFS(Sales_Harian!$AG$8:$AG$507,Sales_Harian!$A$8:$A$507,$B$4,Sales_Harian!$B$8:$B$507,$A67)+SUMIFS(SPV_Harian!$AF$8:$AF$507,SPV_Harian!$A$8:$A$507,$B$4,SPV_Harian!$B$8:$B$507,$A67)+SUMIFS(ASM_Harian!$AF$8:$AF$507,ASM_Harian!$A$8:$A$507,$B$4,ASM_Harian!$B$8:$B$507,$A67))</f>
        <v/>
      </c>
      <c r="J67" s="12" t="str">
        <f>IF(OR($A67="",F67=0),"",SUMIFS(Sales_Harian!$AH$8:$AH$507,Sales_Harian!$A$8:$A$507,$B$4,Sales_Harian!$B$8:$B$507,$A67)+SUMIFS(SPV_Harian!$AG$8:$AG$507,SPV_Harian!$A$8:$A$507,$B$4,SPV_Harian!$B$8:$B$507,$A67)+SUMIFS(ASM_Harian!$AG$8:$AG$507,ASM_Harian!$A$8:$A$507,$B$4,ASM_Harian!$B$8:$B$507,$A67))</f>
        <v/>
      </c>
      <c r="K67" s="12" t="str">
        <f>IF(OR($A67="",F67=0),"",SUMIFS(Sales_Harian!$AI$8:$AI$507,Sales_Harian!$A$8:$A$507,$B$4,Sales_Harian!$B$8:$B$507,$A67)+SUMIFS(SPV_Harian!$AH$8:$AH$507,SPV_Harian!$A$8:$A$507,$B$4,SPV_Harian!$B$8:$B$507,$A67)+SUMIFS(ASM_Harian!$AH$8:$AH$507,ASM_Harian!$A$8:$A$507,$B$4,ASM_Harian!$B$8:$B$507,$A67))</f>
        <v/>
      </c>
      <c r="L67" s="12" t="str">
        <f>IF(OR($A67="",F67=0),"",SUMIFS(Sales_Harian!$AK$8:$AK$507,Sales_Harian!$A$8:$A$507,$B$4,Sales_Harian!$B$8:$B$507,$A67)+SUMIFS(SPV_Harian!$AJ$8:$AJ$507,SPV_Harian!$A$8:$A$507,$B$4,SPV_Harian!$B$8:$B$507,$A67)+SUMIFS(ASM_Harian!$AJ$8:$AJ$507,ASM_Harian!$A$8:$A$507,$B$4,ASM_Harian!$B$8:$B$507,$A67))</f>
        <v/>
      </c>
      <c r="M67" s="13" t="str">
        <f t="shared" si="1"/>
        <v/>
      </c>
      <c r="N67" s="1" t="str">
        <f>IF($A67="","",IF(G67&lt;&gt;"Dikirim","",IF(COUNTIFS(Sales_Harian!$A$8:$A$507,$B$4,Sales_Harian!$B$8:$B$507,$A67,Sales_Harian!$AB$8:$AB$507,"Disetujui")+COUNTIFS(SPV_Harian!$A$8:$A$507,$B$4,SPV_Harian!$B$8:$B$507,$A67,SPV_Harian!$AA$8:$AA$507,"Disetujui")+COUNTIFS(ASM_Harian!$A$8:$A$507,$B$4,ASM_Harian!$B$8:$B$507,$A67,ASM_Harian!$AA$8:$AA$507,"Disetujui")=1,IF(COUNTIFS(Sales_Harian!$A$8:$A$507,$B$4,Sales_Harian!$B$8:$B$507,$A67,Sales_Harian!$AM$8:$AM$507,"&lt;&gt;OK")+COUNTIFS(SPV_Harian!$A$8:$A$507,$B$4,SPV_Harian!$B$8:$B$507,$A67,SPV_Harian!$AL$8:$AL$507,"&lt;&gt;OK")+COUNTIFS(ASM_Harian!$A$8:$A$507,$B$4,ASM_Harian!$B$8:$B$507,$A67,ASM_Harian!$AL$8:$AL$507,"&lt;&gt;OK")&gt;0,"Review belum valid","Disetujui"),IF(COUNTIFS(Sales_Harian!$A$8:$A$507,$B$4,Sales_Harian!$B$8:$B$507,$A67,Sales_Harian!$AB$8:$AB$507,"Perlu Perbaikan")+COUNTIFS(SPV_Harian!$A$8:$A$507,$B$4,SPV_Harian!$B$8:$B$507,$A67,SPV_Harian!$AA$8:$AA$507,"Perlu Perbaikan")+COUNTIFS(ASM_Harian!$A$8:$A$507,$B$4,ASM_Harian!$B$8:$B$507,$A67,ASM_Harian!$AA$8:$AA$507,"Perlu Perbaikan")=1,"Perlu Perbaikan","Belum Diperiksa"))))</f>
        <v/>
      </c>
      <c r="O67" s="1" t="str">
        <f>IF($A67="","",IF(F67=0,"Belum ada laporan",IF(F67&gt;1,"Hapus/benahi laporan ganda",IF(COUNTIFS(Sales_Harian!$A$8:$A$507,$B$4,Sales_Harian!$B$8:$B$507,$A67,Sales_Harian!$AM$8:$AM$507,"&lt;&gt;OK")+COUNTIFS(SPV_Harian!$A$8:$A$507,$B$4,SPV_Harian!$B$8:$B$507,$A67,SPV_Harian!$AL$8:$AL$507,"&lt;&gt;OK")+COUNTIFS(ASM_Harian!$A$8:$A$507,$B$4,ASM_Harian!$B$8:$B$507,$A67,ASM_Harian!$AL$8:$AL$507,"&lt;&gt;OK")&gt;0,"Periksa validasi_data",IF(SUM(J67:K67)&gt;0,"Ada kegiatan terbuka",IF(N67="Perlu Perbaikan","Tindak lanjuti review",IF(G67="Draft","Kirim laporan",IF(N67="Belum Diperiksa","Menunggu pemeriksaan",""))))))))</f>
        <v/>
      </c>
    </row>
    <row r="68" spans="1:15" ht="24" customHeight="1">
      <c r="A68" s="1" t="str">
        <f>IF(AND(Master_PIC!A62&lt;&gt;"",Master_PIC!G62="Aktif",Master_PIC!C62&lt;&gt;"Manager"),Master_PIC!A62,"")</f>
        <v/>
      </c>
      <c r="B68" s="1" t="str">
        <f>IF($A68="","",IF(Master_PIC!B62="","",Master_PIC!B62))</f>
        <v/>
      </c>
      <c r="C68" s="1" t="str">
        <f>IF($A68="","",IF(Master_PIC!C62="","",Master_PIC!C62))</f>
        <v/>
      </c>
      <c r="D68" s="1" t="str">
        <f>IF($A68="","",IF(Master_PIC!D62="","",Master_PIC!D62))</f>
        <v/>
      </c>
      <c r="E68" s="1" t="str">
        <f>IF($A68="","",IF(Master_PIC!E62="","",Master_PIC!E62))</f>
        <v/>
      </c>
      <c r="F68" s="12" t="str">
        <f>IF($A68="","",COUNTIFS(Sales_Harian!$A$8:$A$507,$B$4,Sales_Harian!$B$8:$B$507,$A68)+COUNTIFS(SPV_Harian!$A$8:$A$507,$B$4,SPV_Harian!$B$8:$B$507,$A68)+COUNTIFS(ASM_Harian!$A$8:$A$507,$B$4,ASM_Harian!$B$8:$B$507,$A68))</f>
        <v/>
      </c>
      <c r="G68" s="12" t="str">
        <f>IF($A68="","",IF(F68=0,"Belum Lapor",IF(F68&gt;1,"Data Ganda",IF(COUNTIFS(Sales_Harian!$A$8:$A$507,$B$4,Sales_Harian!$B$8:$B$507,$A68,Sales_Harian!$Z$8:$Z$507,"Dikirim")+COUNTIFS(SPV_Harian!$A$8:$A$507,$B$4,SPV_Harian!$B$8:$B$507,$A68,SPV_Harian!$Y$8:$Y$507,"Dikirim")+COUNTIFS(ASM_Harian!$A$8:$A$507,$B$4,ASM_Harian!$B$8:$B$507,$A68,ASM_Harian!$Y$8:$Y$507,"Dikirim")=1,"Dikirim","Draft"))))</f>
        <v/>
      </c>
      <c r="H68" s="12" t="str">
        <f>IF(OR($A68="",F68=0),"",SUMIFS(Sales_Harian!$AF$8:$AF$507,Sales_Harian!$A$8:$A$507,$B$4,Sales_Harian!$B$8:$B$507,$A68)+SUMIFS(SPV_Harian!$AE$8:$AE$507,SPV_Harian!$A$8:$A$507,$B$4,SPV_Harian!$B$8:$B$507,$A68)+SUMIFS(ASM_Harian!$AE$8:$AE$507,ASM_Harian!$A$8:$A$507,$B$4,ASM_Harian!$B$8:$B$507,$A68))</f>
        <v/>
      </c>
      <c r="I68" s="12" t="str">
        <f>IF(OR($A68="",F68=0),"",SUMIFS(Sales_Harian!$AG$8:$AG$507,Sales_Harian!$A$8:$A$507,$B$4,Sales_Harian!$B$8:$B$507,$A68)+SUMIFS(SPV_Harian!$AF$8:$AF$507,SPV_Harian!$A$8:$A$507,$B$4,SPV_Harian!$B$8:$B$507,$A68)+SUMIFS(ASM_Harian!$AF$8:$AF$507,ASM_Harian!$A$8:$A$507,$B$4,ASM_Harian!$B$8:$B$507,$A68))</f>
        <v/>
      </c>
      <c r="J68" s="12" t="str">
        <f>IF(OR($A68="",F68=0),"",SUMIFS(Sales_Harian!$AH$8:$AH$507,Sales_Harian!$A$8:$A$507,$B$4,Sales_Harian!$B$8:$B$507,$A68)+SUMIFS(SPV_Harian!$AG$8:$AG$507,SPV_Harian!$A$8:$A$507,$B$4,SPV_Harian!$B$8:$B$507,$A68)+SUMIFS(ASM_Harian!$AG$8:$AG$507,ASM_Harian!$A$8:$A$507,$B$4,ASM_Harian!$B$8:$B$507,$A68))</f>
        <v/>
      </c>
      <c r="K68" s="12" t="str">
        <f>IF(OR($A68="",F68=0),"",SUMIFS(Sales_Harian!$AI$8:$AI$507,Sales_Harian!$A$8:$A$507,$B$4,Sales_Harian!$B$8:$B$507,$A68)+SUMIFS(SPV_Harian!$AH$8:$AH$507,SPV_Harian!$A$8:$A$507,$B$4,SPV_Harian!$B$8:$B$507,$A68)+SUMIFS(ASM_Harian!$AH$8:$AH$507,ASM_Harian!$A$8:$A$507,$B$4,ASM_Harian!$B$8:$B$507,$A68))</f>
        <v/>
      </c>
      <c r="L68" s="12" t="str">
        <f>IF(OR($A68="",F68=0),"",SUMIFS(Sales_Harian!$AK$8:$AK$507,Sales_Harian!$A$8:$A$507,$B$4,Sales_Harian!$B$8:$B$507,$A68)+SUMIFS(SPV_Harian!$AJ$8:$AJ$507,SPV_Harian!$A$8:$A$507,$B$4,SPV_Harian!$B$8:$B$507,$A68)+SUMIFS(ASM_Harian!$AJ$8:$AJ$507,ASM_Harian!$A$8:$A$507,$B$4,ASM_Harian!$B$8:$B$507,$A68))</f>
        <v/>
      </c>
      <c r="M68" s="13" t="str">
        <f t="shared" si="1"/>
        <v/>
      </c>
      <c r="N68" s="1" t="str">
        <f>IF($A68="","",IF(G68&lt;&gt;"Dikirim","",IF(COUNTIFS(Sales_Harian!$A$8:$A$507,$B$4,Sales_Harian!$B$8:$B$507,$A68,Sales_Harian!$AB$8:$AB$507,"Disetujui")+COUNTIFS(SPV_Harian!$A$8:$A$507,$B$4,SPV_Harian!$B$8:$B$507,$A68,SPV_Harian!$AA$8:$AA$507,"Disetujui")+COUNTIFS(ASM_Harian!$A$8:$A$507,$B$4,ASM_Harian!$B$8:$B$507,$A68,ASM_Harian!$AA$8:$AA$507,"Disetujui")=1,IF(COUNTIFS(Sales_Harian!$A$8:$A$507,$B$4,Sales_Harian!$B$8:$B$507,$A68,Sales_Harian!$AM$8:$AM$507,"&lt;&gt;OK")+COUNTIFS(SPV_Harian!$A$8:$A$507,$B$4,SPV_Harian!$B$8:$B$507,$A68,SPV_Harian!$AL$8:$AL$507,"&lt;&gt;OK")+COUNTIFS(ASM_Harian!$A$8:$A$507,$B$4,ASM_Harian!$B$8:$B$507,$A68,ASM_Harian!$AL$8:$AL$507,"&lt;&gt;OK")&gt;0,"Review belum valid","Disetujui"),IF(COUNTIFS(Sales_Harian!$A$8:$A$507,$B$4,Sales_Harian!$B$8:$B$507,$A68,Sales_Harian!$AB$8:$AB$507,"Perlu Perbaikan")+COUNTIFS(SPV_Harian!$A$8:$A$507,$B$4,SPV_Harian!$B$8:$B$507,$A68,SPV_Harian!$AA$8:$AA$507,"Perlu Perbaikan")+COUNTIFS(ASM_Harian!$A$8:$A$507,$B$4,ASM_Harian!$B$8:$B$507,$A68,ASM_Harian!$AA$8:$AA$507,"Perlu Perbaikan")=1,"Perlu Perbaikan","Belum Diperiksa"))))</f>
        <v/>
      </c>
      <c r="O68" s="1" t="str">
        <f>IF($A68="","",IF(F68=0,"Belum ada laporan",IF(F68&gt;1,"Hapus/benahi laporan ganda",IF(COUNTIFS(Sales_Harian!$A$8:$A$507,$B$4,Sales_Harian!$B$8:$B$507,$A68,Sales_Harian!$AM$8:$AM$507,"&lt;&gt;OK")+COUNTIFS(SPV_Harian!$A$8:$A$507,$B$4,SPV_Harian!$B$8:$B$507,$A68,SPV_Harian!$AL$8:$AL$507,"&lt;&gt;OK")+COUNTIFS(ASM_Harian!$A$8:$A$507,$B$4,ASM_Harian!$B$8:$B$507,$A68,ASM_Harian!$AL$8:$AL$507,"&lt;&gt;OK")&gt;0,"Periksa validasi_data",IF(SUM(J68:K68)&gt;0,"Ada kegiatan terbuka",IF(N68="Perlu Perbaikan","Tindak lanjuti review",IF(G68="Draft","Kirim laporan",IF(N68="Belum Diperiksa","Menunggu pemeriksaan",""))))))))</f>
        <v/>
      </c>
    </row>
    <row r="69" spans="1:15" ht="24" customHeight="1">
      <c r="A69" s="1" t="str">
        <f>IF(AND(Master_PIC!A63&lt;&gt;"",Master_PIC!G63="Aktif",Master_PIC!C63&lt;&gt;"Manager"),Master_PIC!A63,"")</f>
        <v/>
      </c>
      <c r="B69" s="1" t="str">
        <f>IF($A69="","",IF(Master_PIC!B63="","",Master_PIC!B63))</f>
        <v/>
      </c>
      <c r="C69" s="1" t="str">
        <f>IF($A69="","",IF(Master_PIC!C63="","",Master_PIC!C63))</f>
        <v/>
      </c>
      <c r="D69" s="1" t="str">
        <f>IF($A69="","",IF(Master_PIC!D63="","",Master_PIC!D63))</f>
        <v/>
      </c>
      <c r="E69" s="1" t="str">
        <f>IF($A69="","",IF(Master_PIC!E63="","",Master_PIC!E63))</f>
        <v/>
      </c>
      <c r="F69" s="12" t="str">
        <f>IF($A69="","",COUNTIFS(Sales_Harian!$A$8:$A$507,$B$4,Sales_Harian!$B$8:$B$507,$A69)+COUNTIFS(SPV_Harian!$A$8:$A$507,$B$4,SPV_Harian!$B$8:$B$507,$A69)+COUNTIFS(ASM_Harian!$A$8:$A$507,$B$4,ASM_Harian!$B$8:$B$507,$A69))</f>
        <v/>
      </c>
      <c r="G69" s="12" t="str">
        <f>IF($A69="","",IF(F69=0,"Belum Lapor",IF(F69&gt;1,"Data Ganda",IF(COUNTIFS(Sales_Harian!$A$8:$A$507,$B$4,Sales_Harian!$B$8:$B$507,$A69,Sales_Harian!$Z$8:$Z$507,"Dikirim")+COUNTIFS(SPV_Harian!$A$8:$A$507,$B$4,SPV_Harian!$B$8:$B$507,$A69,SPV_Harian!$Y$8:$Y$507,"Dikirim")+COUNTIFS(ASM_Harian!$A$8:$A$507,$B$4,ASM_Harian!$B$8:$B$507,$A69,ASM_Harian!$Y$8:$Y$507,"Dikirim")=1,"Dikirim","Draft"))))</f>
        <v/>
      </c>
      <c r="H69" s="12" t="str">
        <f>IF(OR($A69="",F69=0),"",SUMIFS(Sales_Harian!$AF$8:$AF$507,Sales_Harian!$A$8:$A$507,$B$4,Sales_Harian!$B$8:$B$507,$A69)+SUMIFS(SPV_Harian!$AE$8:$AE$507,SPV_Harian!$A$8:$A$507,$B$4,SPV_Harian!$B$8:$B$507,$A69)+SUMIFS(ASM_Harian!$AE$8:$AE$507,ASM_Harian!$A$8:$A$507,$B$4,ASM_Harian!$B$8:$B$507,$A69))</f>
        <v/>
      </c>
      <c r="I69" s="12" t="str">
        <f>IF(OR($A69="",F69=0),"",SUMIFS(Sales_Harian!$AG$8:$AG$507,Sales_Harian!$A$8:$A$507,$B$4,Sales_Harian!$B$8:$B$507,$A69)+SUMIFS(SPV_Harian!$AF$8:$AF$507,SPV_Harian!$A$8:$A$507,$B$4,SPV_Harian!$B$8:$B$507,$A69)+SUMIFS(ASM_Harian!$AF$8:$AF$507,ASM_Harian!$A$8:$A$507,$B$4,ASM_Harian!$B$8:$B$507,$A69))</f>
        <v/>
      </c>
      <c r="J69" s="12" t="str">
        <f>IF(OR($A69="",F69=0),"",SUMIFS(Sales_Harian!$AH$8:$AH$507,Sales_Harian!$A$8:$A$507,$B$4,Sales_Harian!$B$8:$B$507,$A69)+SUMIFS(SPV_Harian!$AG$8:$AG$507,SPV_Harian!$A$8:$A$507,$B$4,SPV_Harian!$B$8:$B$507,$A69)+SUMIFS(ASM_Harian!$AG$8:$AG$507,ASM_Harian!$A$8:$A$507,$B$4,ASM_Harian!$B$8:$B$507,$A69))</f>
        <v/>
      </c>
      <c r="K69" s="12" t="str">
        <f>IF(OR($A69="",F69=0),"",SUMIFS(Sales_Harian!$AI$8:$AI$507,Sales_Harian!$A$8:$A$507,$B$4,Sales_Harian!$B$8:$B$507,$A69)+SUMIFS(SPV_Harian!$AH$8:$AH$507,SPV_Harian!$A$8:$A$507,$B$4,SPV_Harian!$B$8:$B$507,$A69)+SUMIFS(ASM_Harian!$AH$8:$AH$507,ASM_Harian!$A$8:$A$507,$B$4,ASM_Harian!$B$8:$B$507,$A69))</f>
        <v/>
      </c>
      <c r="L69" s="12" t="str">
        <f>IF(OR($A69="",F69=0),"",SUMIFS(Sales_Harian!$AK$8:$AK$507,Sales_Harian!$A$8:$A$507,$B$4,Sales_Harian!$B$8:$B$507,$A69)+SUMIFS(SPV_Harian!$AJ$8:$AJ$507,SPV_Harian!$A$8:$A$507,$B$4,SPV_Harian!$B$8:$B$507,$A69)+SUMIFS(ASM_Harian!$AJ$8:$AJ$507,ASM_Harian!$A$8:$A$507,$B$4,ASM_Harian!$B$8:$B$507,$A69))</f>
        <v/>
      </c>
      <c r="M69" s="13" t="str">
        <f t="shared" si="1"/>
        <v/>
      </c>
      <c r="N69" s="1" t="str">
        <f>IF($A69="","",IF(G69&lt;&gt;"Dikirim","",IF(COUNTIFS(Sales_Harian!$A$8:$A$507,$B$4,Sales_Harian!$B$8:$B$507,$A69,Sales_Harian!$AB$8:$AB$507,"Disetujui")+COUNTIFS(SPV_Harian!$A$8:$A$507,$B$4,SPV_Harian!$B$8:$B$507,$A69,SPV_Harian!$AA$8:$AA$507,"Disetujui")+COUNTIFS(ASM_Harian!$A$8:$A$507,$B$4,ASM_Harian!$B$8:$B$507,$A69,ASM_Harian!$AA$8:$AA$507,"Disetujui")=1,IF(COUNTIFS(Sales_Harian!$A$8:$A$507,$B$4,Sales_Harian!$B$8:$B$507,$A69,Sales_Harian!$AM$8:$AM$507,"&lt;&gt;OK")+COUNTIFS(SPV_Harian!$A$8:$A$507,$B$4,SPV_Harian!$B$8:$B$507,$A69,SPV_Harian!$AL$8:$AL$507,"&lt;&gt;OK")+COUNTIFS(ASM_Harian!$A$8:$A$507,$B$4,ASM_Harian!$B$8:$B$507,$A69,ASM_Harian!$AL$8:$AL$507,"&lt;&gt;OK")&gt;0,"Review belum valid","Disetujui"),IF(COUNTIFS(Sales_Harian!$A$8:$A$507,$B$4,Sales_Harian!$B$8:$B$507,$A69,Sales_Harian!$AB$8:$AB$507,"Perlu Perbaikan")+COUNTIFS(SPV_Harian!$A$8:$A$507,$B$4,SPV_Harian!$B$8:$B$507,$A69,SPV_Harian!$AA$8:$AA$507,"Perlu Perbaikan")+COUNTIFS(ASM_Harian!$A$8:$A$507,$B$4,ASM_Harian!$B$8:$B$507,$A69,ASM_Harian!$AA$8:$AA$507,"Perlu Perbaikan")=1,"Perlu Perbaikan","Belum Diperiksa"))))</f>
        <v/>
      </c>
      <c r="O69" s="1" t="str">
        <f>IF($A69="","",IF(F69=0,"Belum ada laporan",IF(F69&gt;1,"Hapus/benahi laporan ganda",IF(COUNTIFS(Sales_Harian!$A$8:$A$507,$B$4,Sales_Harian!$B$8:$B$507,$A69,Sales_Harian!$AM$8:$AM$507,"&lt;&gt;OK")+COUNTIFS(SPV_Harian!$A$8:$A$507,$B$4,SPV_Harian!$B$8:$B$507,$A69,SPV_Harian!$AL$8:$AL$507,"&lt;&gt;OK")+COUNTIFS(ASM_Harian!$A$8:$A$507,$B$4,ASM_Harian!$B$8:$B$507,$A69,ASM_Harian!$AL$8:$AL$507,"&lt;&gt;OK")&gt;0,"Periksa validasi_data",IF(SUM(J69:K69)&gt;0,"Ada kegiatan terbuka",IF(N69="Perlu Perbaikan","Tindak lanjuti review",IF(G69="Draft","Kirim laporan",IF(N69="Belum Diperiksa","Menunggu pemeriksaan",""))))))))</f>
        <v/>
      </c>
    </row>
    <row r="70" spans="1:15" ht="24" customHeight="1">
      <c r="A70" s="1" t="str">
        <f>IF(AND(Master_PIC!A64&lt;&gt;"",Master_PIC!G64="Aktif",Master_PIC!C64&lt;&gt;"Manager"),Master_PIC!A64,"")</f>
        <v/>
      </c>
      <c r="B70" s="1" t="str">
        <f>IF($A70="","",IF(Master_PIC!B64="","",Master_PIC!B64))</f>
        <v/>
      </c>
      <c r="C70" s="1" t="str">
        <f>IF($A70="","",IF(Master_PIC!C64="","",Master_PIC!C64))</f>
        <v/>
      </c>
      <c r="D70" s="1" t="str">
        <f>IF($A70="","",IF(Master_PIC!D64="","",Master_PIC!D64))</f>
        <v/>
      </c>
      <c r="E70" s="1" t="str">
        <f>IF($A70="","",IF(Master_PIC!E64="","",Master_PIC!E64))</f>
        <v/>
      </c>
      <c r="F70" s="12" t="str">
        <f>IF($A70="","",COUNTIFS(Sales_Harian!$A$8:$A$507,$B$4,Sales_Harian!$B$8:$B$507,$A70)+COUNTIFS(SPV_Harian!$A$8:$A$507,$B$4,SPV_Harian!$B$8:$B$507,$A70)+COUNTIFS(ASM_Harian!$A$8:$A$507,$B$4,ASM_Harian!$B$8:$B$507,$A70))</f>
        <v/>
      </c>
      <c r="G70" s="12" t="str">
        <f>IF($A70="","",IF(F70=0,"Belum Lapor",IF(F70&gt;1,"Data Ganda",IF(COUNTIFS(Sales_Harian!$A$8:$A$507,$B$4,Sales_Harian!$B$8:$B$507,$A70,Sales_Harian!$Z$8:$Z$507,"Dikirim")+COUNTIFS(SPV_Harian!$A$8:$A$507,$B$4,SPV_Harian!$B$8:$B$507,$A70,SPV_Harian!$Y$8:$Y$507,"Dikirim")+COUNTIFS(ASM_Harian!$A$8:$A$507,$B$4,ASM_Harian!$B$8:$B$507,$A70,ASM_Harian!$Y$8:$Y$507,"Dikirim")=1,"Dikirim","Draft"))))</f>
        <v/>
      </c>
      <c r="H70" s="12" t="str">
        <f>IF(OR($A70="",F70=0),"",SUMIFS(Sales_Harian!$AF$8:$AF$507,Sales_Harian!$A$8:$A$507,$B$4,Sales_Harian!$B$8:$B$507,$A70)+SUMIFS(SPV_Harian!$AE$8:$AE$507,SPV_Harian!$A$8:$A$507,$B$4,SPV_Harian!$B$8:$B$507,$A70)+SUMIFS(ASM_Harian!$AE$8:$AE$507,ASM_Harian!$A$8:$A$507,$B$4,ASM_Harian!$B$8:$B$507,$A70))</f>
        <v/>
      </c>
      <c r="I70" s="12" t="str">
        <f>IF(OR($A70="",F70=0),"",SUMIFS(Sales_Harian!$AG$8:$AG$507,Sales_Harian!$A$8:$A$507,$B$4,Sales_Harian!$B$8:$B$507,$A70)+SUMIFS(SPV_Harian!$AF$8:$AF$507,SPV_Harian!$A$8:$A$507,$B$4,SPV_Harian!$B$8:$B$507,$A70)+SUMIFS(ASM_Harian!$AF$8:$AF$507,ASM_Harian!$A$8:$A$507,$B$4,ASM_Harian!$B$8:$B$507,$A70))</f>
        <v/>
      </c>
      <c r="J70" s="12" t="str">
        <f>IF(OR($A70="",F70=0),"",SUMIFS(Sales_Harian!$AH$8:$AH$507,Sales_Harian!$A$8:$A$507,$B$4,Sales_Harian!$B$8:$B$507,$A70)+SUMIFS(SPV_Harian!$AG$8:$AG$507,SPV_Harian!$A$8:$A$507,$B$4,SPV_Harian!$B$8:$B$507,$A70)+SUMIFS(ASM_Harian!$AG$8:$AG$507,ASM_Harian!$A$8:$A$507,$B$4,ASM_Harian!$B$8:$B$507,$A70))</f>
        <v/>
      </c>
      <c r="K70" s="12" t="str">
        <f>IF(OR($A70="",F70=0),"",SUMIFS(Sales_Harian!$AI$8:$AI$507,Sales_Harian!$A$8:$A$507,$B$4,Sales_Harian!$B$8:$B$507,$A70)+SUMIFS(SPV_Harian!$AH$8:$AH$507,SPV_Harian!$A$8:$A$507,$B$4,SPV_Harian!$B$8:$B$507,$A70)+SUMIFS(ASM_Harian!$AH$8:$AH$507,ASM_Harian!$A$8:$A$507,$B$4,ASM_Harian!$B$8:$B$507,$A70))</f>
        <v/>
      </c>
      <c r="L70" s="12" t="str">
        <f>IF(OR($A70="",F70=0),"",SUMIFS(Sales_Harian!$AK$8:$AK$507,Sales_Harian!$A$8:$A$507,$B$4,Sales_Harian!$B$8:$B$507,$A70)+SUMIFS(SPV_Harian!$AJ$8:$AJ$507,SPV_Harian!$A$8:$A$507,$B$4,SPV_Harian!$B$8:$B$507,$A70)+SUMIFS(ASM_Harian!$AJ$8:$AJ$507,ASM_Harian!$A$8:$A$507,$B$4,ASM_Harian!$B$8:$B$507,$A70))</f>
        <v/>
      </c>
      <c r="M70" s="13" t="str">
        <f t="shared" si="1"/>
        <v/>
      </c>
      <c r="N70" s="1" t="str">
        <f>IF($A70="","",IF(G70&lt;&gt;"Dikirim","",IF(COUNTIFS(Sales_Harian!$A$8:$A$507,$B$4,Sales_Harian!$B$8:$B$507,$A70,Sales_Harian!$AB$8:$AB$507,"Disetujui")+COUNTIFS(SPV_Harian!$A$8:$A$507,$B$4,SPV_Harian!$B$8:$B$507,$A70,SPV_Harian!$AA$8:$AA$507,"Disetujui")+COUNTIFS(ASM_Harian!$A$8:$A$507,$B$4,ASM_Harian!$B$8:$B$507,$A70,ASM_Harian!$AA$8:$AA$507,"Disetujui")=1,IF(COUNTIFS(Sales_Harian!$A$8:$A$507,$B$4,Sales_Harian!$B$8:$B$507,$A70,Sales_Harian!$AM$8:$AM$507,"&lt;&gt;OK")+COUNTIFS(SPV_Harian!$A$8:$A$507,$B$4,SPV_Harian!$B$8:$B$507,$A70,SPV_Harian!$AL$8:$AL$507,"&lt;&gt;OK")+COUNTIFS(ASM_Harian!$A$8:$A$507,$B$4,ASM_Harian!$B$8:$B$507,$A70,ASM_Harian!$AL$8:$AL$507,"&lt;&gt;OK")&gt;0,"Review belum valid","Disetujui"),IF(COUNTIFS(Sales_Harian!$A$8:$A$507,$B$4,Sales_Harian!$B$8:$B$507,$A70,Sales_Harian!$AB$8:$AB$507,"Perlu Perbaikan")+COUNTIFS(SPV_Harian!$A$8:$A$507,$B$4,SPV_Harian!$B$8:$B$507,$A70,SPV_Harian!$AA$8:$AA$507,"Perlu Perbaikan")+COUNTIFS(ASM_Harian!$A$8:$A$507,$B$4,ASM_Harian!$B$8:$B$507,$A70,ASM_Harian!$AA$8:$AA$507,"Perlu Perbaikan")=1,"Perlu Perbaikan","Belum Diperiksa"))))</f>
        <v/>
      </c>
      <c r="O70" s="1" t="str">
        <f>IF($A70="","",IF(F70=0,"Belum ada laporan",IF(F70&gt;1,"Hapus/benahi laporan ganda",IF(COUNTIFS(Sales_Harian!$A$8:$A$507,$B$4,Sales_Harian!$B$8:$B$507,$A70,Sales_Harian!$AM$8:$AM$507,"&lt;&gt;OK")+COUNTIFS(SPV_Harian!$A$8:$A$507,$B$4,SPV_Harian!$B$8:$B$507,$A70,SPV_Harian!$AL$8:$AL$507,"&lt;&gt;OK")+COUNTIFS(ASM_Harian!$A$8:$A$507,$B$4,ASM_Harian!$B$8:$B$507,$A70,ASM_Harian!$AL$8:$AL$507,"&lt;&gt;OK")&gt;0,"Periksa validasi_data",IF(SUM(J70:K70)&gt;0,"Ada kegiatan terbuka",IF(N70="Perlu Perbaikan","Tindak lanjuti review",IF(G70="Draft","Kirim laporan",IF(N70="Belum Diperiksa","Menunggu pemeriksaan",""))))))))</f>
        <v/>
      </c>
    </row>
    <row r="71" spans="1:15" ht="24" customHeight="1">
      <c r="A71" s="1" t="str">
        <f>IF(AND(Master_PIC!A65&lt;&gt;"",Master_PIC!G65="Aktif",Master_PIC!C65&lt;&gt;"Manager"),Master_PIC!A65,"")</f>
        <v/>
      </c>
      <c r="B71" s="1" t="str">
        <f>IF($A71="","",IF(Master_PIC!B65="","",Master_PIC!B65))</f>
        <v/>
      </c>
      <c r="C71" s="1" t="str">
        <f>IF($A71="","",IF(Master_PIC!C65="","",Master_PIC!C65))</f>
        <v/>
      </c>
      <c r="D71" s="1" t="str">
        <f>IF($A71="","",IF(Master_PIC!D65="","",Master_PIC!D65))</f>
        <v/>
      </c>
      <c r="E71" s="1" t="str">
        <f>IF($A71="","",IF(Master_PIC!E65="","",Master_PIC!E65))</f>
        <v/>
      </c>
      <c r="F71" s="12" t="str">
        <f>IF($A71="","",COUNTIFS(Sales_Harian!$A$8:$A$507,$B$4,Sales_Harian!$B$8:$B$507,$A71)+COUNTIFS(SPV_Harian!$A$8:$A$507,$B$4,SPV_Harian!$B$8:$B$507,$A71)+COUNTIFS(ASM_Harian!$A$8:$A$507,$B$4,ASM_Harian!$B$8:$B$507,$A71))</f>
        <v/>
      </c>
      <c r="G71" s="12" t="str">
        <f>IF($A71="","",IF(F71=0,"Belum Lapor",IF(F71&gt;1,"Data Ganda",IF(COUNTIFS(Sales_Harian!$A$8:$A$507,$B$4,Sales_Harian!$B$8:$B$507,$A71,Sales_Harian!$Z$8:$Z$507,"Dikirim")+COUNTIFS(SPV_Harian!$A$8:$A$507,$B$4,SPV_Harian!$B$8:$B$507,$A71,SPV_Harian!$Y$8:$Y$507,"Dikirim")+COUNTIFS(ASM_Harian!$A$8:$A$507,$B$4,ASM_Harian!$B$8:$B$507,$A71,ASM_Harian!$Y$8:$Y$507,"Dikirim")=1,"Dikirim","Draft"))))</f>
        <v/>
      </c>
      <c r="H71" s="12" t="str">
        <f>IF(OR($A71="",F71=0),"",SUMIFS(Sales_Harian!$AF$8:$AF$507,Sales_Harian!$A$8:$A$507,$B$4,Sales_Harian!$B$8:$B$507,$A71)+SUMIFS(SPV_Harian!$AE$8:$AE$507,SPV_Harian!$A$8:$A$507,$B$4,SPV_Harian!$B$8:$B$507,$A71)+SUMIFS(ASM_Harian!$AE$8:$AE$507,ASM_Harian!$A$8:$A$507,$B$4,ASM_Harian!$B$8:$B$507,$A71))</f>
        <v/>
      </c>
      <c r="I71" s="12" t="str">
        <f>IF(OR($A71="",F71=0),"",SUMIFS(Sales_Harian!$AG$8:$AG$507,Sales_Harian!$A$8:$A$507,$B$4,Sales_Harian!$B$8:$B$507,$A71)+SUMIFS(SPV_Harian!$AF$8:$AF$507,SPV_Harian!$A$8:$A$507,$B$4,SPV_Harian!$B$8:$B$507,$A71)+SUMIFS(ASM_Harian!$AF$8:$AF$507,ASM_Harian!$A$8:$A$507,$B$4,ASM_Harian!$B$8:$B$507,$A71))</f>
        <v/>
      </c>
      <c r="J71" s="12" t="str">
        <f>IF(OR($A71="",F71=0),"",SUMIFS(Sales_Harian!$AH$8:$AH$507,Sales_Harian!$A$8:$A$507,$B$4,Sales_Harian!$B$8:$B$507,$A71)+SUMIFS(SPV_Harian!$AG$8:$AG$507,SPV_Harian!$A$8:$A$507,$B$4,SPV_Harian!$B$8:$B$507,$A71)+SUMIFS(ASM_Harian!$AG$8:$AG$507,ASM_Harian!$A$8:$A$507,$B$4,ASM_Harian!$B$8:$B$507,$A71))</f>
        <v/>
      </c>
      <c r="K71" s="12" t="str">
        <f>IF(OR($A71="",F71=0),"",SUMIFS(Sales_Harian!$AI$8:$AI$507,Sales_Harian!$A$8:$A$507,$B$4,Sales_Harian!$B$8:$B$507,$A71)+SUMIFS(SPV_Harian!$AH$8:$AH$507,SPV_Harian!$A$8:$A$507,$B$4,SPV_Harian!$B$8:$B$507,$A71)+SUMIFS(ASM_Harian!$AH$8:$AH$507,ASM_Harian!$A$8:$A$507,$B$4,ASM_Harian!$B$8:$B$507,$A71))</f>
        <v/>
      </c>
      <c r="L71" s="12" t="str">
        <f>IF(OR($A71="",F71=0),"",SUMIFS(Sales_Harian!$AK$8:$AK$507,Sales_Harian!$A$8:$A$507,$B$4,Sales_Harian!$B$8:$B$507,$A71)+SUMIFS(SPV_Harian!$AJ$8:$AJ$507,SPV_Harian!$A$8:$A$507,$B$4,SPV_Harian!$B$8:$B$507,$A71)+SUMIFS(ASM_Harian!$AJ$8:$AJ$507,ASM_Harian!$A$8:$A$507,$B$4,ASM_Harian!$B$8:$B$507,$A71))</f>
        <v/>
      </c>
      <c r="M71" s="13" t="str">
        <f t="shared" si="1"/>
        <v/>
      </c>
      <c r="N71" s="1" t="str">
        <f>IF($A71="","",IF(G71&lt;&gt;"Dikirim","",IF(COUNTIFS(Sales_Harian!$A$8:$A$507,$B$4,Sales_Harian!$B$8:$B$507,$A71,Sales_Harian!$AB$8:$AB$507,"Disetujui")+COUNTIFS(SPV_Harian!$A$8:$A$507,$B$4,SPV_Harian!$B$8:$B$507,$A71,SPV_Harian!$AA$8:$AA$507,"Disetujui")+COUNTIFS(ASM_Harian!$A$8:$A$507,$B$4,ASM_Harian!$B$8:$B$507,$A71,ASM_Harian!$AA$8:$AA$507,"Disetujui")=1,IF(COUNTIFS(Sales_Harian!$A$8:$A$507,$B$4,Sales_Harian!$B$8:$B$507,$A71,Sales_Harian!$AM$8:$AM$507,"&lt;&gt;OK")+COUNTIFS(SPV_Harian!$A$8:$A$507,$B$4,SPV_Harian!$B$8:$B$507,$A71,SPV_Harian!$AL$8:$AL$507,"&lt;&gt;OK")+COUNTIFS(ASM_Harian!$A$8:$A$507,$B$4,ASM_Harian!$B$8:$B$507,$A71,ASM_Harian!$AL$8:$AL$507,"&lt;&gt;OK")&gt;0,"Review belum valid","Disetujui"),IF(COUNTIFS(Sales_Harian!$A$8:$A$507,$B$4,Sales_Harian!$B$8:$B$507,$A71,Sales_Harian!$AB$8:$AB$507,"Perlu Perbaikan")+COUNTIFS(SPV_Harian!$A$8:$A$507,$B$4,SPV_Harian!$B$8:$B$507,$A71,SPV_Harian!$AA$8:$AA$507,"Perlu Perbaikan")+COUNTIFS(ASM_Harian!$A$8:$A$507,$B$4,ASM_Harian!$B$8:$B$507,$A71,ASM_Harian!$AA$8:$AA$507,"Perlu Perbaikan")=1,"Perlu Perbaikan","Belum Diperiksa"))))</f>
        <v/>
      </c>
      <c r="O71" s="1" t="str">
        <f>IF($A71="","",IF(F71=0,"Belum ada laporan",IF(F71&gt;1,"Hapus/benahi laporan ganda",IF(COUNTIFS(Sales_Harian!$A$8:$A$507,$B$4,Sales_Harian!$B$8:$B$507,$A71,Sales_Harian!$AM$8:$AM$507,"&lt;&gt;OK")+COUNTIFS(SPV_Harian!$A$8:$A$507,$B$4,SPV_Harian!$B$8:$B$507,$A71,SPV_Harian!$AL$8:$AL$507,"&lt;&gt;OK")+COUNTIFS(ASM_Harian!$A$8:$A$507,$B$4,ASM_Harian!$B$8:$B$507,$A71,ASM_Harian!$AL$8:$AL$507,"&lt;&gt;OK")&gt;0,"Periksa validasi_data",IF(SUM(J71:K71)&gt;0,"Ada kegiatan terbuka",IF(N71="Perlu Perbaikan","Tindak lanjuti review",IF(G71="Draft","Kirim laporan",IF(N71="Belum Diperiksa","Menunggu pemeriksaan",""))))))))</f>
        <v/>
      </c>
    </row>
    <row r="72" spans="1:15" ht="24" customHeight="1">
      <c r="A72" s="1" t="str">
        <f>IF(AND(Master_PIC!A66&lt;&gt;"",Master_PIC!G66="Aktif",Master_PIC!C66&lt;&gt;"Manager"),Master_PIC!A66,"")</f>
        <v/>
      </c>
      <c r="B72" s="1" t="str">
        <f>IF($A72="","",IF(Master_PIC!B66="","",Master_PIC!B66))</f>
        <v/>
      </c>
      <c r="C72" s="1" t="str">
        <f>IF($A72="","",IF(Master_PIC!C66="","",Master_PIC!C66))</f>
        <v/>
      </c>
      <c r="D72" s="1" t="str">
        <f>IF($A72="","",IF(Master_PIC!D66="","",Master_PIC!D66))</f>
        <v/>
      </c>
      <c r="E72" s="1" t="str">
        <f>IF($A72="","",IF(Master_PIC!E66="","",Master_PIC!E66))</f>
        <v/>
      </c>
      <c r="F72" s="12" t="str">
        <f>IF($A72="","",COUNTIFS(Sales_Harian!$A$8:$A$507,$B$4,Sales_Harian!$B$8:$B$507,$A72)+COUNTIFS(SPV_Harian!$A$8:$A$507,$B$4,SPV_Harian!$B$8:$B$507,$A72)+COUNTIFS(ASM_Harian!$A$8:$A$507,$B$4,ASM_Harian!$B$8:$B$507,$A72))</f>
        <v/>
      </c>
      <c r="G72" s="12" t="str">
        <f>IF($A72="","",IF(F72=0,"Belum Lapor",IF(F72&gt;1,"Data Ganda",IF(COUNTIFS(Sales_Harian!$A$8:$A$507,$B$4,Sales_Harian!$B$8:$B$507,$A72,Sales_Harian!$Z$8:$Z$507,"Dikirim")+COUNTIFS(SPV_Harian!$A$8:$A$507,$B$4,SPV_Harian!$B$8:$B$507,$A72,SPV_Harian!$Y$8:$Y$507,"Dikirim")+COUNTIFS(ASM_Harian!$A$8:$A$507,$B$4,ASM_Harian!$B$8:$B$507,$A72,ASM_Harian!$Y$8:$Y$507,"Dikirim")=1,"Dikirim","Draft"))))</f>
        <v/>
      </c>
      <c r="H72" s="12" t="str">
        <f>IF(OR($A72="",F72=0),"",SUMIFS(Sales_Harian!$AF$8:$AF$507,Sales_Harian!$A$8:$A$507,$B$4,Sales_Harian!$B$8:$B$507,$A72)+SUMIFS(SPV_Harian!$AE$8:$AE$507,SPV_Harian!$A$8:$A$507,$B$4,SPV_Harian!$B$8:$B$507,$A72)+SUMIFS(ASM_Harian!$AE$8:$AE$507,ASM_Harian!$A$8:$A$507,$B$4,ASM_Harian!$B$8:$B$507,$A72))</f>
        <v/>
      </c>
      <c r="I72" s="12" t="str">
        <f>IF(OR($A72="",F72=0),"",SUMIFS(Sales_Harian!$AG$8:$AG$507,Sales_Harian!$A$8:$A$507,$B$4,Sales_Harian!$B$8:$B$507,$A72)+SUMIFS(SPV_Harian!$AF$8:$AF$507,SPV_Harian!$A$8:$A$507,$B$4,SPV_Harian!$B$8:$B$507,$A72)+SUMIFS(ASM_Harian!$AF$8:$AF$507,ASM_Harian!$A$8:$A$507,$B$4,ASM_Harian!$B$8:$B$507,$A72))</f>
        <v/>
      </c>
      <c r="J72" s="12" t="str">
        <f>IF(OR($A72="",F72=0),"",SUMIFS(Sales_Harian!$AH$8:$AH$507,Sales_Harian!$A$8:$A$507,$B$4,Sales_Harian!$B$8:$B$507,$A72)+SUMIFS(SPV_Harian!$AG$8:$AG$507,SPV_Harian!$A$8:$A$507,$B$4,SPV_Harian!$B$8:$B$507,$A72)+SUMIFS(ASM_Harian!$AG$8:$AG$507,ASM_Harian!$A$8:$A$507,$B$4,ASM_Harian!$B$8:$B$507,$A72))</f>
        <v/>
      </c>
      <c r="K72" s="12" t="str">
        <f>IF(OR($A72="",F72=0),"",SUMIFS(Sales_Harian!$AI$8:$AI$507,Sales_Harian!$A$8:$A$507,$B$4,Sales_Harian!$B$8:$B$507,$A72)+SUMIFS(SPV_Harian!$AH$8:$AH$507,SPV_Harian!$A$8:$A$507,$B$4,SPV_Harian!$B$8:$B$507,$A72)+SUMIFS(ASM_Harian!$AH$8:$AH$507,ASM_Harian!$A$8:$A$507,$B$4,ASM_Harian!$B$8:$B$507,$A72))</f>
        <v/>
      </c>
      <c r="L72" s="12" t="str">
        <f>IF(OR($A72="",F72=0),"",SUMIFS(Sales_Harian!$AK$8:$AK$507,Sales_Harian!$A$8:$A$507,$B$4,Sales_Harian!$B$8:$B$507,$A72)+SUMIFS(SPV_Harian!$AJ$8:$AJ$507,SPV_Harian!$A$8:$A$507,$B$4,SPV_Harian!$B$8:$B$507,$A72)+SUMIFS(ASM_Harian!$AJ$8:$AJ$507,ASM_Harian!$A$8:$A$507,$B$4,ASM_Harian!$B$8:$B$507,$A72))</f>
        <v/>
      </c>
      <c r="M72" s="13" t="str">
        <f t="shared" si="1"/>
        <v/>
      </c>
      <c r="N72" s="1" t="str">
        <f>IF($A72="","",IF(G72&lt;&gt;"Dikirim","",IF(COUNTIFS(Sales_Harian!$A$8:$A$507,$B$4,Sales_Harian!$B$8:$B$507,$A72,Sales_Harian!$AB$8:$AB$507,"Disetujui")+COUNTIFS(SPV_Harian!$A$8:$A$507,$B$4,SPV_Harian!$B$8:$B$507,$A72,SPV_Harian!$AA$8:$AA$507,"Disetujui")+COUNTIFS(ASM_Harian!$A$8:$A$507,$B$4,ASM_Harian!$B$8:$B$507,$A72,ASM_Harian!$AA$8:$AA$507,"Disetujui")=1,IF(COUNTIFS(Sales_Harian!$A$8:$A$507,$B$4,Sales_Harian!$B$8:$B$507,$A72,Sales_Harian!$AM$8:$AM$507,"&lt;&gt;OK")+COUNTIFS(SPV_Harian!$A$8:$A$507,$B$4,SPV_Harian!$B$8:$B$507,$A72,SPV_Harian!$AL$8:$AL$507,"&lt;&gt;OK")+COUNTIFS(ASM_Harian!$A$8:$A$507,$B$4,ASM_Harian!$B$8:$B$507,$A72,ASM_Harian!$AL$8:$AL$507,"&lt;&gt;OK")&gt;0,"Review belum valid","Disetujui"),IF(COUNTIFS(Sales_Harian!$A$8:$A$507,$B$4,Sales_Harian!$B$8:$B$507,$A72,Sales_Harian!$AB$8:$AB$507,"Perlu Perbaikan")+COUNTIFS(SPV_Harian!$A$8:$A$507,$B$4,SPV_Harian!$B$8:$B$507,$A72,SPV_Harian!$AA$8:$AA$507,"Perlu Perbaikan")+COUNTIFS(ASM_Harian!$A$8:$A$507,$B$4,ASM_Harian!$B$8:$B$507,$A72,ASM_Harian!$AA$8:$AA$507,"Perlu Perbaikan")=1,"Perlu Perbaikan","Belum Diperiksa"))))</f>
        <v/>
      </c>
      <c r="O72" s="1" t="str">
        <f>IF($A72="","",IF(F72=0,"Belum ada laporan",IF(F72&gt;1,"Hapus/benahi laporan ganda",IF(COUNTIFS(Sales_Harian!$A$8:$A$507,$B$4,Sales_Harian!$B$8:$B$507,$A72,Sales_Harian!$AM$8:$AM$507,"&lt;&gt;OK")+COUNTIFS(SPV_Harian!$A$8:$A$507,$B$4,SPV_Harian!$B$8:$B$507,$A72,SPV_Harian!$AL$8:$AL$507,"&lt;&gt;OK")+COUNTIFS(ASM_Harian!$A$8:$A$507,$B$4,ASM_Harian!$B$8:$B$507,$A72,ASM_Harian!$AL$8:$AL$507,"&lt;&gt;OK")&gt;0,"Periksa validasi_data",IF(SUM(J72:K72)&gt;0,"Ada kegiatan terbuka",IF(N72="Perlu Perbaikan","Tindak lanjuti review",IF(G72="Draft","Kirim laporan",IF(N72="Belum Diperiksa","Menunggu pemeriksaan",""))))))))</f>
        <v/>
      </c>
    </row>
    <row r="73" spans="1:15" ht="24" customHeight="1">
      <c r="A73" s="1" t="str">
        <f>IF(AND(Master_PIC!A67&lt;&gt;"",Master_PIC!G67="Aktif",Master_PIC!C67&lt;&gt;"Manager"),Master_PIC!A67,"")</f>
        <v/>
      </c>
      <c r="B73" s="1" t="str">
        <f>IF($A73="","",IF(Master_PIC!B67="","",Master_PIC!B67))</f>
        <v/>
      </c>
      <c r="C73" s="1" t="str">
        <f>IF($A73="","",IF(Master_PIC!C67="","",Master_PIC!C67))</f>
        <v/>
      </c>
      <c r="D73" s="1" t="str">
        <f>IF($A73="","",IF(Master_PIC!D67="","",Master_PIC!D67))</f>
        <v/>
      </c>
      <c r="E73" s="1" t="str">
        <f>IF($A73="","",IF(Master_PIC!E67="","",Master_PIC!E67))</f>
        <v/>
      </c>
      <c r="F73" s="12" t="str">
        <f>IF($A73="","",COUNTIFS(Sales_Harian!$A$8:$A$507,$B$4,Sales_Harian!$B$8:$B$507,$A73)+COUNTIFS(SPV_Harian!$A$8:$A$507,$B$4,SPV_Harian!$B$8:$B$507,$A73)+COUNTIFS(ASM_Harian!$A$8:$A$507,$B$4,ASM_Harian!$B$8:$B$507,$A73))</f>
        <v/>
      </c>
      <c r="G73" s="12" t="str">
        <f>IF($A73="","",IF(F73=0,"Belum Lapor",IF(F73&gt;1,"Data Ganda",IF(COUNTIFS(Sales_Harian!$A$8:$A$507,$B$4,Sales_Harian!$B$8:$B$507,$A73,Sales_Harian!$Z$8:$Z$507,"Dikirim")+COUNTIFS(SPV_Harian!$A$8:$A$507,$B$4,SPV_Harian!$B$8:$B$507,$A73,SPV_Harian!$Y$8:$Y$507,"Dikirim")+COUNTIFS(ASM_Harian!$A$8:$A$507,$B$4,ASM_Harian!$B$8:$B$507,$A73,ASM_Harian!$Y$8:$Y$507,"Dikirim")=1,"Dikirim","Draft"))))</f>
        <v/>
      </c>
      <c r="H73" s="12" t="str">
        <f>IF(OR($A73="",F73=0),"",SUMIFS(Sales_Harian!$AF$8:$AF$507,Sales_Harian!$A$8:$A$507,$B$4,Sales_Harian!$B$8:$B$507,$A73)+SUMIFS(SPV_Harian!$AE$8:$AE$507,SPV_Harian!$A$8:$A$507,$B$4,SPV_Harian!$B$8:$B$507,$A73)+SUMIFS(ASM_Harian!$AE$8:$AE$507,ASM_Harian!$A$8:$A$507,$B$4,ASM_Harian!$B$8:$B$507,$A73))</f>
        <v/>
      </c>
      <c r="I73" s="12" t="str">
        <f>IF(OR($A73="",F73=0),"",SUMIFS(Sales_Harian!$AG$8:$AG$507,Sales_Harian!$A$8:$A$507,$B$4,Sales_Harian!$B$8:$B$507,$A73)+SUMIFS(SPV_Harian!$AF$8:$AF$507,SPV_Harian!$A$8:$A$507,$B$4,SPV_Harian!$B$8:$B$507,$A73)+SUMIFS(ASM_Harian!$AF$8:$AF$507,ASM_Harian!$A$8:$A$507,$B$4,ASM_Harian!$B$8:$B$507,$A73))</f>
        <v/>
      </c>
      <c r="J73" s="12" t="str">
        <f>IF(OR($A73="",F73=0),"",SUMIFS(Sales_Harian!$AH$8:$AH$507,Sales_Harian!$A$8:$A$507,$B$4,Sales_Harian!$B$8:$B$507,$A73)+SUMIFS(SPV_Harian!$AG$8:$AG$507,SPV_Harian!$A$8:$A$507,$B$4,SPV_Harian!$B$8:$B$507,$A73)+SUMIFS(ASM_Harian!$AG$8:$AG$507,ASM_Harian!$A$8:$A$507,$B$4,ASM_Harian!$B$8:$B$507,$A73))</f>
        <v/>
      </c>
      <c r="K73" s="12" t="str">
        <f>IF(OR($A73="",F73=0),"",SUMIFS(Sales_Harian!$AI$8:$AI$507,Sales_Harian!$A$8:$A$507,$B$4,Sales_Harian!$B$8:$B$507,$A73)+SUMIFS(SPV_Harian!$AH$8:$AH$507,SPV_Harian!$A$8:$A$507,$B$4,SPV_Harian!$B$8:$B$507,$A73)+SUMIFS(ASM_Harian!$AH$8:$AH$507,ASM_Harian!$A$8:$A$507,$B$4,ASM_Harian!$B$8:$B$507,$A73))</f>
        <v/>
      </c>
      <c r="L73" s="12" t="str">
        <f>IF(OR($A73="",F73=0),"",SUMIFS(Sales_Harian!$AK$8:$AK$507,Sales_Harian!$A$8:$A$507,$B$4,Sales_Harian!$B$8:$B$507,$A73)+SUMIFS(SPV_Harian!$AJ$8:$AJ$507,SPV_Harian!$A$8:$A$507,$B$4,SPV_Harian!$B$8:$B$507,$A73)+SUMIFS(ASM_Harian!$AJ$8:$AJ$507,ASM_Harian!$A$8:$A$507,$B$4,ASM_Harian!$B$8:$B$507,$A73))</f>
        <v/>
      </c>
      <c r="M73" s="13" t="str">
        <f t="shared" si="1"/>
        <v/>
      </c>
      <c r="N73" s="1" t="str">
        <f>IF($A73="","",IF(G73&lt;&gt;"Dikirim","",IF(COUNTIFS(Sales_Harian!$A$8:$A$507,$B$4,Sales_Harian!$B$8:$B$507,$A73,Sales_Harian!$AB$8:$AB$507,"Disetujui")+COUNTIFS(SPV_Harian!$A$8:$A$507,$B$4,SPV_Harian!$B$8:$B$507,$A73,SPV_Harian!$AA$8:$AA$507,"Disetujui")+COUNTIFS(ASM_Harian!$A$8:$A$507,$B$4,ASM_Harian!$B$8:$B$507,$A73,ASM_Harian!$AA$8:$AA$507,"Disetujui")=1,IF(COUNTIFS(Sales_Harian!$A$8:$A$507,$B$4,Sales_Harian!$B$8:$B$507,$A73,Sales_Harian!$AM$8:$AM$507,"&lt;&gt;OK")+COUNTIFS(SPV_Harian!$A$8:$A$507,$B$4,SPV_Harian!$B$8:$B$507,$A73,SPV_Harian!$AL$8:$AL$507,"&lt;&gt;OK")+COUNTIFS(ASM_Harian!$A$8:$A$507,$B$4,ASM_Harian!$B$8:$B$507,$A73,ASM_Harian!$AL$8:$AL$507,"&lt;&gt;OK")&gt;0,"Review belum valid","Disetujui"),IF(COUNTIFS(Sales_Harian!$A$8:$A$507,$B$4,Sales_Harian!$B$8:$B$507,$A73,Sales_Harian!$AB$8:$AB$507,"Perlu Perbaikan")+COUNTIFS(SPV_Harian!$A$8:$A$507,$B$4,SPV_Harian!$B$8:$B$507,$A73,SPV_Harian!$AA$8:$AA$507,"Perlu Perbaikan")+COUNTIFS(ASM_Harian!$A$8:$A$507,$B$4,ASM_Harian!$B$8:$B$507,$A73,ASM_Harian!$AA$8:$AA$507,"Perlu Perbaikan")=1,"Perlu Perbaikan","Belum Diperiksa"))))</f>
        <v/>
      </c>
      <c r="O73" s="1" t="str">
        <f>IF($A73="","",IF(F73=0,"Belum ada laporan",IF(F73&gt;1,"Hapus/benahi laporan ganda",IF(COUNTIFS(Sales_Harian!$A$8:$A$507,$B$4,Sales_Harian!$B$8:$B$507,$A73,Sales_Harian!$AM$8:$AM$507,"&lt;&gt;OK")+COUNTIFS(SPV_Harian!$A$8:$A$507,$B$4,SPV_Harian!$B$8:$B$507,$A73,SPV_Harian!$AL$8:$AL$507,"&lt;&gt;OK")+COUNTIFS(ASM_Harian!$A$8:$A$507,$B$4,ASM_Harian!$B$8:$B$507,$A73,ASM_Harian!$AL$8:$AL$507,"&lt;&gt;OK")&gt;0,"Periksa validasi_data",IF(SUM(J73:K73)&gt;0,"Ada kegiatan terbuka",IF(N73="Perlu Perbaikan","Tindak lanjuti review",IF(G73="Draft","Kirim laporan",IF(N73="Belum Diperiksa","Menunggu pemeriksaan",""))))))))</f>
        <v/>
      </c>
    </row>
    <row r="74" spans="1:15" ht="24" customHeight="1">
      <c r="A74" s="1" t="str">
        <f>IF(AND(Master_PIC!A68&lt;&gt;"",Master_PIC!G68="Aktif",Master_PIC!C68&lt;&gt;"Manager"),Master_PIC!A68,"")</f>
        <v/>
      </c>
      <c r="B74" s="1" t="str">
        <f>IF($A74="","",IF(Master_PIC!B68="","",Master_PIC!B68))</f>
        <v/>
      </c>
      <c r="C74" s="1" t="str">
        <f>IF($A74="","",IF(Master_PIC!C68="","",Master_PIC!C68))</f>
        <v/>
      </c>
      <c r="D74" s="1" t="str">
        <f>IF($A74="","",IF(Master_PIC!D68="","",Master_PIC!D68))</f>
        <v/>
      </c>
      <c r="E74" s="1" t="str">
        <f>IF($A74="","",IF(Master_PIC!E68="","",Master_PIC!E68))</f>
        <v/>
      </c>
      <c r="F74" s="12" t="str">
        <f>IF($A74="","",COUNTIFS(Sales_Harian!$A$8:$A$507,$B$4,Sales_Harian!$B$8:$B$507,$A74)+COUNTIFS(SPV_Harian!$A$8:$A$507,$B$4,SPV_Harian!$B$8:$B$507,$A74)+COUNTIFS(ASM_Harian!$A$8:$A$507,$B$4,ASM_Harian!$B$8:$B$507,$A74))</f>
        <v/>
      </c>
      <c r="G74" s="12" t="str">
        <f>IF($A74="","",IF(F74=0,"Belum Lapor",IF(F74&gt;1,"Data Ganda",IF(COUNTIFS(Sales_Harian!$A$8:$A$507,$B$4,Sales_Harian!$B$8:$B$507,$A74,Sales_Harian!$Z$8:$Z$507,"Dikirim")+COUNTIFS(SPV_Harian!$A$8:$A$507,$B$4,SPV_Harian!$B$8:$B$507,$A74,SPV_Harian!$Y$8:$Y$507,"Dikirim")+COUNTIFS(ASM_Harian!$A$8:$A$507,$B$4,ASM_Harian!$B$8:$B$507,$A74,ASM_Harian!$Y$8:$Y$507,"Dikirim")=1,"Dikirim","Draft"))))</f>
        <v/>
      </c>
      <c r="H74" s="12" t="str">
        <f>IF(OR($A74="",F74=0),"",SUMIFS(Sales_Harian!$AF$8:$AF$507,Sales_Harian!$A$8:$A$507,$B$4,Sales_Harian!$B$8:$B$507,$A74)+SUMIFS(SPV_Harian!$AE$8:$AE$507,SPV_Harian!$A$8:$A$507,$B$4,SPV_Harian!$B$8:$B$507,$A74)+SUMIFS(ASM_Harian!$AE$8:$AE$507,ASM_Harian!$A$8:$A$507,$B$4,ASM_Harian!$B$8:$B$507,$A74))</f>
        <v/>
      </c>
      <c r="I74" s="12" t="str">
        <f>IF(OR($A74="",F74=0),"",SUMIFS(Sales_Harian!$AG$8:$AG$507,Sales_Harian!$A$8:$A$507,$B$4,Sales_Harian!$B$8:$B$507,$A74)+SUMIFS(SPV_Harian!$AF$8:$AF$507,SPV_Harian!$A$8:$A$507,$B$4,SPV_Harian!$B$8:$B$507,$A74)+SUMIFS(ASM_Harian!$AF$8:$AF$507,ASM_Harian!$A$8:$A$507,$B$4,ASM_Harian!$B$8:$B$507,$A74))</f>
        <v/>
      </c>
      <c r="J74" s="12" t="str">
        <f>IF(OR($A74="",F74=0),"",SUMIFS(Sales_Harian!$AH$8:$AH$507,Sales_Harian!$A$8:$A$507,$B$4,Sales_Harian!$B$8:$B$507,$A74)+SUMIFS(SPV_Harian!$AG$8:$AG$507,SPV_Harian!$A$8:$A$507,$B$4,SPV_Harian!$B$8:$B$507,$A74)+SUMIFS(ASM_Harian!$AG$8:$AG$507,ASM_Harian!$A$8:$A$507,$B$4,ASM_Harian!$B$8:$B$507,$A74))</f>
        <v/>
      </c>
      <c r="K74" s="12" t="str">
        <f>IF(OR($A74="",F74=0),"",SUMIFS(Sales_Harian!$AI$8:$AI$507,Sales_Harian!$A$8:$A$507,$B$4,Sales_Harian!$B$8:$B$507,$A74)+SUMIFS(SPV_Harian!$AH$8:$AH$507,SPV_Harian!$A$8:$A$507,$B$4,SPV_Harian!$B$8:$B$507,$A74)+SUMIFS(ASM_Harian!$AH$8:$AH$507,ASM_Harian!$A$8:$A$507,$B$4,ASM_Harian!$B$8:$B$507,$A74))</f>
        <v/>
      </c>
      <c r="L74" s="12" t="str">
        <f>IF(OR($A74="",F74=0),"",SUMIFS(Sales_Harian!$AK$8:$AK$507,Sales_Harian!$A$8:$A$507,$B$4,Sales_Harian!$B$8:$B$507,$A74)+SUMIFS(SPV_Harian!$AJ$8:$AJ$507,SPV_Harian!$A$8:$A$507,$B$4,SPV_Harian!$B$8:$B$507,$A74)+SUMIFS(ASM_Harian!$AJ$8:$AJ$507,ASM_Harian!$A$8:$A$507,$B$4,ASM_Harian!$B$8:$B$507,$A74))</f>
        <v/>
      </c>
      <c r="M74" s="13" t="str">
        <f t="shared" si="1"/>
        <v/>
      </c>
      <c r="N74" s="1" t="str">
        <f>IF($A74="","",IF(G74&lt;&gt;"Dikirim","",IF(COUNTIFS(Sales_Harian!$A$8:$A$507,$B$4,Sales_Harian!$B$8:$B$507,$A74,Sales_Harian!$AB$8:$AB$507,"Disetujui")+COUNTIFS(SPV_Harian!$A$8:$A$507,$B$4,SPV_Harian!$B$8:$B$507,$A74,SPV_Harian!$AA$8:$AA$507,"Disetujui")+COUNTIFS(ASM_Harian!$A$8:$A$507,$B$4,ASM_Harian!$B$8:$B$507,$A74,ASM_Harian!$AA$8:$AA$507,"Disetujui")=1,IF(COUNTIFS(Sales_Harian!$A$8:$A$507,$B$4,Sales_Harian!$B$8:$B$507,$A74,Sales_Harian!$AM$8:$AM$507,"&lt;&gt;OK")+COUNTIFS(SPV_Harian!$A$8:$A$507,$B$4,SPV_Harian!$B$8:$B$507,$A74,SPV_Harian!$AL$8:$AL$507,"&lt;&gt;OK")+COUNTIFS(ASM_Harian!$A$8:$A$507,$B$4,ASM_Harian!$B$8:$B$507,$A74,ASM_Harian!$AL$8:$AL$507,"&lt;&gt;OK")&gt;0,"Review belum valid","Disetujui"),IF(COUNTIFS(Sales_Harian!$A$8:$A$507,$B$4,Sales_Harian!$B$8:$B$507,$A74,Sales_Harian!$AB$8:$AB$507,"Perlu Perbaikan")+COUNTIFS(SPV_Harian!$A$8:$A$507,$B$4,SPV_Harian!$B$8:$B$507,$A74,SPV_Harian!$AA$8:$AA$507,"Perlu Perbaikan")+COUNTIFS(ASM_Harian!$A$8:$A$507,$B$4,ASM_Harian!$B$8:$B$507,$A74,ASM_Harian!$AA$8:$AA$507,"Perlu Perbaikan")=1,"Perlu Perbaikan","Belum Diperiksa"))))</f>
        <v/>
      </c>
      <c r="O74" s="1" t="str">
        <f>IF($A74="","",IF(F74=0,"Belum ada laporan",IF(F74&gt;1,"Hapus/benahi laporan ganda",IF(COUNTIFS(Sales_Harian!$A$8:$A$507,$B$4,Sales_Harian!$B$8:$B$507,$A74,Sales_Harian!$AM$8:$AM$507,"&lt;&gt;OK")+COUNTIFS(SPV_Harian!$A$8:$A$507,$B$4,SPV_Harian!$B$8:$B$507,$A74,SPV_Harian!$AL$8:$AL$507,"&lt;&gt;OK")+COUNTIFS(ASM_Harian!$A$8:$A$507,$B$4,ASM_Harian!$B$8:$B$507,$A74,ASM_Harian!$AL$8:$AL$507,"&lt;&gt;OK")&gt;0,"Periksa validasi_data",IF(SUM(J74:K74)&gt;0,"Ada kegiatan terbuka",IF(N74="Perlu Perbaikan","Tindak lanjuti review",IF(G74="Draft","Kirim laporan",IF(N74="Belum Diperiksa","Menunggu pemeriksaan",""))))))))</f>
        <v/>
      </c>
    </row>
    <row r="75" spans="1:15" ht="24" customHeight="1">
      <c r="A75" s="1" t="str">
        <f>IF(AND(Master_PIC!A69&lt;&gt;"",Master_PIC!G69="Aktif",Master_PIC!C69&lt;&gt;"Manager"),Master_PIC!A69,"")</f>
        <v/>
      </c>
      <c r="B75" s="1" t="str">
        <f>IF($A75="","",IF(Master_PIC!B69="","",Master_PIC!B69))</f>
        <v/>
      </c>
      <c r="C75" s="1" t="str">
        <f>IF($A75="","",IF(Master_PIC!C69="","",Master_PIC!C69))</f>
        <v/>
      </c>
      <c r="D75" s="1" t="str">
        <f>IF($A75="","",IF(Master_PIC!D69="","",Master_PIC!D69))</f>
        <v/>
      </c>
      <c r="E75" s="1" t="str">
        <f>IF($A75="","",IF(Master_PIC!E69="","",Master_PIC!E69))</f>
        <v/>
      </c>
      <c r="F75" s="12" t="str">
        <f>IF($A75="","",COUNTIFS(Sales_Harian!$A$8:$A$507,$B$4,Sales_Harian!$B$8:$B$507,$A75)+COUNTIFS(SPV_Harian!$A$8:$A$507,$B$4,SPV_Harian!$B$8:$B$507,$A75)+COUNTIFS(ASM_Harian!$A$8:$A$507,$B$4,ASM_Harian!$B$8:$B$507,$A75))</f>
        <v/>
      </c>
      <c r="G75" s="12" t="str">
        <f>IF($A75="","",IF(F75=0,"Belum Lapor",IF(F75&gt;1,"Data Ganda",IF(COUNTIFS(Sales_Harian!$A$8:$A$507,$B$4,Sales_Harian!$B$8:$B$507,$A75,Sales_Harian!$Z$8:$Z$507,"Dikirim")+COUNTIFS(SPV_Harian!$A$8:$A$507,$B$4,SPV_Harian!$B$8:$B$507,$A75,SPV_Harian!$Y$8:$Y$507,"Dikirim")+COUNTIFS(ASM_Harian!$A$8:$A$507,$B$4,ASM_Harian!$B$8:$B$507,$A75,ASM_Harian!$Y$8:$Y$507,"Dikirim")=1,"Dikirim","Draft"))))</f>
        <v/>
      </c>
      <c r="H75" s="12" t="str">
        <f>IF(OR($A75="",F75=0),"",SUMIFS(Sales_Harian!$AF$8:$AF$507,Sales_Harian!$A$8:$A$507,$B$4,Sales_Harian!$B$8:$B$507,$A75)+SUMIFS(SPV_Harian!$AE$8:$AE$507,SPV_Harian!$A$8:$A$507,$B$4,SPV_Harian!$B$8:$B$507,$A75)+SUMIFS(ASM_Harian!$AE$8:$AE$507,ASM_Harian!$A$8:$A$507,$B$4,ASM_Harian!$B$8:$B$507,$A75))</f>
        <v/>
      </c>
      <c r="I75" s="12" t="str">
        <f>IF(OR($A75="",F75=0),"",SUMIFS(Sales_Harian!$AG$8:$AG$507,Sales_Harian!$A$8:$A$507,$B$4,Sales_Harian!$B$8:$B$507,$A75)+SUMIFS(SPV_Harian!$AF$8:$AF$507,SPV_Harian!$A$8:$A$507,$B$4,SPV_Harian!$B$8:$B$507,$A75)+SUMIFS(ASM_Harian!$AF$8:$AF$507,ASM_Harian!$A$8:$A$507,$B$4,ASM_Harian!$B$8:$B$507,$A75))</f>
        <v/>
      </c>
      <c r="J75" s="12" t="str">
        <f>IF(OR($A75="",F75=0),"",SUMIFS(Sales_Harian!$AH$8:$AH$507,Sales_Harian!$A$8:$A$507,$B$4,Sales_Harian!$B$8:$B$507,$A75)+SUMIFS(SPV_Harian!$AG$8:$AG$507,SPV_Harian!$A$8:$A$507,$B$4,SPV_Harian!$B$8:$B$507,$A75)+SUMIFS(ASM_Harian!$AG$8:$AG$507,ASM_Harian!$A$8:$A$507,$B$4,ASM_Harian!$B$8:$B$507,$A75))</f>
        <v/>
      </c>
      <c r="K75" s="12" t="str">
        <f>IF(OR($A75="",F75=0),"",SUMIFS(Sales_Harian!$AI$8:$AI$507,Sales_Harian!$A$8:$A$507,$B$4,Sales_Harian!$B$8:$B$507,$A75)+SUMIFS(SPV_Harian!$AH$8:$AH$507,SPV_Harian!$A$8:$A$507,$B$4,SPV_Harian!$B$8:$B$507,$A75)+SUMIFS(ASM_Harian!$AH$8:$AH$507,ASM_Harian!$A$8:$A$507,$B$4,ASM_Harian!$B$8:$B$507,$A75))</f>
        <v/>
      </c>
      <c r="L75" s="12" t="str">
        <f>IF(OR($A75="",F75=0),"",SUMIFS(Sales_Harian!$AK$8:$AK$507,Sales_Harian!$A$8:$A$507,$B$4,Sales_Harian!$B$8:$B$507,$A75)+SUMIFS(SPV_Harian!$AJ$8:$AJ$507,SPV_Harian!$A$8:$A$507,$B$4,SPV_Harian!$B$8:$B$507,$A75)+SUMIFS(ASM_Harian!$AJ$8:$AJ$507,ASM_Harian!$A$8:$A$507,$B$4,ASM_Harian!$B$8:$B$507,$A75))</f>
        <v/>
      </c>
      <c r="M75" s="13" t="str">
        <f t="shared" si="1"/>
        <v/>
      </c>
      <c r="N75" s="1" t="str">
        <f>IF($A75="","",IF(G75&lt;&gt;"Dikirim","",IF(COUNTIFS(Sales_Harian!$A$8:$A$507,$B$4,Sales_Harian!$B$8:$B$507,$A75,Sales_Harian!$AB$8:$AB$507,"Disetujui")+COUNTIFS(SPV_Harian!$A$8:$A$507,$B$4,SPV_Harian!$B$8:$B$507,$A75,SPV_Harian!$AA$8:$AA$507,"Disetujui")+COUNTIFS(ASM_Harian!$A$8:$A$507,$B$4,ASM_Harian!$B$8:$B$507,$A75,ASM_Harian!$AA$8:$AA$507,"Disetujui")=1,IF(COUNTIFS(Sales_Harian!$A$8:$A$507,$B$4,Sales_Harian!$B$8:$B$507,$A75,Sales_Harian!$AM$8:$AM$507,"&lt;&gt;OK")+COUNTIFS(SPV_Harian!$A$8:$A$507,$B$4,SPV_Harian!$B$8:$B$507,$A75,SPV_Harian!$AL$8:$AL$507,"&lt;&gt;OK")+COUNTIFS(ASM_Harian!$A$8:$A$507,$B$4,ASM_Harian!$B$8:$B$507,$A75,ASM_Harian!$AL$8:$AL$507,"&lt;&gt;OK")&gt;0,"Review belum valid","Disetujui"),IF(COUNTIFS(Sales_Harian!$A$8:$A$507,$B$4,Sales_Harian!$B$8:$B$507,$A75,Sales_Harian!$AB$8:$AB$507,"Perlu Perbaikan")+COUNTIFS(SPV_Harian!$A$8:$A$507,$B$4,SPV_Harian!$B$8:$B$507,$A75,SPV_Harian!$AA$8:$AA$507,"Perlu Perbaikan")+COUNTIFS(ASM_Harian!$A$8:$A$507,$B$4,ASM_Harian!$B$8:$B$507,$A75,ASM_Harian!$AA$8:$AA$507,"Perlu Perbaikan")=1,"Perlu Perbaikan","Belum Diperiksa"))))</f>
        <v/>
      </c>
      <c r="O75" s="1" t="str">
        <f>IF($A75="","",IF(F75=0,"Belum ada laporan",IF(F75&gt;1,"Hapus/benahi laporan ganda",IF(COUNTIFS(Sales_Harian!$A$8:$A$507,$B$4,Sales_Harian!$B$8:$B$507,$A75,Sales_Harian!$AM$8:$AM$507,"&lt;&gt;OK")+COUNTIFS(SPV_Harian!$A$8:$A$507,$B$4,SPV_Harian!$B$8:$B$507,$A75,SPV_Harian!$AL$8:$AL$507,"&lt;&gt;OK")+COUNTIFS(ASM_Harian!$A$8:$A$507,$B$4,ASM_Harian!$B$8:$B$507,$A75,ASM_Harian!$AL$8:$AL$507,"&lt;&gt;OK")&gt;0,"Periksa validasi_data",IF(SUM(J75:K75)&gt;0,"Ada kegiatan terbuka",IF(N75="Perlu Perbaikan","Tindak lanjuti review",IF(G75="Draft","Kirim laporan",IF(N75="Belum Diperiksa","Menunggu pemeriksaan",""))))))))</f>
        <v/>
      </c>
    </row>
    <row r="76" spans="1:15" ht="24" customHeight="1">
      <c r="A76" s="1" t="str">
        <f>IF(AND(Master_PIC!A70&lt;&gt;"",Master_PIC!G70="Aktif",Master_PIC!C70&lt;&gt;"Manager"),Master_PIC!A70,"")</f>
        <v/>
      </c>
      <c r="B76" s="1" t="str">
        <f>IF($A76="","",IF(Master_PIC!B70="","",Master_PIC!B70))</f>
        <v/>
      </c>
      <c r="C76" s="1" t="str">
        <f>IF($A76="","",IF(Master_PIC!C70="","",Master_PIC!C70))</f>
        <v/>
      </c>
      <c r="D76" s="1" t="str">
        <f>IF($A76="","",IF(Master_PIC!D70="","",Master_PIC!D70))</f>
        <v/>
      </c>
      <c r="E76" s="1" t="str">
        <f>IF($A76="","",IF(Master_PIC!E70="","",Master_PIC!E70))</f>
        <v/>
      </c>
      <c r="F76" s="12" t="str">
        <f>IF($A76="","",COUNTIFS(Sales_Harian!$A$8:$A$507,$B$4,Sales_Harian!$B$8:$B$507,$A76)+COUNTIFS(SPV_Harian!$A$8:$A$507,$B$4,SPV_Harian!$B$8:$B$507,$A76)+COUNTIFS(ASM_Harian!$A$8:$A$507,$B$4,ASM_Harian!$B$8:$B$507,$A76))</f>
        <v/>
      </c>
      <c r="G76" s="12" t="str">
        <f>IF($A76="","",IF(F76=0,"Belum Lapor",IF(F76&gt;1,"Data Ganda",IF(COUNTIFS(Sales_Harian!$A$8:$A$507,$B$4,Sales_Harian!$B$8:$B$507,$A76,Sales_Harian!$Z$8:$Z$507,"Dikirim")+COUNTIFS(SPV_Harian!$A$8:$A$507,$B$4,SPV_Harian!$B$8:$B$507,$A76,SPV_Harian!$Y$8:$Y$507,"Dikirim")+COUNTIFS(ASM_Harian!$A$8:$A$507,$B$4,ASM_Harian!$B$8:$B$507,$A76,ASM_Harian!$Y$8:$Y$507,"Dikirim")=1,"Dikirim","Draft"))))</f>
        <v/>
      </c>
      <c r="H76" s="12" t="str">
        <f>IF(OR($A76="",F76=0),"",SUMIFS(Sales_Harian!$AF$8:$AF$507,Sales_Harian!$A$8:$A$507,$B$4,Sales_Harian!$B$8:$B$507,$A76)+SUMIFS(SPV_Harian!$AE$8:$AE$507,SPV_Harian!$A$8:$A$507,$B$4,SPV_Harian!$B$8:$B$507,$A76)+SUMIFS(ASM_Harian!$AE$8:$AE$507,ASM_Harian!$A$8:$A$507,$B$4,ASM_Harian!$B$8:$B$507,$A76))</f>
        <v/>
      </c>
      <c r="I76" s="12" t="str">
        <f>IF(OR($A76="",F76=0),"",SUMIFS(Sales_Harian!$AG$8:$AG$507,Sales_Harian!$A$8:$A$507,$B$4,Sales_Harian!$B$8:$B$507,$A76)+SUMIFS(SPV_Harian!$AF$8:$AF$507,SPV_Harian!$A$8:$A$507,$B$4,SPV_Harian!$B$8:$B$507,$A76)+SUMIFS(ASM_Harian!$AF$8:$AF$507,ASM_Harian!$A$8:$A$507,$B$4,ASM_Harian!$B$8:$B$507,$A76))</f>
        <v/>
      </c>
      <c r="J76" s="12" t="str">
        <f>IF(OR($A76="",F76=0),"",SUMIFS(Sales_Harian!$AH$8:$AH$507,Sales_Harian!$A$8:$A$507,$B$4,Sales_Harian!$B$8:$B$507,$A76)+SUMIFS(SPV_Harian!$AG$8:$AG$507,SPV_Harian!$A$8:$A$507,$B$4,SPV_Harian!$B$8:$B$507,$A76)+SUMIFS(ASM_Harian!$AG$8:$AG$507,ASM_Harian!$A$8:$A$507,$B$4,ASM_Harian!$B$8:$B$507,$A76))</f>
        <v/>
      </c>
      <c r="K76" s="12" t="str">
        <f>IF(OR($A76="",F76=0),"",SUMIFS(Sales_Harian!$AI$8:$AI$507,Sales_Harian!$A$8:$A$507,$B$4,Sales_Harian!$B$8:$B$507,$A76)+SUMIFS(SPV_Harian!$AH$8:$AH$507,SPV_Harian!$A$8:$A$507,$B$4,SPV_Harian!$B$8:$B$507,$A76)+SUMIFS(ASM_Harian!$AH$8:$AH$507,ASM_Harian!$A$8:$A$507,$B$4,ASM_Harian!$B$8:$B$507,$A76))</f>
        <v/>
      </c>
      <c r="L76" s="12" t="str">
        <f>IF(OR($A76="",F76=0),"",SUMIFS(Sales_Harian!$AK$8:$AK$507,Sales_Harian!$A$8:$A$507,$B$4,Sales_Harian!$B$8:$B$507,$A76)+SUMIFS(SPV_Harian!$AJ$8:$AJ$507,SPV_Harian!$A$8:$A$507,$B$4,SPV_Harian!$B$8:$B$507,$A76)+SUMIFS(ASM_Harian!$AJ$8:$AJ$507,ASM_Harian!$A$8:$A$507,$B$4,ASM_Harian!$B$8:$B$507,$A76))</f>
        <v/>
      </c>
      <c r="M76" s="13" t="str">
        <f t="shared" si="1"/>
        <v/>
      </c>
      <c r="N76" s="1" t="str">
        <f>IF($A76="","",IF(G76&lt;&gt;"Dikirim","",IF(COUNTIFS(Sales_Harian!$A$8:$A$507,$B$4,Sales_Harian!$B$8:$B$507,$A76,Sales_Harian!$AB$8:$AB$507,"Disetujui")+COUNTIFS(SPV_Harian!$A$8:$A$507,$B$4,SPV_Harian!$B$8:$B$507,$A76,SPV_Harian!$AA$8:$AA$507,"Disetujui")+COUNTIFS(ASM_Harian!$A$8:$A$507,$B$4,ASM_Harian!$B$8:$B$507,$A76,ASM_Harian!$AA$8:$AA$507,"Disetujui")=1,IF(COUNTIFS(Sales_Harian!$A$8:$A$507,$B$4,Sales_Harian!$B$8:$B$507,$A76,Sales_Harian!$AM$8:$AM$507,"&lt;&gt;OK")+COUNTIFS(SPV_Harian!$A$8:$A$507,$B$4,SPV_Harian!$B$8:$B$507,$A76,SPV_Harian!$AL$8:$AL$507,"&lt;&gt;OK")+COUNTIFS(ASM_Harian!$A$8:$A$507,$B$4,ASM_Harian!$B$8:$B$507,$A76,ASM_Harian!$AL$8:$AL$507,"&lt;&gt;OK")&gt;0,"Review belum valid","Disetujui"),IF(COUNTIFS(Sales_Harian!$A$8:$A$507,$B$4,Sales_Harian!$B$8:$B$507,$A76,Sales_Harian!$AB$8:$AB$507,"Perlu Perbaikan")+COUNTIFS(SPV_Harian!$A$8:$A$507,$B$4,SPV_Harian!$B$8:$B$507,$A76,SPV_Harian!$AA$8:$AA$507,"Perlu Perbaikan")+COUNTIFS(ASM_Harian!$A$8:$A$507,$B$4,ASM_Harian!$B$8:$B$507,$A76,ASM_Harian!$AA$8:$AA$507,"Perlu Perbaikan")=1,"Perlu Perbaikan","Belum Diperiksa"))))</f>
        <v/>
      </c>
      <c r="O76" s="1" t="str">
        <f>IF($A76="","",IF(F76=0,"Belum ada laporan",IF(F76&gt;1,"Hapus/benahi laporan ganda",IF(COUNTIFS(Sales_Harian!$A$8:$A$507,$B$4,Sales_Harian!$B$8:$B$507,$A76,Sales_Harian!$AM$8:$AM$507,"&lt;&gt;OK")+COUNTIFS(SPV_Harian!$A$8:$A$507,$B$4,SPV_Harian!$B$8:$B$507,$A76,SPV_Harian!$AL$8:$AL$507,"&lt;&gt;OK")+COUNTIFS(ASM_Harian!$A$8:$A$507,$B$4,ASM_Harian!$B$8:$B$507,$A76,ASM_Harian!$AL$8:$AL$507,"&lt;&gt;OK")&gt;0,"Periksa validasi_data",IF(SUM(J76:K76)&gt;0,"Ada kegiatan terbuka",IF(N76="Perlu Perbaikan","Tindak lanjuti review",IF(G76="Draft","Kirim laporan",IF(N76="Belum Diperiksa","Menunggu pemeriksaan",""))))))))</f>
        <v/>
      </c>
    </row>
    <row r="77" spans="1:15" ht="24" customHeight="1">
      <c r="A77" s="1" t="str">
        <f>IF(AND(Master_PIC!A71&lt;&gt;"",Master_PIC!G71="Aktif",Master_PIC!C71&lt;&gt;"Manager"),Master_PIC!A71,"")</f>
        <v/>
      </c>
      <c r="B77" s="1" t="str">
        <f>IF($A77="","",IF(Master_PIC!B71="","",Master_PIC!B71))</f>
        <v/>
      </c>
      <c r="C77" s="1" t="str">
        <f>IF($A77="","",IF(Master_PIC!C71="","",Master_PIC!C71))</f>
        <v/>
      </c>
      <c r="D77" s="1" t="str">
        <f>IF($A77="","",IF(Master_PIC!D71="","",Master_PIC!D71))</f>
        <v/>
      </c>
      <c r="E77" s="1" t="str">
        <f>IF($A77="","",IF(Master_PIC!E71="","",Master_PIC!E71))</f>
        <v/>
      </c>
      <c r="F77" s="12" t="str">
        <f>IF($A77="","",COUNTIFS(Sales_Harian!$A$8:$A$507,$B$4,Sales_Harian!$B$8:$B$507,$A77)+COUNTIFS(SPV_Harian!$A$8:$A$507,$B$4,SPV_Harian!$B$8:$B$507,$A77)+COUNTIFS(ASM_Harian!$A$8:$A$507,$B$4,ASM_Harian!$B$8:$B$507,$A77))</f>
        <v/>
      </c>
      <c r="G77" s="12" t="str">
        <f>IF($A77="","",IF(F77=0,"Belum Lapor",IF(F77&gt;1,"Data Ganda",IF(COUNTIFS(Sales_Harian!$A$8:$A$507,$B$4,Sales_Harian!$B$8:$B$507,$A77,Sales_Harian!$Z$8:$Z$507,"Dikirim")+COUNTIFS(SPV_Harian!$A$8:$A$507,$B$4,SPV_Harian!$B$8:$B$507,$A77,SPV_Harian!$Y$8:$Y$507,"Dikirim")+COUNTIFS(ASM_Harian!$A$8:$A$507,$B$4,ASM_Harian!$B$8:$B$507,$A77,ASM_Harian!$Y$8:$Y$507,"Dikirim")=1,"Dikirim","Draft"))))</f>
        <v/>
      </c>
      <c r="H77" s="12" t="str">
        <f>IF(OR($A77="",F77=0),"",SUMIFS(Sales_Harian!$AF$8:$AF$507,Sales_Harian!$A$8:$A$507,$B$4,Sales_Harian!$B$8:$B$507,$A77)+SUMIFS(SPV_Harian!$AE$8:$AE$507,SPV_Harian!$A$8:$A$507,$B$4,SPV_Harian!$B$8:$B$507,$A77)+SUMIFS(ASM_Harian!$AE$8:$AE$507,ASM_Harian!$A$8:$A$507,$B$4,ASM_Harian!$B$8:$B$507,$A77))</f>
        <v/>
      </c>
      <c r="I77" s="12" t="str">
        <f>IF(OR($A77="",F77=0),"",SUMIFS(Sales_Harian!$AG$8:$AG$507,Sales_Harian!$A$8:$A$507,$B$4,Sales_Harian!$B$8:$B$507,$A77)+SUMIFS(SPV_Harian!$AF$8:$AF$507,SPV_Harian!$A$8:$A$507,$B$4,SPV_Harian!$B$8:$B$507,$A77)+SUMIFS(ASM_Harian!$AF$8:$AF$507,ASM_Harian!$A$8:$A$507,$B$4,ASM_Harian!$B$8:$B$507,$A77))</f>
        <v/>
      </c>
      <c r="J77" s="12" t="str">
        <f>IF(OR($A77="",F77=0),"",SUMIFS(Sales_Harian!$AH$8:$AH$507,Sales_Harian!$A$8:$A$507,$B$4,Sales_Harian!$B$8:$B$507,$A77)+SUMIFS(SPV_Harian!$AG$8:$AG$507,SPV_Harian!$A$8:$A$507,$B$4,SPV_Harian!$B$8:$B$507,$A77)+SUMIFS(ASM_Harian!$AG$8:$AG$507,ASM_Harian!$A$8:$A$507,$B$4,ASM_Harian!$B$8:$B$507,$A77))</f>
        <v/>
      </c>
      <c r="K77" s="12" t="str">
        <f>IF(OR($A77="",F77=0),"",SUMIFS(Sales_Harian!$AI$8:$AI$507,Sales_Harian!$A$8:$A$507,$B$4,Sales_Harian!$B$8:$B$507,$A77)+SUMIFS(SPV_Harian!$AH$8:$AH$507,SPV_Harian!$A$8:$A$507,$B$4,SPV_Harian!$B$8:$B$507,$A77)+SUMIFS(ASM_Harian!$AH$8:$AH$507,ASM_Harian!$A$8:$A$507,$B$4,ASM_Harian!$B$8:$B$507,$A77))</f>
        <v/>
      </c>
      <c r="L77" s="12" t="str">
        <f>IF(OR($A77="",F77=0),"",SUMIFS(Sales_Harian!$AK$8:$AK$507,Sales_Harian!$A$8:$A$507,$B$4,Sales_Harian!$B$8:$B$507,$A77)+SUMIFS(SPV_Harian!$AJ$8:$AJ$507,SPV_Harian!$A$8:$A$507,$B$4,SPV_Harian!$B$8:$B$507,$A77)+SUMIFS(ASM_Harian!$AJ$8:$AJ$507,ASM_Harian!$A$8:$A$507,$B$4,ASM_Harian!$B$8:$B$507,$A77))</f>
        <v/>
      </c>
      <c r="M77" s="13" t="str">
        <f t="shared" si="1"/>
        <v/>
      </c>
      <c r="N77" s="1" t="str">
        <f>IF($A77="","",IF(G77&lt;&gt;"Dikirim","",IF(COUNTIFS(Sales_Harian!$A$8:$A$507,$B$4,Sales_Harian!$B$8:$B$507,$A77,Sales_Harian!$AB$8:$AB$507,"Disetujui")+COUNTIFS(SPV_Harian!$A$8:$A$507,$B$4,SPV_Harian!$B$8:$B$507,$A77,SPV_Harian!$AA$8:$AA$507,"Disetujui")+COUNTIFS(ASM_Harian!$A$8:$A$507,$B$4,ASM_Harian!$B$8:$B$507,$A77,ASM_Harian!$AA$8:$AA$507,"Disetujui")=1,IF(COUNTIFS(Sales_Harian!$A$8:$A$507,$B$4,Sales_Harian!$B$8:$B$507,$A77,Sales_Harian!$AM$8:$AM$507,"&lt;&gt;OK")+COUNTIFS(SPV_Harian!$A$8:$A$507,$B$4,SPV_Harian!$B$8:$B$507,$A77,SPV_Harian!$AL$8:$AL$507,"&lt;&gt;OK")+COUNTIFS(ASM_Harian!$A$8:$A$507,$B$4,ASM_Harian!$B$8:$B$507,$A77,ASM_Harian!$AL$8:$AL$507,"&lt;&gt;OK")&gt;0,"Review belum valid","Disetujui"),IF(COUNTIFS(Sales_Harian!$A$8:$A$507,$B$4,Sales_Harian!$B$8:$B$507,$A77,Sales_Harian!$AB$8:$AB$507,"Perlu Perbaikan")+COUNTIFS(SPV_Harian!$A$8:$A$507,$B$4,SPV_Harian!$B$8:$B$507,$A77,SPV_Harian!$AA$8:$AA$507,"Perlu Perbaikan")+COUNTIFS(ASM_Harian!$A$8:$A$507,$B$4,ASM_Harian!$B$8:$B$507,$A77,ASM_Harian!$AA$8:$AA$507,"Perlu Perbaikan")=1,"Perlu Perbaikan","Belum Diperiksa"))))</f>
        <v/>
      </c>
      <c r="O77" s="1" t="str">
        <f>IF($A77="","",IF(F77=0,"Belum ada laporan",IF(F77&gt;1,"Hapus/benahi laporan ganda",IF(COUNTIFS(Sales_Harian!$A$8:$A$507,$B$4,Sales_Harian!$B$8:$B$507,$A77,Sales_Harian!$AM$8:$AM$507,"&lt;&gt;OK")+COUNTIFS(SPV_Harian!$A$8:$A$507,$B$4,SPV_Harian!$B$8:$B$507,$A77,SPV_Harian!$AL$8:$AL$507,"&lt;&gt;OK")+COUNTIFS(ASM_Harian!$A$8:$A$507,$B$4,ASM_Harian!$B$8:$B$507,$A77,ASM_Harian!$AL$8:$AL$507,"&lt;&gt;OK")&gt;0,"Periksa validasi_data",IF(SUM(J77:K77)&gt;0,"Ada kegiatan terbuka",IF(N77="Perlu Perbaikan","Tindak lanjuti review",IF(G77="Draft","Kirim laporan",IF(N77="Belum Diperiksa","Menunggu pemeriksaan",""))))))))</f>
        <v/>
      </c>
    </row>
    <row r="78" spans="1:15" ht="24" customHeight="1">
      <c r="A78" s="1" t="str">
        <f>IF(AND(Master_PIC!A72&lt;&gt;"",Master_PIC!G72="Aktif",Master_PIC!C72&lt;&gt;"Manager"),Master_PIC!A72,"")</f>
        <v/>
      </c>
      <c r="B78" s="1" t="str">
        <f>IF($A78="","",IF(Master_PIC!B72="","",Master_PIC!B72))</f>
        <v/>
      </c>
      <c r="C78" s="1" t="str">
        <f>IF($A78="","",IF(Master_PIC!C72="","",Master_PIC!C72))</f>
        <v/>
      </c>
      <c r="D78" s="1" t="str">
        <f>IF($A78="","",IF(Master_PIC!D72="","",Master_PIC!D72))</f>
        <v/>
      </c>
      <c r="E78" s="1" t="str">
        <f>IF($A78="","",IF(Master_PIC!E72="","",Master_PIC!E72))</f>
        <v/>
      </c>
      <c r="F78" s="12" t="str">
        <f>IF($A78="","",COUNTIFS(Sales_Harian!$A$8:$A$507,$B$4,Sales_Harian!$B$8:$B$507,$A78)+COUNTIFS(SPV_Harian!$A$8:$A$507,$B$4,SPV_Harian!$B$8:$B$507,$A78)+COUNTIFS(ASM_Harian!$A$8:$A$507,$B$4,ASM_Harian!$B$8:$B$507,$A78))</f>
        <v/>
      </c>
      <c r="G78" s="12" t="str">
        <f>IF($A78="","",IF(F78=0,"Belum Lapor",IF(F78&gt;1,"Data Ganda",IF(COUNTIFS(Sales_Harian!$A$8:$A$507,$B$4,Sales_Harian!$B$8:$B$507,$A78,Sales_Harian!$Z$8:$Z$507,"Dikirim")+COUNTIFS(SPV_Harian!$A$8:$A$507,$B$4,SPV_Harian!$B$8:$B$507,$A78,SPV_Harian!$Y$8:$Y$507,"Dikirim")+COUNTIFS(ASM_Harian!$A$8:$A$507,$B$4,ASM_Harian!$B$8:$B$507,$A78,ASM_Harian!$Y$8:$Y$507,"Dikirim")=1,"Dikirim","Draft"))))</f>
        <v/>
      </c>
      <c r="H78" s="12" t="str">
        <f>IF(OR($A78="",F78=0),"",SUMIFS(Sales_Harian!$AF$8:$AF$507,Sales_Harian!$A$8:$A$507,$B$4,Sales_Harian!$B$8:$B$507,$A78)+SUMIFS(SPV_Harian!$AE$8:$AE$507,SPV_Harian!$A$8:$A$507,$B$4,SPV_Harian!$B$8:$B$507,$A78)+SUMIFS(ASM_Harian!$AE$8:$AE$507,ASM_Harian!$A$8:$A$507,$B$4,ASM_Harian!$B$8:$B$507,$A78))</f>
        <v/>
      </c>
      <c r="I78" s="12" t="str">
        <f>IF(OR($A78="",F78=0),"",SUMIFS(Sales_Harian!$AG$8:$AG$507,Sales_Harian!$A$8:$A$507,$B$4,Sales_Harian!$B$8:$B$507,$A78)+SUMIFS(SPV_Harian!$AF$8:$AF$507,SPV_Harian!$A$8:$A$507,$B$4,SPV_Harian!$B$8:$B$507,$A78)+SUMIFS(ASM_Harian!$AF$8:$AF$507,ASM_Harian!$A$8:$A$507,$B$4,ASM_Harian!$B$8:$B$507,$A78))</f>
        <v/>
      </c>
      <c r="J78" s="12" t="str">
        <f>IF(OR($A78="",F78=0),"",SUMIFS(Sales_Harian!$AH$8:$AH$507,Sales_Harian!$A$8:$A$507,$B$4,Sales_Harian!$B$8:$B$507,$A78)+SUMIFS(SPV_Harian!$AG$8:$AG$507,SPV_Harian!$A$8:$A$507,$B$4,SPV_Harian!$B$8:$B$507,$A78)+SUMIFS(ASM_Harian!$AG$8:$AG$507,ASM_Harian!$A$8:$A$507,$B$4,ASM_Harian!$B$8:$B$507,$A78))</f>
        <v/>
      </c>
      <c r="K78" s="12" t="str">
        <f>IF(OR($A78="",F78=0),"",SUMIFS(Sales_Harian!$AI$8:$AI$507,Sales_Harian!$A$8:$A$507,$B$4,Sales_Harian!$B$8:$B$507,$A78)+SUMIFS(SPV_Harian!$AH$8:$AH$507,SPV_Harian!$A$8:$A$507,$B$4,SPV_Harian!$B$8:$B$507,$A78)+SUMIFS(ASM_Harian!$AH$8:$AH$507,ASM_Harian!$A$8:$A$507,$B$4,ASM_Harian!$B$8:$B$507,$A78))</f>
        <v/>
      </c>
      <c r="L78" s="12" t="str">
        <f>IF(OR($A78="",F78=0),"",SUMIFS(Sales_Harian!$AK$8:$AK$507,Sales_Harian!$A$8:$A$507,$B$4,Sales_Harian!$B$8:$B$507,$A78)+SUMIFS(SPV_Harian!$AJ$8:$AJ$507,SPV_Harian!$A$8:$A$507,$B$4,SPV_Harian!$B$8:$B$507,$A78)+SUMIFS(ASM_Harian!$AJ$8:$AJ$507,ASM_Harian!$A$8:$A$507,$B$4,ASM_Harian!$B$8:$B$507,$A78))</f>
        <v/>
      </c>
      <c r="M78" s="13" t="str">
        <f t="shared" si="1"/>
        <v/>
      </c>
      <c r="N78" s="1" t="str">
        <f>IF($A78="","",IF(G78&lt;&gt;"Dikirim","",IF(COUNTIFS(Sales_Harian!$A$8:$A$507,$B$4,Sales_Harian!$B$8:$B$507,$A78,Sales_Harian!$AB$8:$AB$507,"Disetujui")+COUNTIFS(SPV_Harian!$A$8:$A$507,$B$4,SPV_Harian!$B$8:$B$507,$A78,SPV_Harian!$AA$8:$AA$507,"Disetujui")+COUNTIFS(ASM_Harian!$A$8:$A$507,$B$4,ASM_Harian!$B$8:$B$507,$A78,ASM_Harian!$AA$8:$AA$507,"Disetujui")=1,IF(COUNTIFS(Sales_Harian!$A$8:$A$507,$B$4,Sales_Harian!$B$8:$B$507,$A78,Sales_Harian!$AM$8:$AM$507,"&lt;&gt;OK")+COUNTIFS(SPV_Harian!$A$8:$A$507,$B$4,SPV_Harian!$B$8:$B$507,$A78,SPV_Harian!$AL$8:$AL$507,"&lt;&gt;OK")+COUNTIFS(ASM_Harian!$A$8:$A$507,$B$4,ASM_Harian!$B$8:$B$507,$A78,ASM_Harian!$AL$8:$AL$507,"&lt;&gt;OK")&gt;0,"Review belum valid","Disetujui"),IF(COUNTIFS(Sales_Harian!$A$8:$A$507,$B$4,Sales_Harian!$B$8:$B$507,$A78,Sales_Harian!$AB$8:$AB$507,"Perlu Perbaikan")+COUNTIFS(SPV_Harian!$A$8:$A$507,$B$4,SPV_Harian!$B$8:$B$507,$A78,SPV_Harian!$AA$8:$AA$507,"Perlu Perbaikan")+COUNTIFS(ASM_Harian!$A$8:$A$507,$B$4,ASM_Harian!$B$8:$B$507,$A78,ASM_Harian!$AA$8:$AA$507,"Perlu Perbaikan")=1,"Perlu Perbaikan","Belum Diperiksa"))))</f>
        <v/>
      </c>
      <c r="O78" s="1" t="str">
        <f>IF($A78="","",IF(F78=0,"Belum ada laporan",IF(F78&gt;1,"Hapus/benahi laporan ganda",IF(COUNTIFS(Sales_Harian!$A$8:$A$507,$B$4,Sales_Harian!$B$8:$B$507,$A78,Sales_Harian!$AM$8:$AM$507,"&lt;&gt;OK")+COUNTIFS(SPV_Harian!$A$8:$A$507,$B$4,SPV_Harian!$B$8:$B$507,$A78,SPV_Harian!$AL$8:$AL$507,"&lt;&gt;OK")+COUNTIFS(ASM_Harian!$A$8:$A$507,$B$4,ASM_Harian!$B$8:$B$507,$A78,ASM_Harian!$AL$8:$AL$507,"&lt;&gt;OK")&gt;0,"Periksa validasi_data",IF(SUM(J78:K78)&gt;0,"Ada kegiatan terbuka",IF(N78="Perlu Perbaikan","Tindak lanjuti review",IF(G78="Draft","Kirim laporan",IF(N78="Belum Diperiksa","Menunggu pemeriksaan",""))))))))</f>
        <v/>
      </c>
    </row>
    <row r="79" spans="1:15" ht="24" customHeight="1">
      <c r="A79" s="1" t="str">
        <f>IF(AND(Master_PIC!A73&lt;&gt;"",Master_PIC!G73="Aktif",Master_PIC!C73&lt;&gt;"Manager"),Master_PIC!A73,"")</f>
        <v/>
      </c>
      <c r="B79" s="1" t="str">
        <f>IF($A79="","",IF(Master_PIC!B73="","",Master_PIC!B73))</f>
        <v/>
      </c>
      <c r="C79" s="1" t="str">
        <f>IF($A79="","",IF(Master_PIC!C73="","",Master_PIC!C73))</f>
        <v/>
      </c>
      <c r="D79" s="1" t="str">
        <f>IF($A79="","",IF(Master_PIC!D73="","",Master_PIC!D73))</f>
        <v/>
      </c>
      <c r="E79" s="1" t="str">
        <f>IF($A79="","",IF(Master_PIC!E73="","",Master_PIC!E73))</f>
        <v/>
      </c>
      <c r="F79" s="12" t="str">
        <f>IF($A79="","",COUNTIFS(Sales_Harian!$A$8:$A$507,$B$4,Sales_Harian!$B$8:$B$507,$A79)+COUNTIFS(SPV_Harian!$A$8:$A$507,$B$4,SPV_Harian!$B$8:$B$507,$A79)+COUNTIFS(ASM_Harian!$A$8:$A$507,$B$4,ASM_Harian!$B$8:$B$507,$A79))</f>
        <v/>
      </c>
      <c r="G79" s="12" t="str">
        <f>IF($A79="","",IF(F79=0,"Belum Lapor",IF(F79&gt;1,"Data Ganda",IF(COUNTIFS(Sales_Harian!$A$8:$A$507,$B$4,Sales_Harian!$B$8:$B$507,$A79,Sales_Harian!$Z$8:$Z$507,"Dikirim")+COUNTIFS(SPV_Harian!$A$8:$A$507,$B$4,SPV_Harian!$B$8:$B$507,$A79,SPV_Harian!$Y$8:$Y$507,"Dikirim")+COUNTIFS(ASM_Harian!$A$8:$A$507,$B$4,ASM_Harian!$B$8:$B$507,$A79,ASM_Harian!$Y$8:$Y$507,"Dikirim")=1,"Dikirim","Draft"))))</f>
        <v/>
      </c>
      <c r="H79" s="12" t="str">
        <f>IF(OR($A79="",F79=0),"",SUMIFS(Sales_Harian!$AF$8:$AF$507,Sales_Harian!$A$8:$A$507,$B$4,Sales_Harian!$B$8:$B$507,$A79)+SUMIFS(SPV_Harian!$AE$8:$AE$507,SPV_Harian!$A$8:$A$507,$B$4,SPV_Harian!$B$8:$B$507,$A79)+SUMIFS(ASM_Harian!$AE$8:$AE$507,ASM_Harian!$A$8:$A$507,$B$4,ASM_Harian!$B$8:$B$507,$A79))</f>
        <v/>
      </c>
      <c r="I79" s="12" t="str">
        <f>IF(OR($A79="",F79=0),"",SUMIFS(Sales_Harian!$AG$8:$AG$507,Sales_Harian!$A$8:$A$507,$B$4,Sales_Harian!$B$8:$B$507,$A79)+SUMIFS(SPV_Harian!$AF$8:$AF$507,SPV_Harian!$A$8:$A$507,$B$4,SPV_Harian!$B$8:$B$507,$A79)+SUMIFS(ASM_Harian!$AF$8:$AF$507,ASM_Harian!$A$8:$A$507,$B$4,ASM_Harian!$B$8:$B$507,$A79))</f>
        <v/>
      </c>
      <c r="J79" s="12" t="str">
        <f>IF(OR($A79="",F79=0),"",SUMIFS(Sales_Harian!$AH$8:$AH$507,Sales_Harian!$A$8:$A$507,$B$4,Sales_Harian!$B$8:$B$507,$A79)+SUMIFS(SPV_Harian!$AG$8:$AG$507,SPV_Harian!$A$8:$A$507,$B$4,SPV_Harian!$B$8:$B$507,$A79)+SUMIFS(ASM_Harian!$AG$8:$AG$507,ASM_Harian!$A$8:$A$507,$B$4,ASM_Harian!$B$8:$B$507,$A79))</f>
        <v/>
      </c>
      <c r="K79" s="12" t="str">
        <f>IF(OR($A79="",F79=0),"",SUMIFS(Sales_Harian!$AI$8:$AI$507,Sales_Harian!$A$8:$A$507,$B$4,Sales_Harian!$B$8:$B$507,$A79)+SUMIFS(SPV_Harian!$AH$8:$AH$507,SPV_Harian!$A$8:$A$507,$B$4,SPV_Harian!$B$8:$B$507,$A79)+SUMIFS(ASM_Harian!$AH$8:$AH$507,ASM_Harian!$A$8:$A$507,$B$4,ASM_Harian!$B$8:$B$507,$A79))</f>
        <v/>
      </c>
      <c r="L79" s="12" t="str">
        <f>IF(OR($A79="",F79=0),"",SUMIFS(Sales_Harian!$AK$8:$AK$507,Sales_Harian!$A$8:$A$507,$B$4,Sales_Harian!$B$8:$B$507,$A79)+SUMIFS(SPV_Harian!$AJ$8:$AJ$507,SPV_Harian!$A$8:$A$507,$B$4,SPV_Harian!$B$8:$B$507,$A79)+SUMIFS(ASM_Harian!$AJ$8:$AJ$507,ASM_Harian!$A$8:$A$507,$B$4,ASM_Harian!$B$8:$B$507,$A79))</f>
        <v/>
      </c>
      <c r="M79" s="13" t="str">
        <f t="shared" si="1"/>
        <v/>
      </c>
      <c r="N79" s="1" t="str">
        <f>IF($A79="","",IF(G79&lt;&gt;"Dikirim","",IF(COUNTIFS(Sales_Harian!$A$8:$A$507,$B$4,Sales_Harian!$B$8:$B$507,$A79,Sales_Harian!$AB$8:$AB$507,"Disetujui")+COUNTIFS(SPV_Harian!$A$8:$A$507,$B$4,SPV_Harian!$B$8:$B$507,$A79,SPV_Harian!$AA$8:$AA$507,"Disetujui")+COUNTIFS(ASM_Harian!$A$8:$A$507,$B$4,ASM_Harian!$B$8:$B$507,$A79,ASM_Harian!$AA$8:$AA$507,"Disetujui")=1,IF(COUNTIFS(Sales_Harian!$A$8:$A$507,$B$4,Sales_Harian!$B$8:$B$507,$A79,Sales_Harian!$AM$8:$AM$507,"&lt;&gt;OK")+COUNTIFS(SPV_Harian!$A$8:$A$507,$B$4,SPV_Harian!$B$8:$B$507,$A79,SPV_Harian!$AL$8:$AL$507,"&lt;&gt;OK")+COUNTIFS(ASM_Harian!$A$8:$A$507,$B$4,ASM_Harian!$B$8:$B$507,$A79,ASM_Harian!$AL$8:$AL$507,"&lt;&gt;OK")&gt;0,"Review belum valid","Disetujui"),IF(COUNTIFS(Sales_Harian!$A$8:$A$507,$B$4,Sales_Harian!$B$8:$B$507,$A79,Sales_Harian!$AB$8:$AB$507,"Perlu Perbaikan")+COUNTIFS(SPV_Harian!$A$8:$A$507,$B$4,SPV_Harian!$B$8:$B$507,$A79,SPV_Harian!$AA$8:$AA$507,"Perlu Perbaikan")+COUNTIFS(ASM_Harian!$A$8:$A$507,$B$4,ASM_Harian!$B$8:$B$507,$A79,ASM_Harian!$AA$8:$AA$507,"Perlu Perbaikan")=1,"Perlu Perbaikan","Belum Diperiksa"))))</f>
        <v/>
      </c>
      <c r="O79" s="1" t="str">
        <f>IF($A79="","",IF(F79=0,"Belum ada laporan",IF(F79&gt;1,"Hapus/benahi laporan ganda",IF(COUNTIFS(Sales_Harian!$A$8:$A$507,$B$4,Sales_Harian!$B$8:$B$507,$A79,Sales_Harian!$AM$8:$AM$507,"&lt;&gt;OK")+COUNTIFS(SPV_Harian!$A$8:$A$507,$B$4,SPV_Harian!$B$8:$B$507,$A79,SPV_Harian!$AL$8:$AL$507,"&lt;&gt;OK")+COUNTIFS(ASM_Harian!$A$8:$A$507,$B$4,ASM_Harian!$B$8:$B$507,$A79,ASM_Harian!$AL$8:$AL$507,"&lt;&gt;OK")&gt;0,"Periksa validasi_data",IF(SUM(J79:K79)&gt;0,"Ada kegiatan terbuka",IF(N79="Perlu Perbaikan","Tindak lanjuti review",IF(G79="Draft","Kirim laporan",IF(N79="Belum Diperiksa","Menunggu pemeriksaan",""))))))))</f>
        <v/>
      </c>
    </row>
  </sheetData>
  <conditionalFormatting sqref="G20:G79">
    <cfRule type="cellIs" dxfId="35" priority="1" operator="equal">
      <formula>"Belum Lapor"</formula>
    </cfRule>
    <cfRule type="cellIs" dxfId="34" priority="2" operator="equal">
      <formula>"Data Ganda"</formula>
    </cfRule>
  </conditionalFormatting>
  <conditionalFormatting sqref="N20:N79">
    <cfRule type="cellIs" dxfId="33" priority="3" operator="equal">
      <formula>"Disetujui"</formula>
    </cfRule>
  </conditionalFormatting>
  <conditionalFormatting sqref="O20:O79">
    <cfRule type="expression" dxfId="32" priority="4">
      <formula>O20&lt;&gt;""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7D94"/>
  </sheetPr>
  <dimension ref="A1:AM507"/>
  <sheetViews>
    <sheetView showGridLines="0" workbookViewId="0">
      <pane xSplit="2" ySplit="7" topLeftCell="C8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RowHeight="14.25"/>
  <cols>
    <col min="1" max="1" width="15" customWidth="1"/>
    <col min="2" max="2" width="16" customWidth="1"/>
    <col min="3" max="3" width="24" customWidth="1"/>
    <col min="4" max="4" width="21" customWidth="1"/>
    <col min="5" max="5" width="23" customWidth="1"/>
    <col min="6" max="6" width="17" customWidth="1"/>
    <col min="7" max="20" width="18" customWidth="1"/>
    <col min="21" max="22" width="38" customWidth="1"/>
    <col min="23" max="23" width="19" customWidth="1"/>
    <col min="24" max="24" width="21" customWidth="1"/>
    <col min="25" max="25" width="35" customWidth="1"/>
    <col min="26" max="26" width="21" customWidth="1"/>
    <col min="27" max="27" width="23" customWidth="1"/>
    <col min="28" max="28" width="21" customWidth="1"/>
    <col min="29" max="29" width="19" customWidth="1"/>
    <col min="30" max="30" width="23" customWidth="1"/>
    <col min="31" max="31" width="38" customWidth="1"/>
    <col min="32" max="38" width="16" customWidth="1"/>
    <col min="39" max="39" width="36" customWidth="1"/>
  </cols>
  <sheetData>
    <row r="1" spans="1:39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30.95" customHeight="1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24" customHeight="1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4" customHeight="1">
      <c r="A5" s="1" t="s">
        <v>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45" customHeight="1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 t="s">
        <v>50</v>
      </c>
      <c r="Q7" s="4" t="s">
        <v>51</v>
      </c>
      <c r="R7" s="4" t="s">
        <v>52</v>
      </c>
      <c r="S7" s="4" t="s">
        <v>53</v>
      </c>
      <c r="T7" s="4" t="s">
        <v>54</v>
      </c>
      <c r="U7" s="4" t="s">
        <v>55</v>
      </c>
      <c r="V7" s="4" t="s">
        <v>56</v>
      </c>
      <c r="W7" s="4" t="s">
        <v>57</v>
      </c>
      <c r="X7" s="4" t="s">
        <v>58</v>
      </c>
      <c r="Y7" s="4" t="s">
        <v>59</v>
      </c>
      <c r="Z7" s="4" t="s">
        <v>60</v>
      </c>
      <c r="AA7" s="4" t="s">
        <v>61</v>
      </c>
      <c r="AB7" s="4" t="s">
        <v>62</v>
      </c>
      <c r="AC7" s="4" t="s">
        <v>63</v>
      </c>
      <c r="AD7" s="4" t="s">
        <v>64</v>
      </c>
      <c r="AE7" s="4" t="s">
        <v>65</v>
      </c>
      <c r="AF7" s="4" t="s">
        <v>66</v>
      </c>
      <c r="AG7" s="4" t="s">
        <v>67</v>
      </c>
      <c r="AH7" s="4" t="s">
        <v>68</v>
      </c>
      <c r="AI7" s="4" t="s">
        <v>69</v>
      </c>
      <c r="AJ7" s="4" t="s">
        <v>70</v>
      </c>
      <c r="AK7" s="4" t="s">
        <v>71</v>
      </c>
      <c r="AL7" s="4" t="s">
        <v>72</v>
      </c>
      <c r="AM7" s="4" t="s">
        <v>73</v>
      </c>
    </row>
    <row r="8" spans="1:39" ht="24.95" customHeight="1">
      <c r="A8" s="8"/>
      <c r="B8" s="6"/>
      <c r="C8" s="15" t="str">
        <f>IF(COUNTIFS(Master_PIC!$A$8:$A$73,$B8)=1,IF(VLOOKUP($B8,Master_PIC!$A$8:$G$73,2,FALSE)="","",VLOOKUP($B8,Master_PIC!$A$8:$G$73,2,FALSE)),"")</f>
        <v/>
      </c>
      <c r="D8" s="15" t="str">
        <f>IF(COUNTIFS(Master_PIC!$A$8:$A$73,$B8)=1,IF(VLOOKUP($B8,Master_PIC!$A$8:$G$73,4,FALSE)="","",VLOOKUP($B8,Master_PIC!$A$8:$G$73,4,FALSE)),"")</f>
        <v/>
      </c>
      <c r="E8" s="15" t="str">
        <f>IF(COUNTIFS(Master_PIC!$A$8:$A$73,$B8)=1,IF(VLOOKUP($B8,Master_PIC!$A$8:$G$73,5,FALSE)="","",VLOOKUP($B8,Master_PIC!$A$8:$G$73,5,FALSE)),"")</f>
        <v/>
      </c>
      <c r="F8" s="15" t="str">
        <f>IF(COUNTIFS(Master_PIC!$A$8:$A$73,$B8)=1,IF(VLOOKUP($B8,Master_PIC!$A$8:$G$73,6,FALSE)="","",VLOOKUP($B8,Master_PIC!$A$8:$G$73,6,FALSE)),"")</f>
        <v/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8"/>
      <c r="Y8" s="5"/>
      <c r="Z8" s="5"/>
      <c r="AA8" s="9"/>
      <c r="AB8" s="5"/>
      <c r="AC8" s="5"/>
      <c r="AD8" s="9"/>
      <c r="AE8" s="5"/>
      <c r="AF8" s="7" t="str">
        <f t="shared" ref="AF8:AF71" si="0">IF(OR($A8&lt;&gt;"",$B8&lt;&gt;""),14-AJ8,"")</f>
        <v/>
      </c>
      <c r="AG8" s="7" t="str">
        <f t="shared" ref="AG8:AG71" si="1">IF(OR($A8&lt;&gt;"",$B8&lt;&gt;""),COUNTIFS(G8:T8,"Selesai"),"")</f>
        <v/>
      </c>
      <c r="AH8" s="7" t="str">
        <f t="shared" ref="AH8:AH71" si="2">IF(OR($A8&lt;&gt;"",$B8&lt;&gt;""),COUNTIFS(G8:T8,"Proses"),"")</f>
        <v/>
      </c>
      <c r="AI8" s="7" t="str">
        <f t="shared" ref="AI8:AI71" si="3">IF(OR($A8&lt;&gt;"",$B8&lt;&gt;""),COUNTIFS(G8:T8,"Belum"),"")</f>
        <v/>
      </c>
      <c r="AJ8" s="7" t="str">
        <f t="shared" ref="AJ8:AJ71" si="4">IF(OR($A8&lt;&gt;"",$B8&lt;&gt;""),COUNTIFS(G8:T8,"Tidak Berlaku"),"")</f>
        <v/>
      </c>
      <c r="AK8" s="7" t="str">
        <f t="shared" ref="AK8:AK71" si="5">IF(OR($A8&lt;&gt;"",$B8&lt;&gt;""),COUNTBLANK(G8:T8),"")</f>
        <v/>
      </c>
      <c r="AL8" s="10" t="str">
        <f t="shared" ref="AL8:AL71" si="6">IF(OR($A8&lt;&gt;"",$B8&lt;&gt;""),IF(AF8=0,"n.a.",AG8/AF8),"")</f>
        <v/>
      </c>
      <c r="AM8" s="15" t="str">
        <f>IF(OR($A8&lt;&gt;"",$B8&lt;&gt;""),IF(OR($A8="",$B8=""),"Isi tanggal dan ID PIC",IF(NOT(ISNUMBER($A8)),"Tanggal harus berupa tanggal Excel",IF(COUNTIFS(Master_PIC!$A$8:$A$73,$B8)&lt;&gt;1,"ID PIC tidak unik/terdaftar",IF(VLOOKUP($B8,Master_PIC!$A$8:$G$73,3,FALSE)&lt;&gt;"Sales","Jabatan tidak sesuai sheet",IF(OR($C8="",$D8="",$E8="",$F8=""),"Lengkapi master PIC",IF(COUNTIFS($A$8:$A$507,$A8,$B$8:$B$507,$B8)&gt;1,"Laporan ganda",IF(COUNTIFS(G8:P8,"Tidak Berlaku")&gt;0,"N/A hanya untuk kegiatan bersyarat",IF(SUM(AG8,AH8,AI8,AJ8,AK8)&lt;&gt;14,"Status kegiatan tidak valid",IF(AK8&gt;0,"Lengkapi status kegiatan",IF(AND(AJ8&gt;0,U8=""),"Isi alasan Tidak Berlaku",IF(AND(SUM(AH8,AI8)&gt;0,OR(U8="",V8="",W8="",X8="")),"Isi kendala dan tindak lanjut",IF(AND(Z8&lt;&gt;"Draft",Z8&lt;&gt;"Dikirim"),"Isi status laporan yang valid",IF(AND(AB8&lt;&gt;"",AB8&lt;&gt;"Belum Diperiksa",AB8&lt;&gt;"Disetujui",AB8&lt;&gt;"Perlu Perbaikan"),"Hasil review tidak valid",IF(AND(Z8="Dikirim",OR(Y8="",AA8="")),"Isi bukti dan waktu kirim",IF(AND(AB8="Disetujui",OR(Z8&lt;&gt;"Dikirim",AC8="",AD8="")),"Lengkapi pemeriksaan",IF(AND(AB8="Perlu Perbaikan",OR(AE8="",AC8="",AD8="")),"Isi pemeriksa dan catatan perbaikan","OK")))))))))))))))),"")</f>
        <v/>
      </c>
    </row>
    <row r="9" spans="1:39" ht="24.95" customHeight="1">
      <c r="A9" s="8"/>
      <c r="B9" s="6"/>
      <c r="C9" s="15" t="str">
        <f>IF(COUNTIFS(Master_PIC!$A$8:$A$73,$B9)=1,IF(VLOOKUP($B9,Master_PIC!$A$8:$G$73,2,FALSE)="","",VLOOKUP($B9,Master_PIC!$A$8:$G$73,2,FALSE)),"")</f>
        <v/>
      </c>
      <c r="D9" s="15" t="str">
        <f>IF(COUNTIFS(Master_PIC!$A$8:$A$73,$B9)=1,IF(VLOOKUP($B9,Master_PIC!$A$8:$G$73,4,FALSE)="","",VLOOKUP($B9,Master_PIC!$A$8:$G$73,4,FALSE)),"")</f>
        <v/>
      </c>
      <c r="E9" s="15" t="str">
        <f>IF(COUNTIFS(Master_PIC!$A$8:$A$73,$B9)=1,IF(VLOOKUP($B9,Master_PIC!$A$8:$G$73,5,FALSE)="","",VLOOKUP($B9,Master_PIC!$A$8:$G$73,5,FALSE)),"")</f>
        <v/>
      </c>
      <c r="F9" s="15" t="str">
        <f>IF(COUNTIFS(Master_PIC!$A$8:$A$73,$B9)=1,IF(VLOOKUP($B9,Master_PIC!$A$8:$G$73,6,FALSE)="","",VLOOKUP($B9,Master_PIC!$A$8:$G$73,6,FALSE)),"")</f>
        <v/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8"/>
      <c r="Y9" s="5"/>
      <c r="Z9" s="5"/>
      <c r="AA9" s="9"/>
      <c r="AB9" s="5"/>
      <c r="AC9" s="5"/>
      <c r="AD9" s="9"/>
      <c r="AE9" s="5"/>
      <c r="AF9" s="7" t="str">
        <f t="shared" si="0"/>
        <v/>
      </c>
      <c r="AG9" s="7" t="str">
        <f t="shared" si="1"/>
        <v/>
      </c>
      <c r="AH9" s="7" t="str">
        <f t="shared" si="2"/>
        <v/>
      </c>
      <c r="AI9" s="7" t="str">
        <f t="shared" si="3"/>
        <v/>
      </c>
      <c r="AJ9" s="7" t="str">
        <f t="shared" si="4"/>
        <v/>
      </c>
      <c r="AK9" s="7" t="str">
        <f t="shared" si="5"/>
        <v/>
      </c>
      <c r="AL9" s="10" t="str">
        <f t="shared" si="6"/>
        <v/>
      </c>
      <c r="AM9" s="15" t="str">
        <f>IF(OR($A9&lt;&gt;"",$B9&lt;&gt;""),IF(OR($A9="",$B9=""),"Isi tanggal dan ID PIC",IF(NOT(ISNUMBER($A9)),"Tanggal harus berupa tanggal Excel",IF(COUNTIFS(Master_PIC!$A$8:$A$73,$B9)&lt;&gt;1,"ID PIC tidak unik/terdaftar",IF(VLOOKUP($B9,Master_PIC!$A$8:$G$73,3,FALSE)&lt;&gt;"Sales","Jabatan tidak sesuai sheet",IF(OR($C9="",$D9="",$E9="",$F9=""),"Lengkapi master PIC",IF(COUNTIFS($A$8:$A$507,$A9,$B$8:$B$507,$B9)&gt;1,"Laporan ganda",IF(COUNTIFS(G9:P9,"Tidak Berlaku")&gt;0,"N/A hanya untuk kegiatan bersyarat",IF(SUM(AG9,AH9,AI9,AJ9,AK9)&lt;&gt;14,"Status kegiatan tidak valid",IF(AK9&gt;0,"Lengkapi status kegiatan",IF(AND(AJ9&gt;0,U9=""),"Isi alasan Tidak Berlaku",IF(AND(SUM(AH9,AI9)&gt;0,OR(U9="",V9="",W9="",X9="")),"Isi kendala dan tindak lanjut",IF(AND(Z9&lt;&gt;"Draft",Z9&lt;&gt;"Dikirim"),"Isi status laporan yang valid",IF(AND(AB9&lt;&gt;"",AB9&lt;&gt;"Belum Diperiksa",AB9&lt;&gt;"Disetujui",AB9&lt;&gt;"Perlu Perbaikan"),"Hasil review tidak valid",IF(AND(Z9="Dikirim",OR(Y9="",AA9="")),"Isi bukti dan waktu kirim",IF(AND(AB9="Disetujui",OR(Z9&lt;&gt;"Dikirim",AC9="",AD9="")),"Lengkapi pemeriksaan",IF(AND(AB9="Perlu Perbaikan",OR(AE9="",AC9="",AD9="")),"Isi pemeriksa dan catatan perbaikan","OK")))))))))))))))),"")</f>
        <v/>
      </c>
    </row>
    <row r="10" spans="1:39" ht="24.95" customHeight="1">
      <c r="A10" s="8"/>
      <c r="B10" s="6"/>
      <c r="C10" s="15" t="str">
        <f>IF(COUNTIFS(Master_PIC!$A$8:$A$73,$B10)=1,IF(VLOOKUP($B10,Master_PIC!$A$8:$G$73,2,FALSE)="","",VLOOKUP($B10,Master_PIC!$A$8:$G$73,2,FALSE)),"")</f>
        <v/>
      </c>
      <c r="D10" s="15" t="str">
        <f>IF(COUNTIFS(Master_PIC!$A$8:$A$73,$B10)=1,IF(VLOOKUP($B10,Master_PIC!$A$8:$G$73,4,FALSE)="","",VLOOKUP($B10,Master_PIC!$A$8:$G$73,4,FALSE)),"")</f>
        <v/>
      </c>
      <c r="E10" s="15" t="str">
        <f>IF(COUNTIFS(Master_PIC!$A$8:$A$73,$B10)=1,IF(VLOOKUP($B10,Master_PIC!$A$8:$G$73,5,FALSE)="","",VLOOKUP($B10,Master_PIC!$A$8:$G$73,5,FALSE)),"")</f>
        <v/>
      </c>
      <c r="F10" s="15" t="str">
        <f>IF(COUNTIFS(Master_PIC!$A$8:$A$73,$B10)=1,IF(VLOOKUP($B10,Master_PIC!$A$8:$G$73,6,FALSE)="","",VLOOKUP($B10,Master_PIC!$A$8:$G$73,6,FALSE)),"")</f>
        <v/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8"/>
      <c r="Y10" s="5"/>
      <c r="Z10" s="5"/>
      <c r="AA10" s="9"/>
      <c r="AB10" s="5"/>
      <c r="AC10" s="5"/>
      <c r="AD10" s="9"/>
      <c r="AE10" s="5"/>
      <c r="AF10" s="7" t="str">
        <f t="shared" si="0"/>
        <v/>
      </c>
      <c r="AG10" s="7" t="str">
        <f t="shared" si="1"/>
        <v/>
      </c>
      <c r="AH10" s="7" t="str">
        <f t="shared" si="2"/>
        <v/>
      </c>
      <c r="AI10" s="7" t="str">
        <f t="shared" si="3"/>
        <v/>
      </c>
      <c r="AJ10" s="7" t="str">
        <f t="shared" si="4"/>
        <v/>
      </c>
      <c r="AK10" s="7" t="str">
        <f t="shared" si="5"/>
        <v/>
      </c>
      <c r="AL10" s="10" t="str">
        <f t="shared" si="6"/>
        <v/>
      </c>
      <c r="AM10" s="15" t="str">
        <f>IF(OR($A10&lt;&gt;"",$B10&lt;&gt;""),IF(OR($A10="",$B10=""),"Isi tanggal dan ID PIC",IF(NOT(ISNUMBER($A10)),"Tanggal harus berupa tanggal Excel",IF(COUNTIFS(Master_PIC!$A$8:$A$73,$B10)&lt;&gt;1,"ID PIC tidak unik/terdaftar",IF(VLOOKUP($B10,Master_PIC!$A$8:$G$73,3,FALSE)&lt;&gt;"Sales","Jabatan tidak sesuai sheet",IF(OR($C10="",$D10="",$E10="",$F10=""),"Lengkapi master PIC",IF(COUNTIFS($A$8:$A$507,$A10,$B$8:$B$507,$B10)&gt;1,"Laporan ganda",IF(COUNTIFS(G10:P10,"Tidak Berlaku")&gt;0,"N/A hanya untuk kegiatan bersyarat",IF(SUM(AG10,AH10,AI10,AJ10,AK10)&lt;&gt;14,"Status kegiatan tidak valid",IF(AK10&gt;0,"Lengkapi status kegiatan",IF(AND(AJ10&gt;0,U10=""),"Isi alasan Tidak Berlaku",IF(AND(SUM(AH10,AI10)&gt;0,OR(U10="",V10="",W10="",X10="")),"Isi kendala dan tindak lanjut",IF(AND(Z10&lt;&gt;"Draft",Z10&lt;&gt;"Dikirim"),"Isi status laporan yang valid",IF(AND(AB10&lt;&gt;"",AB10&lt;&gt;"Belum Diperiksa",AB10&lt;&gt;"Disetujui",AB10&lt;&gt;"Perlu Perbaikan"),"Hasil review tidak valid",IF(AND(Z10="Dikirim",OR(Y10="",AA10="")),"Isi bukti dan waktu kirim",IF(AND(AB10="Disetujui",OR(Z10&lt;&gt;"Dikirim",AC10="",AD10="")),"Lengkapi pemeriksaan",IF(AND(AB10="Perlu Perbaikan",OR(AE10="",AC10="",AD10="")),"Isi pemeriksa dan catatan perbaikan","OK")))))))))))))))),"")</f>
        <v/>
      </c>
    </row>
    <row r="11" spans="1:39" ht="24.95" customHeight="1">
      <c r="A11" s="8"/>
      <c r="B11" s="6"/>
      <c r="C11" s="15" t="str">
        <f>IF(COUNTIFS(Master_PIC!$A$8:$A$73,$B11)=1,IF(VLOOKUP($B11,Master_PIC!$A$8:$G$73,2,FALSE)="","",VLOOKUP($B11,Master_PIC!$A$8:$G$73,2,FALSE)),"")</f>
        <v/>
      </c>
      <c r="D11" s="15" t="str">
        <f>IF(COUNTIFS(Master_PIC!$A$8:$A$73,$B11)=1,IF(VLOOKUP($B11,Master_PIC!$A$8:$G$73,4,FALSE)="","",VLOOKUP($B11,Master_PIC!$A$8:$G$73,4,FALSE)),"")</f>
        <v/>
      </c>
      <c r="E11" s="15" t="str">
        <f>IF(COUNTIFS(Master_PIC!$A$8:$A$73,$B11)=1,IF(VLOOKUP($B11,Master_PIC!$A$8:$G$73,5,FALSE)="","",VLOOKUP($B11,Master_PIC!$A$8:$G$73,5,FALSE)),"")</f>
        <v/>
      </c>
      <c r="F11" s="15" t="str">
        <f>IF(COUNTIFS(Master_PIC!$A$8:$A$73,$B11)=1,IF(VLOOKUP($B11,Master_PIC!$A$8:$G$73,6,FALSE)="","",VLOOKUP($B11,Master_PIC!$A$8:$G$73,6,FALSE)),"")</f>
        <v/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8"/>
      <c r="Y11" s="5"/>
      <c r="Z11" s="5"/>
      <c r="AA11" s="9"/>
      <c r="AB11" s="5"/>
      <c r="AC11" s="5"/>
      <c r="AD11" s="9"/>
      <c r="AE11" s="5"/>
      <c r="AF11" s="7" t="str">
        <f t="shared" si="0"/>
        <v/>
      </c>
      <c r="AG11" s="7" t="str">
        <f t="shared" si="1"/>
        <v/>
      </c>
      <c r="AH11" s="7" t="str">
        <f t="shared" si="2"/>
        <v/>
      </c>
      <c r="AI11" s="7" t="str">
        <f t="shared" si="3"/>
        <v/>
      </c>
      <c r="AJ11" s="7" t="str">
        <f t="shared" si="4"/>
        <v/>
      </c>
      <c r="AK11" s="7" t="str">
        <f t="shared" si="5"/>
        <v/>
      </c>
      <c r="AL11" s="10" t="str">
        <f t="shared" si="6"/>
        <v/>
      </c>
      <c r="AM11" s="15" t="str">
        <f>IF(OR($A11&lt;&gt;"",$B11&lt;&gt;""),IF(OR($A11="",$B11=""),"Isi tanggal dan ID PIC",IF(NOT(ISNUMBER($A11)),"Tanggal harus berupa tanggal Excel",IF(COUNTIFS(Master_PIC!$A$8:$A$73,$B11)&lt;&gt;1,"ID PIC tidak unik/terdaftar",IF(VLOOKUP($B11,Master_PIC!$A$8:$G$73,3,FALSE)&lt;&gt;"Sales","Jabatan tidak sesuai sheet",IF(OR($C11="",$D11="",$E11="",$F11=""),"Lengkapi master PIC",IF(COUNTIFS($A$8:$A$507,$A11,$B$8:$B$507,$B11)&gt;1,"Laporan ganda",IF(COUNTIFS(G11:P11,"Tidak Berlaku")&gt;0,"N/A hanya untuk kegiatan bersyarat",IF(SUM(AG11,AH11,AI11,AJ11,AK11)&lt;&gt;14,"Status kegiatan tidak valid",IF(AK11&gt;0,"Lengkapi status kegiatan",IF(AND(AJ11&gt;0,U11=""),"Isi alasan Tidak Berlaku",IF(AND(SUM(AH11,AI11)&gt;0,OR(U11="",V11="",W11="",X11="")),"Isi kendala dan tindak lanjut",IF(AND(Z11&lt;&gt;"Draft",Z11&lt;&gt;"Dikirim"),"Isi status laporan yang valid",IF(AND(AB11&lt;&gt;"",AB11&lt;&gt;"Belum Diperiksa",AB11&lt;&gt;"Disetujui",AB11&lt;&gt;"Perlu Perbaikan"),"Hasil review tidak valid",IF(AND(Z11="Dikirim",OR(Y11="",AA11="")),"Isi bukti dan waktu kirim",IF(AND(AB11="Disetujui",OR(Z11&lt;&gt;"Dikirim",AC11="",AD11="")),"Lengkapi pemeriksaan",IF(AND(AB11="Perlu Perbaikan",OR(AE11="",AC11="",AD11="")),"Isi pemeriksa dan catatan perbaikan","OK")))))))))))))))),"")</f>
        <v/>
      </c>
    </row>
    <row r="12" spans="1:39" ht="24.95" customHeight="1">
      <c r="A12" s="8"/>
      <c r="B12" s="6"/>
      <c r="C12" s="15" t="str">
        <f>IF(COUNTIFS(Master_PIC!$A$8:$A$73,$B12)=1,IF(VLOOKUP($B12,Master_PIC!$A$8:$G$73,2,FALSE)="","",VLOOKUP($B12,Master_PIC!$A$8:$G$73,2,FALSE)),"")</f>
        <v/>
      </c>
      <c r="D12" s="15" t="str">
        <f>IF(COUNTIFS(Master_PIC!$A$8:$A$73,$B12)=1,IF(VLOOKUP($B12,Master_PIC!$A$8:$G$73,4,FALSE)="","",VLOOKUP($B12,Master_PIC!$A$8:$G$73,4,FALSE)),"")</f>
        <v/>
      </c>
      <c r="E12" s="15" t="str">
        <f>IF(COUNTIFS(Master_PIC!$A$8:$A$73,$B12)=1,IF(VLOOKUP($B12,Master_PIC!$A$8:$G$73,5,FALSE)="","",VLOOKUP($B12,Master_PIC!$A$8:$G$73,5,FALSE)),"")</f>
        <v/>
      </c>
      <c r="F12" s="15" t="str">
        <f>IF(COUNTIFS(Master_PIC!$A$8:$A$73,$B12)=1,IF(VLOOKUP($B12,Master_PIC!$A$8:$G$73,6,FALSE)="","",VLOOKUP($B12,Master_PIC!$A$8:$G$73,6,FALSE)),"")</f>
        <v/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8"/>
      <c r="Y12" s="5"/>
      <c r="Z12" s="5"/>
      <c r="AA12" s="9"/>
      <c r="AB12" s="5"/>
      <c r="AC12" s="5"/>
      <c r="AD12" s="9"/>
      <c r="AE12" s="5"/>
      <c r="AF12" s="7" t="str">
        <f t="shared" si="0"/>
        <v/>
      </c>
      <c r="AG12" s="7" t="str">
        <f t="shared" si="1"/>
        <v/>
      </c>
      <c r="AH12" s="7" t="str">
        <f t="shared" si="2"/>
        <v/>
      </c>
      <c r="AI12" s="7" t="str">
        <f t="shared" si="3"/>
        <v/>
      </c>
      <c r="AJ12" s="7" t="str">
        <f t="shared" si="4"/>
        <v/>
      </c>
      <c r="AK12" s="7" t="str">
        <f t="shared" si="5"/>
        <v/>
      </c>
      <c r="AL12" s="10" t="str">
        <f t="shared" si="6"/>
        <v/>
      </c>
      <c r="AM12" s="15" t="str">
        <f>IF(OR($A12&lt;&gt;"",$B12&lt;&gt;""),IF(OR($A12="",$B12=""),"Isi tanggal dan ID PIC",IF(NOT(ISNUMBER($A12)),"Tanggal harus berupa tanggal Excel",IF(COUNTIFS(Master_PIC!$A$8:$A$73,$B12)&lt;&gt;1,"ID PIC tidak unik/terdaftar",IF(VLOOKUP($B12,Master_PIC!$A$8:$G$73,3,FALSE)&lt;&gt;"Sales","Jabatan tidak sesuai sheet",IF(OR($C12="",$D12="",$E12="",$F12=""),"Lengkapi master PIC",IF(COUNTIFS($A$8:$A$507,$A12,$B$8:$B$507,$B12)&gt;1,"Laporan ganda",IF(COUNTIFS(G12:P12,"Tidak Berlaku")&gt;0,"N/A hanya untuk kegiatan bersyarat",IF(SUM(AG12,AH12,AI12,AJ12,AK12)&lt;&gt;14,"Status kegiatan tidak valid",IF(AK12&gt;0,"Lengkapi status kegiatan",IF(AND(AJ12&gt;0,U12=""),"Isi alasan Tidak Berlaku",IF(AND(SUM(AH12,AI12)&gt;0,OR(U12="",V12="",W12="",X12="")),"Isi kendala dan tindak lanjut",IF(AND(Z12&lt;&gt;"Draft",Z12&lt;&gt;"Dikirim"),"Isi status laporan yang valid",IF(AND(AB12&lt;&gt;"",AB12&lt;&gt;"Belum Diperiksa",AB12&lt;&gt;"Disetujui",AB12&lt;&gt;"Perlu Perbaikan"),"Hasil review tidak valid",IF(AND(Z12="Dikirim",OR(Y12="",AA12="")),"Isi bukti dan waktu kirim",IF(AND(AB12="Disetujui",OR(Z12&lt;&gt;"Dikirim",AC12="",AD12="")),"Lengkapi pemeriksaan",IF(AND(AB12="Perlu Perbaikan",OR(AE12="",AC12="",AD12="")),"Isi pemeriksa dan catatan perbaikan","OK")))))))))))))))),"")</f>
        <v/>
      </c>
    </row>
    <row r="13" spans="1:39" ht="24.95" customHeight="1">
      <c r="A13" s="8"/>
      <c r="B13" s="6"/>
      <c r="C13" s="15" t="str">
        <f>IF(COUNTIFS(Master_PIC!$A$8:$A$73,$B13)=1,IF(VLOOKUP($B13,Master_PIC!$A$8:$G$73,2,FALSE)="","",VLOOKUP($B13,Master_PIC!$A$8:$G$73,2,FALSE)),"")</f>
        <v/>
      </c>
      <c r="D13" s="15" t="str">
        <f>IF(COUNTIFS(Master_PIC!$A$8:$A$73,$B13)=1,IF(VLOOKUP($B13,Master_PIC!$A$8:$G$73,4,FALSE)="","",VLOOKUP($B13,Master_PIC!$A$8:$G$73,4,FALSE)),"")</f>
        <v/>
      </c>
      <c r="E13" s="15" t="str">
        <f>IF(COUNTIFS(Master_PIC!$A$8:$A$73,$B13)=1,IF(VLOOKUP($B13,Master_PIC!$A$8:$G$73,5,FALSE)="","",VLOOKUP($B13,Master_PIC!$A$8:$G$73,5,FALSE)),"")</f>
        <v/>
      </c>
      <c r="F13" s="15" t="str">
        <f>IF(COUNTIFS(Master_PIC!$A$8:$A$73,$B13)=1,IF(VLOOKUP($B13,Master_PIC!$A$8:$G$73,6,FALSE)="","",VLOOKUP($B13,Master_PIC!$A$8:$G$73,6,FALSE)),"")</f>
        <v/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8"/>
      <c r="Y13" s="5"/>
      <c r="Z13" s="5"/>
      <c r="AA13" s="9"/>
      <c r="AB13" s="5"/>
      <c r="AC13" s="5"/>
      <c r="AD13" s="9"/>
      <c r="AE13" s="5"/>
      <c r="AF13" s="7" t="str">
        <f t="shared" si="0"/>
        <v/>
      </c>
      <c r="AG13" s="7" t="str">
        <f t="shared" si="1"/>
        <v/>
      </c>
      <c r="AH13" s="7" t="str">
        <f t="shared" si="2"/>
        <v/>
      </c>
      <c r="AI13" s="7" t="str">
        <f t="shared" si="3"/>
        <v/>
      </c>
      <c r="AJ13" s="7" t="str">
        <f t="shared" si="4"/>
        <v/>
      </c>
      <c r="AK13" s="7" t="str">
        <f t="shared" si="5"/>
        <v/>
      </c>
      <c r="AL13" s="10" t="str">
        <f t="shared" si="6"/>
        <v/>
      </c>
      <c r="AM13" s="15" t="str">
        <f>IF(OR($A13&lt;&gt;"",$B13&lt;&gt;""),IF(OR($A13="",$B13=""),"Isi tanggal dan ID PIC",IF(NOT(ISNUMBER($A13)),"Tanggal harus berupa tanggal Excel",IF(COUNTIFS(Master_PIC!$A$8:$A$73,$B13)&lt;&gt;1,"ID PIC tidak unik/terdaftar",IF(VLOOKUP($B13,Master_PIC!$A$8:$G$73,3,FALSE)&lt;&gt;"Sales","Jabatan tidak sesuai sheet",IF(OR($C13="",$D13="",$E13="",$F13=""),"Lengkapi master PIC",IF(COUNTIFS($A$8:$A$507,$A13,$B$8:$B$507,$B13)&gt;1,"Laporan ganda",IF(COUNTIFS(G13:P13,"Tidak Berlaku")&gt;0,"N/A hanya untuk kegiatan bersyarat",IF(SUM(AG13,AH13,AI13,AJ13,AK13)&lt;&gt;14,"Status kegiatan tidak valid",IF(AK13&gt;0,"Lengkapi status kegiatan",IF(AND(AJ13&gt;0,U13=""),"Isi alasan Tidak Berlaku",IF(AND(SUM(AH13,AI13)&gt;0,OR(U13="",V13="",W13="",X13="")),"Isi kendala dan tindak lanjut",IF(AND(Z13&lt;&gt;"Draft",Z13&lt;&gt;"Dikirim"),"Isi status laporan yang valid",IF(AND(AB13&lt;&gt;"",AB13&lt;&gt;"Belum Diperiksa",AB13&lt;&gt;"Disetujui",AB13&lt;&gt;"Perlu Perbaikan"),"Hasil review tidak valid",IF(AND(Z13="Dikirim",OR(Y13="",AA13="")),"Isi bukti dan waktu kirim",IF(AND(AB13="Disetujui",OR(Z13&lt;&gt;"Dikirim",AC13="",AD13="")),"Lengkapi pemeriksaan",IF(AND(AB13="Perlu Perbaikan",OR(AE13="",AC13="",AD13="")),"Isi pemeriksa dan catatan perbaikan","OK")))))))))))))))),"")</f>
        <v/>
      </c>
    </row>
    <row r="14" spans="1:39" ht="24.95" customHeight="1">
      <c r="A14" s="8"/>
      <c r="B14" s="6"/>
      <c r="C14" s="15" t="str">
        <f>IF(COUNTIFS(Master_PIC!$A$8:$A$73,$B14)=1,IF(VLOOKUP($B14,Master_PIC!$A$8:$G$73,2,FALSE)="","",VLOOKUP($B14,Master_PIC!$A$8:$G$73,2,FALSE)),"")</f>
        <v/>
      </c>
      <c r="D14" s="15" t="str">
        <f>IF(COUNTIFS(Master_PIC!$A$8:$A$73,$B14)=1,IF(VLOOKUP($B14,Master_PIC!$A$8:$G$73,4,FALSE)="","",VLOOKUP($B14,Master_PIC!$A$8:$G$73,4,FALSE)),"")</f>
        <v/>
      </c>
      <c r="E14" s="15" t="str">
        <f>IF(COUNTIFS(Master_PIC!$A$8:$A$73,$B14)=1,IF(VLOOKUP($B14,Master_PIC!$A$8:$G$73,5,FALSE)="","",VLOOKUP($B14,Master_PIC!$A$8:$G$73,5,FALSE)),"")</f>
        <v/>
      </c>
      <c r="F14" s="15" t="str">
        <f>IF(COUNTIFS(Master_PIC!$A$8:$A$73,$B14)=1,IF(VLOOKUP($B14,Master_PIC!$A$8:$G$73,6,FALSE)="","",VLOOKUP($B14,Master_PIC!$A$8:$G$73,6,FALSE)),"")</f>
        <v/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8"/>
      <c r="Y14" s="5"/>
      <c r="Z14" s="5"/>
      <c r="AA14" s="9"/>
      <c r="AB14" s="5"/>
      <c r="AC14" s="5"/>
      <c r="AD14" s="9"/>
      <c r="AE14" s="5"/>
      <c r="AF14" s="7" t="str">
        <f t="shared" si="0"/>
        <v/>
      </c>
      <c r="AG14" s="7" t="str">
        <f t="shared" si="1"/>
        <v/>
      </c>
      <c r="AH14" s="7" t="str">
        <f t="shared" si="2"/>
        <v/>
      </c>
      <c r="AI14" s="7" t="str">
        <f t="shared" si="3"/>
        <v/>
      </c>
      <c r="AJ14" s="7" t="str">
        <f t="shared" si="4"/>
        <v/>
      </c>
      <c r="AK14" s="7" t="str">
        <f t="shared" si="5"/>
        <v/>
      </c>
      <c r="AL14" s="10" t="str">
        <f t="shared" si="6"/>
        <v/>
      </c>
      <c r="AM14" s="15" t="str">
        <f>IF(OR($A14&lt;&gt;"",$B14&lt;&gt;""),IF(OR($A14="",$B14=""),"Isi tanggal dan ID PIC",IF(NOT(ISNUMBER($A14)),"Tanggal harus berupa tanggal Excel",IF(COUNTIFS(Master_PIC!$A$8:$A$73,$B14)&lt;&gt;1,"ID PIC tidak unik/terdaftar",IF(VLOOKUP($B14,Master_PIC!$A$8:$G$73,3,FALSE)&lt;&gt;"Sales","Jabatan tidak sesuai sheet",IF(OR($C14="",$D14="",$E14="",$F14=""),"Lengkapi master PIC",IF(COUNTIFS($A$8:$A$507,$A14,$B$8:$B$507,$B14)&gt;1,"Laporan ganda",IF(COUNTIFS(G14:P14,"Tidak Berlaku")&gt;0,"N/A hanya untuk kegiatan bersyarat",IF(SUM(AG14,AH14,AI14,AJ14,AK14)&lt;&gt;14,"Status kegiatan tidak valid",IF(AK14&gt;0,"Lengkapi status kegiatan",IF(AND(AJ14&gt;0,U14=""),"Isi alasan Tidak Berlaku",IF(AND(SUM(AH14,AI14)&gt;0,OR(U14="",V14="",W14="",X14="")),"Isi kendala dan tindak lanjut",IF(AND(Z14&lt;&gt;"Draft",Z14&lt;&gt;"Dikirim"),"Isi status laporan yang valid",IF(AND(AB14&lt;&gt;"",AB14&lt;&gt;"Belum Diperiksa",AB14&lt;&gt;"Disetujui",AB14&lt;&gt;"Perlu Perbaikan"),"Hasil review tidak valid",IF(AND(Z14="Dikirim",OR(Y14="",AA14="")),"Isi bukti dan waktu kirim",IF(AND(AB14="Disetujui",OR(Z14&lt;&gt;"Dikirim",AC14="",AD14="")),"Lengkapi pemeriksaan",IF(AND(AB14="Perlu Perbaikan",OR(AE14="",AC14="",AD14="")),"Isi pemeriksa dan catatan perbaikan","OK")))))))))))))))),"")</f>
        <v/>
      </c>
    </row>
    <row r="15" spans="1:39" ht="24.95" customHeight="1">
      <c r="A15" s="8"/>
      <c r="B15" s="6"/>
      <c r="C15" s="15" t="str">
        <f>IF(COUNTIFS(Master_PIC!$A$8:$A$73,$B15)=1,IF(VLOOKUP($B15,Master_PIC!$A$8:$G$73,2,FALSE)="","",VLOOKUP($B15,Master_PIC!$A$8:$G$73,2,FALSE)),"")</f>
        <v/>
      </c>
      <c r="D15" s="15" t="str">
        <f>IF(COUNTIFS(Master_PIC!$A$8:$A$73,$B15)=1,IF(VLOOKUP($B15,Master_PIC!$A$8:$G$73,4,FALSE)="","",VLOOKUP($B15,Master_PIC!$A$8:$G$73,4,FALSE)),"")</f>
        <v/>
      </c>
      <c r="E15" s="15" t="str">
        <f>IF(COUNTIFS(Master_PIC!$A$8:$A$73,$B15)=1,IF(VLOOKUP($B15,Master_PIC!$A$8:$G$73,5,FALSE)="","",VLOOKUP($B15,Master_PIC!$A$8:$G$73,5,FALSE)),"")</f>
        <v/>
      </c>
      <c r="F15" s="15" t="str">
        <f>IF(COUNTIFS(Master_PIC!$A$8:$A$73,$B15)=1,IF(VLOOKUP($B15,Master_PIC!$A$8:$G$73,6,FALSE)="","",VLOOKUP($B15,Master_PIC!$A$8:$G$73,6,FALSE)),"")</f>
        <v/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8"/>
      <c r="Y15" s="5"/>
      <c r="Z15" s="5"/>
      <c r="AA15" s="9"/>
      <c r="AB15" s="5"/>
      <c r="AC15" s="5"/>
      <c r="AD15" s="9"/>
      <c r="AE15" s="5"/>
      <c r="AF15" s="7" t="str">
        <f t="shared" si="0"/>
        <v/>
      </c>
      <c r="AG15" s="7" t="str">
        <f t="shared" si="1"/>
        <v/>
      </c>
      <c r="AH15" s="7" t="str">
        <f t="shared" si="2"/>
        <v/>
      </c>
      <c r="AI15" s="7" t="str">
        <f t="shared" si="3"/>
        <v/>
      </c>
      <c r="AJ15" s="7" t="str">
        <f t="shared" si="4"/>
        <v/>
      </c>
      <c r="AK15" s="7" t="str">
        <f t="shared" si="5"/>
        <v/>
      </c>
      <c r="AL15" s="10" t="str">
        <f t="shared" si="6"/>
        <v/>
      </c>
      <c r="AM15" s="15" t="str">
        <f>IF(OR($A15&lt;&gt;"",$B15&lt;&gt;""),IF(OR($A15="",$B15=""),"Isi tanggal dan ID PIC",IF(NOT(ISNUMBER($A15)),"Tanggal harus berupa tanggal Excel",IF(COUNTIFS(Master_PIC!$A$8:$A$73,$B15)&lt;&gt;1,"ID PIC tidak unik/terdaftar",IF(VLOOKUP($B15,Master_PIC!$A$8:$G$73,3,FALSE)&lt;&gt;"Sales","Jabatan tidak sesuai sheet",IF(OR($C15="",$D15="",$E15="",$F15=""),"Lengkapi master PIC",IF(COUNTIFS($A$8:$A$507,$A15,$B$8:$B$507,$B15)&gt;1,"Laporan ganda",IF(COUNTIFS(G15:P15,"Tidak Berlaku")&gt;0,"N/A hanya untuk kegiatan bersyarat",IF(SUM(AG15,AH15,AI15,AJ15,AK15)&lt;&gt;14,"Status kegiatan tidak valid",IF(AK15&gt;0,"Lengkapi status kegiatan",IF(AND(AJ15&gt;0,U15=""),"Isi alasan Tidak Berlaku",IF(AND(SUM(AH15,AI15)&gt;0,OR(U15="",V15="",W15="",X15="")),"Isi kendala dan tindak lanjut",IF(AND(Z15&lt;&gt;"Draft",Z15&lt;&gt;"Dikirim"),"Isi status laporan yang valid",IF(AND(AB15&lt;&gt;"",AB15&lt;&gt;"Belum Diperiksa",AB15&lt;&gt;"Disetujui",AB15&lt;&gt;"Perlu Perbaikan"),"Hasil review tidak valid",IF(AND(Z15="Dikirim",OR(Y15="",AA15="")),"Isi bukti dan waktu kirim",IF(AND(AB15="Disetujui",OR(Z15&lt;&gt;"Dikirim",AC15="",AD15="")),"Lengkapi pemeriksaan",IF(AND(AB15="Perlu Perbaikan",OR(AE15="",AC15="",AD15="")),"Isi pemeriksa dan catatan perbaikan","OK")))))))))))))))),"")</f>
        <v/>
      </c>
    </row>
    <row r="16" spans="1:39" ht="24.95" customHeight="1">
      <c r="A16" s="8"/>
      <c r="B16" s="6"/>
      <c r="C16" s="15" t="str">
        <f>IF(COUNTIFS(Master_PIC!$A$8:$A$73,$B16)=1,IF(VLOOKUP($B16,Master_PIC!$A$8:$G$73,2,FALSE)="","",VLOOKUP($B16,Master_PIC!$A$8:$G$73,2,FALSE)),"")</f>
        <v/>
      </c>
      <c r="D16" s="15" t="str">
        <f>IF(COUNTIFS(Master_PIC!$A$8:$A$73,$B16)=1,IF(VLOOKUP($B16,Master_PIC!$A$8:$G$73,4,FALSE)="","",VLOOKUP($B16,Master_PIC!$A$8:$G$73,4,FALSE)),"")</f>
        <v/>
      </c>
      <c r="E16" s="15" t="str">
        <f>IF(COUNTIFS(Master_PIC!$A$8:$A$73,$B16)=1,IF(VLOOKUP($B16,Master_PIC!$A$8:$G$73,5,FALSE)="","",VLOOKUP($B16,Master_PIC!$A$8:$G$73,5,FALSE)),"")</f>
        <v/>
      </c>
      <c r="F16" s="15" t="str">
        <f>IF(COUNTIFS(Master_PIC!$A$8:$A$73,$B16)=1,IF(VLOOKUP($B16,Master_PIC!$A$8:$G$73,6,FALSE)="","",VLOOKUP($B16,Master_PIC!$A$8:$G$73,6,FALSE)),"")</f>
        <v/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8"/>
      <c r="Y16" s="5"/>
      <c r="Z16" s="5"/>
      <c r="AA16" s="9"/>
      <c r="AB16" s="5"/>
      <c r="AC16" s="5"/>
      <c r="AD16" s="9"/>
      <c r="AE16" s="5"/>
      <c r="AF16" s="7" t="str">
        <f t="shared" si="0"/>
        <v/>
      </c>
      <c r="AG16" s="7" t="str">
        <f t="shared" si="1"/>
        <v/>
      </c>
      <c r="AH16" s="7" t="str">
        <f t="shared" si="2"/>
        <v/>
      </c>
      <c r="AI16" s="7" t="str">
        <f t="shared" si="3"/>
        <v/>
      </c>
      <c r="AJ16" s="7" t="str">
        <f t="shared" si="4"/>
        <v/>
      </c>
      <c r="AK16" s="7" t="str">
        <f t="shared" si="5"/>
        <v/>
      </c>
      <c r="AL16" s="10" t="str">
        <f t="shared" si="6"/>
        <v/>
      </c>
      <c r="AM16" s="15" t="str">
        <f>IF(OR($A16&lt;&gt;"",$B16&lt;&gt;""),IF(OR($A16="",$B16=""),"Isi tanggal dan ID PIC",IF(NOT(ISNUMBER($A16)),"Tanggal harus berupa tanggal Excel",IF(COUNTIFS(Master_PIC!$A$8:$A$73,$B16)&lt;&gt;1,"ID PIC tidak unik/terdaftar",IF(VLOOKUP($B16,Master_PIC!$A$8:$G$73,3,FALSE)&lt;&gt;"Sales","Jabatan tidak sesuai sheet",IF(OR($C16="",$D16="",$E16="",$F16=""),"Lengkapi master PIC",IF(COUNTIFS($A$8:$A$507,$A16,$B$8:$B$507,$B16)&gt;1,"Laporan ganda",IF(COUNTIFS(G16:P16,"Tidak Berlaku")&gt;0,"N/A hanya untuk kegiatan bersyarat",IF(SUM(AG16,AH16,AI16,AJ16,AK16)&lt;&gt;14,"Status kegiatan tidak valid",IF(AK16&gt;0,"Lengkapi status kegiatan",IF(AND(AJ16&gt;0,U16=""),"Isi alasan Tidak Berlaku",IF(AND(SUM(AH16,AI16)&gt;0,OR(U16="",V16="",W16="",X16="")),"Isi kendala dan tindak lanjut",IF(AND(Z16&lt;&gt;"Draft",Z16&lt;&gt;"Dikirim"),"Isi status laporan yang valid",IF(AND(AB16&lt;&gt;"",AB16&lt;&gt;"Belum Diperiksa",AB16&lt;&gt;"Disetujui",AB16&lt;&gt;"Perlu Perbaikan"),"Hasil review tidak valid",IF(AND(Z16="Dikirim",OR(Y16="",AA16="")),"Isi bukti dan waktu kirim",IF(AND(AB16="Disetujui",OR(Z16&lt;&gt;"Dikirim",AC16="",AD16="")),"Lengkapi pemeriksaan",IF(AND(AB16="Perlu Perbaikan",OR(AE16="",AC16="",AD16="")),"Isi pemeriksa dan catatan perbaikan","OK")))))))))))))))),"")</f>
        <v/>
      </c>
    </row>
    <row r="17" spans="1:39" ht="24.95" customHeight="1">
      <c r="A17" s="8"/>
      <c r="B17" s="6"/>
      <c r="C17" s="15" t="str">
        <f>IF(COUNTIFS(Master_PIC!$A$8:$A$73,$B17)=1,IF(VLOOKUP($B17,Master_PIC!$A$8:$G$73,2,FALSE)="","",VLOOKUP($B17,Master_PIC!$A$8:$G$73,2,FALSE)),"")</f>
        <v/>
      </c>
      <c r="D17" s="15" t="str">
        <f>IF(COUNTIFS(Master_PIC!$A$8:$A$73,$B17)=1,IF(VLOOKUP($B17,Master_PIC!$A$8:$G$73,4,FALSE)="","",VLOOKUP($B17,Master_PIC!$A$8:$G$73,4,FALSE)),"")</f>
        <v/>
      </c>
      <c r="E17" s="15" t="str">
        <f>IF(COUNTIFS(Master_PIC!$A$8:$A$73,$B17)=1,IF(VLOOKUP($B17,Master_PIC!$A$8:$G$73,5,FALSE)="","",VLOOKUP($B17,Master_PIC!$A$8:$G$73,5,FALSE)),"")</f>
        <v/>
      </c>
      <c r="F17" s="15" t="str">
        <f>IF(COUNTIFS(Master_PIC!$A$8:$A$73,$B17)=1,IF(VLOOKUP($B17,Master_PIC!$A$8:$G$73,6,FALSE)="","",VLOOKUP($B17,Master_PIC!$A$8:$G$73,6,FALSE)),"")</f>
        <v/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8"/>
      <c r="Y17" s="5"/>
      <c r="Z17" s="5"/>
      <c r="AA17" s="9"/>
      <c r="AB17" s="5"/>
      <c r="AC17" s="5"/>
      <c r="AD17" s="9"/>
      <c r="AE17" s="5"/>
      <c r="AF17" s="7" t="str">
        <f t="shared" si="0"/>
        <v/>
      </c>
      <c r="AG17" s="7" t="str">
        <f t="shared" si="1"/>
        <v/>
      </c>
      <c r="AH17" s="7" t="str">
        <f t="shared" si="2"/>
        <v/>
      </c>
      <c r="AI17" s="7" t="str">
        <f t="shared" si="3"/>
        <v/>
      </c>
      <c r="AJ17" s="7" t="str">
        <f t="shared" si="4"/>
        <v/>
      </c>
      <c r="AK17" s="7" t="str">
        <f t="shared" si="5"/>
        <v/>
      </c>
      <c r="AL17" s="10" t="str">
        <f t="shared" si="6"/>
        <v/>
      </c>
      <c r="AM17" s="15" t="str">
        <f>IF(OR($A17&lt;&gt;"",$B17&lt;&gt;""),IF(OR($A17="",$B17=""),"Isi tanggal dan ID PIC",IF(NOT(ISNUMBER($A17)),"Tanggal harus berupa tanggal Excel",IF(COUNTIFS(Master_PIC!$A$8:$A$73,$B17)&lt;&gt;1,"ID PIC tidak unik/terdaftar",IF(VLOOKUP($B17,Master_PIC!$A$8:$G$73,3,FALSE)&lt;&gt;"Sales","Jabatan tidak sesuai sheet",IF(OR($C17="",$D17="",$E17="",$F17=""),"Lengkapi master PIC",IF(COUNTIFS($A$8:$A$507,$A17,$B$8:$B$507,$B17)&gt;1,"Laporan ganda",IF(COUNTIFS(G17:P17,"Tidak Berlaku")&gt;0,"N/A hanya untuk kegiatan bersyarat",IF(SUM(AG17,AH17,AI17,AJ17,AK17)&lt;&gt;14,"Status kegiatan tidak valid",IF(AK17&gt;0,"Lengkapi status kegiatan",IF(AND(AJ17&gt;0,U17=""),"Isi alasan Tidak Berlaku",IF(AND(SUM(AH17,AI17)&gt;0,OR(U17="",V17="",W17="",X17="")),"Isi kendala dan tindak lanjut",IF(AND(Z17&lt;&gt;"Draft",Z17&lt;&gt;"Dikirim"),"Isi status laporan yang valid",IF(AND(AB17&lt;&gt;"",AB17&lt;&gt;"Belum Diperiksa",AB17&lt;&gt;"Disetujui",AB17&lt;&gt;"Perlu Perbaikan"),"Hasil review tidak valid",IF(AND(Z17="Dikirim",OR(Y17="",AA17="")),"Isi bukti dan waktu kirim",IF(AND(AB17="Disetujui",OR(Z17&lt;&gt;"Dikirim",AC17="",AD17="")),"Lengkapi pemeriksaan",IF(AND(AB17="Perlu Perbaikan",OR(AE17="",AC17="",AD17="")),"Isi pemeriksa dan catatan perbaikan","OK")))))))))))))))),"")</f>
        <v/>
      </c>
    </row>
    <row r="18" spans="1:39" ht="24.95" customHeight="1">
      <c r="A18" s="8"/>
      <c r="B18" s="6"/>
      <c r="C18" s="15" t="str">
        <f>IF(COUNTIFS(Master_PIC!$A$8:$A$73,$B18)=1,IF(VLOOKUP($B18,Master_PIC!$A$8:$G$73,2,FALSE)="","",VLOOKUP($B18,Master_PIC!$A$8:$G$73,2,FALSE)),"")</f>
        <v/>
      </c>
      <c r="D18" s="15" t="str">
        <f>IF(COUNTIFS(Master_PIC!$A$8:$A$73,$B18)=1,IF(VLOOKUP($B18,Master_PIC!$A$8:$G$73,4,FALSE)="","",VLOOKUP($B18,Master_PIC!$A$8:$G$73,4,FALSE)),"")</f>
        <v/>
      </c>
      <c r="E18" s="15" t="str">
        <f>IF(COUNTIFS(Master_PIC!$A$8:$A$73,$B18)=1,IF(VLOOKUP($B18,Master_PIC!$A$8:$G$73,5,FALSE)="","",VLOOKUP($B18,Master_PIC!$A$8:$G$73,5,FALSE)),"")</f>
        <v/>
      </c>
      <c r="F18" s="15" t="str">
        <f>IF(COUNTIFS(Master_PIC!$A$8:$A$73,$B18)=1,IF(VLOOKUP($B18,Master_PIC!$A$8:$G$73,6,FALSE)="","",VLOOKUP($B18,Master_PIC!$A$8:$G$73,6,FALSE)),"")</f>
        <v/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8"/>
      <c r="Y18" s="5"/>
      <c r="Z18" s="5"/>
      <c r="AA18" s="9"/>
      <c r="AB18" s="5"/>
      <c r="AC18" s="5"/>
      <c r="AD18" s="9"/>
      <c r="AE18" s="5"/>
      <c r="AF18" s="7" t="str">
        <f t="shared" si="0"/>
        <v/>
      </c>
      <c r="AG18" s="7" t="str">
        <f t="shared" si="1"/>
        <v/>
      </c>
      <c r="AH18" s="7" t="str">
        <f t="shared" si="2"/>
        <v/>
      </c>
      <c r="AI18" s="7" t="str">
        <f t="shared" si="3"/>
        <v/>
      </c>
      <c r="AJ18" s="7" t="str">
        <f t="shared" si="4"/>
        <v/>
      </c>
      <c r="AK18" s="7" t="str">
        <f t="shared" si="5"/>
        <v/>
      </c>
      <c r="AL18" s="10" t="str">
        <f t="shared" si="6"/>
        <v/>
      </c>
      <c r="AM18" s="15" t="str">
        <f>IF(OR($A18&lt;&gt;"",$B18&lt;&gt;""),IF(OR($A18="",$B18=""),"Isi tanggal dan ID PIC",IF(NOT(ISNUMBER($A18)),"Tanggal harus berupa tanggal Excel",IF(COUNTIFS(Master_PIC!$A$8:$A$73,$B18)&lt;&gt;1,"ID PIC tidak unik/terdaftar",IF(VLOOKUP($B18,Master_PIC!$A$8:$G$73,3,FALSE)&lt;&gt;"Sales","Jabatan tidak sesuai sheet",IF(OR($C18="",$D18="",$E18="",$F18=""),"Lengkapi master PIC",IF(COUNTIFS($A$8:$A$507,$A18,$B$8:$B$507,$B18)&gt;1,"Laporan ganda",IF(COUNTIFS(G18:P18,"Tidak Berlaku")&gt;0,"N/A hanya untuk kegiatan bersyarat",IF(SUM(AG18,AH18,AI18,AJ18,AK18)&lt;&gt;14,"Status kegiatan tidak valid",IF(AK18&gt;0,"Lengkapi status kegiatan",IF(AND(AJ18&gt;0,U18=""),"Isi alasan Tidak Berlaku",IF(AND(SUM(AH18,AI18)&gt;0,OR(U18="",V18="",W18="",X18="")),"Isi kendala dan tindak lanjut",IF(AND(Z18&lt;&gt;"Draft",Z18&lt;&gt;"Dikirim"),"Isi status laporan yang valid",IF(AND(AB18&lt;&gt;"",AB18&lt;&gt;"Belum Diperiksa",AB18&lt;&gt;"Disetujui",AB18&lt;&gt;"Perlu Perbaikan"),"Hasil review tidak valid",IF(AND(Z18="Dikirim",OR(Y18="",AA18="")),"Isi bukti dan waktu kirim",IF(AND(AB18="Disetujui",OR(Z18&lt;&gt;"Dikirim",AC18="",AD18="")),"Lengkapi pemeriksaan",IF(AND(AB18="Perlu Perbaikan",OR(AE18="",AC18="",AD18="")),"Isi pemeriksa dan catatan perbaikan","OK")))))))))))))))),"")</f>
        <v/>
      </c>
    </row>
    <row r="19" spans="1:39" ht="24.95" customHeight="1">
      <c r="A19" s="8"/>
      <c r="B19" s="6"/>
      <c r="C19" s="15" t="str">
        <f>IF(COUNTIFS(Master_PIC!$A$8:$A$73,$B19)=1,IF(VLOOKUP($B19,Master_PIC!$A$8:$G$73,2,FALSE)="","",VLOOKUP($B19,Master_PIC!$A$8:$G$73,2,FALSE)),"")</f>
        <v/>
      </c>
      <c r="D19" s="15" t="str">
        <f>IF(COUNTIFS(Master_PIC!$A$8:$A$73,$B19)=1,IF(VLOOKUP($B19,Master_PIC!$A$8:$G$73,4,FALSE)="","",VLOOKUP($B19,Master_PIC!$A$8:$G$73,4,FALSE)),"")</f>
        <v/>
      </c>
      <c r="E19" s="15" t="str">
        <f>IF(COUNTIFS(Master_PIC!$A$8:$A$73,$B19)=1,IF(VLOOKUP($B19,Master_PIC!$A$8:$G$73,5,FALSE)="","",VLOOKUP($B19,Master_PIC!$A$8:$G$73,5,FALSE)),"")</f>
        <v/>
      </c>
      <c r="F19" s="15" t="str">
        <f>IF(COUNTIFS(Master_PIC!$A$8:$A$73,$B19)=1,IF(VLOOKUP($B19,Master_PIC!$A$8:$G$73,6,FALSE)="","",VLOOKUP($B19,Master_PIC!$A$8:$G$73,6,FALSE)),"")</f>
        <v/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8"/>
      <c r="Y19" s="5"/>
      <c r="Z19" s="5"/>
      <c r="AA19" s="9"/>
      <c r="AB19" s="5"/>
      <c r="AC19" s="5"/>
      <c r="AD19" s="9"/>
      <c r="AE19" s="5"/>
      <c r="AF19" s="7" t="str">
        <f t="shared" si="0"/>
        <v/>
      </c>
      <c r="AG19" s="7" t="str">
        <f t="shared" si="1"/>
        <v/>
      </c>
      <c r="AH19" s="7" t="str">
        <f t="shared" si="2"/>
        <v/>
      </c>
      <c r="AI19" s="7" t="str">
        <f t="shared" si="3"/>
        <v/>
      </c>
      <c r="AJ19" s="7" t="str">
        <f t="shared" si="4"/>
        <v/>
      </c>
      <c r="AK19" s="7" t="str">
        <f t="shared" si="5"/>
        <v/>
      </c>
      <c r="AL19" s="10" t="str">
        <f t="shared" si="6"/>
        <v/>
      </c>
      <c r="AM19" s="15" t="str">
        <f>IF(OR($A19&lt;&gt;"",$B19&lt;&gt;""),IF(OR($A19="",$B19=""),"Isi tanggal dan ID PIC",IF(NOT(ISNUMBER($A19)),"Tanggal harus berupa tanggal Excel",IF(COUNTIFS(Master_PIC!$A$8:$A$73,$B19)&lt;&gt;1,"ID PIC tidak unik/terdaftar",IF(VLOOKUP($B19,Master_PIC!$A$8:$G$73,3,FALSE)&lt;&gt;"Sales","Jabatan tidak sesuai sheet",IF(OR($C19="",$D19="",$E19="",$F19=""),"Lengkapi master PIC",IF(COUNTIFS($A$8:$A$507,$A19,$B$8:$B$507,$B19)&gt;1,"Laporan ganda",IF(COUNTIFS(G19:P19,"Tidak Berlaku")&gt;0,"N/A hanya untuk kegiatan bersyarat",IF(SUM(AG19,AH19,AI19,AJ19,AK19)&lt;&gt;14,"Status kegiatan tidak valid",IF(AK19&gt;0,"Lengkapi status kegiatan",IF(AND(AJ19&gt;0,U19=""),"Isi alasan Tidak Berlaku",IF(AND(SUM(AH19,AI19)&gt;0,OR(U19="",V19="",W19="",X19="")),"Isi kendala dan tindak lanjut",IF(AND(Z19&lt;&gt;"Draft",Z19&lt;&gt;"Dikirim"),"Isi status laporan yang valid",IF(AND(AB19&lt;&gt;"",AB19&lt;&gt;"Belum Diperiksa",AB19&lt;&gt;"Disetujui",AB19&lt;&gt;"Perlu Perbaikan"),"Hasil review tidak valid",IF(AND(Z19="Dikirim",OR(Y19="",AA19="")),"Isi bukti dan waktu kirim",IF(AND(AB19="Disetujui",OR(Z19&lt;&gt;"Dikirim",AC19="",AD19="")),"Lengkapi pemeriksaan",IF(AND(AB19="Perlu Perbaikan",OR(AE19="",AC19="",AD19="")),"Isi pemeriksa dan catatan perbaikan","OK")))))))))))))))),"")</f>
        <v/>
      </c>
    </row>
    <row r="20" spans="1:39" ht="24.95" customHeight="1">
      <c r="A20" s="8"/>
      <c r="B20" s="6"/>
      <c r="C20" s="15" t="str">
        <f>IF(COUNTIFS(Master_PIC!$A$8:$A$73,$B20)=1,IF(VLOOKUP($B20,Master_PIC!$A$8:$G$73,2,FALSE)="","",VLOOKUP($B20,Master_PIC!$A$8:$G$73,2,FALSE)),"")</f>
        <v/>
      </c>
      <c r="D20" s="15" t="str">
        <f>IF(COUNTIFS(Master_PIC!$A$8:$A$73,$B20)=1,IF(VLOOKUP($B20,Master_PIC!$A$8:$G$73,4,FALSE)="","",VLOOKUP($B20,Master_PIC!$A$8:$G$73,4,FALSE)),"")</f>
        <v/>
      </c>
      <c r="E20" s="15" t="str">
        <f>IF(COUNTIFS(Master_PIC!$A$8:$A$73,$B20)=1,IF(VLOOKUP($B20,Master_PIC!$A$8:$G$73,5,FALSE)="","",VLOOKUP($B20,Master_PIC!$A$8:$G$73,5,FALSE)),"")</f>
        <v/>
      </c>
      <c r="F20" s="15" t="str">
        <f>IF(COUNTIFS(Master_PIC!$A$8:$A$73,$B20)=1,IF(VLOOKUP($B20,Master_PIC!$A$8:$G$73,6,FALSE)="","",VLOOKUP($B20,Master_PIC!$A$8:$G$73,6,FALSE)),"")</f>
        <v/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8"/>
      <c r="Y20" s="5"/>
      <c r="Z20" s="5"/>
      <c r="AA20" s="9"/>
      <c r="AB20" s="5"/>
      <c r="AC20" s="5"/>
      <c r="AD20" s="9"/>
      <c r="AE20" s="5"/>
      <c r="AF20" s="7" t="str">
        <f t="shared" si="0"/>
        <v/>
      </c>
      <c r="AG20" s="7" t="str">
        <f t="shared" si="1"/>
        <v/>
      </c>
      <c r="AH20" s="7" t="str">
        <f t="shared" si="2"/>
        <v/>
      </c>
      <c r="AI20" s="7" t="str">
        <f t="shared" si="3"/>
        <v/>
      </c>
      <c r="AJ20" s="7" t="str">
        <f t="shared" si="4"/>
        <v/>
      </c>
      <c r="AK20" s="7" t="str">
        <f t="shared" si="5"/>
        <v/>
      </c>
      <c r="AL20" s="10" t="str">
        <f t="shared" si="6"/>
        <v/>
      </c>
      <c r="AM20" s="15" t="str">
        <f>IF(OR($A20&lt;&gt;"",$B20&lt;&gt;""),IF(OR($A20="",$B20=""),"Isi tanggal dan ID PIC",IF(NOT(ISNUMBER($A20)),"Tanggal harus berupa tanggal Excel",IF(COUNTIFS(Master_PIC!$A$8:$A$73,$B20)&lt;&gt;1,"ID PIC tidak unik/terdaftar",IF(VLOOKUP($B20,Master_PIC!$A$8:$G$73,3,FALSE)&lt;&gt;"Sales","Jabatan tidak sesuai sheet",IF(OR($C20="",$D20="",$E20="",$F20=""),"Lengkapi master PIC",IF(COUNTIFS($A$8:$A$507,$A20,$B$8:$B$507,$B20)&gt;1,"Laporan ganda",IF(COUNTIFS(G20:P20,"Tidak Berlaku")&gt;0,"N/A hanya untuk kegiatan bersyarat",IF(SUM(AG20,AH20,AI20,AJ20,AK20)&lt;&gt;14,"Status kegiatan tidak valid",IF(AK20&gt;0,"Lengkapi status kegiatan",IF(AND(AJ20&gt;0,U20=""),"Isi alasan Tidak Berlaku",IF(AND(SUM(AH20,AI20)&gt;0,OR(U20="",V20="",W20="",X20="")),"Isi kendala dan tindak lanjut",IF(AND(Z20&lt;&gt;"Draft",Z20&lt;&gt;"Dikirim"),"Isi status laporan yang valid",IF(AND(AB20&lt;&gt;"",AB20&lt;&gt;"Belum Diperiksa",AB20&lt;&gt;"Disetujui",AB20&lt;&gt;"Perlu Perbaikan"),"Hasil review tidak valid",IF(AND(Z20="Dikirim",OR(Y20="",AA20="")),"Isi bukti dan waktu kirim",IF(AND(AB20="Disetujui",OR(Z20&lt;&gt;"Dikirim",AC20="",AD20="")),"Lengkapi pemeriksaan",IF(AND(AB20="Perlu Perbaikan",OR(AE20="",AC20="",AD20="")),"Isi pemeriksa dan catatan perbaikan","OK")))))))))))))))),"")</f>
        <v/>
      </c>
    </row>
    <row r="21" spans="1:39" ht="24.95" customHeight="1">
      <c r="A21" s="8"/>
      <c r="B21" s="6"/>
      <c r="C21" s="15" t="str">
        <f>IF(COUNTIFS(Master_PIC!$A$8:$A$73,$B21)=1,IF(VLOOKUP($B21,Master_PIC!$A$8:$G$73,2,FALSE)="","",VLOOKUP($B21,Master_PIC!$A$8:$G$73,2,FALSE)),"")</f>
        <v/>
      </c>
      <c r="D21" s="15" t="str">
        <f>IF(COUNTIFS(Master_PIC!$A$8:$A$73,$B21)=1,IF(VLOOKUP($B21,Master_PIC!$A$8:$G$73,4,FALSE)="","",VLOOKUP($B21,Master_PIC!$A$8:$G$73,4,FALSE)),"")</f>
        <v/>
      </c>
      <c r="E21" s="15" t="str">
        <f>IF(COUNTIFS(Master_PIC!$A$8:$A$73,$B21)=1,IF(VLOOKUP($B21,Master_PIC!$A$8:$G$73,5,FALSE)="","",VLOOKUP($B21,Master_PIC!$A$8:$G$73,5,FALSE)),"")</f>
        <v/>
      </c>
      <c r="F21" s="15" t="str">
        <f>IF(COUNTIFS(Master_PIC!$A$8:$A$73,$B21)=1,IF(VLOOKUP($B21,Master_PIC!$A$8:$G$73,6,FALSE)="","",VLOOKUP($B21,Master_PIC!$A$8:$G$73,6,FALSE)),"")</f>
        <v/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8"/>
      <c r="Y21" s="5"/>
      <c r="Z21" s="5"/>
      <c r="AA21" s="9"/>
      <c r="AB21" s="5"/>
      <c r="AC21" s="5"/>
      <c r="AD21" s="9"/>
      <c r="AE21" s="5"/>
      <c r="AF21" s="7" t="str">
        <f t="shared" si="0"/>
        <v/>
      </c>
      <c r="AG21" s="7" t="str">
        <f t="shared" si="1"/>
        <v/>
      </c>
      <c r="AH21" s="7" t="str">
        <f t="shared" si="2"/>
        <v/>
      </c>
      <c r="AI21" s="7" t="str">
        <f t="shared" si="3"/>
        <v/>
      </c>
      <c r="AJ21" s="7" t="str">
        <f t="shared" si="4"/>
        <v/>
      </c>
      <c r="AK21" s="7" t="str">
        <f t="shared" si="5"/>
        <v/>
      </c>
      <c r="AL21" s="10" t="str">
        <f t="shared" si="6"/>
        <v/>
      </c>
      <c r="AM21" s="15" t="str">
        <f>IF(OR($A21&lt;&gt;"",$B21&lt;&gt;""),IF(OR($A21="",$B21=""),"Isi tanggal dan ID PIC",IF(NOT(ISNUMBER($A21)),"Tanggal harus berupa tanggal Excel",IF(COUNTIFS(Master_PIC!$A$8:$A$73,$B21)&lt;&gt;1,"ID PIC tidak unik/terdaftar",IF(VLOOKUP($B21,Master_PIC!$A$8:$G$73,3,FALSE)&lt;&gt;"Sales","Jabatan tidak sesuai sheet",IF(OR($C21="",$D21="",$E21="",$F21=""),"Lengkapi master PIC",IF(COUNTIFS($A$8:$A$507,$A21,$B$8:$B$507,$B21)&gt;1,"Laporan ganda",IF(COUNTIFS(G21:P21,"Tidak Berlaku")&gt;0,"N/A hanya untuk kegiatan bersyarat",IF(SUM(AG21,AH21,AI21,AJ21,AK21)&lt;&gt;14,"Status kegiatan tidak valid",IF(AK21&gt;0,"Lengkapi status kegiatan",IF(AND(AJ21&gt;0,U21=""),"Isi alasan Tidak Berlaku",IF(AND(SUM(AH21,AI21)&gt;0,OR(U21="",V21="",W21="",X21="")),"Isi kendala dan tindak lanjut",IF(AND(Z21&lt;&gt;"Draft",Z21&lt;&gt;"Dikirim"),"Isi status laporan yang valid",IF(AND(AB21&lt;&gt;"",AB21&lt;&gt;"Belum Diperiksa",AB21&lt;&gt;"Disetujui",AB21&lt;&gt;"Perlu Perbaikan"),"Hasil review tidak valid",IF(AND(Z21="Dikirim",OR(Y21="",AA21="")),"Isi bukti dan waktu kirim",IF(AND(AB21="Disetujui",OR(Z21&lt;&gt;"Dikirim",AC21="",AD21="")),"Lengkapi pemeriksaan",IF(AND(AB21="Perlu Perbaikan",OR(AE21="",AC21="",AD21="")),"Isi pemeriksa dan catatan perbaikan","OK")))))))))))))))),"")</f>
        <v/>
      </c>
    </row>
    <row r="22" spans="1:39" ht="24.95" customHeight="1">
      <c r="A22" s="8"/>
      <c r="B22" s="6"/>
      <c r="C22" s="15" t="str">
        <f>IF(COUNTIFS(Master_PIC!$A$8:$A$73,$B22)=1,IF(VLOOKUP($B22,Master_PIC!$A$8:$G$73,2,FALSE)="","",VLOOKUP($B22,Master_PIC!$A$8:$G$73,2,FALSE)),"")</f>
        <v/>
      </c>
      <c r="D22" s="15" t="str">
        <f>IF(COUNTIFS(Master_PIC!$A$8:$A$73,$B22)=1,IF(VLOOKUP($B22,Master_PIC!$A$8:$G$73,4,FALSE)="","",VLOOKUP($B22,Master_PIC!$A$8:$G$73,4,FALSE)),"")</f>
        <v/>
      </c>
      <c r="E22" s="15" t="str">
        <f>IF(COUNTIFS(Master_PIC!$A$8:$A$73,$B22)=1,IF(VLOOKUP($B22,Master_PIC!$A$8:$G$73,5,FALSE)="","",VLOOKUP($B22,Master_PIC!$A$8:$G$73,5,FALSE)),"")</f>
        <v/>
      </c>
      <c r="F22" s="15" t="str">
        <f>IF(COUNTIFS(Master_PIC!$A$8:$A$73,$B22)=1,IF(VLOOKUP($B22,Master_PIC!$A$8:$G$73,6,FALSE)="","",VLOOKUP($B22,Master_PIC!$A$8:$G$73,6,FALSE)),"")</f>
        <v/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8"/>
      <c r="Y22" s="5"/>
      <c r="Z22" s="5"/>
      <c r="AA22" s="9"/>
      <c r="AB22" s="5"/>
      <c r="AC22" s="5"/>
      <c r="AD22" s="9"/>
      <c r="AE22" s="5"/>
      <c r="AF22" s="7" t="str">
        <f t="shared" si="0"/>
        <v/>
      </c>
      <c r="AG22" s="7" t="str">
        <f t="shared" si="1"/>
        <v/>
      </c>
      <c r="AH22" s="7" t="str">
        <f t="shared" si="2"/>
        <v/>
      </c>
      <c r="AI22" s="7" t="str">
        <f t="shared" si="3"/>
        <v/>
      </c>
      <c r="AJ22" s="7" t="str">
        <f t="shared" si="4"/>
        <v/>
      </c>
      <c r="AK22" s="7" t="str">
        <f t="shared" si="5"/>
        <v/>
      </c>
      <c r="AL22" s="10" t="str">
        <f t="shared" si="6"/>
        <v/>
      </c>
      <c r="AM22" s="15" t="str">
        <f>IF(OR($A22&lt;&gt;"",$B22&lt;&gt;""),IF(OR($A22="",$B22=""),"Isi tanggal dan ID PIC",IF(NOT(ISNUMBER($A22)),"Tanggal harus berupa tanggal Excel",IF(COUNTIFS(Master_PIC!$A$8:$A$73,$B22)&lt;&gt;1,"ID PIC tidak unik/terdaftar",IF(VLOOKUP($B22,Master_PIC!$A$8:$G$73,3,FALSE)&lt;&gt;"Sales","Jabatan tidak sesuai sheet",IF(OR($C22="",$D22="",$E22="",$F22=""),"Lengkapi master PIC",IF(COUNTIFS($A$8:$A$507,$A22,$B$8:$B$507,$B22)&gt;1,"Laporan ganda",IF(COUNTIFS(G22:P22,"Tidak Berlaku")&gt;0,"N/A hanya untuk kegiatan bersyarat",IF(SUM(AG22,AH22,AI22,AJ22,AK22)&lt;&gt;14,"Status kegiatan tidak valid",IF(AK22&gt;0,"Lengkapi status kegiatan",IF(AND(AJ22&gt;0,U22=""),"Isi alasan Tidak Berlaku",IF(AND(SUM(AH22,AI22)&gt;0,OR(U22="",V22="",W22="",X22="")),"Isi kendala dan tindak lanjut",IF(AND(Z22&lt;&gt;"Draft",Z22&lt;&gt;"Dikirim"),"Isi status laporan yang valid",IF(AND(AB22&lt;&gt;"",AB22&lt;&gt;"Belum Diperiksa",AB22&lt;&gt;"Disetujui",AB22&lt;&gt;"Perlu Perbaikan"),"Hasil review tidak valid",IF(AND(Z22="Dikirim",OR(Y22="",AA22="")),"Isi bukti dan waktu kirim",IF(AND(AB22="Disetujui",OR(Z22&lt;&gt;"Dikirim",AC22="",AD22="")),"Lengkapi pemeriksaan",IF(AND(AB22="Perlu Perbaikan",OR(AE22="",AC22="",AD22="")),"Isi pemeriksa dan catatan perbaikan","OK")))))))))))))))),"")</f>
        <v/>
      </c>
    </row>
    <row r="23" spans="1:39" ht="24.95" customHeight="1">
      <c r="A23" s="8"/>
      <c r="B23" s="6"/>
      <c r="C23" s="15" t="str">
        <f>IF(COUNTIFS(Master_PIC!$A$8:$A$73,$B23)=1,IF(VLOOKUP($B23,Master_PIC!$A$8:$G$73,2,FALSE)="","",VLOOKUP($B23,Master_PIC!$A$8:$G$73,2,FALSE)),"")</f>
        <v/>
      </c>
      <c r="D23" s="15" t="str">
        <f>IF(COUNTIFS(Master_PIC!$A$8:$A$73,$B23)=1,IF(VLOOKUP($B23,Master_PIC!$A$8:$G$73,4,FALSE)="","",VLOOKUP($B23,Master_PIC!$A$8:$G$73,4,FALSE)),"")</f>
        <v/>
      </c>
      <c r="E23" s="15" t="str">
        <f>IF(COUNTIFS(Master_PIC!$A$8:$A$73,$B23)=1,IF(VLOOKUP($B23,Master_PIC!$A$8:$G$73,5,FALSE)="","",VLOOKUP($B23,Master_PIC!$A$8:$G$73,5,FALSE)),"")</f>
        <v/>
      </c>
      <c r="F23" s="15" t="str">
        <f>IF(COUNTIFS(Master_PIC!$A$8:$A$73,$B23)=1,IF(VLOOKUP($B23,Master_PIC!$A$8:$G$73,6,FALSE)="","",VLOOKUP($B23,Master_PIC!$A$8:$G$73,6,FALSE)),"")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8"/>
      <c r="Y23" s="5"/>
      <c r="Z23" s="5"/>
      <c r="AA23" s="9"/>
      <c r="AB23" s="5"/>
      <c r="AC23" s="5"/>
      <c r="AD23" s="9"/>
      <c r="AE23" s="5"/>
      <c r="AF23" s="7" t="str">
        <f t="shared" si="0"/>
        <v/>
      </c>
      <c r="AG23" s="7" t="str">
        <f t="shared" si="1"/>
        <v/>
      </c>
      <c r="AH23" s="7" t="str">
        <f t="shared" si="2"/>
        <v/>
      </c>
      <c r="AI23" s="7" t="str">
        <f t="shared" si="3"/>
        <v/>
      </c>
      <c r="AJ23" s="7" t="str">
        <f t="shared" si="4"/>
        <v/>
      </c>
      <c r="AK23" s="7" t="str">
        <f t="shared" si="5"/>
        <v/>
      </c>
      <c r="AL23" s="10" t="str">
        <f t="shared" si="6"/>
        <v/>
      </c>
      <c r="AM23" s="15" t="str">
        <f>IF(OR($A23&lt;&gt;"",$B23&lt;&gt;""),IF(OR($A23="",$B23=""),"Isi tanggal dan ID PIC",IF(NOT(ISNUMBER($A23)),"Tanggal harus berupa tanggal Excel",IF(COUNTIFS(Master_PIC!$A$8:$A$73,$B23)&lt;&gt;1,"ID PIC tidak unik/terdaftar",IF(VLOOKUP($B23,Master_PIC!$A$8:$G$73,3,FALSE)&lt;&gt;"Sales","Jabatan tidak sesuai sheet",IF(OR($C23="",$D23="",$E23="",$F23=""),"Lengkapi master PIC",IF(COUNTIFS($A$8:$A$507,$A23,$B$8:$B$507,$B23)&gt;1,"Laporan ganda",IF(COUNTIFS(G23:P23,"Tidak Berlaku")&gt;0,"N/A hanya untuk kegiatan bersyarat",IF(SUM(AG23,AH23,AI23,AJ23,AK23)&lt;&gt;14,"Status kegiatan tidak valid",IF(AK23&gt;0,"Lengkapi status kegiatan",IF(AND(AJ23&gt;0,U23=""),"Isi alasan Tidak Berlaku",IF(AND(SUM(AH23,AI23)&gt;0,OR(U23="",V23="",W23="",X23="")),"Isi kendala dan tindak lanjut",IF(AND(Z23&lt;&gt;"Draft",Z23&lt;&gt;"Dikirim"),"Isi status laporan yang valid",IF(AND(AB23&lt;&gt;"",AB23&lt;&gt;"Belum Diperiksa",AB23&lt;&gt;"Disetujui",AB23&lt;&gt;"Perlu Perbaikan"),"Hasil review tidak valid",IF(AND(Z23="Dikirim",OR(Y23="",AA23="")),"Isi bukti dan waktu kirim",IF(AND(AB23="Disetujui",OR(Z23&lt;&gt;"Dikirim",AC23="",AD23="")),"Lengkapi pemeriksaan",IF(AND(AB23="Perlu Perbaikan",OR(AE23="",AC23="",AD23="")),"Isi pemeriksa dan catatan perbaikan","OK")))))))))))))))),"")</f>
        <v/>
      </c>
    </row>
    <row r="24" spans="1:39" ht="24.95" customHeight="1">
      <c r="A24" s="8"/>
      <c r="B24" s="6"/>
      <c r="C24" s="15" t="str">
        <f>IF(COUNTIFS(Master_PIC!$A$8:$A$73,$B24)=1,IF(VLOOKUP($B24,Master_PIC!$A$8:$G$73,2,FALSE)="","",VLOOKUP($B24,Master_PIC!$A$8:$G$73,2,FALSE)),"")</f>
        <v/>
      </c>
      <c r="D24" s="15" t="str">
        <f>IF(COUNTIFS(Master_PIC!$A$8:$A$73,$B24)=1,IF(VLOOKUP($B24,Master_PIC!$A$8:$G$73,4,FALSE)="","",VLOOKUP($B24,Master_PIC!$A$8:$G$73,4,FALSE)),"")</f>
        <v/>
      </c>
      <c r="E24" s="15" t="str">
        <f>IF(COUNTIFS(Master_PIC!$A$8:$A$73,$B24)=1,IF(VLOOKUP($B24,Master_PIC!$A$8:$G$73,5,FALSE)="","",VLOOKUP($B24,Master_PIC!$A$8:$G$73,5,FALSE)),"")</f>
        <v/>
      </c>
      <c r="F24" s="15" t="str">
        <f>IF(COUNTIFS(Master_PIC!$A$8:$A$73,$B24)=1,IF(VLOOKUP($B24,Master_PIC!$A$8:$G$73,6,FALSE)="","",VLOOKUP($B24,Master_PIC!$A$8:$G$73,6,FALSE)),"")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8"/>
      <c r="Y24" s="5"/>
      <c r="Z24" s="5"/>
      <c r="AA24" s="9"/>
      <c r="AB24" s="5"/>
      <c r="AC24" s="5"/>
      <c r="AD24" s="9"/>
      <c r="AE24" s="5"/>
      <c r="AF24" s="7" t="str">
        <f t="shared" si="0"/>
        <v/>
      </c>
      <c r="AG24" s="7" t="str">
        <f t="shared" si="1"/>
        <v/>
      </c>
      <c r="AH24" s="7" t="str">
        <f t="shared" si="2"/>
        <v/>
      </c>
      <c r="AI24" s="7" t="str">
        <f t="shared" si="3"/>
        <v/>
      </c>
      <c r="AJ24" s="7" t="str">
        <f t="shared" si="4"/>
        <v/>
      </c>
      <c r="AK24" s="7" t="str">
        <f t="shared" si="5"/>
        <v/>
      </c>
      <c r="AL24" s="10" t="str">
        <f t="shared" si="6"/>
        <v/>
      </c>
      <c r="AM24" s="15" t="str">
        <f>IF(OR($A24&lt;&gt;"",$B24&lt;&gt;""),IF(OR($A24="",$B24=""),"Isi tanggal dan ID PIC",IF(NOT(ISNUMBER($A24)),"Tanggal harus berupa tanggal Excel",IF(COUNTIFS(Master_PIC!$A$8:$A$73,$B24)&lt;&gt;1,"ID PIC tidak unik/terdaftar",IF(VLOOKUP($B24,Master_PIC!$A$8:$G$73,3,FALSE)&lt;&gt;"Sales","Jabatan tidak sesuai sheet",IF(OR($C24="",$D24="",$E24="",$F24=""),"Lengkapi master PIC",IF(COUNTIFS($A$8:$A$507,$A24,$B$8:$B$507,$B24)&gt;1,"Laporan ganda",IF(COUNTIFS(G24:P24,"Tidak Berlaku")&gt;0,"N/A hanya untuk kegiatan bersyarat",IF(SUM(AG24,AH24,AI24,AJ24,AK24)&lt;&gt;14,"Status kegiatan tidak valid",IF(AK24&gt;0,"Lengkapi status kegiatan",IF(AND(AJ24&gt;0,U24=""),"Isi alasan Tidak Berlaku",IF(AND(SUM(AH24,AI24)&gt;0,OR(U24="",V24="",W24="",X24="")),"Isi kendala dan tindak lanjut",IF(AND(Z24&lt;&gt;"Draft",Z24&lt;&gt;"Dikirim"),"Isi status laporan yang valid",IF(AND(AB24&lt;&gt;"",AB24&lt;&gt;"Belum Diperiksa",AB24&lt;&gt;"Disetujui",AB24&lt;&gt;"Perlu Perbaikan"),"Hasil review tidak valid",IF(AND(Z24="Dikirim",OR(Y24="",AA24="")),"Isi bukti dan waktu kirim",IF(AND(AB24="Disetujui",OR(Z24&lt;&gt;"Dikirim",AC24="",AD24="")),"Lengkapi pemeriksaan",IF(AND(AB24="Perlu Perbaikan",OR(AE24="",AC24="",AD24="")),"Isi pemeriksa dan catatan perbaikan","OK")))))))))))))))),"")</f>
        <v/>
      </c>
    </row>
    <row r="25" spans="1:39" ht="24.95" customHeight="1">
      <c r="A25" s="8"/>
      <c r="B25" s="6"/>
      <c r="C25" s="15" t="str">
        <f>IF(COUNTIFS(Master_PIC!$A$8:$A$73,$B25)=1,IF(VLOOKUP($B25,Master_PIC!$A$8:$G$73,2,FALSE)="","",VLOOKUP($B25,Master_PIC!$A$8:$G$73,2,FALSE)),"")</f>
        <v/>
      </c>
      <c r="D25" s="15" t="str">
        <f>IF(COUNTIFS(Master_PIC!$A$8:$A$73,$B25)=1,IF(VLOOKUP($B25,Master_PIC!$A$8:$G$73,4,FALSE)="","",VLOOKUP($B25,Master_PIC!$A$8:$G$73,4,FALSE)),"")</f>
        <v/>
      </c>
      <c r="E25" s="15" t="str">
        <f>IF(COUNTIFS(Master_PIC!$A$8:$A$73,$B25)=1,IF(VLOOKUP($B25,Master_PIC!$A$8:$G$73,5,FALSE)="","",VLOOKUP($B25,Master_PIC!$A$8:$G$73,5,FALSE)),"")</f>
        <v/>
      </c>
      <c r="F25" s="15" t="str">
        <f>IF(COUNTIFS(Master_PIC!$A$8:$A$73,$B25)=1,IF(VLOOKUP($B25,Master_PIC!$A$8:$G$73,6,FALSE)="","",VLOOKUP($B25,Master_PIC!$A$8:$G$73,6,FALSE)),"")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8"/>
      <c r="Y25" s="5"/>
      <c r="Z25" s="5"/>
      <c r="AA25" s="9"/>
      <c r="AB25" s="5"/>
      <c r="AC25" s="5"/>
      <c r="AD25" s="9"/>
      <c r="AE25" s="5"/>
      <c r="AF25" s="7" t="str">
        <f t="shared" si="0"/>
        <v/>
      </c>
      <c r="AG25" s="7" t="str">
        <f t="shared" si="1"/>
        <v/>
      </c>
      <c r="AH25" s="7" t="str">
        <f t="shared" si="2"/>
        <v/>
      </c>
      <c r="AI25" s="7" t="str">
        <f t="shared" si="3"/>
        <v/>
      </c>
      <c r="AJ25" s="7" t="str">
        <f t="shared" si="4"/>
        <v/>
      </c>
      <c r="AK25" s="7" t="str">
        <f t="shared" si="5"/>
        <v/>
      </c>
      <c r="AL25" s="10" t="str">
        <f t="shared" si="6"/>
        <v/>
      </c>
      <c r="AM25" s="15" t="str">
        <f>IF(OR($A25&lt;&gt;"",$B25&lt;&gt;""),IF(OR($A25="",$B25=""),"Isi tanggal dan ID PIC",IF(NOT(ISNUMBER($A25)),"Tanggal harus berupa tanggal Excel",IF(COUNTIFS(Master_PIC!$A$8:$A$73,$B25)&lt;&gt;1,"ID PIC tidak unik/terdaftar",IF(VLOOKUP($B25,Master_PIC!$A$8:$G$73,3,FALSE)&lt;&gt;"Sales","Jabatan tidak sesuai sheet",IF(OR($C25="",$D25="",$E25="",$F25=""),"Lengkapi master PIC",IF(COUNTIFS($A$8:$A$507,$A25,$B$8:$B$507,$B25)&gt;1,"Laporan ganda",IF(COUNTIFS(G25:P25,"Tidak Berlaku")&gt;0,"N/A hanya untuk kegiatan bersyarat",IF(SUM(AG25,AH25,AI25,AJ25,AK25)&lt;&gt;14,"Status kegiatan tidak valid",IF(AK25&gt;0,"Lengkapi status kegiatan",IF(AND(AJ25&gt;0,U25=""),"Isi alasan Tidak Berlaku",IF(AND(SUM(AH25,AI25)&gt;0,OR(U25="",V25="",W25="",X25="")),"Isi kendala dan tindak lanjut",IF(AND(Z25&lt;&gt;"Draft",Z25&lt;&gt;"Dikirim"),"Isi status laporan yang valid",IF(AND(AB25&lt;&gt;"",AB25&lt;&gt;"Belum Diperiksa",AB25&lt;&gt;"Disetujui",AB25&lt;&gt;"Perlu Perbaikan"),"Hasil review tidak valid",IF(AND(Z25="Dikirim",OR(Y25="",AA25="")),"Isi bukti dan waktu kirim",IF(AND(AB25="Disetujui",OR(Z25&lt;&gt;"Dikirim",AC25="",AD25="")),"Lengkapi pemeriksaan",IF(AND(AB25="Perlu Perbaikan",OR(AE25="",AC25="",AD25="")),"Isi pemeriksa dan catatan perbaikan","OK")))))))))))))))),"")</f>
        <v/>
      </c>
    </row>
    <row r="26" spans="1:39" ht="24.95" customHeight="1">
      <c r="A26" s="8"/>
      <c r="B26" s="6"/>
      <c r="C26" s="15" t="str">
        <f>IF(COUNTIFS(Master_PIC!$A$8:$A$73,$B26)=1,IF(VLOOKUP($B26,Master_PIC!$A$8:$G$73,2,FALSE)="","",VLOOKUP($B26,Master_PIC!$A$8:$G$73,2,FALSE)),"")</f>
        <v/>
      </c>
      <c r="D26" s="15" t="str">
        <f>IF(COUNTIFS(Master_PIC!$A$8:$A$73,$B26)=1,IF(VLOOKUP($B26,Master_PIC!$A$8:$G$73,4,FALSE)="","",VLOOKUP($B26,Master_PIC!$A$8:$G$73,4,FALSE)),"")</f>
        <v/>
      </c>
      <c r="E26" s="15" t="str">
        <f>IF(COUNTIFS(Master_PIC!$A$8:$A$73,$B26)=1,IF(VLOOKUP($B26,Master_PIC!$A$8:$G$73,5,FALSE)="","",VLOOKUP($B26,Master_PIC!$A$8:$G$73,5,FALSE)),"")</f>
        <v/>
      </c>
      <c r="F26" s="15" t="str">
        <f>IF(COUNTIFS(Master_PIC!$A$8:$A$73,$B26)=1,IF(VLOOKUP($B26,Master_PIC!$A$8:$G$73,6,FALSE)="","",VLOOKUP($B26,Master_PIC!$A$8:$G$73,6,FALSE)),"")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8"/>
      <c r="Y26" s="5"/>
      <c r="Z26" s="5"/>
      <c r="AA26" s="9"/>
      <c r="AB26" s="5"/>
      <c r="AC26" s="5"/>
      <c r="AD26" s="9"/>
      <c r="AE26" s="5"/>
      <c r="AF26" s="7" t="str">
        <f t="shared" si="0"/>
        <v/>
      </c>
      <c r="AG26" s="7" t="str">
        <f t="shared" si="1"/>
        <v/>
      </c>
      <c r="AH26" s="7" t="str">
        <f t="shared" si="2"/>
        <v/>
      </c>
      <c r="AI26" s="7" t="str">
        <f t="shared" si="3"/>
        <v/>
      </c>
      <c r="AJ26" s="7" t="str">
        <f t="shared" si="4"/>
        <v/>
      </c>
      <c r="AK26" s="7" t="str">
        <f t="shared" si="5"/>
        <v/>
      </c>
      <c r="AL26" s="10" t="str">
        <f t="shared" si="6"/>
        <v/>
      </c>
      <c r="AM26" s="15" t="str">
        <f>IF(OR($A26&lt;&gt;"",$B26&lt;&gt;""),IF(OR($A26="",$B26=""),"Isi tanggal dan ID PIC",IF(NOT(ISNUMBER($A26)),"Tanggal harus berupa tanggal Excel",IF(COUNTIFS(Master_PIC!$A$8:$A$73,$B26)&lt;&gt;1,"ID PIC tidak unik/terdaftar",IF(VLOOKUP($B26,Master_PIC!$A$8:$G$73,3,FALSE)&lt;&gt;"Sales","Jabatan tidak sesuai sheet",IF(OR($C26="",$D26="",$E26="",$F26=""),"Lengkapi master PIC",IF(COUNTIFS($A$8:$A$507,$A26,$B$8:$B$507,$B26)&gt;1,"Laporan ganda",IF(COUNTIFS(G26:P26,"Tidak Berlaku")&gt;0,"N/A hanya untuk kegiatan bersyarat",IF(SUM(AG26,AH26,AI26,AJ26,AK26)&lt;&gt;14,"Status kegiatan tidak valid",IF(AK26&gt;0,"Lengkapi status kegiatan",IF(AND(AJ26&gt;0,U26=""),"Isi alasan Tidak Berlaku",IF(AND(SUM(AH26,AI26)&gt;0,OR(U26="",V26="",W26="",X26="")),"Isi kendala dan tindak lanjut",IF(AND(Z26&lt;&gt;"Draft",Z26&lt;&gt;"Dikirim"),"Isi status laporan yang valid",IF(AND(AB26&lt;&gt;"",AB26&lt;&gt;"Belum Diperiksa",AB26&lt;&gt;"Disetujui",AB26&lt;&gt;"Perlu Perbaikan"),"Hasil review tidak valid",IF(AND(Z26="Dikirim",OR(Y26="",AA26="")),"Isi bukti dan waktu kirim",IF(AND(AB26="Disetujui",OR(Z26&lt;&gt;"Dikirim",AC26="",AD26="")),"Lengkapi pemeriksaan",IF(AND(AB26="Perlu Perbaikan",OR(AE26="",AC26="",AD26="")),"Isi pemeriksa dan catatan perbaikan","OK")))))))))))))))),"")</f>
        <v/>
      </c>
    </row>
    <row r="27" spans="1:39" ht="24.95" customHeight="1">
      <c r="A27" s="8"/>
      <c r="B27" s="6"/>
      <c r="C27" s="15" t="str">
        <f>IF(COUNTIFS(Master_PIC!$A$8:$A$73,$B27)=1,IF(VLOOKUP($B27,Master_PIC!$A$8:$G$73,2,FALSE)="","",VLOOKUP($B27,Master_PIC!$A$8:$G$73,2,FALSE)),"")</f>
        <v/>
      </c>
      <c r="D27" s="15" t="str">
        <f>IF(COUNTIFS(Master_PIC!$A$8:$A$73,$B27)=1,IF(VLOOKUP($B27,Master_PIC!$A$8:$G$73,4,FALSE)="","",VLOOKUP($B27,Master_PIC!$A$8:$G$73,4,FALSE)),"")</f>
        <v/>
      </c>
      <c r="E27" s="15" t="str">
        <f>IF(COUNTIFS(Master_PIC!$A$8:$A$73,$B27)=1,IF(VLOOKUP($B27,Master_PIC!$A$8:$G$73,5,FALSE)="","",VLOOKUP($B27,Master_PIC!$A$8:$G$73,5,FALSE)),"")</f>
        <v/>
      </c>
      <c r="F27" s="15" t="str">
        <f>IF(COUNTIFS(Master_PIC!$A$8:$A$73,$B27)=1,IF(VLOOKUP($B27,Master_PIC!$A$8:$G$73,6,FALSE)="","",VLOOKUP($B27,Master_PIC!$A$8:$G$73,6,FALSE)),"")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8"/>
      <c r="Y27" s="5"/>
      <c r="Z27" s="5"/>
      <c r="AA27" s="9"/>
      <c r="AB27" s="5"/>
      <c r="AC27" s="5"/>
      <c r="AD27" s="9"/>
      <c r="AE27" s="5"/>
      <c r="AF27" s="7" t="str">
        <f t="shared" si="0"/>
        <v/>
      </c>
      <c r="AG27" s="7" t="str">
        <f t="shared" si="1"/>
        <v/>
      </c>
      <c r="AH27" s="7" t="str">
        <f t="shared" si="2"/>
        <v/>
      </c>
      <c r="AI27" s="7" t="str">
        <f t="shared" si="3"/>
        <v/>
      </c>
      <c r="AJ27" s="7" t="str">
        <f t="shared" si="4"/>
        <v/>
      </c>
      <c r="AK27" s="7" t="str">
        <f t="shared" si="5"/>
        <v/>
      </c>
      <c r="AL27" s="10" t="str">
        <f t="shared" si="6"/>
        <v/>
      </c>
      <c r="AM27" s="15" t="str">
        <f>IF(OR($A27&lt;&gt;"",$B27&lt;&gt;""),IF(OR($A27="",$B27=""),"Isi tanggal dan ID PIC",IF(NOT(ISNUMBER($A27)),"Tanggal harus berupa tanggal Excel",IF(COUNTIFS(Master_PIC!$A$8:$A$73,$B27)&lt;&gt;1,"ID PIC tidak unik/terdaftar",IF(VLOOKUP($B27,Master_PIC!$A$8:$G$73,3,FALSE)&lt;&gt;"Sales","Jabatan tidak sesuai sheet",IF(OR($C27="",$D27="",$E27="",$F27=""),"Lengkapi master PIC",IF(COUNTIFS($A$8:$A$507,$A27,$B$8:$B$507,$B27)&gt;1,"Laporan ganda",IF(COUNTIFS(G27:P27,"Tidak Berlaku")&gt;0,"N/A hanya untuk kegiatan bersyarat",IF(SUM(AG27,AH27,AI27,AJ27,AK27)&lt;&gt;14,"Status kegiatan tidak valid",IF(AK27&gt;0,"Lengkapi status kegiatan",IF(AND(AJ27&gt;0,U27=""),"Isi alasan Tidak Berlaku",IF(AND(SUM(AH27,AI27)&gt;0,OR(U27="",V27="",W27="",X27="")),"Isi kendala dan tindak lanjut",IF(AND(Z27&lt;&gt;"Draft",Z27&lt;&gt;"Dikirim"),"Isi status laporan yang valid",IF(AND(AB27&lt;&gt;"",AB27&lt;&gt;"Belum Diperiksa",AB27&lt;&gt;"Disetujui",AB27&lt;&gt;"Perlu Perbaikan"),"Hasil review tidak valid",IF(AND(Z27="Dikirim",OR(Y27="",AA27="")),"Isi bukti dan waktu kirim",IF(AND(AB27="Disetujui",OR(Z27&lt;&gt;"Dikirim",AC27="",AD27="")),"Lengkapi pemeriksaan",IF(AND(AB27="Perlu Perbaikan",OR(AE27="",AC27="",AD27="")),"Isi pemeriksa dan catatan perbaikan","OK")))))))))))))))),"")</f>
        <v/>
      </c>
    </row>
    <row r="28" spans="1:39" ht="24.95" customHeight="1">
      <c r="A28" s="8"/>
      <c r="B28" s="6"/>
      <c r="C28" s="15" t="str">
        <f>IF(COUNTIFS(Master_PIC!$A$8:$A$73,$B28)=1,IF(VLOOKUP($B28,Master_PIC!$A$8:$G$73,2,FALSE)="","",VLOOKUP($B28,Master_PIC!$A$8:$G$73,2,FALSE)),"")</f>
        <v/>
      </c>
      <c r="D28" s="15" t="str">
        <f>IF(COUNTIFS(Master_PIC!$A$8:$A$73,$B28)=1,IF(VLOOKUP($B28,Master_PIC!$A$8:$G$73,4,FALSE)="","",VLOOKUP($B28,Master_PIC!$A$8:$G$73,4,FALSE)),"")</f>
        <v/>
      </c>
      <c r="E28" s="15" t="str">
        <f>IF(COUNTIFS(Master_PIC!$A$8:$A$73,$B28)=1,IF(VLOOKUP($B28,Master_PIC!$A$8:$G$73,5,FALSE)="","",VLOOKUP($B28,Master_PIC!$A$8:$G$73,5,FALSE)),"")</f>
        <v/>
      </c>
      <c r="F28" s="15" t="str">
        <f>IF(COUNTIFS(Master_PIC!$A$8:$A$73,$B28)=1,IF(VLOOKUP($B28,Master_PIC!$A$8:$G$73,6,FALSE)="","",VLOOKUP($B28,Master_PIC!$A$8:$G$73,6,FALSE)),"")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8"/>
      <c r="Y28" s="5"/>
      <c r="Z28" s="5"/>
      <c r="AA28" s="9"/>
      <c r="AB28" s="5"/>
      <c r="AC28" s="5"/>
      <c r="AD28" s="9"/>
      <c r="AE28" s="5"/>
      <c r="AF28" s="7" t="str">
        <f t="shared" si="0"/>
        <v/>
      </c>
      <c r="AG28" s="7" t="str">
        <f t="shared" si="1"/>
        <v/>
      </c>
      <c r="AH28" s="7" t="str">
        <f t="shared" si="2"/>
        <v/>
      </c>
      <c r="AI28" s="7" t="str">
        <f t="shared" si="3"/>
        <v/>
      </c>
      <c r="AJ28" s="7" t="str">
        <f t="shared" si="4"/>
        <v/>
      </c>
      <c r="AK28" s="7" t="str">
        <f t="shared" si="5"/>
        <v/>
      </c>
      <c r="AL28" s="10" t="str">
        <f t="shared" si="6"/>
        <v/>
      </c>
      <c r="AM28" s="15" t="str">
        <f>IF(OR($A28&lt;&gt;"",$B28&lt;&gt;""),IF(OR($A28="",$B28=""),"Isi tanggal dan ID PIC",IF(NOT(ISNUMBER($A28)),"Tanggal harus berupa tanggal Excel",IF(COUNTIFS(Master_PIC!$A$8:$A$73,$B28)&lt;&gt;1,"ID PIC tidak unik/terdaftar",IF(VLOOKUP($B28,Master_PIC!$A$8:$G$73,3,FALSE)&lt;&gt;"Sales","Jabatan tidak sesuai sheet",IF(OR($C28="",$D28="",$E28="",$F28=""),"Lengkapi master PIC",IF(COUNTIFS($A$8:$A$507,$A28,$B$8:$B$507,$B28)&gt;1,"Laporan ganda",IF(COUNTIFS(G28:P28,"Tidak Berlaku")&gt;0,"N/A hanya untuk kegiatan bersyarat",IF(SUM(AG28,AH28,AI28,AJ28,AK28)&lt;&gt;14,"Status kegiatan tidak valid",IF(AK28&gt;0,"Lengkapi status kegiatan",IF(AND(AJ28&gt;0,U28=""),"Isi alasan Tidak Berlaku",IF(AND(SUM(AH28,AI28)&gt;0,OR(U28="",V28="",W28="",X28="")),"Isi kendala dan tindak lanjut",IF(AND(Z28&lt;&gt;"Draft",Z28&lt;&gt;"Dikirim"),"Isi status laporan yang valid",IF(AND(AB28&lt;&gt;"",AB28&lt;&gt;"Belum Diperiksa",AB28&lt;&gt;"Disetujui",AB28&lt;&gt;"Perlu Perbaikan"),"Hasil review tidak valid",IF(AND(Z28="Dikirim",OR(Y28="",AA28="")),"Isi bukti dan waktu kirim",IF(AND(AB28="Disetujui",OR(Z28&lt;&gt;"Dikirim",AC28="",AD28="")),"Lengkapi pemeriksaan",IF(AND(AB28="Perlu Perbaikan",OR(AE28="",AC28="",AD28="")),"Isi pemeriksa dan catatan perbaikan","OK")))))))))))))))),"")</f>
        <v/>
      </c>
    </row>
    <row r="29" spans="1:39" ht="24.95" customHeight="1">
      <c r="A29" s="8"/>
      <c r="B29" s="6"/>
      <c r="C29" s="15" t="str">
        <f>IF(COUNTIFS(Master_PIC!$A$8:$A$73,$B29)=1,IF(VLOOKUP($B29,Master_PIC!$A$8:$G$73,2,FALSE)="","",VLOOKUP($B29,Master_PIC!$A$8:$G$73,2,FALSE)),"")</f>
        <v/>
      </c>
      <c r="D29" s="15" t="str">
        <f>IF(COUNTIFS(Master_PIC!$A$8:$A$73,$B29)=1,IF(VLOOKUP($B29,Master_PIC!$A$8:$G$73,4,FALSE)="","",VLOOKUP($B29,Master_PIC!$A$8:$G$73,4,FALSE)),"")</f>
        <v/>
      </c>
      <c r="E29" s="15" t="str">
        <f>IF(COUNTIFS(Master_PIC!$A$8:$A$73,$B29)=1,IF(VLOOKUP($B29,Master_PIC!$A$8:$G$73,5,FALSE)="","",VLOOKUP($B29,Master_PIC!$A$8:$G$73,5,FALSE)),"")</f>
        <v/>
      </c>
      <c r="F29" s="15" t="str">
        <f>IF(COUNTIFS(Master_PIC!$A$8:$A$73,$B29)=1,IF(VLOOKUP($B29,Master_PIC!$A$8:$G$73,6,FALSE)="","",VLOOKUP($B29,Master_PIC!$A$8:$G$73,6,FALSE)),"")</f>
        <v/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8"/>
      <c r="Y29" s="5"/>
      <c r="Z29" s="5"/>
      <c r="AA29" s="9"/>
      <c r="AB29" s="5"/>
      <c r="AC29" s="5"/>
      <c r="AD29" s="9"/>
      <c r="AE29" s="5"/>
      <c r="AF29" s="7" t="str">
        <f t="shared" si="0"/>
        <v/>
      </c>
      <c r="AG29" s="7" t="str">
        <f t="shared" si="1"/>
        <v/>
      </c>
      <c r="AH29" s="7" t="str">
        <f t="shared" si="2"/>
        <v/>
      </c>
      <c r="AI29" s="7" t="str">
        <f t="shared" si="3"/>
        <v/>
      </c>
      <c r="AJ29" s="7" t="str">
        <f t="shared" si="4"/>
        <v/>
      </c>
      <c r="AK29" s="7" t="str">
        <f t="shared" si="5"/>
        <v/>
      </c>
      <c r="AL29" s="10" t="str">
        <f t="shared" si="6"/>
        <v/>
      </c>
      <c r="AM29" s="15" t="str">
        <f>IF(OR($A29&lt;&gt;"",$B29&lt;&gt;""),IF(OR($A29="",$B29=""),"Isi tanggal dan ID PIC",IF(NOT(ISNUMBER($A29)),"Tanggal harus berupa tanggal Excel",IF(COUNTIFS(Master_PIC!$A$8:$A$73,$B29)&lt;&gt;1,"ID PIC tidak unik/terdaftar",IF(VLOOKUP($B29,Master_PIC!$A$8:$G$73,3,FALSE)&lt;&gt;"Sales","Jabatan tidak sesuai sheet",IF(OR($C29="",$D29="",$E29="",$F29=""),"Lengkapi master PIC",IF(COUNTIFS($A$8:$A$507,$A29,$B$8:$B$507,$B29)&gt;1,"Laporan ganda",IF(COUNTIFS(G29:P29,"Tidak Berlaku")&gt;0,"N/A hanya untuk kegiatan bersyarat",IF(SUM(AG29,AH29,AI29,AJ29,AK29)&lt;&gt;14,"Status kegiatan tidak valid",IF(AK29&gt;0,"Lengkapi status kegiatan",IF(AND(AJ29&gt;0,U29=""),"Isi alasan Tidak Berlaku",IF(AND(SUM(AH29,AI29)&gt;0,OR(U29="",V29="",W29="",X29="")),"Isi kendala dan tindak lanjut",IF(AND(Z29&lt;&gt;"Draft",Z29&lt;&gt;"Dikirim"),"Isi status laporan yang valid",IF(AND(AB29&lt;&gt;"",AB29&lt;&gt;"Belum Diperiksa",AB29&lt;&gt;"Disetujui",AB29&lt;&gt;"Perlu Perbaikan"),"Hasil review tidak valid",IF(AND(Z29="Dikirim",OR(Y29="",AA29="")),"Isi bukti dan waktu kirim",IF(AND(AB29="Disetujui",OR(Z29&lt;&gt;"Dikirim",AC29="",AD29="")),"Lengkapi pemeriksaan",IF(AND(AB29="Perlu Perbaikan",OR(AE29="",AC29="",AD29="")),"Isi pemeriksa dan catatan perbaikan","OK")))))))))))))))),"")</f>
        <v/>
      </c>
    </row>
    <row r="30" spans="1:39" ht="24.95" customHeight="1">
      <c r="A30" s="8"/>
      <c r="B30" s="6"/>
      <c r="C30" s="15" t="str">
        <f>IF(COUNTIFS(Master_PIC!$A$8:$A$73,$B30)=1,IF(VLOOKUP($B30,Master_PIC!$A$8:$G$73,2,FALSE)="","",VLOOKUP($B30,Master_PIC!$A$8:$G$73,2,FALSE)),"")</f>
        <v/>
      </c>
      <c r="D30" s="15" t="str">
        <f>IF(COUNTIFS(Master_PIC!$A$8:$A$73,$B30)=1,IF(VLOOKUP($B30,Master_PIC!$A$8:$G$73,4,FALSE)="","",VLOOKUP($B30,Master_PIC!$A$8:$G$73,4,FALSE)),"")</f>
        <v/>
      </c>
      <c r="E30" s="15" t="str">
        <f>IF(COUNTIFS(Master_PIC!$A$8:$A$73,$B30)=1,IF(VLOOKUP($B30,Master_PIC!$A$8:$G$73,5,FALSE)="","",VLOOKUP($B30,Master_PIC!$A$8:$G$73,5,FALSE)),"")</f>
        <v/>
      </c>
      <c r="F30" s="15" t="str">
        <f>IF(COUNTIFS(Master_PIC!$A$8:$A$73,$B30)=1,IF(VLOOKUP($B30,Master_PIC!$A$8:$G$73,6,FALSE)="","",VLOOKUP($B30,Master_PIC!$A$8:$G$73,6,FALSE)),"")</f>
        <v/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8"/>
      <c r="Y30" s="5"/>
      <c r="Z30" s="5"/>
      <c r="AA30" s="9"/>
      <c r="AB30" s="5"/>
      <c r="AC30" s="5"/>
      <c r="AD30" s="9"/>
      <c r="AE30" s="5"/>
      <c r="AF30" s="7" t="str">
        <f t="shared" si="0"/>
        <v/>
      </c>
      <c r="AG30" s="7" t="str">
        <f t="shared" si="1"/>
        <v/>
      </c>
      <c r="AH30" s="7" t="str">
        <f t="shared" si="2"/>
        <v/>
      </c>
      <c r="AI30" s="7" t="str">
        <f t="shared" si="3"/>
        <v/>
      </c>
      <c r="AJ30" s="7" t="str">
        <f t="shared" si="4"/>
        <v/>
      </c>
      <c r="AK30" s="7" t="str">
        <f t="shared" si="5"/>
        <v/>
      </c>
      <c r="AL30" s="10" t="str">
        <f t="shared" si="6"/>
        <v/>
      </c>
      <c r="AM30" s="15" t="str">
        <f>IF(OR($A30&lt;&gt;"",$B30&lt;&gt;""),IF(OR($A30="",$B30=""),"Isi tanggal dan ID PIC",IF(NOT(ISNUMBER($A30)),"Tanggal harus berupa tanggal Excel",IF(COUNTIFS(Master_PIC!$A$8:$A$73,$B30)&lt;&gt;1,"ID PIC tidak unik/terdaftar",IF(VLOOKUP($B30,Master_PIC!$A$8:$G$73,3,FALSE)&lt;&gt;"Sales","Jabatan tidak sesuai sheet",IF(OR($C30="",$D30="",$E30="",$F30=""),"Lengkapi master PIC",IF(COUNTIFS($A$8:$A$507,$A30,$B$8:$B$507,$B30)&gt;1,"Laporan ganda",IF(COUNTIFS(G30:P30,"Tidak Berlaku")&gt;0,"N/A hanya untuk kegiatan bersyarat",IF(SUM(AG30,AH30,AI30,AJ30,AK30)&lt;&gt;14,"Status kegiatan tidak valid",IF(AK30&gt;0,"Lengkapi status kegiatan",IF(AND(AJ30&gt;0,U30=""),"Isi alasan Tidak Berlaku",IF(AND(SUM(AH30,AI30)&gt;0,OR(U30="",V30="",W30="",X30="")),"Isi kendala dan tindak lanjut",IF(AND(Z30&lt;&gt;"Draft",Z30&lt;&gt;"Dikirim"),"Isi status laporan yang valid",IF(AND(AB30&lt;&gt;"",AB30&lt;&gt;"Belum Diperiksa",AB30&lt;&gt;"Disetujui",AB30&lt;&gt;"Perlu Perbaikan"),"Hasil review tidak valid",IF(AND(Z30="Dikirim",OR(Y30="",AA30="")),"Isi bukti dan waktu kirim",IF(AND(AB30="Disetujui",OR(Z30&lt;&gt;"Dikirim",AC30="",AD30="")),"Lengkapi pemeriksaan",IF(AND(AB30="Perlu Perbaikan",OR(AE30="",AC30="",AD30="")),"Isi pemeriksa dan catatan perbaikan","OK")))))))))))))))),"")</f>
        <v/>
      </c>
    </row>
    <row r="31" spans="1:39" ht="24.95" customHeight="1">
      <c r="A31" s="8"/>
      <c r="B31" s="6"/>
      <c r="C31" s="15" t="str">
        <f>IF(COUNTIFS(Master_PIC!$A$8:$A$73,$B31)=1,IF(VLOOKUP($B31,Master_PIC!$A$8:$G$73,2,FALSE)="","",VLOOKUP($B31,Master_PIC!$A$8:$G$73,2,FALSE)),"")</f>
        <v/>
      </c>
      <c r="D31" s="15" t="str">
        <f>IF(COUNTIFS(Master_PIC!$A$8:$A$73,$B31)=1,IF(VLOOKUP($B31,Master_PIC!$A$8:$G$73,4,FALSE)="","",VLOOKUP($B31,Master_PIC!$A$8:$G$73,4,FALSE)),"")</f>
        <v/>
      </c>
      <c r="E31" s="15" t="str">
        <f>IF(COUNTIFS(Master_PIC!$A$8:$A$73,$B31)=1,IF(VLOOKUP($B31,Master_PIC!$A$8:$G$73,5,FALSE)="","",VLOOKUP($B31,Master_PIC!$A$8:$G$73,5,FALSE)),"")</f>
        <v/>
      </c>
      <c r="F31" s="15" t="str">
        <f>IF(COUNTIFS(Master_PIC!$A$8:$A$73,$B31)=1,IF(VLOOKUP($B31,Master_PIC!$A$8:$G$73,6,FALSE)="","",VLOOKUP($B31,Master_PIC!$A$8:$G$73,6,FALSE)),"")</f>
        <v/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8"/>
      <c r="Y31" s="5"/>
      <c r="Z31" s="5"/>
      <c r="AA31" s="9"/>
      <c r="AB31" s="5"/>
      <c r="AC31" s="5"/>
      <c r="AD31" s="9"/>
      <c r="AE31" s="5"/>
      <c r="AF31" s="7" t="str">
        <f t="shared" si="0"/>
        <v/>
      </c>
      <c r="AG31" s="7" t="str">
        <f t="shared" si="1"/>
        <v/>
      </c>
      <c r="AH31" s="7" t="str">
        <f t="shared" si="2"/>
        <v/>
      </c>
      <c r="AI31" s="7" t="str">
        <f t="shared" si="3"/>
        <v/>
      </c>
      <c r="AJ31" s="7" t="str">
        <f t="shared" si="4"/>
        <v/>
      </c>
      <c r="AK31" s="7" t="str">
        <f t="shared" si="5"/>
        <v/>
      </c>
      <c r="AL31" s="10" t="str">
        <f t="shared" si="6"/>
        <v/>
      </c>
      <c r="AM31" s="15" t="str">
        <f>IF(OR($A31&lt;&gt;"",$B31&lt;&gt;""),IF(OR($A31="",$B31=""),"Isi tanggal dan ID PIC",IF(NOT(ISNUMBER($A31)),"Tanggal harus berupa tanggal Excel",IF(COUNTIFS(Master_PIC!$A$8:$A$73,$B31)&lt;&gt;1,"ID PIC tidak unik/terdaftar",IF(VLOOKUP($B31,Master_PIC!$A$8:$G$73,3,FALSE)&lt;&gt;"Sales","Jabatan tidak sesuai sheet",IF(OR($C31="",$D31="",$E31="",$F31=""),"Lengkapi master PIC",IF(COUNTIFS($A$8:$A$507,$A31,$B$8:$B$507,$B31)&gt;1,"Laporan ganda",IF(COUNTIFS(G31:P31,"Tidak Berlaku")&gt;0,"N/A hanya untuk kegiatan bersyarat",IF(SUM(AG31,AH31,AI31,AJ31,AK31)&lt;&gt;14,"Status kegiatan tidak valid",IF(AK31&gt;0,"Lengkapi status kegiatan",IF(AND(AJ31&gt;0,U31=""),"Isi alasan Tidak Berlaku",IF(AND(SUM(AH31,AI31)&gt;0,OR(U31="",V31="",W31="",X31="")),"Isi kendala dan tindak lanjut",IF(AND(Z31&lt;&gt;"Draft",Z31&lt;&gt;"Dikirim"),"Isi status laporan yang valid",IF(AND(AB31&lt;&gt;"",AB31&lt;&gt;"Belum Diperiksa",AB31&lt;&gt;"Disetujui",AB31&lt;&gt;"Perlu Perbaikan"),"Hasil review tidak valid",IF(AND(Z31="Dikirim",OR(Y31="",AA31="")),"Isi bukti dan waktu kirim",IF(AND(AB31="Disetujui",OR(Z31&lt;&gt;"Dikirim",AC31="",AD31="")),"Lengkapi pemeriksaan",IF(AND(AB31="Perlu Perbaikan",OR(AE31="",AC31="",AD31="")),"Isi pemeriksa dan catatan perbaikan","OK")))))))))))))))),"")</f>
        <v/>
      </c>
    </row>
    <row r="32" spans="1:39" ht="24.95" customHeight="1">
      <c r="A32" s="8"/>
      <c r="B32" s="6"/>
      <c r="C32" s="15" t="str">
        <f>IF(COUNTIFS(Master_PIC!$A$8:$A$73,$B32)=1,IF(VLOOKUP($B32,Master_PIC!$A$8:$G$73,2,FALSE)="","",VLOOKUP($B32,Master_PIC!$A$8:$G$73,2,FALSE)),"")</f>
        <v/>
      </c>
      <c r="D32" s="15" t="str">
        <f>IF(COUNTIFS(Master_PIC!$A$8:$A$73,$B32)=1,IF(VLOOKUP($B32,Master_PIC!$A$8:$G$73,4,FALSE)="","",VLOOKUP($B32,Master_PIC!$A$8:$G$73,4,FALSE)),"")</f>
        <v/>
      </c>
      <c r="E32" s="15" t="str">
        <f>IF(COUNTIFS(Master_PIC!$A$8:$A$73,$B32)=1,IF(VLOOKUP($B32,Master_PIC!$A$8:$G$73,5,FALSE)="","",VLOOKUP($B32,Master_PIC!$A$8:$G$73,5,FALSE)),"")</f>
        <v/>
      </c>
      <c r="F32" s="15" t="str">
        <f>IF(COUNTIFS(Master_PIC!$A$8:$A$73,$B32)=1,IF(VLOOKUP($B32,Master_PIC!$A$8:$G$73,6,FALSE)="","",VLOOKUP($B32,Master_PIC!$A$8:$G$73,6,FALSE)),"")</f>
        <v/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8"/>
      <c r="Y32" s="5"/>
      <c r="Z32" s="5"/>
      <c r="AA32" s="9"/>
      <c r="AB32" s="5"/>
      <c r="AC32" s="5"/>
      <c r="AD32" s="9"/>
      <c r="AE32" s="5"/>
      <c r="AF32" s="7" t="str">
        <f t="shared" si="0"/>
        <v/>
      </c>
      <c r="AG32" s="7" t="str">
        <f t="shared" si="1"/>
        <v/>
      </c>
      <c r="AH32" s="7" t="str">
        <f t="shared" si="2"/>
        <v/>
      </c>
      <c r="AI32" s="7" t="str">
        <f t="shared" si="3"/>
        <v/>
      </c>
      <c r="AJ32" s="7" t="str">
        <f t="shared" si="4"/>
        <v/>
      </c>
      <c r="AK32" s="7" t="str">
        <f t="shared" si="5"/>
        <v/>
      </c>
      <c r="AL32" s="10" t="str">
        <f t="shared" si="6"/>
        <v/>
      </c>
      <c r="AM32" s="15" t="str">
        <f>IF(OR($A32&lt;&gt;"",$B32&lt;&gt;""),IF(OR($A32="",$B32=""),"Isi tanggal dan ID PIC",IF(NOT(ISNUMBER($A32)),"Tanggal harus berupa tanggal Excel",IF(COUNTIFS(Master_PIC!$A$8:$A$73,$B32)&lt;&gt;1,"ID PIC tidak unik/terdaftar",IF(VLOOKUP($B32,Master_PIC!$A$8:$G$73,3,FALSE)&lt;&gt;"Sales","Jabatan tidak sesuai sheet",IF(OR($C32="",$D32="",$E32="",$F32=""),"Lengkapi master PIC",IF(COUNTIFS($A$8:$A$507,$A32,$B$8:$B$507,$B32)&gt;1,"Laporan ganda",IF(COUNTIFS(G32:P32,"Tidak Berlaku")&gt;0,"N/A hanya untuk kegiatan bersyarat",IF(SUM(AG32,AH32,AI32,AJ32,AK32)&lt;&gt;14,"Status kegiatan tidak valid",IF(AK32&gt;0,"Lengkapi status kegiatan",IF(AND(AJ32&gt;0,U32=""),"Isi alasan Tidak Berlaku",IF(AND(SUM(AH32,AI32)&gt;0,OR(U32="",V32="",W32="",X32="")),"Isi kendala dan tindak lanjut",IF(AND(Z32&lt;&gt;"Draft",Z32&lt;&gt;"Dikirim"),"Isi status laporan yang valid",IF(AND(AB32&lt;&gt;"",AB32&lt;&gt;"Belum Diperiksa",AB32&lt;&gt;"Disetujui",AB32&lt;&gt;"Perlu Perbaikan"),"Hasil review tidak valid",IF(AND(Z32="Dikirim",OR(Y32="",AA32="")),"Isi bukti dan waktu kirim",IF(AND(AB32="Disetujui",OR(Z32&lt;&gt;"Dikirim",AC32="",AD32="")),"Lengkapi pemeriksaan",IF(AND(AB32="Perlu Perbaikan",OR(AE32="",AC32="",AD32="")),"Isi pemeriksa dan catatan perbaikan","OK")))))))))))))))),"")</f>
        <v/>
      </c>
    </row>
    <row r="33" spans="1:39" ht="24.95" customHeight="1">
      <c r="A33" s="8"/>
      <c r="B33" s="6"/>
      <c r="C33" s="15" t="str">
        <f>IF(COUNTIFS(Master_PIC!$A$8:$A$73,$B33)=1,IF(VLOOKUP($B33,Master_PIC!$A$8:$G$73,2,FALSE)="","",VLOOKUP($B33,Master_PIC!$A$8:$G$73,2,FALSE)),"")</f>
        <v/>
      </c>
      <c r="D33" s="15" t="str">
        <f>IF(COUNTIFS(Master_PIC!$A$8:$A$73,$B33)=1,IF(VLOOKUP($B33,Master_PIC!$A$8:$G$73,4,FALSE)="","",VLOOKUP($B33,Master_PIC!$A$8:$G$73,4,FALSE)),"")</f>
        <v/>
      </c>
      <c r="E33" s="15" t="str">
        <f>IF(COUNTIFS(Master_PIC!$A$8:$A$73,$B33)=1,IF(VLOOKUP($B33,Master_PIC!$A$8:$G$73,5,FALSE)="","",VLOOKUP($B33,Master_PIC!$A$8:$G$73,5,FALSE)),"")</f>
        <v/>
      </c>
      <c r="F33" s="15" t="str">
        <f>IF(COUNTIFS(Master_PIC!$A$8:$A$73,$B33)=1,IF(VLOOKUP($B33,Master_PIC!$A$8:$G$73,6,FALSE)="","",VLOOKUP($B33,Master_PIC!$A$8:$G$73,6,FALSE)),"")</f>
        <v/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8"/>
      <c r="Y33" s="5"/>
      <c r="Z33" s="5"/>
      <c r="AA33" s="9"/>
      <c r="AB33" s="5"/>
      <c r="AC33" s="5"/>
      <c r="AD33" s="9"/>
      <c r="AE33" s="5"/>
      <c r="AF33" s="7" t="str">
        <f t="shared" si="0"/>
        <v/>
      </c>
      <c r="AG33" s="7" t="str">
        <f t="shared" si="1"/>
        <v/>
      </c>
      <c r="AH33" s="7" t="str">
        <f t="shared" si="2"/>
        <v/>
      </c>
      <c r="AI33" s="7" t="str">
        <f t="shared" si="3"/>
        <v/>
      </c>
      <c r="AJ33" s="7" t="str">
        <f t="shared" si="4"/>
        <v/>
      </c>
      <c r="AK33" s="7" t="str">
        <f t="shared" si="5"/>
        <v/>
      </c>
      <c r="AL33" s="10" t="str">
        <f t="shared" si="6"/>
        <v/>
      </c>
      <c r="AM33" s="15" t="str">
        <f>IF(OR($A33&lt;&gt;"",$B33&lt;&gt;""),IF(OR($A33="",$B33=""),"Isi tanggal dan ID PIC",IF(NOT(ISNUMBER($A33)),"Tanggal harus berupa tanggal Excel",IF(COUNTIFS(Master_PIC!$A$8:$A$73,$B33)&lt;&gt;1,"ID PIC tidak unik/terdaftar",IF(VLOOKUP($B33,Master_PIC!$A$8:$G$73,3,FALSE)&lt;&gt;"Sales","Jabatan tidak sesuai sheet",IF(OR($C33="",$D33="",$E33="",$F33=""),"Lengkapi master PIC",IF(COUNTIFS($A$8:$A$507,$A33,$B$8:$B$507,$B33)&gt;1,"Laporan ganda",IF(COUNTIFS(G33:P33,"Tidak Berlaku")&gt;0,"N/A hanya untuk kegiatan bersyarat",IF(SUM(AG33,AH33,AI33,AJ33,AK33)&lt;&gt;14,"Status kegiatan tidak valid",IF(AK33&gt;0,"Lengkapi status kegiatan",IF(AND(AJ33&gt;0,U33=""),"Isi alasan Tidak Berlaku",IF(AND(SUM(AH33,AI33)&gt;0,OR(U33="",V33="",W33="",X33="")),"Isi kendala dan tindak lanjut",IF(AND(Z33&lt;&gt;"Draft",Z33&lt;&gt;"Dikirim"),"Isi status laporan yang valid",IF(AND(AB33&lt;&gt;"",AB33&lt;&gt;"Belum Diperiksa",AB33&lt;&gt;"Disetujui",AB33&lt;&gt;"Perlu Perbaikan"),"Hasil review tidak valid",IF(AND(Z33="Dikirim",OR(Y33="",AA33="")),"Isi bukti dan waktu kirim",IF(AND(AB33="Disetujui",OR(Z33&lt;&gt;"Dikirim",AC33="",AD33="")),"Lengkapi pemeriksaan",IF(AND(AB33="Perlu Perbaikan",OR(AE33="",AC33="",AD33="")),"Isi pemeriksa dan catatan perbaikan","OK")))))))))))))))),"")</f>
        <v/>
      </c>
    </row>
    <row r="34" spans="1:39" ht="24.95" customHeight="1">
      <c r="A34" s="8"/>
      <c r="B34" s="6"/>
      <c r="C34" s="15" t="str">
        <f>IF(COUNTIFS(Master_PIC!$A$8:$A$73,$B34)=1,IF(VLOOKUP($B34,Master_PIC!$A$8:$G$73,2,FALSE)="","",VLOOKUP($B34,Master_PIC!$A$8:$G$73,2,FALSE)),"")</f>
        <v/>
      </c>
      <c r="D34" s="15" t="str">
        <f>IF(COUNTIFS(Master_PIC!$A$8:$A$73,$B34)=1,IF(VLOOKUP($B34,Master_PIC!$A$8:$G$73,4,FALSE)="","",VLOOKUP($B34,Master_PIC!$A$8:$G$73,4,FALSE)),"")</f>
        <v/>
      </c>
      <c r="E34" s="15" t="str">
        <f>IF(COUNTIFS(Master_PIC!$A$8:$A$73,$B34)=1,IF(VLOOKUP($B34,Master_PIC!$A$8:$G$73,5,FALSE)="","",VLOOKUP($B34,Master_PIC!$A$8:$G$73,5,FALSE)),"")</f>
        <v/>
      </c>
      <c r="F34" s="15" t="str">
        <f>IF(COUNTIFS(Master_PIC!$A$8:$A$73,$B34)=1,IF(VLOOKUP($B34,Master_PIC!$A$8:$G$73,6,FALSE)="","",VLOOKUP($B34,Master_PIC!$A$8:$G$73,6,FALSE)),"")</f>
        <v/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8"/>
      <c r="Y34" s="5"/>
      <c r="Z34" s="5"/>
      <c r="AA34" s="9"/>
      <c r="AB34" s="5"/>
      <c r="AC34" s="5"/>
      <c r="AD34" s="9"/>
      <c r="AE34" s="5"/>
      <c r="AF34" s="7" t="str">
        <f t="shared" si="0"/>
        <v/>
      </c>
      <c r="AG34" s="7" t="str">
        <f t="shared" si="1"/>
        <v/>
      </c>
      <c r="AH34" s="7" t="str">
        <f t="shared" si="2"/>
        <v/>
      </c>
      <c r="AI34" s="7" t="str">
        <f t="shared" si="3"/>
        <v/>
      </c>
      <c r="AJ34" s="7" t="str">
        <f t="shared" si="4"/>
        <v/>
      </c>
      <c r="AK34" s="7" t="str">
        <f t="shared" si="5"/>
        <v/>
      </c>
      <c r="AL34" s="10" t="str">
        <f t="shared" si="6"/>
        <v/>
      </c>
      <c r="AM34" s="15" t="str">
        <f>IF(OR($A34&lt;&gt;"",$B34&lt;&gt;""),IF(OR($A34="",$B34=""),"Isi tanggal dan ID PIC",IF(NOT(ISNUMBER($A34)),"Tanggal harus berupa tanggal Excel",IF(COUNTIFS(Master_PIC!$A$8:$A$73,$B34)&lt;&gt;1,"ID PIC tidak unik/terdaftar",IF(VLOOKUP($B34,Master_PIC!$A$8:$G$73,3,FALSE)&lt;&gt;"Sales","Jabatan tidak sesuai sheet",IF(OR($C34="",$D34="",$E34="",$F34=""),"Lengkapi master PIC",IF(COUNTIFS($A$8:$A$507,$A34,$B$8:$B$507,$B34)&gt;1,"Laporan ganda",IF(COUNTIFS(G34:P34,"Tidak Berlaku")&gt;0,"N/A hanya untuk kegiatan bersyarat",IF(SUM(AG34,AH34,AI34,AJ34,AK34)&lt;&gt;14,"Status kegiatan tidak valid",IF(AK34&gt;0,"Lengkapi status kegiatan",IF(AND(AJ34&gt;0,U34=""),"Isi alasan Tidak Berlaku",IF(AND(SUM(AH34,AI34)&gt;0,OR(U34="",V34="",W34="",X34="")),"Isi kendala dan tindak lanjut",IF(AND(Z34&lt;&gt;"Draft",Z34&lt;&gt;"Dikirim"),"Isi status laporan yang valid",IF(AND(AB34&lt;&gt;"",AB34&lt;&gt;"Belum Diperiksa",AB34&lt;&gt;"Disetujui",AB34&lt;&gt;"Perlu Perbaikan"),"Hasil review tidak valid",IF(AND(Z34="Dikirim",OR(Y34="",AA34="")),"Isi bukti dan waktu kirim",IF(AND(AB34="Disetujui",OR(Z34&lt;&gt;"Dikirim",AC34="",AD34="")),"Lengkapi pemeriksaan",IF(AND(AB34="Perlu Perbaikan",OR(AE34="",AC34="",AD34="")),"Isi pemeriksa dan catatan perbaikan","OK")))))))))))))))),"")</f>
        <v/>
      </c>
    </row>
    <row r="35" spans="1:39" ht="24.95" customHeight="1">
      <c r="A35" s="8"/>
      <c r="B35" s="6"/>
      <c r="C35" s="15" t="str">
        <f>IF(COUNTIFS(Master_PIC!$A$8:$A$73,$B35)=1,IF(VLOOKUP($B35,Master_PIC!$A$8:$G$73,2,FALSE)="","",VLOOKUP($B35,Master_PIC!$A$8:$G$73,2,FALSE)),"")</f>
        <v/>
      </c>
      <c r="D35" s="15" t="str">
        <f>IF(COUNTIFS(Master_PIC!$A$8:$A$73,$B35)=1,IF(VLOOKUP($B35,Master_PIC!$A$8:$G$73,4,FALSE)="","",VLOOKUP($B35,Master_PIC!$A$8:$G$73,4,FALSE)),"")</f>
        <v/>
      </c>
      <c r="E35" s="15" t="str">
        <f>IF(COUNTIFS(Master_PIC!$A$8:$A$73,$B35)=1,IF(VLOOKUP($B35,Master_PIC!$A$8:$G$73,5,FALSE)="","",VLOOKUP($B35,Master_PIC!$A$8:$G$73,5,FALSE)),"")</f>
        <v/>
      </c>
      <c r="F35" s="15" t="str">
        <f>IF(COUNTIFS(Master_PIC!$A$8:$A$73,$B35)=1,IF(VLOOKUP($B35,Master_PIC!$A$8:$G$73,6,FALSE)="","",VLOOKUP($B35,Master_PIC!$A$8:$G$73,6,FALSE)),"")</f>
        <v/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8"/>
      <c r="Y35" s="5"/>
      <c r="Z35" s="5"/>
      <c r="AA35" s="9"/>
      <c r="AB35" s="5"/>
      <c r="AC35" s="5"/>
      <c r="AD35" s="9"/>
      <c r="AE35" s="5"/>
      <c r="AF35" s="7" t="str">
        <f t="shared" si="0"/>
        <v/>
      </c>
      <c r="AG35" s="7" t="str">
        <f t="shared" si="1"/>
        <v/>
      </c>
      <c r="AH35" s="7" t="str">
        <f t="shared" si="2"/>
        <v/>
      </c>
      <c r="AI35" s="7" t="str">
        <f t="shared" si="3"/>
        <v/>
      </c>
      <c r="AJ35" s="7" t="str">
        <f t="shared" si="4"/>
        <v/>
      </c>
      <c r="AK35" s="7" t="str">
        <f t="shared" si="5"/>
        <v/>
      </c>
      <c r="AL35" s="10" t="str">
        <f t="shared" si="6"/>
        <v/>
      </c>
      <c r="AM35" s="15" t="str">
        <f>IF(OR($A35&lt;&gt;"",$B35&lt;&gt;""),IF(OR($A35="",$B35=""),"Isi tanggal dan ID PIC",IF(NOT(ISNUMBER($A35)),"Tanggal harus berupa tanggal Excel",IF(COUNTIFS(Master_PIC!$A$8:$A$73,$B35)&lt;&gt;1,"ID PIC tidak unik/terdaftar",IF(VLOOKUP($B35,Master_PIC!$A$8:$G$73,3,FALSE)&lt;&gt;"Sales","Jabatan tidak sesuai sheet",IF(OR($C35="",$D35="",$E35="",$F35=""),"Lengkapi master PIC",IF(COUNTIFS($A$8:$A$507,$A35,$B$8:$B$507,$B35)&gt;1,"Laporan ganda",IF(COUNTIFS(G35:P35,"Tidak Berlaku")&gt;0,"N/A hanya untuk kegiatan bersyarat",IF(SUM(AG35,AH35,AI35,AJ35,AK35)&lt;&gt;14,"Status kegiatan tidak valid",IF(AK35&gt;0,"Lengkapi status kegiatan",IF(AND(AJ35&gt;0,U35=""),"Isi alasan Tidak Berlaku",IF(AND(SUM(AH35,AI35)&gt;0,OR(U35="",V35="",W35="",X35="")),"Isi kendala dan tindak lanjut",IF(AND(Z35&lt;&gt;"Draft",Z35&lt;&gt;"Dikirim"),"Isi status laporan yang valid",IF(AND(AB35&lt;&gt;"",AB35&lt;&gt;"Belum Diperiksa",AB35&lt;&gt;"Disetujui",AB35&lt;&gt;"Perlu Perbaikan"),"Hasil review tidak valid",IF(AND(Z35="Dikirim",OR(Y35="",AA35="")),"Isi bukti dan waktu kirim",IF(AND(AB35="Disetujui",OR(Z35&lt;&gt;"Dikirim",AC35="",AD35="")),"Lengkapi pemeriksaan",IF(AND(AB35="Perlu Perbaikan",OR(AE35="",AC35="",AD35="")),"Isi pemeriksa dan catatan perbaikan","OK")))))))))))))))),"")</f>
        <v/>
      </c>
    </row>
    <row r="36" spans="1:39" ht="24.95" customHeight="1">
      <c r="A36" s="8"/>
      <c r="B36" s="6"/>
      <c r="C36" s="15" t="str">
        <f>IF(COUNTIFS(Master_PIC!$A$8:$A$73,$B36)=1,IF(VLOOKUP($B36,Master_PIC!$A$8:$G$73,2,FALSE)="","",VLOOKUP($B36,Master_PIC!$A$8:$G$73,2,FALSE)),"")</f>
        <v/>
      </c>
      <c r="D36" s="15" t="str">
        <f>IF(COUNTIFS(Master_PIC!$A$8:$A$73,$B36)=1,IF(VLOOKUP($B36,Master_PIC!$A$8:$G$73,4,FALSE)="","",VLOOKUP($B36,Master_PIC!$A$8:$G$73,4,FALSE)),"")</f>
        <v/>
      </c>
      <c r="E36" s="15" t="str">
        <f>IF(COUNTIFS(Master_PIC!$A$8:$A$73,$B36)=1,IF(VLOOKUP($B36,Master_PIC!$A$8:$G$73,5,FALSE)="","",VLOOKUP($B36,Master_PIC!$A$8:$G$73,5,FALSE)),"")</f>
        <v/>
      </c>
      <c r="F36" s="15" t="str">
        <f>IF(COUNTIFS(Master_PIC!$A$8:$A$73,$B36)=1,IF(VLOOKUP($B36,Master_PIC!$A$8:$G$73,6,FALSE)="","",VLOOKUP($B36,Master_PIC!$A$8:$G$73,6,FALSE)),"")</f>
        <v/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8"/>
      <c r="Y36" s="5"/>
      <c r="Z36" s="5"/>
      <c r="AA36" s="9"/>
      <c r="AB36" s="5"/>
      <c r="AC36" s="5"/>
      <c r="AD36" s="9"/>
      <c r="AE36" s="5"/>
      <c r="AF36" s="7" t="str">
        <f t="shared" si="0"/>
        <v/>
      </c>
      <c r="AG36" s="7" t="str">
        <f t="shared" si="1"/>
        <v/>
      </c>
      <c r="AH36" s="7" t="str">
        <f t="shared" si="2"/>
        <v/>
      </c>
      <c r="AI36" s="7" t="str">
        <f t="shared" si="3"/>
        <v/>
      </c>
      <c r="AJ36" s="7" t="str">
        <f t="shared" si="4"/>
        <v/>
      </c>
      <c r="AK36" s="7" t="str">
        <f t="shared" si="5"/>
        <v/>
      </c>
      <c r="AL36" s="10" t="str">
        <f t="shared" si="6"/>
        <v/>
      </c>
      <c r="AM36" s="15" t="str">
        <f>IF(OR($A36&lt;&gt;"",$B36&lt;&gt;""),IF(OR($A36="",$B36=""),"Isi tanggal dan ID PIC",IF(NOT(ISNUMBER($A36)),"Tanggal harus berupa tanggal Excel",IF(COUNTIFS(Master_PIC!$A$8:$A$73,$B36)&lt;&gt;1,"ID PIC tidak unik/terdaftar",IF(VLOOKUP($B36,Master_PIC!$A$8:$G$73,3,FALSE)&lt;&gt;"Sales","Jabatan tidak sesuai sheet",IF(OR($C36="",$D36="",$E36="",$F36=""),"Lengkapi master PIC",IF(COUNTIFS($A$8:$A$507,$A36,$B$8:$B$507,$B36)&gt;1,"Laporan ganda",IF(COUNTIFS(G36:P36,"Tidak Berlaku")&gt;0,"N/A hanya untuk kegiatan bersyarat",IF(SUM(AG36,AH36,AI36,AJ36,AK36)&lt;&gt;14,"Status kegiatan tidak valid",IF(AK36&gt;0,"Lengkapi status kegiatan",IF(AND(AJ36&gt;0,U36=""),"Isi alasan Tidak Berlaku",IF(AND(SUM(AH36,AI36)&gt;0,OR(U36="",V36="",W36="",X36="")),"Isi kendala dan tindak lanjut",IF(AND(Z36&lt;&gt;"Draft",Z36&lt;&gt;"Dikirim"),"Isi status laporan yang valid",IF(AND(AB36&lt;&gt;"",AB36&lt;&gt;"Belum Diperiksa",AB36&lt;&gt;"Disetujui",AB36&lt;&gt;"Perlu Perbaikan"),"Hasil review tidak valid",IF(AND(Z36="Dikirim",OR(Y36="",AA36="")),"Isi bukti dan waktu kirim",IF(AND(AB36="Disetujui",OR(Z36&lt;&gt;"Dikirim",AC36="",AD36="")),"Lengkapi pemeriksaan",IF(AND(AB36="Perlu Perbaikan",OR(AE36="",AC36="",AD36="")),"Isi pemeriksa dan catatan perbaikan","OK")))))))))))))))),"")</f>
        <v/>
      </c>
    </row>
    <row r="37" spans="1:39" ht="24.95" customHeight="1">
      <c r="A37" s="8"/>
      <c r="B37" s="6"/>
      <c r="C37" s="15" t="str">
        <f>IF(COUNTIFS(Master_PIC!$A$8:$A$73,$B37)=1,IF(VLOOKUP($B37,Master_PIC!$A$8:$G$73,2,FALSE)="","",VLOOKUP($B37,Master_PIC!$A$8:$G$73,2,FALSE)),"")</f>
        <v/>
      </c>
      <c r="D37" s="15" t="str">
        <f>IF(COUNTIFS(Master_PIC!$A$8:$A$73,$B37)=1,IF(VLOOKUP($B37,Master_PIC!$A$8:$G$73,4,FALSE)="","",VLOOKUP($B37,Master_PIC!$A$8:$G$73,4,FALSE)),"")</f>
        <v/>
      </c>
      <c r="E37" s="15" t="str">
        <f>IF(COUNTIFS(Master_PIC!$A$8:$A$73,$B37)=1,IF(VLOOKUP($B37,Master_PIC!$A$8:$G$73,5,FALSE)="","",VLOOKUP($B37,Master_PIC!$A$8:$G$73,5,FALSE)),"")</f>
        <v/>
      </c>
      <c r="F37" s="15" t="str">
        <f>IF(COUNTIFS(Master_PIC!$A$8:$A$73,$B37)=1,IF(VLOOKUP($B37,Master_PIC!$A$8:$G$73,6,FALSE)="","",VLOOKUP($B37,Master_PIC!$A$8:$G$73,6,FALSE)),"")</f>
        <v/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8"/>
      <c r="Y37" s="5"/>
      <c r="Z37" s="5"/>
      <c r="AA37" s="9"/>
      <c r="AB37" s="5"/>
      <c r="AC37" s="5"/>
      <c r="AD37" s="9"/>
      <c r="AE37" s="5"/>
      <c r="AF37" s="7" t="str">
        <f t="shared" si="0"/>
        <v/>
      </c>
      <c r="AG37" s="7" t="str">
        <f t="shared" si="1"/>
        <v/>
      </c>
      <c r="AH37" s="7" t="str">
        <f t="shared" si="2"/>
        <v/>
      </c>
      <c r="AI37" s="7" t="str">
        <f t="shared" si="3"/>
        <v/>
      </c>
      <c r="AJ37" s="7" t="str">
        <f t="shared" si="4"/>
        <v/>
      </c>
      <c r="AK37" s="7" t="str">
        <f t="shared" si="5"/>
        <v/>
      </c>
      <c r="AL37" s="10" t="str">
        <f t="shared" si="6"/>
        <v/>
      </c>
      <c r="AM37" s="15" t="str">
        <f>IF(OR($A37&lt;&gt;"",$B37&lt;&gt;""),IF(OR($A37="",$B37=""),"Isi tanggal dan ID PIC",IF(NOT(ISNUMBER($A37)),"Tanggal harus berupa tanggal Excel",IF(COUNTIFS(Master_PIC!$A$8:$A$73,$B37)&lt;&gt;1,"ID PIC tidak unik/terdaftar",IF(VLOOKUP($B37,Master_PIC!$A$8:$G$73,3,FALSE)&lt;&gt;"Sales","Jabatan tidak sesuai sheet",IF(OR($C37="",$D37="",$E37="",$F37=""),"Lengkapi master PIC",IF(COUNTIFS($A$8:$A$507,$A37,$B$8:$B$507,$B37)&gt;1,"Laporan ganda",IF(COUNTIFS(G37:P37,"Tidak Berlaku")&gt;0,"N/A hanya untuk kegiatan bersyarat",IF(SUM(AG37,AH37,AI37,AJ37,AK37)&lt;&gt;14,"Status kegiatan tidak valid",IF(AK37&gt;0,"Lengkapi status kegiatan",IF(AND(AJ37&gt;0,U37=""),"Isi alasan Tidak Berlaku",IF(AND(SUM(AH37,AI37)&gt;0,OR(U37="",V37="",W37="",X37="")),"Isi kendala dan tindak lanjut",IF(AND(Z37&lt;&gt;"Draft",Z37&lt;&gt;"Dikirim"),"Isi status laporan yang valid",IF(AND(AB37&lt;&gt;"",AB37&lt;&gt;"Belum Diperiksa",AB37&lt;&gt;"Disetujui",AB37&lt;&gt;"Perlu Perbaikan"),"Hasil review tidak valid",IF(AND(Z37="Dikirim",OR(Y37="",AA37="")),"Isi bukti dan waktu kirim",IF(AND(AB37="Disetujui",OR(Z37&lt;&gt;"Dikirim",AC37="",AD37="")),"Lengkapi pemeriksaan",IF(AND(AB37="Perlu Perbaikan",OR(AE37="",AC37="",AD37="")),"Isi pemeriksa dan catatan perbaikan","OK")))))))))))))))),"")</f>
        <v/>
      </c>
    </row>
    <row r="38" spans="1:39" ht="24.95" customHeight="1">
      <c r="A38" s="8"/>
      <c r="B38" s="6"/>
      <c r="C38" s="15" t="str">
        <f>IF(COUNTIFS(Master_PIC!$A$8:$A$73,$B38)=1,IF(VLOOKUP($B38,Master_PIC!$A$8:$G$73,2,FALSE)="","",VLOOKUP($B38,Master_PIC!$A$8:$G$73,2,FALSE)),"")</f>
        <v/>
      </c>
      <c r="D38" s="15" t="str">
        <f>IF(COUNTIFS(Master_PIC!$A$8:$A$73,$B38)=1,IF(VLOOKUP($B38,Master_PIC!$A$8:$G$73,4,FALSE)="","",VLOOKUP($B38,Master_PIC!$A$8:$G$73,4,FALSE)),"")</f>
        <v/>
      </c>
      <c r="E38" s="15" t="str">
        <f>IF(COUNTIFS(Master_PIC!$A$8:$A$73,$B38)=1,IF(VLOOKUP($B38,Master_PIC!$A$8:$G$73,5,FALSE)="","",VLOOKUP($B38,Master_PIC!$A$8:$G$73,5,FALSE)),"")</f>
        <v/>
      </c>
      <c r="F38" s="15" t="str">
        <f>IF(COUNTIFS(Master_PIC!$A$8:$A$73,$B38)=1,IF(VLOOKUP($B38,Master_PIC!$A$8:$G$73,6,FALSE)="","",VLOOKUP($B38,Master_PIC!$A$8:$G$73,6,FALSE)),"")</f>
        <v/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8"/>
      <c r="Y38" s="5"/>
      <c r="Z38" s="5"/>
      <c r="AA38" s="9"/>
      <c r="AB38" s="5"/>
      <c r="AC38" s="5"/>
      <c r="AD38" s="9"/>
      <c r="AE38" s="5"/>
      <c r="AF38" s="7" t="str">
        <f t="shared" si="0"/>
        <v/>
      </c>
      <c r="AG38" s="7" t="str">
        <f t="shared" si="1"/>
        <v/>
      </c>
      <c r="AH38" s="7" t="str">
        <f t="shared" si="2"/>
        <v/>
      </c>
      <c r="AI38" s="7" t="str">
        <f t="shared" si="3"/>
        <v/>
      </c>
      <c r="AJ38" s="7" t="str">
        <f t="shared" si="4"/>
        <v/>
      </c>
      <c r="AK38" s="7" t="str">
        <f t="shared" si="5"/>
        <v/>
      </c>
      <c r="AL38" s="10" t="str">
        <f t="shared" si="6"/>
        <v/>
      </c>
      <c r="AM38" s="15" t="str">
        <f>IF(OR($A38&lt;&gt;"",$B38&lt;&gt;""),IF(OR($A38="",$B38=""),"Isi tanggal dan ID PIC",IF(NOT(ISNUMBER($A38)),"Tanggal harus berupa tanggal Excel",IF(COUNTIFS(Master_PIC!$A$8:$A$73,$B38)&lt;&gt;1,"ID PIC tidak unik/terdaftar",IF(VLOOKUP($B38,Master_PIC!$A$8:$G$73,3,FALSE)&lt;&gt;"Sales","Jabatan tidak sesuai sheet",IF(OR($C38="",$D38="",$E38="",$F38=""),"Lengkapi master PIC",IF(COUNTIFS($A$8:$A$507,$A38,$B$8:$B$507,$B38)&gt;1,"Laporan ganda",IF(COUNTIFS(G38:P38,"Tidak Berlaku")&gt;0,"N/A hanya untuk kegiatan bersyarat",IF(SUM(AG38,AH38,AI38,AJ38,AK38)&lt;&gt;14,"Status kegiatan tidak valid",IF(AK38&gt;0,"Lengkapi status kegiatan",IF(AND(AJ38&gt;0,U38=""),"Isi alasan Tidak Berlaku",IF(AND(SUM(AH38,AI38)&gt;0,OR(U38="",V38="",W38="",X38="")),"Isi kendala dan tindak lanjut",IF(AND(Z38&lt;&gt;"Draft",Z38&lt;&gt;"Dikirim"),"Isi status laporan yang valid",IF(AND(AB38&lt;&gt;"",AB38&lt;&gt;"Belum Diperiksa",AB38&lt;&gt;"Disetujui",AB38&lt;&gt;"Perlu Perbaikan"),"Hasil review tidak valid",IF(AND(Z38="Dikirim",OR(Y38="",AA38="")),"Isi bukti dan waktu kirim",IF(AND(AB38="Disetujui",OR(Z38&lt;&gt;"Dikirim",AC38="",AD38="")),"Lengkapi pemeriksaan",IF(AND(AB38="Perlu Perbaikan",OR(AE38="",AC38="",AD38="")),"Isi pemeriksa dan catatan perbaikan","OK")))))))))))))))),"")</f>
        <v/>
      </c>
    </row>
    <row r="39" spans="1:39" ht="24.95" customHeight="1">
      <c r="A39" s="8"/>
      <c r="B39" s="6"/>
      <c r="C39" s="15" t="str">
        <f>IF(COUNTIFS(Master_PIC!$A$8:$A$73,$B39)=1,IF(VLOOKUP($B39,Master_PIC!$A$8:$G$73,2,FALSE)="","",VLOOKUP($B39,Master_PIC!$A$8:$G$73,2,FALSE)),"")</f>
        <v/>
      </c>
      <c r="D39" s="15" t="str">
        <f>IF(COUNTIFS(Master_PIC!$A$8:$A$73,$B39)=1,IF(VLOOKUP($B39,Master_PIC!$A$8:$G$73,4,FALSE)="","",VLOOKUP($B39,Master_PIC!$A$8:$G$73,4,FALSE)),"")</f>
        <v/>
      </c>
      <c r="E39" s="15" t="str">
        <f>IF(COUNTIFS(Master_PIC!$A$8:$A$73,$B39)=1,IF(VLOOKUP($B39,Master_PIC!$A$8:$G$73,5,FALSE)="","",VLOOKUP($B39,Master_PIC!$A$8:$G$73,5,FALSE)),"")</f>
        <v/>
      </c>
      <c r="F39" s="15" t="str">
        <f>IF(COUNTIFS(Master_PIC!$A$8:$A$73,$B39)=1,IF(VLOOKUP($B39,Master_PIC!$A$8:$G$73,6,FALSE)="","",VLOOKUP($B39,Master_PIC!$A$8:$G$73,6,FALSE)),"")</f>
        <v/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8"/>
      <c r="Y39" s="5"/>
      <c r="Z39" s="5"/>
      <c r="AA39" s="9"/>
      <c r="AB39" s="5"/>
      <c r="AC39" s="5"/>
      <c r="AD39" s="9"/>
      <c r="AE39" s="5"/>
      <c r="AF39" s="7" t="str">
        <f t="shared" si="0"/>
        <v/>
      </c>
      <c r="AG39" s="7" t="str">
        <f t="shared" si="1"/>
        <v/>
      </c>
      <c r="AH39" s="7" t="str">
        <f t="shared" si="2"/>
        <v/>
      </c>
      <c r="AI39" s="7" t="str">
        <f t="shared" si="3"/>
        <v/>
      </c>
      <c r="AJ39" s="7" t="str">
        <f t="shared" si="4"/>
        <v/>
      </c>
      <c r="AK39" s="7" t="str">
        <f t="shared" si="5"/>
        <v/>
      </c>
      <c r="AL39" s="10" t="str">
        <f t="shared" si="6"/>
        <v/>
      </c>
      <c r="AM39" s="15" t="str">
        <f>IF(OR($A39&lt;&gt;"",$B39&lt;&gt;""),IF(OR($A39="",$B39=""),"Isi tanggal dan ID PIC",IF(NOT(ISNUMBER($A39)),"Tanggal harus berupa tanggal Excel",IF(COUNTIFS(Master_PIC!$A$8:$A$73,$B39)&lt;&gt;1,"ID PIC tidak unik/terdaftar",IF(VLOOKUP($B39,Master_PIC!$A$8:$G$73,3,FALSE)&lt;&gt;"Sales","Jabatan tidak sesuai sheet",IF(OR($C39="",$D39="",$E39="",$F39=""),"Lengkapi master PIC",IF(COUNTIFS($A$8:$A$507,$A39,$B$8:$B$507,$B39)&gt;1,"Laporan ganda",IF(COUNTIFS(G39:P39,"Tidak Berlaku")&gt;0,"N/A hanya untuk kegiatan bersyarat",IF(SUM(AG39,AH39,AI39,AJ39,AK39)&lt;&gt;14,"Status kegiatan tidak valid",IF(AK39&gt;0,"Lengkapi status kegiatan",IF(AND(AJ39&gt;0,U39=""),"Isi alasan Tidak Berlaku",IF(AND(SUM(AH39,AI39)&gt;0,OR(U39="",V39="",W39="",X39="")),"Isi kendala dan tindak lanjut",IF(AND(Z39&lt;&gt;"Draft",Z39&lt;&gt;"Dikirim"),"Isi status laporan yang valid",IF(AND(AB39&lt;&gt;"",AB39&lt;&gt;"Belum Diperiksa",AB39&lt;&gt;"Disetujui",AB39&lt;&gt;"Perlu Perbaikan"),"Hasil review tidak valid",IF(AND(Z39="Dikirim",OR(Y39="",AA39="")),"Isi bukti dan waktu kirim",IF(AND(AB39="Disetujui",OR(Z39&lt;&gt;"Dikirim",AC39="",AD39="")),"Lengkapi pemeriksaan",IF(AND(AB39="Perlu Perbaikan",OR(AE39="",AC39="",AD39="")),"Isi pemeriksa dan catatan perbaikan","OK")))))))))))))))),"")</f>
        <v/>
      </c>
    </row>
    <row r="40" spans="1:39" ht="24.95" customHeight="1">
      <c r="A40" s="8"/>
      <c r="B40" s="6"/>
      <c r="C40" s="15" t="str">
        <f>IF(COUNTIFS(Master_PIC!$A$8:$A$73,$B40)=1,IF(VLOOKUP($B40,Master_PIC!$A$8:$G$73,2,FALSE)="","",VLOOKUP($B40,Master_PIC!$A$8:$G$73,2,FALSE)),"")</f>
        <v/>
      </c>
      <c r="D40" s="15" t="str">
        <f>IF(COUNTIFS(Master_PIC!$A$8:$A$73,$B40)=1,IF(VLOOKUP($B40,Master_PIC!$A$8:$G$73,4,FALSE)="","",VLOOKUP($B40,Master_PIC!$A$8:$G$73,4,FALSE)),"")</f>
        <v/>
      </c>
      <c r="E40" s="15" t="str">
        <f>IF(COUNTIFS(Master_PIC!$A$8:$A$73,$B40)=1,IF(VLOOKUP($B40,Master_PIC!$A$8:$G$73,5,FALSE)="","",VLOOKUP($B40,Master_PIC!$A$8:$G$73,5,FALSE)),"")</f>
        <v/>
      </c>
      <c r="F40" s="15" t="str">
        <f>IF(COUNTIFS(Master_PIC!$A$8:$A$73,$B40)=1,IF(VLOOKUP($B40,Master_PIC!$A$8:$G$73,6,FALSE)="","",VLOOKUP($B40,Master_PIC!$A$8:$G$73,6,FALSE)),"")</f>
        <v/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8"/>
      <c r="Y40" s="5"/>
      <c r="Z40" s="5"/>
      <c r="AA40" s="9"/>
      <c r="AB40" s="5"/>
      <c r="AC40" s="5"/>
      <c r="AD40" s="9"/>
      <c r="AE40" s="5"/>
      <c r="AF40" s="7" t="str">
        <f t="shared" si="0"/>
        <v/>
      </c>
      <c r="AG40" s="7" t="str">
        <f t="shared" si="1"/>
        <v/>
      </c>
      <c r="AH40" s="7" t="str">
        <f t="shared" si="2"/>
        <v/>
      </c>
      <c r="AI40" s="7" t="str">
        <f t="shared" si="3"/>
        <v/>
      </c>
      <c r="AJ40" s="7" t="str">
        <f t="shared" si="4"/>
        <v/>
      </c>
      <c r="AK40" s="7" t="str">
        <f t="shared" si="5"/>
        <v/>
      </c>
      <c r="AL40" s="10" t="str">
        <f t="shared" si="6"/>
        <v/>
      </c>
      <c r="AM40" s="15" t="str">
        <f>IF(OR($A40&lt;&gt;"",$B40&lt;&gt;""),IF(OR($A40="",$B40=""),"Isi tanggal dan ID PIC",IF(NOT(ISNUMBER($A40)),"Tanggal harus berupa tanggal Excel",IF(COUNTIFS(Master_PIC!$A$8:$A$73,$B40)&lt;&gt;1,"ID PIC tidak unik/terdaftar",IF(VLOOKUP($B40,Master_PIC!$A$8:$G$73,3,FALSE)&lt;&gt;"Sales","Jabatan tidak sesuai sheet",IF(OR($C40="",$D40="",$E40="",$F40=""),"Lengkapi master PIC",IF(COUNTIFS($A$8:$A$507,$A40,$B$8:$B$507,$B40)&gt;1,"Laporan ganda",IF(COUNTIFS(G40:P40,"Tidak Berlaku")&gt;0,"N/A hanya untuk kegiatan bersyarat",IF(SUM(AG40,AH40,AI40,AJ40,AK40)&lt;&gt;14,"Status kegiatan tidak valid",IF(AK40&gt;0,"Lengkapi status kegiatan",IF(AND(AJ40&gt;0,U40=""),"Isi alasan Tidak Berlaku",IF(AND(SUM(AH40,AI40)&gt;0,OR(U40="",V40="",W40="",X40="")),"Isi kendala dan tindak lanjut",IF(AND(Z40&lt;&gt;"Draft",Z40&lt;&gt;"Dikirim"),"Isi status laporan yang valid",IF(AND(AB40&lt;&gt;"",AB40&lt;&gt;"Belum Diperiksa",AB40&lt;&gt;"Disetujui",AB40&lt;&gt;"Perlu Perbaikan"),"Hasil review tidak valid",IF(AND(Z40="Dikirim",OR(Y40="",AA40="")),"Isi bukti dan waktu kirim",IF(AND(AB40="Disetujui",OR(Z40&lt;&gt;"Dikirim",AC40="",AD40="")),"Lengkapi pemeriksaan",IF(AND(AB40="Perlu Perbaikan",OR(AE40="",AC40="",AD40="")),"Isi pemeriksa dan catatan perbaikan","OK")))))))))))))))),"")</f>
        <v/>
      </c>
    </row>
    <row r="41" spans="1:39" ht="24.95" customHeight="1">
      <c r="A41" s="8"/>
      <c r="B41" s="6"/>
      <c r="C41" s="15" t="str">
        <f>IF(COUNTIFS(Master_PIC!$A$8:$A$73,$B41)=1,IF(VLOOKUP($B41,Master_PIC!$A$8:$G$73,2,FALSE)="","",VLOOKUP($B41,Master_PIC!$A$8:$G$73,2,FALSE)),"")</f>
        <v/>
      </c>
      <c r="D41" s="15" t="str">
        <f>IF(COUNTIFS(Master_PIC!$A$8:$A$73,$B41)=1,IF(VLOOKUP($B41,Master_PIC!$A$8:$G$73,4,FALSE)="","",VLOOKUP($B41,Master_PIC!$A$8:$G$73,4,FALSE)),"")</f>
        <v/>
      </c>
      <c r="E41" s="15" t="str">
        <f>IF(COUNTIFS(Master_PIC!$A$8:$A$73,$B41)=1,IF(VLOOKUP($B41,Master_PIC!$A$8:$G$73,5,FALSE)="","",VLOOKUP($B41,Master_PIC!$A$8:$G$73,5,FALSE)),"")</f>
        <v/>
      </c>
      <c r="F41" s="15" t="str">
        <f>IF(COUNTIFS(Master_PIC!$A$8:$A$73,$B41)=1,IF(VLOOKUP($B41,Master_PIC!$A$8:$G$73,6,FALSE)="","",VLOOKUP($B41,Master_PIC!$A$8:$G$73,6,FALSE)),"")</f>
        <v/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8"/>
      <c r="Y41" s="5"/>
      <c r="Z41" s="5"/>
      <c r="AA41" s="9"/>
      <c r="AB41" s="5"/>
      <c r="AC41" s="5"/>
      <c r="AD41" s="9"/>
      <c r="AE41" s="5"/>
      <c r="AF41" s="7" t="str">
        <f t="shared" si="0"/>
        <v/>
      </c>
      <c r="AG41" s="7" t="str">
        <f t="shared" si="1"/>
        <v/>
      </c>
      <c r="AH41" s="7" t="str">
        <f t="shared" si="2"/>
        <v/>
      </c>
      <c r="AI41" s="7" t="str">
        <f t="shared" si="3"/>
        <v/>
      </c>
      <c r="AJ41" s="7" t="str">
        <f t="shared" si="4"/>
        <v/>
      </c>
      <c r="AK41" s="7" t="str">
        <f t="shared" si="5"/>
        <v/>
      </c>
      <c r="AL41" s="10" t="str">
        <f t="shared" si="6"/>
        <v/>
      </c>
      <c r="AM41" s="15" t="str">
        <f>IF(OR($A41&lt;&gt;"",$B41&lt;&gt;""),IF(OR($A41="",$B41=""),"Isi tanggal dan ID PIC",IF(NOT(ISNUMBER($A41)),"Tanggal harus berupa tanggal Excel",IF(COUNTIFS(Master_PIC!$A$8:$A$73,$B41)&lt;&gt;1,"ID PIC tidak unik/terdaftar",IF(VLOOKUP($B41,Master_PIC!$A$8:$G$73,3,FALSE)&lt;&gt;"Sales","Jabatan tidak sesuai sheet",IF(OR($C41="",$D41="",$E41="",$F41=""),"Lengkapi master PIC",IF(COUNTIFS($A$8:$A$507,$A41,$B$8:$B$507,$B41)&gt;1,"Laporan ganda",IF(COUNTIFS(G41:P41,"Tidak Berlaku")&gt;0,"N/A hanya untuk kegiatan bersyarat",IF(SUM(AG41,AH41,AI41,AJ41,AK41)&lt;&gt;14,"Status kegiatan tidak valid",IF(AK41&gt;0,"Lengkapi status kegiatan",IF(AND(AJ41&gt;0,U41=""),"Isi alasan Tidak Berlaku",IF(AND(SUM(AH41,AI41)&gt;0,OR(U41="",V41="",W41="",X41="")),"Isi kendala dan tindak lanjut",IF(AND(Z41&lt;&gt;"Draft",Z41&lt;&gt;"Dikirim"),"Isi status laporan yang valid",IF(AND(AB41&lt;&gt;"",AB41&lt;&gt;"Belum Diperiksa",AB41&lt;&gt;"Disetujui",AB41&lt;&gt;"Perlu Perbaikan"),"Hasil review tidak valid",IF(AND(Z41="Dikirim",OR(Y41="",AA41="")),"Isi bukti dan waktu kirim",IF(AND(AB41="Disetujui",OR(Z41&lt;&gt;"Dikirim",AC41="",AD41="")),"Lengkapi pemeriksaan",IF(AND(AB41="Perlu Perbaikan",OR(AE41="",AC41="",AD41="")),"Isi pemeriksa dan catatan perbaikan","OK")))))))))))))))),"")</f>
        <v/>
      </c>
    </row>
    <row r="42" spans="1:39" ht="24.95" customHeight="1">
      <c r="A42" s="8"/>
      <c r="B42" s="6"/>
      <c r="C42" s="15" t="str">
        <f>IF(COUNTIFS(Master_PIC!$A$8:$A$73,$B42)=1,IF(VLOOKUP($B42,Master_PIC!$A$8:$G$73,2,FALSE)="","",VLOOKUP($B42,Master_PIC!$A$8:$G$73,2,FALSE)),"")</f>
        <v/>
      </c>
      <c r="D42" s="15" t="str">
        <f>IF(COUNTIFS(Master_PIC!$A$8:$A$73,$B42)=1,IF(VLOOKUP($B42,Master_PIC!$A$8:$G$73,4,FALSE)="","",VLOOKUP($B42,Master_PIC!$A$8:$G$73,4,FALSE)),"")</f>
        <v/>
      </c>
      <c r="E42" s="15" t="str">
        <f>IF(COUNTIFS(Master_PIC!$A$8:$A$73,$B42)=1,IF(VLOOKUP($B42,Master_PIC!$A$8:$G$73,5,FALSE)="","",VLOOKUP($B42,Master_PIC!$A$8:$G$73,5,FALSE)),"")</f>
        <v/>
      </c>
      <c r="F42" s="15" t="str">
        <f>IF(COUNTIFS(Master_PIC!$A$8:$A$73,$B42)=1,IF(VLOOKUP($B42,Master_PIC!$A$8:$G$73,6,FALSE)="","",VLOOKUP($B42,Master_PIC!$A$8:$G$73,6,FALSE)),"")</f>
        <v/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8"/>
      <c r="Y42" s="5"/>
      <c r="Z42" s="5"/>
      <c r="AA42" s="9"/>
      <c r="AB42" s="5"/>
      <c r="AC42" s="5"/>
      <c r="AD42" s="9"/>
      <c r="AE42" s="5"/>
      <c r="AF42" s="7" t="str">
        <f t="shared" si="0"/>
        <v/>
      </c>
      <c r="AG42" s="7" t="str">
        <f t="shared" si="1"/>
        <v/>
      </c>
      <c r="AH42" s="7" t="str">
        <f t="shared" si="2"/>
        <v/>
      </c>
      <c r="AI42" s="7" t="str">
        <f t="shared" si="3"/>
        <v/>
      </c>
      <c r="AJ42" s="7" t="str">
        <f t="shared" si="4"/>
        <v/>
      </c>
      <c r="AK42" s="7" t="str">
        <f t="shared" si="5"/>
        <v/>
      </c>
      <c r="AL42" s="10" t="str">
        <f t="shared" si="6"/>
        <v/>
      </c>
      <c r="AM42" s="15" t="str">
        <f>IF(OR($A42&lt;&gt;"",$B42&lt;&gt;""),IF(OR($A42="",$B42=""),"Isi tanggal dan ID PIC",IF(NOT(ISNUMBER($A42)),"Tanggal harus berupa tanggal Excel",IF(COUNTIFS(Master_PIC!$A$8:$A$73,$B42)&lt;&gt;1,"ID PIC tidak unik/terdaftar",IF(VLOOKUP($B42,Master_PIC!$A$8:$G$73,3,FALSE)&lt;&gt;"Sales","Jabatan tidak sesuai sheet",IF(OR($C42="",$D42="",$E42="",$F42=""),"Lengkapi master PIC",IF(COUNTIFS($A$8:$A$507,$A42,$B$8:$B$507,$B42)&gt;1,"Laporan ganda",IF(COUNTIFS(G42:P42,"Tidak Berlaku")&gt;0,"N/A hanya untuk kegiatan bersyarat",IF(SUM(AG42,AH42,AI42,AJ42,AK42)&lt;&gt;14,"Status kegiatan tidak valid",IF(AK42&gt;0,"Lengkapi status kegiatan",IF(AND(AJ42&gt;0,U42=""),"Isi alasan Tidak Berlaku",IF(AND(SUM(AH42,AI42)&gt;0,OR(U42="",V42="",W42="",X42="")),"Isi kendala dan tindak lanjut",IF(AND(Z42&lt;&gt;"Draft",Z42&lt;&gt;"Dikirim"),"Isi status laporan yang valid",IF(AND(AB42&lt;&gt;"",AB42&lt;&gt;"Belum Diperiksa",AB42&lt;&gt;"Disetujui",AB42&lt;&gt;"Perlu Perbaikan"),"Hasil review tidak valid",IF(AND(Z42="Dikirim",OR(Y42="",AA42="")),"Isi bukti dan waktu kirim",IF(AND(AB42="Disetujui",OR(Z42&lt;&gt;"Dikirim",AC42="",AD42="")),"Lengkapi pemeriksaan",IF(AND(AB42="Perlu Perbaikan",OR(AE42="",AC42="",AD42="")),"Isi pemeriksa dan catatan perbaikan","OK")))))))))))))))),"")</f>
        <v/>
      </c>
    </row>
    <row r="43" spans="1:39" ht="24.95" customHeight="1">
      <c r="A43" s="8"/>
      <c r="B43" s="6"/>
      <c r="C43" s="15" t="str">
        <f>IF(COUNTIFS(Master_PIC!$A$8:$A$73,$B43)=1,IF(VLOOKUP($B43,Master_PIC!$A$8:$G$73,2,FALSE)="","",VLOOKUP($B43,Master_PIC!$A$8:$G$73,2,FALSE)),"")</f>
        <v/>
      </c>
      <c r="D43" s="15" t="str">
        <f>IF(COUNTIFS(Master_PIC!$A$8:$A$73,$B43)=1,IF(VLOOKUP($B43,Master_PIC!$A$8:$G$73,4,FALSE)="","",VLOOKUP($B43,Master_PIC!$A$8:$G$73,4,FALSE)),"")</f>
        <v/>
      </c>
      <c r="E43" s="15" t="str">
        <f>IF(COUNTIFS(Master_PIC!$A$8:$A$73,$B43)=1,IF(VLOOKUP($B43,Master_PIC!$A$8:$G$73,5,FALSE)="","",VLOOKUP($B43,Master_PIC!$A$8:$G$73,5,FALSE)),"")</f>
        <v/>
      </c>
      <c r="F43" s="15" t="str">
        <f>IF(COUNTIFS(Master_PIC!$A$8:$A$73,$B43)=1,IF(VLOOKUP($B43,Master_PIC!$A$8:$G$73,6,FALSE)="","",VLOOKUP($B43,Master_PIC!$A$8:$G$73,6,FALSE)),"")</f>
        <v/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8"/>
      <c r="Y43" s="5"/>
      <c r="Z43" s="5"/>
      <c r="AA43" s="9"/>
      <c r="AB43" s="5"/>
      <c r="AC43" s="5"/>
      <c r="AD43" s="9"/>
      <c r="AE43" s="5"/>
      <c r="AF43" s="7" t="str">
        <f t="shared" si="0"/>
        <v/>
      </c>
      <c r="AG43" s="7" t="str">
        <f t="shared" si="1"/>
        <v/>
      </c>
      <c r="AH43" s="7" t="str">
        <f t="shared" si="2"/>
        <v/>
      </c>
      <c r="AI43" s="7" t="str">
        <f t="shared" si="3"/>
        <v/>
      </c>
      <c r="AJ43" s="7" t="str">
        <f t="shared" si="4"/>
        <v/>
      </c>
      <c r="AK43" s="7" t="str">
        <f t="shared" si="5"/>
        <v/>
      </c>
      <c r="AL43" s="10" t="str">
        <f t="shared" si="6"/>
        <v/>
      </c>
      <c r="AM43" s="15" t="str">
        <f>IF(OR($A43&lt;&gt;"",$B43&lt;&gt;""),IF(OR($A43="",$B43=""),"Isi tanggal dan ID PIC",IF(NOT(ISNUMBER($A43)),"Tanggal harus berupa tanggal Excel",IF(COUNTIFS(Master_PIC!$A$8:$A$73,$B43)&lt;&gt;1,"ID PIC tidak unik/terdaftar",IF(VLOOKUP($B43,Master_PIC!$A$8:$G$73,3,FALSE)&lt;&gt;"Sales","Jabatan tidak sesuai sheet",IF(OR($C43="",$D43="",$E43="",$F43=""),"Lengkapi master PIC",IF(COUNTIFS($A$8:$A$507,$A43,$B$8:$B$507,$B43)&gt;1,"Laporan ganda",IF(COUNTIFS(G43:P43,"Tidak Berlaku")&gt;0,"N/A hanya untuk kegiatan bersyarat",IF(SUM(AG43,AH43,AI43,AJ43,AK43)&lt;&gt;14,"Status kegiatan tidak valid",IF(AK43&gt;0,"Lengkapi status kegiatan",IF(AND(AJ43&gt;0,U43=""),"Isi alasan Tidak Berlaku",IF(AND(SUM(AH43,AI43)&gt;0,OR(U43="",V43="",W43="",X43="")),"Isi kendala dan tindak lanjut",IF(AND(Z43&lt;&gt;"Draft",Z43&lt;&gt;"Dikirim"),"Isi status laporan yang valid",IF(AND(AB43&lt;&gt;"",AB43&lt;&gt;"Belum Diperiksa",AB43&lt;&gt;"Disetujui",AB43&lt;&gt;"Perlu Perbaikan"),"Hasil review tidak valid",IF(AND(Z43="Dikirim",OR(Y43="",AA43="")),"Isi bukti dan waktu kirim",IF(AND(AB43="Disetujui",OR(Z43&lt;&gt;"Dikirim",AC43="",AD43="")),"Lengkapi pemeriksaan",IF(AND(AB43="Perlu Perbaikan",OR(AE43="",AC43="",AD43="")),"Isi pemeriksa dan catatan perbaikan","OK")))))))))))))))),"")</f>
        <v/>
      </c>
    </row>
    <row r="44" spans="1:39" ht="24.95" customHeight="1">
      <c r="A44" s="8"/>
      <c r="B44" s="6"/>
      <c r="C44" s="15" t="str">
        <f>IF(COUNTIFS(Master_PIC!$A$8:$A$73,$B44)=1,IF(VLOOKUP($B44,Master_PIC!$A$8:$G$73,2,FALSE)="","",VLOOKUP($B44,Master_PIC!$A$8:$G$73,2,FALSE)),"")</f>
        <v/>
      </c>
      <c r="D44" s="15" t="str">
        <f>IF(COUNTIFS(Master_PIC!$A$8:$A$73,$B44)=1,IF(VLOOKUP($B44,Master_PIC!$A$8:$G$73,4,FALSE)="","",VLOOKUP($B44,Master_PIC!$A$8:$G$73,4,FALSE)),"")</f>
        <v/>
      </c>
      <c r="E44" s="15" t="str">
        <f>IF(COUNTIFS(Master_PIC!$A$8:$A$73,$B44)=1,IF(VLOOKUP($B44,Master_PIC!$A$8:$G$73,5,FALSE)="","",VLOOKUP($B44,Master_PIC!$A$8:$G$73,5,FALSE)),"")</f>
        <v/>
      </c>
      <c r="F44" s="15" t="str">
        <f>IF(COUNTIFS(Master_PIC!$A$8:$A$73,$B44)=1,IF(VLOOKUP($B44,Master_PIC!$A$8:$G$73,6,FALSE)="","",VLOOKUP($B44,Master_PIC!$A$8:$G$73,6,FALSE)),"")</f>
        <v/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8"/>
      <c r="Y44" s="5"/>
      <c r="Z44" s="5"/>
      <c r="AA44" s="9"/>
      <c r="AB44" s="5"/>
      <c r="AC44" s="5"/>
      <c r="AD44" s="9"/>
      <c r="AE44" s="5"/>
      <c r="AF44" s="7" t="str">
        <f t="shared" si="0"/>
        <v/>
      </c>
      <c r="AG44" s="7" t="str">
        <f t="shared" si="1"/>
        <v/>
      </c>
      <c r="AH44" s="7" t="str">
        <f t="shared" si="2"/>
        <v/>
      </c>
      <c r="AI44" s="7" t="str">
        <f t="shared" si="3"/>
        <v/>
      </c>
      <c r="AJ44" s="7" t="str">
        <f t="shared" si="4"/>
        <v/>
      </c>
      <c r="AK44" s="7" t="str">
        <f t="shared" si="5"/>
        <v/>
      </c>
      <c r="AL44" s="10" t="str">
        <f t="shared" si="6"/>
        <v/>
      </c>
      <c r="AM44" s="15" t="str">
        <f>IF(OR($A44&lt;&gt;"",$B44&lt;&gt;""),IF(OR($A44="",$B44=""),"Isi tanggal dan ID PIC",IF(NOT(ISNUMBER($A44)),"Tanggal harus berupa tanggal Excel",IF(COUNTIFS(Master_PIC!$A$8:$A$73,$B44)&lt;&gt;1,"ID PIC tidak unik/terdaftar",IF(VLOOKUP($B44,Master_PIC!$A$8:$G$73,3,FALSE)&lt;&gt;"Sales","Jabatan tidak sesuai sheet",IF(OR($C44="",$D44="",$E44="",$F44=""),"Lengkapi master PIC",IF(COUNTIFS($A$8:$A$507,$A44,$B$8:$B$507,$B44)&gt;1,"Laporan ganda",IF(COUNTIFS(G44:P44,"Tidak Berlaku")&gt;0,"N/A hanya untuk kegiatan bersyarat",IF(SUM(AG44,AH44,AI44,AJ44,AK44)&lt;&gt;14,"Status kegiatan tidak valid",IF(AK44&gt;0,"Lengkapi status kegiatan",IF(AND(AJ44&gt;0,U44=""),"Isi alasan Tidak Berlaku",IF(AND(SUM(AH44,AI44)&gt;0,OR(U44="",V44="",W44="",X44="")),"Isi kendala dan tindak lanjut",IF(AND(Z44&lt;&gt;"Draft",Z44&lt;&gt;"Dikirim"),"Isi status laporan yang valid",IF(AND(AB44&lt;&gt;"",AB44&lt;&gt;"Belum Diperiksa",AB44&lt;&gt;"Disetujui",AB44&lt;&gt;"Perlu Perbaikan"),"Hasil review tidak valid",IF(AND(Z44="Dikirim",OR(Y44="",AA44="")),"Isi bukti dan waktu kirim",IF(AND(AB44="Disetujui",OR(Z44&lt;&gt;"Dikirim",AC44="",AD44="")),"Lengkapi pemeriksaan",IF(AND(AB44="Perlu Perbaikan",OR(AE44="",AC44="",AD44="")),"Isi pemeriksa dan catatan perbaikan","OK")))))))))))))))),"")</f>
        <v/>
      </c>
    </row>
    <row r="45" spans="1:39" ht="24.95" customHeight="1">
      <c r="A45" s="8"/>
      <c r="B45" s="6"/>
      <c r="C45" s="15" t="str">
        <f>IF(COUNTIFS(Master_PIC!$A$8:$A$73,$B45)=1,IF(VLOOKUP($B45,Master_PIC!$A$8:$G$73,2,FALSE)="","",VLOOKUP($B45,Master_PIC!$A$8:$G$73,2,FALSE)),"")</f>
        <v/>
      </c>
      <c r="D45" s="15" t="str">
        <f>IF(COUNTIFS(Master_PIC!$A$8:$A$73,$B45)=1,IF(VLOOKUP($B45,Master_PIC!$A$8:$G$73,4,FALSE)="","",VLOOKUP($B45,Master_PIC!$A$8:$G$73,4,FALSE)),"")</f>
        <v/>
      </c>
      <c r="E45" s="15" t="str">
        <f>IF(COUNTIFS(Master_PIC!$A$8:$A$73,$B45)=1,IF(VLOOKUP($B45,Master_PIC!$A$8:$G$73,5,FALSE)="","",VLOOKUP($B45,Master_PIC!$A$8:$G$73,5,FALSE)),"")</f>
        <v/>
      </c>
      <c r="F45" s="15" t="str">
        <f>IF(COUNTIFS(Master_PIC!$A$8:$A$73,$B45)=1,IF(VLOOKUP($B45,Master_PIC!$A$8:$G$73,6,FALSE)="","",VLOOKUP($B45,Master_PIC!$A$8:$G$73,6,FALSE)),"")</f>
        <v/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8"/>
      <c r="Y45" s="5"/>
      <c r="Z45" s="5"/>
      <c r="AA45" s="9"/>
      <c r="AB45" s="5"/>
      <c r="AC45" s="5"/>
      <c r="AD45" s="9"/>
      <c r="AE45" s="5"/>
      <c r="AF45" s="7" t="str">
        <f t="shared" si="0"/>
        <v/>
      </c>
      <c r="AG45" s="7" t="str">
        <f t="shared" si="1"/>
        <v/>
      </c>
      <c r="AH45" s="7" t="str">
        <f t="shared" si="2"/>
        <v/>
      </c>
      <c r="AI45" s="7" t="str">
        <f t="shared" si="3"/>
        <v/>
      </c>
      <c r="AJ45" s="7" t="str">
        <f t="shared" si="4"/>
        <v/>
      </c>
      <c r="AK45" s="7" t="str">
        <f t="shared" si="5"/>
        <v/>
      </c>
      <c r="AL45" s="10" t="str">
        <f t="shared" si="6"/>
        <v/>
      </c>
      <c r="AM45" s="15" t="str">
        <f>IF(OR($A45&lt;&gt;"",$B45&lt;&gt;""),IF(OR($A45="",$B45=""),"Isi tanggal dan ID PIC",IF(NOT(ISNUMBER($A45)),"Tanggal harus berupa tanggal Excel",IF(COUNTIFS(Master_PIC!$A$8:$A$73,$B45)&lt;&gt;1,"ID PIC tidak unik/terdaftar",IF(VLOOKUP($B45,Master_PIC!$A$8:$G$73,3,FALSE)&lt;&gt;"Sales","Jabatan tidak sesuai sheet",IF(OR($C45="",$D45="",$E45="",$F45=""),"Lengkapi master PIC",IF(COUNTIFS($A$8:$A$507,$A45,$B$8:$B$507,$B45)&gt;1,"Laporan ganda",IF(COUNTIFS(G45:P45,"Tidak Berlaku")&gt;0,"N/A hanya untuk kegiatan bersyarat",IF(SUM(AG45,AH45,AI45,AJ45,AK45)&lt;&gt;14,"Status kegiatan tidak valid",IF(AK45&gt;0,"Lengkapi status kegiatan",IF(AND(AJ45&gt;0,U45=""),"Isi alasan Tidak Berlaku",IF(AND(SUM(AH45,AI45)&gt;0,OR(U45="",V45="",W45="",X45="")),"Isi kendala dan tindak lanjut",IF(AND(Z45&lt;&gt;"Draft",Z45&lt;&gt;"Dikirim"),"Isi status laporan yang valid",IF(AND(AB45&lt;&gt;"",AB45&lt;&gt;"Belum Diperiksa",AB45&lt;&gt;"Disetujui",AB45&lt;&gt;"Perlu Perbaikan"),"Hasil review tidak valid",IF(AND(Z45="Dikirim",OR(Y45="",AA45="")),"Isi bukti dan waktu kirim",IF(AND(AB45="Disetujui",OR(Z45&lt;&gt;"Dikirim",AC45="",AD45="")),"Lengkapi pemeriksaan",IF(AND(AB45="Perlu Perbaikan",OR(AE45="",AC45="",AD45="")),"Isi pemeriksa dan catatan perbaikan","OK")))))))))))))))),"")</f>
        <v/>
      </c>
    </row>
    <row r="46" spans="1:39" ht="24.95" customHeight="1">
      <c r="A46" s="8"/>
      <c r="B46" s="6"/>
      <c r="C46" s="15" t="str">
        <f>IF(COUNTIFS(Master_PIC!$A$8:$A$73,$B46)=1,IF(VLOOKUP($B46,Master_PIC!$A$8:$G$73,2,FALSE)="","",VLOOKUP($B46,Master_PIC!$A$8:$G$73,2,FALSE)),"")</f>
        <v/>
      </c>
      <c r="D46" s="15" t="str">
        <f>IF(COUNTIFS(Master_PIC!$A$8:$A$73,$B46)=1,IF(VLOOKUP($B46,Master_PIC!$A$8:$G$73,4,FALSE)="","",VLOOKUP($B46,Master_PIC!$A$8:$G$73,4,FALSE)),"")</f>
        <v/>
      </c>
      <c r="E46" s="15" t="str">
        <f>IF(COUNTIFS(Master_PIC!$A$8:$A$73,$B46)=1,IF(VLOOKUP($B46,Master_PIC!$A$8:$G$73,5,FALSE)="","",VLOOKUP($B46,Master_PIC!$A$8:$G$73,5,FALSE)),"")</f>
        <v/>
      </c>
      <c r="F46" s="15" t="str">
        <f>IF(COUNTIFS(Master_PIC!$A$8:$A$73,$B46)=1,IF(VLOOKUP($B46,Master_PIC!$A$8:$G$73,6,FALSE)="","",VLOOKUP($B46,Master_PIC!$A$8:$G$73,6,FALSE)),"")</f>
        <v/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8"/>
      <c r="Y46" s="5"/>
      <c r="Z46" s="5"/>
      <c r="AA46" s="9"/>
      <c r="AB46" s="5"/>
      <c r="AC46" s="5"/>
      <c r="AD46" s="9"/>
      <c r="AE46" s="5"/>
      <c r="AF46" s="7" t="str">
        <f t="shared" si="0"/>
        <v/>
      </c>
      <c r="AG46" s="7" t="str">
        <f t="shared" si="1"/>
        <v/>
      </c>
      <c r="AH46" s="7" t="str">
        <f t="shared" si="2"/>
        <v/>
      </c>
      <c r="AI46" s="7" t="str">
        <f t="shared" si="3"/>
        <v/>
      </c>
      <c r="AJ46" s="7" t="str">
        <f t="shared" si="4"/>
        <v/>
      </c>
      <c r="AK46" s="7" t="str">
        <f t="shared" si="5"/>
        <v/>
      </c>
      <c r="AL46" s="10" t="str">
        <f t="shared" si="6"/>
        <v/>
      </c>
      <c r="AM46" s="15" t="str">
        <f>IF(OR($A46&lt;&gt;"",$B46&lt;&gt;""),IF(OR($A46="",$B46=""),"Isi tanggal dan ID PIC",IF(NOT(ISNUMBER($A46)),"Tanggal harus berupa tanggal Excel",IF(COUNTIFS(Master_PIC!$A$8:$A$73,$B46)&lt;&gt;1,"ID PIC tidak unik/terdaftar",IF(VLOOKUP($B46,Master_PIC!$A$8:$G$73,3,FALSE)&lt;&gt;"Sales","Jabatan tidak sesuai sheet",IF(OR($C46="",$D46="",$E46="",$F46=""),"Lengkapi master PIC",IF(COUNTIFS($A$8:$A$507,$A46,$B$8:$B$507,$B46)&gt;1,"Laporan ganda",IF(COUNTIFS(G46:P46,"Tidak Berlaku")&gt;0,"N/A hanya untuk kegiatan bersyarat",IF(SUM(AG46,AH46,AI46,AJ46,AK46)&lt;&gt;14,"Status kegiatan tidak valid",IF(AK46&gt;0,"Lengkapi status kegiatan",IF(AND(AJ46&gt;0,U46=""),"Isi alasan Tidak Berlaku",IF(AND(SUM(AH46,AI46)&gt;0,OR(U46="",V46="",W46="",X46="")),"Isi kendala dan tindak lanjut",IF(AND(Z46&lt;&gt;"Draft",Z46&lt;&gt;"Dikirim"),"Isi status laporan yang valid",IF(AND(AB46&lt;&gt;"",AB46&lt;&gt;"Belum Diperiksa",AB46&lt;&gt;"Disetujui",AB46&lt;&gt;"Perlu Perbaikan"),"Hasil review tidak valid",IF(AND(Z46="Dikirim",OR(Y46="",AA46="")),"Isi bukti dan waktu kirim",IF(AND(AB46="Disetujui",OR(Z46&lt;&gt;"Dikirim",AC46="",AD46="")),"Lengkapi pemeriksaan",IF(AND(AB46="Perlu Perbaikan",OR(AE46="",AC46="",AD46="")),"Isi pemeriksa dan catatan perbaikan","OK")))))))))))))))),"")</f>
        <v/>
      </c>
    </row>
    <row r="47" spans="1:39" ht="24.95" customHeight="1">
      <c r="A47" s="8"/>
      <c r="B47" s="6"/>
      <c r="C47" s="15" t="str">
        <f>IF(COUNTIFS(Master_PIC!$A$8:$A$73,$B47)=1,IF(VLOOKUP($B47,Master_PIC!$A$8:$G$73,2,FALSE)="","",VLOOKUP($B47,Master_PIC!$A$8:$G$73,2,FALSE)),"")</f>
        <v/>
      </c>
      <c r="D47" s="15" t="str">
        <f>IF(COUNTIFS(Master_PIC!$A$8:$A$73,$B47)=1,IF(VLOOKUP($B47,Master_PIC!$A$8:$G$73,4,FALSE)="","",VLOOKUP($B47,Master_PIC!$A$8:$G$73,4,FALSE)),"")</f>
        <v/>
      </c>
      <c r="E47" s="15" t="str">
        <f>IF(COUNTIFS(Master_PIC!$A$8:$A$73,$B47)=1,IF(VLOOKUP($B47,Master_PIC!$A$8:$G$73,5,FALSE)="","",VLOOKUP($B47,Master_PIC!$A$8:$G$73,5,FALSE)),"")</f>
        <v/>
      </c>
      <c r="F47" s="15" t="str">
        <f>IF(COUNTIFS(Master_PIC!$A$8:$A$73,$B47)=1,IF(VLOOKUP($B47,Master_PIC!$A$8:$G$73,6,FALSE)="","",VLOOKUP($B47,Master_PIC!$A$8:$G$73,6,FALSE)),"")</f>
        <v/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8"/>
      <c r="Y47" s="5"/>
      <c r="Z47" s="5"/>
      <c r="AA47" s="9"/>
      <c r="AB47" s="5"/>
      <c r="AC47" s="5"/>
      <c r="AD47" s="9"/>
      <c r="AE47" s="5"/>
      <c r="AF47" s="7" t="str">
        <f t="shared" si="0"/>
        <v/>
      </c>
      <c r="AG47" s="7" t="str">
        <f t="shared" si="1"/>
        <v/>
      </c>
      <c r="AH47" s="7" t="str">
        <f t="shared" si="2"/>
        <v/>
      </c>
      <c r="AI47" s="7" t="str">
        <f t="shared" si="3"/>
        <v/>
      </c>
      <c r="AJ47" s="7" t="str">
        <f t="shared" si="4"/>
        <v/>
      </c>
      <c r="AK47" s="7" t="str">
        <f t="shared" si="5"/>
        <v/>
      </c>
      <c r="AL47" s="10" t="str">
        <f t="shared" si="6"/>
        <v/>
      </c>
      <c r="AM47" s="15" t="str">
        <f>IF(OR($A47&lt;&gt;"",$B47&lt;&gt;""),IF(OR($A47="",$B47=""),"Isi tanggal dan ID PIC",IF(NOT(ISNUMBER($A47)),"Tanggal harus berupa tanggal Excel",IF(COUNTIFS(Master_PIC!$A$8:$A$73,$B47)&lt;&gt;1,"ID PIC tidak unik/terdaftar",IF(VLOOKUP($B47,Master_PIC!$A$8:$G$73,3,FALSE)&lt;&gt;"Sales","Jabatan tidak sesuai sheet",IF(OR($C47="",$D47="",$E47="",$F47=""),"Lengkapi master PIC",IF(COUNTIFS($A$8:$A$507,$A47,$B$8:$B$507,$B47)&gt;1,"Laporan ganda",IF(COUNTIFS(G47:P47,"Tidak Berlaku")&gt;0,"N/A hanya untuk kegiatan bersyarat",IF(SUM(AG47,AH47,AI47,AJ47,AK47)&lt;&gt;14,"Status kegiatan tidak valid",IF(AK47&gt;0,"Lengkapi status kegiatan",IF(AND(AJ47&gt;0,U47=""),"Isi alasan Tidak Berlaku",IF(AND(SUM(AH47,AI47)&gt;0,OR(U47="",V47="",W47="",X47="")),"Isi kendala dan tindak lanjut",IF(AND(Z47&lt;&gt;"Draft",Z47&lt;&gt;"Dikirim"),"Isi status laporan yang valid",IF(AND(AB47&lt;&gt;"",AB47&lt;&gt;"Belum Diperiksa",AB47&lt;&gt;"Disetujui",AB47&lt;&gt;"Perlu Perbaikan"),"Hasil review tidak valid",IF(AND(Z47="Dikirim",OR(Y47="",AA47="")),"Isi bukti dan waktu kirim",IF(AND(AB47="Disetujui",OR(Z47&lt;&gt;"Dikirim",AC47="",AD47="")),"Lengkapi pemeriksaan",IF(AND(AB47="Perlu Perbaikan",OR(AE47="",AC47="",AD47="")),"Isi pemeriksa dan catatan perbaikan","OK")))))))))))))))),"")</f>
        <v/>
      </c>
    </row>
    <row r="48" spans="1:39" ht="24.95" customHeight="1">
      <c r="A48" s="8"/>
      <c r="B48" s="6"/>
      <c r="C48" s="15" t="str">
        <f>IF(COUNTIFS(Master_PIC!$A$8:$A$73,$B48)=1,IF(VLOOKUP($B48,Master_PIC!$A$8:$G$73,2,FALSE)="","",VLOOKUP($B48,Master_PIC!$A$8:$G$73,2,FALSE)),"")</f>
        <v/>
      </c>
      <c r="D48" s="15" t="str">
        <f>IF(COUNTIFS(Master_PIC!$A$8:$A$73,$B48)=1,IF(VLOOKUP($B48,Master_PIC!$A$8:$G$73,4,FALSE)="","",VLOOKUP($B48,Master_PIC!$A$8:$G$73,4,FALSE)),"")</f>
        <v/>
      </c>
      <c r="E48" s="15" t="str">
        <f>IF(COUNTIFS(Master_PIC!$A$8:$A$73,$B48)=1,IF(VLOOKUP($B48,Master_PIC!$A$8:$G$73,5,FALSE)="","",VLOOKUP($B48,Master_PIC!$A$8:$G$73,5,FALSE)),"")</f>
        <v/>
      </c>
      <c r="F48" s="15" t="str">
        <f>IF(COUNTIFS(Master_PIC!$A$8:$A$73,$B48)=1,IF(VLOOKUP($B48,Master_PIC!$A$8:$G$73,6,FALSE)="","",VLOOKUP($B48,Master_PIC!$A$8:$G$73,6,FALSE)),"")</f>
        <v/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8"/>
      <c r="Y48" s="5"/>
      <c r="Z48" s="5"/>
      <c r="AA48" s="9"/>
      <c r="AB48" s="5"/>
      <c r="AC48" s="5"/>
      <c r="AD48" s="9"/>
      <c r="AE48" s="5"/>
      <c r="AF48" s="7" t="str">
        <f t="shared" si="0"/>
        <v/>
      </c>
      <c r="AG48" s="7" t="str">
        <f t="shared" si="1"/>
        <v/>
      </c>
      <c r="AH48" s="7" t="str">
        <f t="shared" si="2"/>
        <v/>
      </c>
      <c r="AI48" s="7" t="str">
        <f t="shared" si="3"/>
        <v/>
      </c>
      <c r="AJ48" s="7" t="str">
        <f t="shared" si="4"/>
        <v/>
      </c>
      <c r="AK48" s="7" t="str">
        <f t="shared" si="5"/>
        <v/>
      </c>
      <c r="AL48" s="10" t="str">
        <f t="shared" si="6"/>
        <v/>
      </c>
      <c r="AM48" s="15" t="str">
        <f>IF(OR($A48&lt;&gt;"",$B48&lt;&gt;""),IF(OR($A48="",$B48=""),"Isi tanggal dan ID PIC",IF(NOT(ISNUMBER($A48)),"Tanggal harus berupa tanggal Excel",IF(COUNTIFS(Master_PIC!$A$8:$A$73,$B48)&lt;&gt;1,"ID PIC tidak unik/terdaftar",IF(VLOOKUP($B48,Master_PIC!$A$8:$G$73,3,FALSE)&lt;&gt;"Sales","Jabatan tidak sesuai sheet",IF(OR($C48="",$D48="",$E48="",$F48=""),"Lengkapi master PIC",IF(COUNTIFS($A$8:$A$507,$A48,$B$8:$B$507,$B48)&gt;1,"Laporan ganda",IF(COUNTIFS(G48:P48,"Tidak Berlaku")&gt;0,"N/A hanya untuk kegiatan bersyarat",IF(SUM(AG48,AH48,AI48,AJ48,AK48)&lt;&gt;14,"Status kegiatan tidak valid",IF(AK48&gt;0,"Lengkapi status kegiatan",IF(AND(AJ48&gt;0,U48=""),"Isi alasan Tidak Berlaku",IF(AND(SUM(AH48,AI48)&gt;0,OR(U48="",V48="",W48="",X48="")),"Isi kendala dan tindak lanjut",IF(AND(Z48&lt;&gt;"Draft",Z48&lt;&gt;"Dikirim"),"Isi status laporan yang valid",IF(AND(AB48&lt;&gt;"",AB48&lt;&gt;"Belum Diperiksa",AB48&lt;&gt;"Disetujui",AB48&lt;&gt;"Perlu Perbaikan"),"Hasil review tidak valid",IF(AND(Z48="Dikirim",OR(Y48="",AA48="")),"Isi bukti dan waktu kirim",IF(AND(AB48="Disetujui",OR(Z48&lt;&gt;"Dikirim",AC48="",AD48="")),"Lengkapi pemeriksaan",IF(AND(AB48="Perlu Perbaikan",OR(AE48="",AC48="",AD48="")),"Isi pemeriksa dan catatan perbaikan","OK")))))))))))))))),"")</f>
        <v/>
      </c>
    </row>
    <row r="49" spans="1:39" ht="24.95" customHeight="1">
      <c r="A49" s="8"/>
      <c r="B49" s="6"/>
      <c r="C49" s="15" t="str">
        <f>IF(COUNTIFS(Master_PIC!$A$8:$A$73,$B49)=1,IF(VLOOKUP($B49,Master_PIC!$A$8:$G$73,2,FALSE)="","",VLOOKUP($B49,Master_PIC!$A$8:$G$73,2,FALSE)),"")</f>
        <v/>
      </c>
      <c r="D49" s="15" t="str">
        <f>IF(COUNTIFS(Master_PIC!$A$8:$A$73,$B49)=1,IF(VLOOKUP($B49,Master_PIC!$A$8:$G$73,4,FALSE)="","",VLOOKUP($B49,Master_PIC!$A$8:$G$73,4,FALSE)),"")</f>
        <v/>
      </c>
      <c r="E49" s="15" t="str">
        <f>IF(COUNTIFS(Master_PIC!$A$8:$A$73,$B49)=1,IF(VLOOKUP($B49,Master_PIC!$A$8:$G$73,5,FALSE)="","",VLOOKUP($B49,Master_PIC!$A$8:$G$73,5,FALSE)),"")</f>
        <v/>
      </c>
      <c r="F49" s="15" t="str">
        <f>IF(COUNTIFS(Master_PIC!$A$8:$A$73,$B49)=1,IF(VLOOKUP($B49,Master_PIC!$A$8:$G$73,6,FALSE)="","",VLOOKUP($B49,Master_PIC!$A$8:$G$73,6,FALSE)),"")</f>
        <v/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8"/>
      <c r="Y49" s="5"/>
      <c r="Z49" s="5"/>
      <c r="AA49" s="9"/>
      <c r="AB49" s="5"/>
      <c r="AC49" s="5"/>
      <c r="AD49" s="9"/>
      <c r="AE49" s="5"/>
      <c r="AF49" s="7" t="str">
        <f t="shared" si="0"/>
        <v/>
      </c>
      <c r="AG49" s="7" t="str">
        <f t="shared" si="1"/>
        <v/>
      </c>
      <c r="AH49" s="7" t="str">
        <f t="shared" si="2"/>
        <v/>
      </c>
      <c r="AI49" s="7" t="str">
        <f t="shared" si="3"/>
        <v/>
      </c>
      <c r="AJ49" s="7" t="str">
        <f t="shared" si="4"/>
        <v/>
      </c>
      <c r="AK49" s="7" t="str">
        <f t="shared" si="5"/>
        <v/>
      </c>
      <c r="AL49" s="10" t="str">
        <f t="shared" si="6"/>
        <v/>
      </c>
      <c r="AM49" s="15" t="str">
        <f>IF(OR($A49&lt;&gt;"",$B49&lt;&gt;""),IF(OR($A49="",$B49=""),"Isi tanggal dan ID PIC",IF(NOT(ISNUMBER($A49)),"Tanggal harus berupa tanggal Excel",IF(COUNTIFS(Master_PIC!$A$8:$A$73,$B49)&lt;&gt;1,"ID PIC tidak unik/terdaftar",IF(VLOOKUP($B49,Master_PIC!$A$8:$G$73,3,FALSE)&lt;&gt;"Sales","Jabatan tidak sesuai sheet",IF(OR($C49="",$D49="",$E49="",$F49=""),"Lengkapi master PIC",IF(COUNTIFS($A$8:$A$507,$A49,$B$8:$B$507,$B49)&gt;1,"Laporan ganda",IF(COUNTIFS(G49:P49,"Tidak Berlaku")&gt;0,"N/A hanya untuk kegiatan bersyarat",IF(SUM(AG49,AH49,AI49,AJ49,AK49)&lt;&gt;14,"Status kegiatan tidak valid",IF(AK49&gt;0,"Lengkapi status kegiatan",IF(AND(AJ49&gt;0,U49=""),"Isi alasan Tidak Berlaku",IF(AND(SUM(AH49,AI49)&gt;0,OR(U49="",V49="",W49="",X49="")),"Isi kendala dan tindak lanjut",IF(AND(Z49&lt;&gt;"Draft",Z49&lt;&gt;"Dikirim"),"Isi status laporan yang valid",IF(AND(AB49&lt;&gt;"",AB49&lt;&gt;"Belum Diperiksa",AB49&lt;&gt;"Disetujui",AB49&lt;&gt;"Perlu Perbaikan"),"Hasil review tidak valid",IF(AND(Z49="Dikirim",OR(Y49="",AA49="")),"Isi bukti dan waktu kirim",IF(AND(AB49="Disetujui",OR(Z49&lt;&gt;"Dikirim",AC49="",AD49="")),"Lengkapi pemeriksaan",IF(AND(AB49="Perlu Perbaikan",OR(AE49="",AC49="",AD49="")),"Isi pemeriksa dan catatan perbaikan","OK")))))))))))))))),"")</f>
        <v/>
      </c>
    </row>
    <row r="50" spans="1:39" ht="24.95" customHeight="1">
      <c r="A50" s="8"/>
      <c r="B50" s="6"/>
      <c r="C50" s="15" t="str">
        <f>IF(COUNTIFS(Master_PIC!$A$8:$A$73,$B50)=1,IF(VLOOKUP($B50,Master_PIC!$A$8:$G$73,2,FALSE)="","",VLOOKUP($B50,Master_PIC!$A$8:$G$73,2,FALSE)),"")</f>
        <v/>
      </c>
      <c r="D50" s="15" t="str">
        <f>IF(COUNTIFS(Master_PIC!$A$8:$A$73,$B50)=1,IF(VLOOKUP($B50,Master_PIC!$A$8:$G$73,4,FALSE)="","",VLOOKUP($B50,Master_PIC!$A$8:$G$73,4,FALSE)),"")</f>
        <v/>
      </c>
      <c r="E50" s="15" t="str">
        <f>IF(COUNTIFS(Master_PIC!$A$8:$A$73,$B50)=1,IF(VLOOKUP($B50,Master_PIC!$A$8:$G$73,5,FALSE)="","",VLOOKUP($B50,Master_PIC!$A$8:$G$73,5,FALSE)),"")</f>
        <v/>
      </c>
      <c r="F50" s="15" t="str">
        <f>IF(COUNTIFS(Master_PIC!$A$8:$A$73,$B50)=1,IF(VLOOKUP($B50,Master_PIC!$A$8:$G$73,6,FALSE)="","",VLOOKUP($B50,Master_PIC!$A$8:$G$73,6,FALSE)),"")</f>
        <v/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8"/>
      <c r="Y50" s="5"/>
      <c r="Z50" s="5"/>
      <c r="AA50" s="9"/>
      <c r="AB50" s="5"/>
      <c r="AC50" s="5"/>
      <c r="AD50" s="9"/>
      <c r="AE50" s="5"/>
      <c r="AF50" s="7" t="str">
        <f t="shared" si="0"/>
        <v/>
      </c>
      <c r="AG50" s="7" t="str">
        <f t="shared" si="1"/>
        <v/>
      </c>
      <c r="AH50" s="7" t="str">
        <f t="shared" si="2"/>
        <v/>
      </c>
      <c r="AI50" s="7" t="str">
        <f t="shared" si="3"/>
        <v/>
      </c>
      <c r="AJ50" s="7" t="str">
        <f t="shared" si="4"/>
        <v/>
      </c>
      <c r="AK50" s="7" t="str">
        <f t="shared" si="5"/>
        <v/>
      </c>
      <c r="AL50" s="10" t="str">
        <f t="shared" si="6"/>
        <v/>
      </c>
      <c r="AM50" s="15" t="str">
        <f>IF(OR($A50&lt;&gt;"",$B50&lt;&gt;""),IF(OR($A50="",$B50=""),"Isi tanggal dan ID PIC",IF(NOT(ISNUMBER($A50)),"Tanggal harus berupa tanggal Excel",IF(COUNTIFS(Master_PIC!$A$8:$A$73,$B50)&lt;&gt;1,"ID PIC tidak unik/terdaftar",IF(VLOOKUP($B50,Master_PIC!$A$8:$G$73,3,FALSE)&lt;&gt;"Sales","Jabatan tidak sesuai sheet",IF(OR($C50="",$D50="",$E50="",$F50=""),"Lengkapi master PIC",IF(COUNTIFS($A$8:$A$507,$A50,$B$8:$B$507,$B50)&gt;1,"Laporan ganda",IF(COUNTIFS(G50:P50,"Tidak Berlaku")&gt;0,"N/A hanya untuk kegiatan bersyarat",IF(SUM(AG50,AH50,AI50,AJ50,AK50)&lt;&gt;14,"Status kegiatan tidak valid",IF(AK50&gt;0,"Lengkapi status kegiatan",IF(AND(AJ50&gt;0,U50=""),"Isi alasan Tidak Berlaku",IF(AND(SUM(AH50,AI50)&gt;0,OR(U50="",V50="",W50="",X50="")),"Isi kendala dan tindak lanjut",IF(AND(Z50&lt;&gt;"Draft",Z50&lt;&gt;"Dikirim"),"Isi status laporan yang valid",IF(AND(AB50&lt;&gt;"",AB50&lt;&gt;"Belum Diperiksa",AB50&lt;&gt;"Disetujui",AB50&lt;&gt;"Perlu Perbaikan"),"Hasil review tidak valid",IF(AND(Z50="Dikirim",OR(Y50="",AA50="")),"Isi bukti dan waktu kirim",IF(AND(AB50="Disetujui",OR(Z50&lt;&gt;"Dikirim",AC50="",AD50="")),"Lengkapi pemeriksaan",IF(AND(AB50="Perlu Perbaikan",OR(AE50="",AC50="",AD50="")),"Isi pemeriksa dan catatan perbaikan","OK")))))))))))))))),"")</f>
        <v/>
      </c>
    </row>
    <row r="51" spans="1:39" ht="24.95" customHeight="1">
      <c r="A51" s="8"/>
      <c r="B51" s="6"/>
      <c r="C51" s="15" t="str">
        <f>IF(COUNTIFS(Master_PIC!$A$8:$A$73,$B51)=1,IF(VLOOKUP($B51,Master_PIC!$A$8:$G$73,2,FALSE)="","",VLOOKUP($B51,Master_PIC!$A$8:$G$73,2,FALSE)),"")</f>
        <v/>
      </c>
      <c r="D51" s="15" t="str">
        <f>IF(COUNTIFS(Master_PIC!$A$8:$A$73,$B51)=1,IF(VLOOKUP($B51,Master_PIC!$A$8:$G$73,4,FALSE)="","",VLOOKUP($B51,Master_PIC!$A$8:$G$73,4,FALSE)),"")</f>
        <v/>
      </c>
      <c r="E51" s="15" t="str">
        <f>IF(COUNTIFS(Master_PIC!$A$8:$A$73,$B51)=1,IF(VLOOKUP($B51,Master_PIC!$A$8:$G$73,5,FALSE)="","",VLOOKUP($B51,Master_PIC!$A$8:$G$73,5,FALSE)),"")</f>
        <v/>
      </c>
      <c r="F51" s="15" t="str">
        <f>IF(COUNTIFS(Master_PIC!$A$8:$A$73,$B51)=1,IF(VLOOKUP($B51,Master_PIC!$A$8:$G$73,6,FALSE)="","",VLOOKUP($B51,Master_PIC!$A$8:$G$73,6,FALSE)),"")</f>
        <v/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8"/>
      <c r="Y51" s="5"/>
      <c r="Z51" s="5"/>
      <c r="AA51" s="9"/>
      <c r="AB51" s="5"/>
      <c r="AC51" s="5"/>
      <c r="AD51" s="9"/>
      <c r="AE51" s="5"/>
      <c r="AF51" s="7" t="str">
        <f t="shared" si="0"/>
        <v/>
      </c>
      <c r="AG51" s="7" t="str">
        <f t="shared" si="1"/>
        <v/>
      </c>
      <c r="AH51" s="7" t="str">
        <f t="shared" si="2"/>
        <v/>
      </c>
      <c r="AI51" s="7" t="str">
        <f t="shared" si="3"/>
        <v/>
      </c>
      <c r="AJ51" s="7" t="str">
        <f t="shared" si="4"/>
        <v/>
      </c>
      <c r="AK51" s="7" t="str">
        <f t="shared" si="5"/>
        <v/>
      </c>
      <c r="AL51" s="10" t="str">
        <f t="shared" si="6"/>
        <v/>
      </c>
      <c r="AM51" s="15" t="str">
        <f>IF(OR($A51&lt;&gt;"",$B51&lt;&gt;""),IF(OR($A51="",$B51=""),"Isi tanggal dan ID PIC",IF(NOT(ISNUMBER($A51)),"Tanggal harus berupa tanggal Excel",IF(COUNTIFS(Master_PIC!$A$8:$A$73,$B51)&lt;&gt;1,"ID PIC tidak unik/terdaftar",IF(VLOOKUP($B51,Master_PIC!$A$8:$G$73,3,FALSE)&lt;&gt;"Sales","Jabatan tidak sesuai sheet",IF(OR($C51="",$D51="",$E51="",$F51=""),"Lengkapi master PIC",IF(COUNTIFS($A$8:$A$507,$A51,$B$8:$B$507,$B51)&gt;1,"Laporan ganda",IF(COUNTIFS(G51:P51,"Tidak Berlaku")&gt;0,"N/A hanya untuk kegiatan bersyarat",IF(SUM(AG51,AH51,AI51,AJ51,AK51)&lt;&gt;14,"Status kegiatan tidak valid",IF(AK51&gt;0,"Lengkapi status kegiatan",IF(AND(AJ51&gt;0,U51=""),"Isi alasan Tidak Berlaku",IF(AND(SUM(AH51,AI51)&gt;0,OR(U51="",V51="",W51="",X51="")),"Isi kendala dan tindak lanjut",IF(AND(Z51&lt;&gt;"Draft",Z51&lt;&gt;"Dikirim"),"Isi status laporan yang valid",IF(AND(AB51&lt;&gt;"",AB51&lt;&gt;"Belum Diperiksa",AB51&lt;&gt;"Disetujui",AB51&lt;&gt;"Perlu Perbaikan"),"Hasil review tidak valid",IF(AND(Z51="Dikirim",OR(Y51="",AA51="")),"Isi bukti dan waktu kirim",IF(AND(AB51="Disetujui",OR(Z51&lt;&gt;"Dikirim",AC51="",AD51="")),"Lengkapi pemeriksaan",IF(AND(AB51="Perlu Perbaikan",OR(AE51="",AC51="",AD51="")),"Isi pemeriksa dan catatan perbaikan","OK")))))))))))))))),"")</f>
        <v/>
      </c>
    </row>
    <row r="52" spans="1:39" ht="24.95" customHeight="1">
      <c r="A52" s="8"/>
      <c r="B52" s="6"/>
      <c r="C52" s="15" t="str">
        <f>IF(COUNTIFS(Master_PIC!$A$8:$A$73,$B52)=1,IF(VLOOKUP($B52,Master_PIC!$A$8:$G$73,2,FALSE)="","",VLOOKUP($B52,Master_PIC!$A$8:$G$73,2,FALSE)),"")</f>
        <v/>
      </c>
      <c r="D52" s="15" t="str">
        <f>IF(COUNTIFS(Master_PIC!$A$8:$A$73,$B52)=1,IF(VLOOKUP($B52,Master_PIC!$A$8:$G$73,4,FALSE)="","",VLOOKUP($B52,Master_PIC!$A$8:$G$73,4,FALSE)),"")</f>
        <v/>
      </c>
      <c r="E52" s="15" t="str">
        <f>IF(COUNTIFS(Master_PIC!$A$8:$A$73,$B52)=1,IF(VLOOKUP($B52,Master_PIC!$A$8:$G$73,5,FALSE)="","",VLOOKUP($B52,Master_PIC!$A$8:$G$73,5,FALSE)),"")</f>
        <v/>
      </c>
      <c r="F52" s="15" t="str">
        <f>IF(COUNTIFS(Master_PIC!$A$8:$A$73,$B52)=1,IF(VLOOKUP($B52,Master_PIC!$A$8:$G$73,6,FALSE)="","",VLOOKUP($B52,Master_PIC!$A$8:$G$73,6,FALSE)),"")</f>
        <v/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8"/>
      <c r="Y52" s="5"/>
      <c r="Z52" s="5"/>
      <c r="AA52" s="9"/>
      <c r="AB52" s="5"/>
      <c r="AC52" s="5"/>
      <c r="AD52" s="9"/>
      <c r="AE52" s="5"/>
      <c r="AF52" s="7" t="str">
        <f t="shared" si="0"/>
        <v/>
      </c>
      <c r="AG52" s="7" t="str">
        <f t="shared" si="1"/>
        <v/>
      </c>
      <c r="AH52" s="7" t="str">
        <f t="shared" si="2"/>
        <v/>
      </c>
      <c r="AI52" s="7" t="str">
        <f t="shared" si="3"/>
        <v/>
      </c>
      <c r="AJ52" s="7" t="str">
        <f t="shared" si="4"/>
        <v/>
      </c>
      <c r="AK52" s="7" t="str">
        <f t="shared" si="5"/>
        <v/>
      </c>
      <c r="AL52" s="10" t="str">
        <f t="shared" si="6"/>
        <v/>
      </c>
      <c r="AM52" s="15" t="str">
        <f>IF(OR($A52&lt;&gt;"",$B52&lt;&gt;""),IF(OR($A52="",$B52=""),"Isi tanggal dan ID PIC",IF(NOT(ISNUMBER($A52)),"Tanggal harus berupa tanggal Excel",IF(COUNTIFS(Master_PIC!$A$8:$A$73,$B52)&lt;&gt;1,"ID PIC tidak unik/terdaftar",IF(VLOOKUP($B52,Master_PIC!$A$8:$G$73,3,FALSE)&lt;&gt;"Sales","Jabatan tidak sesuai sheet",IF(OR($C52="",$D52="",$E52="",$F52=""),"Lengkapi master PIC",IF(COUNTIFS($A$8:$A$507,$A52,$B$8:$B$507,$B52)&gt;1,"Laporan ganda",IF(COUNTIFS(G52:P52,"Tidak Berlaku")&gt;0,"N/A hanya untuk kegiatan bersyarat",IF(SUM(AG52,AH52,AI52,AJ52,AK52)&lt;&gt;14,"Status kegiatan tidak valid",IF(AK52&gt;0,"Lengkapi status kegiatan",IF(AND(AJ52&gt;0,U52=""),"Isi alasan Tidak Berlaku",IF(AND(SUM(AH52,AI52)&gt;0,OR(U52="",V52="",W52="",X52="")),"Isi kendala dan tindak lanjut",IF(AND(Z52&lt;&gt;"Draft",Z52&lt;&gt;"Dikirim"),"Isi status laporan yang valid",IF(AND(AB52&lt;&gt;"",AB52&lt;&gt;"Belum Diperiksa",AB52&lt;&gt;"Disetujui",AB52&lt;&gt;"Perlu Perbaikan"),"Hasil review tidak valid",IF(AND(Z52="Dikirim",OR(Y52="",AA52="")),"Isi bukti dan waktu kirim",IF(AND(AB52="Disetujui",OR(Z52&lt;&gt;"Dikirim",AC52="",AD52="")),"Lengkapi pemeriksaan",IF(AND(AB52="Perlu Perbaikan",OR(AE52="",AC52="",AD52="")),"Isi pemeriksa dan catatan perbaikan","OK")))))))))))))))),"")</f>
        <v/>
      </c>
    </row>
    <row r="53" spans="1:39" ht="24.95" customHeight="1">
      <c r="A53" s="8"/>
      <c r="B53" s="6"/>
      <c r="C53" s="15" t="str">
        <f>IF(COUNTIFS(Master_PIC!$A$8:$A$73,$B53)=1,IF(VLOOKUP($B53,Master_PIC!$A$8:$G$73,2,FALSE)="","",VLOOKUP($B53,Master_PIC!$A$8:$G$73,2,FALSE)),"")</f>
        <v/>
      </c>
      <c r="D53" s="15" t="str">
        <f>IF(COUNTIFS(Master_PIC!$A$8:$A$73,$B53)=1,IF(VLOOKUP($B53,Master_PIC!$A$8:$G$73,4,FALSE)="","",VLOOKUP($B53,Master_PIC!$A$8:$G$73,4,FALSE)),"")</f>
        <v/>
      </c>
      <c r="E53" s="15" t="str">
        <f>IF(COUNTIFS(Master_PIC!$A$8:$A$73,$B53)=1,IF(VLOOKUP($B53,Master_PIC!$A$8:$G$73,5,FALSE)="","",VLOOKUP($B53,Master_PIC!$A$8:$G$73,5,FALSE)),"")</f>
        <v/>
      </c>
      <c r="F53" s="15" t="str">
        <f>IF(COUNTIFS(Master_PIC!$A$8:$A$73,$B53)=1,IF(VLOOKUP($B53,Master_PIC!$A$8:$G$73,6,FALSE)="","",VLOOKUP($B53,Master_PIC!$A$8:$G$73,6,FALSE)),"")</f>
        <v/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8"/>
      <c r="Y53" s="5"/>
      <c r="Z53" s="5"/>
      <c r="AA53" s="9"/>
      <c r="AB53" s="5"/>
      <c r="AC53" s="5"/>
      <c r="AD53" s="9"/>
      <c r="AE53" s="5"/>
      <c r="AF53" s="7" t="str">
        <f t="shared" si="0"/>
        <v/>
      </c>
      <c r="AG53" s="7" t="str">
        <f t="shared" si="1"/>
        <v/>
      </c>
      <c r="AH53" s="7" t="str">
        <f t="shared" si="2"/>
        <v/>
      </c>
      <c r="AI53" s="7" t="str">
        <f t="shared" si="3"/>
        <v/>
      </c>
      <c r="AJ53" s="7" t="str">
        <f t="shared" si="4"/>
        <v/>
      </c>
      <c r="AK53" s="7" t="str">
        <f t="shared" si="5"/>
        <v/>
      </c>
      <c r="AL53" s="10" t="str">
        <f t="shared" si="6"/>
        <v/>
      </c>
      <c r="AM53" s="15" t="str">
        <f>IF(OR($A53&lt;&gt;"",$B53&lt;&gt;""),IF(OR($A53="",$B53=""),"Isi tanggal dan ID PIC",IF(NOT(ISNUMBER($A53)),"Tanggal harus berupa tanggal Excel",IF(COUNTIFS(Master_PIC!$A$8:$A$73,$B53)&lt;&gt;1,"ID PIC tidak unik/terdaftar",IF(VLOOKUP($B53,Master_PIC!$A$8:$G$73,3,FALSE)&lt;&gt;"Sales","Jabatan tidak sesuai sheet",IF(OR($C53="",$D53="",$E53="",$F53=""),"Lengkapi master PIC",IF(COUNTIFS($A$8:$A$507,$A53,$B$8:$B$507,$B53)&gt;1,"Laporan ganda",IF(COUNTIFS(G53:P53,"Tidak Berlaku")&gt;0,"N/A hanya untuk kegiatan bersyarat",IF(SUM(AG53,AH53,AI53,AJ53,AK53)&lt;&gt;14,"Status kegiatan tidak valid",IF(AK53&gt;0,"Lengkapi status kegiatan",IF(AND(AJ53&gt;0,U53=""),"Isi alasan Tidak Berlaku",IF(AND(SUM(AH53,AI53)&gt;0,OR(U53="",V53="",W53="",X53="")),"Isi kendala dan tindak lanjut",IF(AND(Z53&lt;&gt;"Draft",Z53&lt;&gt;"Dikirim"),"Isi status laporan yang valid",IF(AND(AB53&lt;&gt;"",AB53&lt;&gt;"Belum Diperiksa",AB53&lt;&gt;"Disetujui",AB53&lt;&gt;"Perlu Perbaikan"),"Hasil review tidak valid",IF(AND(Z53="Dikirim",OR(Y53="",AA53="")),"Isi bukti dan waktu kirim",IF(AND(AB53="Disetujui",OR(Z53&lt;&gt;"Dikirim",AC53="",AD53="")),"Lengkapi pemeriksaan",IF(AND(AB53="Perlu Perbaikan",OR(AE53="",AC53="",AD53="")),"Isi pemeriksa dan catatan perbaikan","OK")))))))))))))))),"")</f>
        <v/>
      </c>
    </row>
    <row r="54" spans="1:39" ht="24.95" customHeight="1">
      <c r="A54" s="8"/>
      <c r="B54" s="6"/>
      <c r="C54" s="15" t="str">
        <f>IF(COUNTIFS(Master_PIC!$A$8:$A$73,$B54)=1,IF(VLOOKUP($B54,Master_PIC!$A$8:$G$73,2,FALSE)="","",VLOOKUP($B54,Master_PIC!$A$8:$G$73,2,FALSE)),"")</f>
        <v/>
      </c>
      <c r="D54" s="15" t="str">
        <f>IF(COUNTIFS(Master_PIC!$A$8:$A$73,$B54)=1,IF(VLOOKUP($B54,Master_PIC!$A$8:$G$73,4,FALSE)="","",VLOOKUP($B54,Master_PIC!$A$8:$G$73,4,FALSE)),"")</f>
        <v/>
      </c>
      <c r="E54" s="15" t="str">
        <f>IF(COUNTIFS(Master_PIC!$A$8:$A$73,$B54)=1,IF(VLOOKUP($B54,Master_PIC!$A$8:$G$73,5,FALSE)="","",VLOOKUP($B54,Master_PIC!$A$8:$G$73,5,FALSE)),"")</f>
        <v/>
      </c>
      <c r="F54" s="15" t="str">
        <f>IF(COUNTIFS(Master_PIC!$A$8:$A$73,$B54)=1,IF(VLOOKUP($B54,Master_PIC!$A$8:$G$73,6,FALSE)="","",VLOOKUP($B54,Master_PIC!$A$8:$G$73,6,FALSE)),"")</f>
        <v/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8"/>
      <c r="Y54" s="5"/>
      <c r="Z54" s="5"/>
      <c r="AA54" s="9"/>
      <c r="AB54" s="5"/>
      <c r="AC54" s="5"/>
      <c r="AD54" s="9"/>
      <c r="AE54" s="5"/>
      <c r="AF54" s="7" t="str">
        <f t="shared" si="0"/>
        <v/>
      </c>
      <c r="AG54" s="7" t="str">
        <f t="shared" si="1"/>
        <v/>
      </c>
      <c r="AH54" s="7" t="str">
        <f t="shared" si="2"/>
        <v/>
      </c>
      <c r="AI54" s="7" t="str">
        <f t="shared" si="3"/>
        <v/>
      </c>
      <c r="AJ54" s="7" t="str">
        <f t="shared" si="4"/>
        <v/>
      </c>
      <c r="AK54" s="7" t="str">
        <f t="shared" si="5"/>
        <v/>
      </c>
      <c r="AL54" s="10" t="str">
        <f t="shared" si="6"/>
        <v/>
      </c>
      <c r="AM54" s="15" t="str">
        <f>IF(OR($A54&lt;&gt;"",$B54&lt;&gt;""),IF(OR($A54="",$B54=""),"Isi tanggal dan ID PIC",IF(NOT(ISNUMBER($A54)),"Tanggal harus berupa tanggal Excel",IF(COUNTIFS(Master_PIC!$A$8:$A$73,$B54)&lt;&gt;1,"ID PIC tidak unik/terdaftar",IF(VLOOKUP($B54,Master_PIC!$A$8:$G$73,3,FALSE)&lt;&gt;"Sales","Jabatan tidak sesuai sheet",IF(OR($C54="",$D54="",$E54="",$F54=""),"Lengkapi master PIC",IF(COUNTIFS($A$8:$A$507,$A54,$B$8:$B$507,$B54)&gt;1,"Laporan ganda",IF(COUNTIFS(G54:P54,"Tidak Berlaku")&gt;0,"N/A hanya untuk kegiatan bersyarat",IF(SUM(AG54,AH54,AI54,AJ54,AK54)&lt;&gt;14,"Status kegiatan tidak valid",IF(AK54&gt;0,"Lengkapi status kegiatan",IF(AND(AJ54&gt;0,U54=""),"Isi alasan Tidak Berlaku",IF(AND(SUM(AH54,AI54)&gt;0,OR(U54="",V54="",W54="",X54="")),"Isi kendala dan tindak lanjut",IF(AND(Z54&lt;&gt;"Draft",Z54&lt;&gt;"Dikirim"),"Isi status laporan yang valid",IF(AND(AB54&lt;&gt;"",AB54&lt;&gt;"Belum Diperiksa",AB54&lt;&gt;"Disetujui",AB54&lt;&gt;"Perlu Perbaikan"),"Hasil review tidak valid",IF(AND(Z54="Dikirim",OR(Y54="",AA54="")),"Isi bukti dan waktu kirim",IF(AND(AB54="Disetujui",OR(Z54&lt;&gt;"Dikirim",AC54="",AD54="")),"Lengkapi pemeriksaan",IF(AND(AB54="Perlu Perbaikan",OR(AE54="",AC54="",AD54="")),"Isi pemeriksa dan catatan perbaikan","OK")))))))))))))))),"")</f>
        <v/>
      </c>
    </row>
    <row r="55" spans="1:39" ht="24.95" customHeight="1">
      <c r="A55" s="8"/>
      <c r="B55" s="6"/>
      <c r="C55" s="15" t="str">
        <f>IF(COUNTIFS(Master_PIC!$A$8:$A$73,$B55)=1,IF(VLOOKUP($B55,Master_PIC!$A$8:$G$73,2,FALSE)="","",VLOOKUP($B55,Master_PIC!$A$8:$G$73,2,FALSE)),"")</f>
        <v/>
      </c>
      <c r="D55" s="15" t="str">
        <f>IF(COUNTIFS(Master_PIC!$A$8:$A$73,$B55)=1,IF(VLOOKUP($B55,Master_PIC!$A$8:$G$73,4,FALSE)="","",VLOOKUP($B55,Master_PIC!$A$8:$G$73,4,FALSE)),"")</f>
        <v/>
      </c>
      <c r="E55" s="15" t="str">
        <f>IF(COUNTIFS(Master_PIC!$A$8:$A$73,$B55)=1,IF(VLOOKUP($B55,Master_PIC!$A$8:$G$73,5,FALSE)="","",VLOOKUP($B55,Master_PIC!$A$8:$G$73,5,FALSE)),"")</f>
        <v/>
      </c>
      <c r="F55" s="15" t="str">
        <f>IF(COUNTIFS(Master_PIC!$A$8:$A$73,$B55)=1,IF(VLOOKUP($B55,Master_PIC!$A$8:$G$73,6,FALSE)="","",VLOOKUP($B55,Master_PIC!$A$8:$G$73,6,FALSE)),"")</f>
        <v/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8"/>
      <c r="Y55" s="5"/>
      <c r="Z55" s="5"/>
      <c r="AA55" s="9"/>
      <c r="AB55" s="5"/>
      <c r="AC55" s="5"/>
      <c r="AD55" s="9"/>
      <c r="AE55" s="5"/>
      <c r="AF55" s="7" t="str">
        <f t="shared" si="0"/>
        <v/>
      </c>
      <c r="AG55" s="7" t="str">
        <f t="shared" si="1"/>
        <v/>
      </c>
      <c r="AH55" s="7" t="str">
        <f t="shared" si="2"/>
        <v/>
      </c>
      <c r="AI55" s="7" t="str">
        <f t="shared" si="3"/>
        <v/>
      </c>
      <c r="AJ55" s="7" t="str">
        <f t="shared" si="4"/>
        <v/>
      </c>
      <c r="AK55" s="7" t="str">
        <f t="shared" si="5"/>
        <v/>
      </c>
      <c r="AL55" s="10" t="str">
        <f t="shared" si="6"/>
        <v/>
      </c>
      <c r="AM55" s="15" t="str">
        <f>IF(OR($A55&lt;&gt;"",$B55&lt;&gt;""),IF(OR($A55="",$B55=""),"Isi tanggal dan ID PIC",IF(NOT(ISNUMBER($A55)),"Tanggal harus berupa tanggal Excel",IF(COUNTIFS(Master_PIC!$A$8:$A$73,$B55)&lt;&gt;1,"ID PIC tidak unik/terdaftar",IF(VLOOKUP($B55,Master_PIC!$A$8:$G$73,3,FALSE)&lt;&gt;"Sales","Jabatan tidak sesuai sheet",IF(OR($C55="",$D55="",$E55="",$F55=""),"Lengkapi master PIC",IF(COUNTIFS($A$8:$A$507,$A55,$B$8:$B$507,$B55)&gt;1,"Laporan ganda",IF(COUNTIFS(G55:P55,"Tidak Berlaku")&gt;0,"N/A hanya untuk kegiatan bersyarat",IF(SUM(AG55,AH55,AI55,AJ55,AK55)&lt;&gt;14,"Status kegiatan tidak valid",IF(AK55&gt;0,"Lengkapi status kegiatan",IF(AND(AJ55&gt;0,U55=""),"Isi alasan Tidak Berlaku",IF(AND(SUM(AH55,AI55)&gt;0,OR(U55="",V55="",W55="",X55="")),"Isi kendala dan tindak lanjut",IF(AND(Z55&lt;&gt;"Draft",Z55&lt;&gt;"Dikirim"),"Isi status laporan yang valid",IF(AND(AB55&lt;&gt;"",AB55&lt;&gt;"Belum Diperiksa",AB55&lt;&gt;"Disetujui",AB55&lt;&gt;"Perlu Perbaikan"),"Hasil review tidak valid",IF(AND(Z55="Dikirim",OR(Y55="",AA55="")),"Isi bukti dan waktu kirim",IF(AND(AB55="Disetujui",OR(Z55&lt;&gt;"Dikirim",AC55="",AD55="")),"Lengkapi pemeriksaan",IF(AND(AB55="Perlu Perbaikan",OR(AE55="",AC55="",AD55="")),"Isi pemeriksa dan catatan perbaikan","OK")))))))))))))))),"")</f>
        <v/>
      </c>
    </row>
    <row r="56" spans="1:39" ht="24.95" customHeight="1">
      <c r="A56" s="8"/>
      <c r="B56" s="6"/>
      <c r="C56" s="15" t="str">
        <f>IF(COUNTIFS(Master_PIC!$A$8:$A$73,$B56)=1,IF(VLOOKUP($B56,Master_PIC!$A$8:$G$73,2,FALSE)="","",VLOOKUP($B56,Master_PIC!$A$8:$G$73,2,FALSE)),"")</f>
        <v/>
      </c>
      <c r="D56" s="15" t="str">
        <f>IF(COUNTIFS(Master_PIC!$A$8:$A$73,$B56)=1,IF(VLOOKUP($B56,Master_PIC!$A$8:$G$73,4,FALSE)="","",VLOOKUP($B56,Master_PIC!$A$8:$G$73,4,FALSE)),"")</f>
        <v/>
      </c>
      <c r="E56" s="15" t="str">
        <f>IF(COUNTIFS(Master_PIC!$A$8:$A$73,$B56)=1,IF(VLOOKUP($B56,Master_PIC!$A$8:$G$73,5,FALSE)="","",VLOOKUP($B56,Master_PIC!$A$8:$G$73,5,FALSE)),"")</f>
        <v/>
      </c>
      <c r="F56" s="15" t="str">
        <f>IF(COUNTIFS(Master_PIC!$A$8:$A$73,$B56)=1,IF(VLOOKUP($B56,Master_PIC!$A$8:$G$73,6,FALSE)="","",VLOOKUP($B56,Master_PIC!$A$8:$G$73,6,FALSE)),"")</f>
        <v/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8"/>
      <c r="Y56" s="5"/>
      <c r="Z56" s="5"/>
      <c r="AA56" s="9"/>
      <c r="AB56" s="5"/>
      <c r="AC56" s="5"/>
      <c r="AD56" s="9"/>
      <c r="AE56" s="5"/>
      <c r="AF56" s="7" t="str">
        <f t="shared" si="0"/>
        <v/>
      </c>
      <c r="AG56" s="7" t="str">
        <f t="shared" si="1"/>
        <v/>
      </c>
      <c r="AH56" s="7" t="str">
        <f t="shared" si="2"/>
        <v/>
      </c>
      <c r="AI56" s="7" t="str">
        <f t="shared" si="3"/>
        <v/>
      </c>
      <c r="AJ56" s="7" t="str">
        <f t="shared" si="4"/>
        <v/>
      </c>
      <c r="AK56" s="7" t="str">
        <f t="shared" si="5"/>
        <v/>
      </c>
      <c r="AL56" s="10" t="str">
        <f t="shared" si="6"/>
        <v/>
      </c>
      <c r="AM56" s="15" t="str">
        <f>IF(OR($A56&lt;&gt;"",$B56&lt;&gt;""),IF(OR($A56="",$B56=""),"Isi tanggal dan ID PIC",IF(NOT(ISNUMBER($A56)),"Tanggal harus berupa tanggal Excel",IF(COUNTIFS(Master_PIC!$A$8:$A$73,$B56)&lt;&gt;1,"ID PIC tidak unik/terdaftar",IF(VLOOKUP($B56,Master_PIC!$A$8:$G$73,3,FALSE)&lt;&gt;"Sales","Jabatan tidak sesuai sheet",IF(OR($C56="",$D56="",$E56="",$F56=""),"Lengkapi master PIC",IF(COUNTIFS($A$8:$A$507,$A56,$B$8:$B$507,$B56)&gt;1,"Laporan ganda",IF(COUNTIFS(G56:P56,"Tidak Berlaku")&gt;0,"N/A hanya untuk kegiatan bersyarat",IF(SUM(AG56,AH56,AI56,AJ56,AK56)&lt;&gt;14,"Status kegiatan tidak valid",IF(AK56&gt;0,"Lengkapi status kegiatan",IF(AND(AJ56&gt;0,U56=""),"Isi alasan Tidak Berlaku",IF(AND(SUM(AH56,AI56)&gt;0,OR(U56="",V56="",W56="",X56="")),"Isi kendala dan tindak lanjut",IF(AND(Z56&lt;&gt;"Draft",Z56&lt;&gt;"Dikirim"),"Isi status laporan yang valid",IF(AND(AB56&lt;&gt;"",AB56&lt;&gt;"Belum Diperiksa",AB56&lt;&gt;"Disetujui",AB56&lt;&gt;"Perlu Perbaikan"),"Hasil review tidak valid",IF(AND(Z56="Dikirim",OR(Y56="",AA56="")),"Isi bukti dan waktu kirim",IF(AND(AB56="Disetujui",OR(Z56&lt;&gt;"Dikirim",AC56="",AD56="")),"Lengkapi pemeriksaan",IF(AND(AB56="Perlu Perbaikan",OR(AE56="",AC56="",AD56="")),"Isi pemeriksa dan catatan perbaikan","OK")))))))))))))))),"")</f>
        <v/>
      </c>
    </row>
    <row r="57" spans="1:39" ht="24.95" customHeight="1">
      <c r="A57" s="8"/>
      <c r="B57" s="6"/>
      <c r="C57" s="15" t="str">
        <f>IF(COUNTIFS(Master_PIC!$A$8:$A$73,$B57)=1,IF(VLOOKUP($B57,Master_PIC!$A$8:$G$73,2,FALSE)="","",VLOOKUP($B57,Master_PIC!$A$8:$G$73,2,FALSE)),"")</f>
        <v/>
      </c>
      <c r="D57" s="15" t="str">
        <f>IF(COUNTIFS(Master_PIC!$A$8:$A$73,$B57)=1,IF(VLOOKUP($B57,Master_PIC!$A$8:$G$73,4,FALSE)="","",VLOOKUP($B57,Master_PIC!$A$8:$G$73,4,FALSE)),"")</f>
        <v/>
      </c>
      <c r="E57" s="15" t="str">
        <f>IF(COUNTIFS(Master_PIC!$A$8:$A$73,$B57)=1,IF(VLOOKUP($B57,Master_PIC!$A$8:$G$73,5,FALSE)="","",VLOOKUP($B57,Master_PIC!$A$8:$G$73,5,FALSE)),"")</f>
        <v/>
      </c>
      <c r="F57" s="15" t="str">
        <f>IF(COUNTIFS(Master_PIC!$A$8:$A$73,$B57)=1,IF(VLOOKUP($B57,Master_PIC!$A$8:$G$73,6,FALSE)="","",VLOOKUP($B57,Master_PIC!$A$8:$G$73,6,FALSE)),"")</f>
        <v/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8"/>
      <c r="Y57" s="5"/>
      <c r="Z57" s="5"/>
      <c r="AA57" s="9"/>
      <c r="AB57" s="5"/>
      <c r="AC57" s="5"/>
      <c r="AD57" s="9"/>
      <c r="AE57" s="5"/>
      <c r="AF57" s="7" t="str">
        <f t="shared" si="0"/>
        <v/>
      </c>
      <c r="AG57" s="7" t="str">
        <f t="shared" si="1"/>
        <v/>
      </c>
      <c r="AH57" s="7" t="str">
        <f t="shared" si="2"/>
        <v/>
      </c>
      <c r="AI57" s="7" t="str">
        <f t="shared" si="3"/>
        <v/>
      </c>
      <c r="AJ57" s="7" t="str">
        <f t="shared" si="4"/>
        <v/>
      </c>
      <c r="AK57" s="7" t="str">
        <f t="shared" si="5"/>
        <v/>
      </c>
      <c r="AL57" s="10" t="str">
        <f t="shared" si="6"/>
        <v/>
      </c>
      <c r="AM57" s="15" t="str">
        <f>IF(OR($A57&lt;&gt;"",$B57&lt;&gt;""),IF(OR($A57="",$B57=""),"Isi tanggal dan ID PIC",IF(NOT(ISNUMBER($A57)),"Tanggal harus berupa tanggal Excel",IF(COUNTIFS(Master_PIC!$A$8:$A$73,$B57)&lt;&gt;1,"ID PIC tidak unik/terdaftar",IF(VLOOKUP($B57,Master_PIC!$A$8:$G$73,3,FALSE)&lt;&gt;"Sales","Jabatan tidak sesuai sheet",IF(OR($C57="",$D57="",$E57="",$F57=""),"Lengkapi master PIC",IF(COUNTIFS($A$8:$A$507,$A57,$B$8:$B$507,$B57)&gt;1,"Laporan ganda",IF(COUNTIFS(G57:P57,"Tidak Berlaku")&gt;0,"N/A hanya untuk kegiatan bersyarat",IF(SUM(AG57,AH57,AI57,AJ57,AK57)&lt;&gt;14,"Status kegiatan tidak valid",IF(AK57&gt;0,"Lengkapi status kegiatan",IF(AND(AJ57&gt;0,U57=""),"Isi alasan Tidak Berlaku",IF(AND(SUM(AH57,AI57)&gt;0,OR(U57="",V57="",W57="",X57="")),"Isi kendala dan tindak lanjut",IF(AND(Z57&lt;&gt;"Draft",Z57&lt;&gt;"Dikirim"),"Isi status laporan yang valid",IF(AND(AB57&lt;&gt;"",AB57&lt;&gt;"Belum Diperiksa",AB57&lt;&gt;"Disetujui",AB57&lt;&gt;"Perlu Perbaikan"),"Hasil review tidak valid",IF(AND(Z57="Dikirim",OR(Y57="",AA57="")),"Isi bukti dan waktu kirim",IF(AND(AB57="Disetujui",OR(Z57&lt;&gt;"Dikirim",AC57="",AD57="")),"Lengkapi pemeriksaan",IF(AND(AB57="Perlu Perbaikan",OR(AE57="",AC57="",AD57="")),"Isi pemeriksa dan catatan perbaikan","OK")))))))))))))))),"")</f>
        <v/>
      </c>
    </row>
    <row r="58" spans="1:39" ht="24.95" customHeight="1">
      <c r="A58" s="8"/>
      <c r="B58" s="6"/>
      <c r="C58" s="15" t="str">
        <f>IF(COUNTIFS(Master_PIC!$A$8:$A$73,$B58)=1,IF(VLOOKUP($B58,Master_PIC!$A$8:$G$73,2,FALSE)="","",VLOOKUP($B58,Master_PIC!$A$8:$G$73,2,FALSE)),"")</f>
        <v/>
      </c>
      <c r="D58" s="15" t="str">
        <f>IF(COUNTIFS(Master_PIC!$A$8:$A$73,$B58)=1,IF(VLOOKUP($B58,Master_PIC!$A$8:$G$73,4,FALSE)="","",VLOOKUP($B58,Master_PIC!$A$8:$G$73,4,FALSE)),"")</f>
        <v/>
      </c>
      <c r="E58" s="15" t="str">
        <f>IF(COUNTIFS(Master_PIC!$A$8:$A$73,$B58)=1,IF(VLOOKUP($B58,Master_PIC!$A$8:$G$73,5,FALSE)="","",VLOOKUP($B58,Master_PIC!$A$8:$G$73,5,FALSE)),"")</f>
        <v/>
      </c>
      <c r="F58" s="15" t="str">
        <f>IF(COUNTIFS(Master_PIC!$A$8:$A$73,$B58)=1,IF(VLOOKUP($B58,Master_PIC!$A$8:$G$73,6,FALSE)="","",VLOOKUP($B58,Master_PIC!$A$8:$G$73,6,FALSE)),"")</f>
        <v/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8"/>
      <c r="Y58" s="5"/>
      <c r="Z58" s="5"/>
      <c r="AA58" s="9"/>
      <c r="AB58" s="5"/>
      <c r="AC58" s="5"/>
      <c r="AD58" s="9"/>
      <c r="AE58" s="5"/>
      <c r="AF58" s="7" t="str">
        <f t="shared" si="0"/>
        <v/>
      </c>
      <c r="AG58" s="7" t="str">
        <f t="shared" si="1"/>
        <v/>
      </c>
      <c r="AH58" s="7" t="str">
        <f t="shared" si="2"/>
        <v/>
      </c>
      <c r="AI58" s="7" t="str">
        <f t="shared" si="3"/>
        <v/>
      </c>
      <c r="AJ58" s="7" t="str">
        <f t="shared" si="4"/>
        <v/>
      </c>
      <c r="AK58" s="7" t="str">
        <f t="shared" si="5"/>
        <v/>
      </c>
      <c r="AL58" s="10" t="str">
        <f t="shared" si="6"/>
        <v/>
      </c>
      <c r="AM58" s="15" t="str">
        <f>IF(OR($A58&lt;&gt;"",$B58&lt;&gt;""),IF(OR($A58="",$B58=""),"Isi tanggal dan ID PIC",IF(NOT(ISNUMBER($A58)),"Tanggal harus berupa tanggal Excel",IF(COUNTIFS(Master_PIC!$A$8:$A$73,$B58)&lt;&gt;1,"ID PIC tidak unik/terdaftar",IF(VLOOKUP($B58,Master_PIC!$A$8:$G$73,3,FALSE)&lt;&gt;"Sales","Jabatan tidak sesuai sheet",IF(OR($C58="",$D58="",$E58="",$F58=""),"Lengkapi master PIC",IF(COUNTIFS($A$8:$A$507,$A58,$B$8:$B$507,$B58)&gt;1,"Laporan ganda",IF(COUNTIFS(G58:P58,"Tidak Berlaku")&gt;0,"N/A hanya untuk kegiatan bersyarat",IF(SUM(AG58,AH58,AI58,AJ58,AK58)&lt;&gt;14,"Status kegiatan tidak valid",IF(AK58&gt;0,"Lengkapi status kegiatan",IF(AND(AJ58&gt;0,U58=""),"Isi alasan Tidak Berlaku",IF(AND(SUM(AH58,AI58)&gt;0,OR(U58="",V58="",W58="",X58="")),"Isi kendala dan tindak lanjut",IF(AND(Z58&lt;&gt;"Draft",Z58&lt;&gt;"Dikirim"),"Isi status laporan yang valid",IF(AND(AB58&lt;&gt;"",AB58&lt;&gt;"Belum Diperiksa",AB58&lt;&gt;"Disetujui",AB58&lt;&gt;"Perlu Perbaikan"),"Hasil review tidak valid",IF(AND(Z58="Dikirim",OR(Y58="",AA58="")),"Isi bukti dan waktu kirim",IF(AND(AB58="Disetujui",OR(Z58&lt;&gt;"Dikirim",AC58="",AD58="")),"Lengkapi pemeriksaan",IF(AND(AB58="Perlu Perbaikan",OR(AE58="",AC58="",AD58="")),"Isi pemeriksa dan catatan perbaikan","OK")))))))))))))))),"")</f>
        <v/>
      </c>
    </row>
    <row r="59" spans="1:39" ht="24.95" customHeight="1">
      <c r="A59" s="8"/>
      <c r="B59" s="6"/>
      <c r="C59" s="15" t="str">
        <f>IF(COUNTIFS(Master_PIC!$A$8:$A$73,$B59)=1,IF(VLOOKUP($B59,Master_PIC!$A$8:$G$73,2,FALSE)="","",VLOOKUP($B59,Master_PIC!$A$8:$G$73,2,FALSE)),"")</f>
        <v/>
      </c>
      <c r="D59" s="15" t="str">
        <f>IF(COUNTIFS(Master_PIC!$A$8:$A$73,$B59)=1,IF(VLOOKUP($B59,Master_PIC!$A$8:$G$73,4,FALSE)="","",VLOOKUP($B59,Master_PIC!$A$8:$G$73,4,FALSE)),"")</f>
        <v/>
      </c>
      <c r="E59" s="15" t="str">
        <f>IF(COUNTIFS(Master_PIC!$A$8:$A$73,$B59)=1,IF(VLOOKUP($B59,Master_PIC!$A$8:$G$73,5,FALSE)="","",VLOOKUP($B59,Master_PIC!$A$8:$G$73,5,FALSE)),"")</f>
        <v/>
      </c>
      <c r="F59" s="15" t="str">
        <f>IF(COUNTIFS(Master_PIC!$A$8:$A$73,$B59)=1,IF(VLOOKUP($B59,Master_PIC!$A$8:$G$73,6,FALSE)="","",VLOOKUP($B59,Master_PIC!$A$8:$G$73,6,FALSE)),"")</f>
        <v/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8"/>
      <c r="Y59" s="5"/>
      <c r="Z59" s="5"/>
      <c r="AA59" s="9"/>
      <c r="AB59" s="5"/>
      <c r="AC59" s="5"/>
      <c r="AD59" s="9"/>
      <c r="AE59" s="5"/>
      <c r="AF59" s="7" t="str">
        <f t="shared" si="0"/>
        <v/>
      </c>
      <c r="AG59" s="7" t="str">
        <f t="shared" si="1"/>
        <v/>
      </c>
      <c r="AH59" s="7" t="str">
        <f t="shared" si="2"/>
        <v/>
      </c>
      <c r="AI59" s="7" t="str">
        <f t="shared" si="3"/>
        <v/>
      </c>
      <c r="AJ59" s="7" t="str">
        <f t="shared" si="4"/>
        <v/>
      </c>
      <c r="AK59" s="7" t="str">
        <f t="shared" si="5"/>
        <v/>
      </c>
      <c r="AL59" s="10" t="str">
        <f t="shared" si="6"/>
        <v/>
      </c>
      <c r="AM59" s="15" t="str">
        <f>IF(OR($A59&lt;&gt;"",$B59&lt;&gt;""),IF(OR($A59="",$B59=""),"Isi tanggal dan ID PIC",IF(NOT(ISNUMBER($A59)),"Tanggal harus berupa tanggal Excel",IF(COUNTIFS(Master_PIC!$A$8:$A$73,$B59)&lt;&gt;1,"ID PIC tidak unik/terdaftar",IF(VLOOKUP($B59,Master_PIC!$A$8:$G$73,3,FALSE)&lt;&gt;"Sales","Jabatan tidak sesuai sheet",IF(OR($C59="",$D59="",$E59="",$F59=""),"Lengkapi master PIC",IF(COUNTIFS($A$8:$A$507,$A59,$B$8:$B$507,$B59)&gt;1,"Laporan ganda",IF(COUNTIFS(G59:P59,"Tidak Berlaku")&gt;0,"N/A hanya untuk kegiatan bersyarat",IF(SUM(AG59,AH59,AI59,AJ59,AK59)&lt;&gt;14,"Status kegiatan tidak valid",IF(AK59&gt;0,"Lengkapi status kegiatan",IF(AND(AJ59&gt;0,U59=""),"Isi alasan Tidak Berlaku",IF(AND(SUM(AH59,AI59)&gt;0,OR(U59="",V59="",W59="",X59="")),"Isi kendala dan tindak lanjut",IF(AND(Z59&lt;&gt;"Draft",Z59&lt;&gt;"Dikirim"),"Isi status laporan yang valid",IF(AND(AB59&lt;&gt;"",AB59&lt;&gt;"Belum Diperiksa",AB59&lt;&gt;"Disetujui",AB59&lt;&gt;"Perlu Perbaikan"),"Hasil review tidak valid",IF(AND(Z59="Dikirim",OR(Y59="",AA59="")),"Isi bukti dan waktu kirim",IF(AND(AB59="Disetujui",OR(Z59&lt;&gt;"Dikirim",AC59="",AD59="")),"Lengkapi pemeriksaan",IF(AND(AB59="Perlu Perbaikan",OR(AE59="",AC59="",AD59="")),"Isi pemeriksa dan catatan perbaikan","OK")))))))))))))))),"")</f>
        <v/>
      </c>
    </row>
    <row r="60" spans="1:39" ht="24.95" customHeight="1">
      <c r="A60" s="8"/>
      <c r="B60" s="6"/>
      <c r="C60" s="15" t="str">
        <f>IF(COUNTIFS(Master_PIC!$A$8:$A$73,$B60)=1,IF(VLOOKUP($B60,Master_PIC!$A$8:$G$73,2,FALSE)="","",VLOOKUP($B60,Master_PIC!$A$8:$G$73,2,FALSE)),"")</f>
        <v/>
      </c>
      <c r="D60" s="15" t="str">
        <f>IF(COUNTIFS(Master_PIC!$A$8:$A$73,$B60)=1,IF(VLOOKUP($B60,Master_PIC!$A$8:$G$73,4,FALSE)="","",VLOOKUP($B60,Master_PIC!$A$8:$G$73,4,FALSE)),"")</f>
        <v/>
      </c>
      <c r="E60" s="15" t="str">
        <f>IF(COUNTIFS(Master_PIC!$A$8:$A$73,$B60)=1,IF(VLOOKUP($B60,Master_PIC!$A$8:$G$73,5,FALSE)="","",VLOOKUP($B60,Master_PIC!$A$8:$G$73,5,FALSE)),"")</f>
        <v/>
      </c>
      <c r="F60" s="15" t="str">
        <f>IF(COUNTIFS(Master_PIC!$A$8:$A$73,$B60)=1,IF(VLOOKUP($B60,Master_PIC!$A$8:$G$73,6,FALSE)="","",VLOOKUP($B60,Master_PIC!$A$8:$G$73,6,FALSE)),"")</f>
        <v/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8"/>
      <c r="Y60" s="5"/>
      <c r="Z60" s="5"/>
      <c r="AA60" s="9"/>
      <c r="AB60" s="5"/>
      <c r="AC60" s="5"/>
      <c r="AD60" s="9"/>
      <c r="AE60" s="5"/>
      <c r="AF60" s="7" t="str">
        <f t="shared" si="0"/>
        <v/>
      </c>
      <c r="AG60" s="7" t="str">
        <f t="shared" si="1"/>
        <v/>
      </c>
      <c r="AH60" s="7" t="str">
        <f t="shared" si="2"/>
        <v/>
      </c>
      <c r="AI60" s="7" t="str">
        <f t="shared" si="3"/>
        <v/>
      </c>
      <c r="AJ60" s="7" t="str">
        <f t="shared" si="4"/>
        <v/>
      </c>
      <c r="AK60" s="7" t="str">
        <f t="shared" si="5"/>
        <v/>
      </c>
      <c r="AL60" s="10" t="str">
        <f t="shared" si="6"/>
        <v/>
      </c>
      <c r="AM60" s="15" t="str">
        <f>IF(OR($A60&lt;&gt;"",$B60&lt;&gt;""),IF(OR($A60="",$B60=""),"Isi tanggal dan ID PIC",IF(NOT(ISNUMBER($A60)),"Tanggal harus berupa tanggal Excel",IF(COUNTIFS(Master_PIC!$A$8:$A$73,$B60)&lt;&gt;1,"ID PIC tidak unik/terdaftar",IF(VLOOKUP($B60,Master_PIC!$A$8:$G$73,3,FALSE)&lt;&gt;"Sales","Jabatan tidak sesuai sheet",IF(OR($C60="",$D60="",$E60="",$F60=""),"Lengkapi master PIC",IF(COUNTIFS($A$8:$A$507,$A60,$B$8:$B$507,$B60)&gt;1,"Laporan ganda",IF(COUNTIFS(G60:P60,"Tidak Berlaku")&gt;0,"N/A hanya untuk kegiatan bersyarat",IF(SUM(AG60,AH60,AI60,AJ60,AK60)&lt;&gt;14,"Status kegiatan tidak valid",IF(AK60&gt;0,"Lengkapi status kegiatan",IF(AND(AJ60&gt;0,U60=""),"Isi alasan Tidak Berlaku",IF(AND(SUM(AH60,AI60)&gt;0,OR(U60="",V60="",W60="",X60="")),"Isi kendala dan tindak lanjut",IF(AND(Z60&lt;&gt;"Draft",Z60&lt;&gt;"Dikirim"),"Isi status laporan yang valid",IF(AND(AB60&lt;&gt;"",AB60&lt;&gt;"Belum Diperiksa",AB60&lt;&gt;"Disetujui",AB60&lt;&gt;"Perlu Perbaikan"),"Hasil review tidak valid",IF(AND(Z60="Dikirim",OR(Y60="",AA60="")),"Isi bukti dan waktu kirim",IF(AND(AB60="Disetujui",OR(Z60&lt;&gt;"Dikirim",AC60="",AD60="")),"Lengkapi pemeriksaan",IF(AND(AB60="Perlu Perbaikan",OR(AE60="",AC60="",AD60="")),"Isi pemeriksa dan catatan perbaikan","OK")))))))))))))))),"")</f>
        <v/>
      </c>
    </row>
    <row r="61" spans="1:39" ht="24.95" customHeight="1">
      <c r="A61" s="8"/>
      <c r="B61" s="6"/>
      <c r="C61" s="15" t="str">
        <f>IF(COUNTIFS(Master_PIC!$A$8:$A$73,$B61)=1,IF(VLOOKUP($B61,Master_PIC!$A$8:$G$73,2,FALSE)="","",VLOOKUP($B61,Master_PIC!$A$8:$G$73,2,FALSE)),"")</f>
        <v/>
      </c>
      <c r="D61" s="15" t="str">
        <f>IF(COUNTIFS(Master_PIC!$A$8:$A$73,$B61)=1,IF(VLOOKUP($B61,Master_PIC!$A$8:$G$73,4,FALSE)="","",VLOOKUP($B61,Master_PIC!$A$8:$G$73,4,FALSE)),"")</f>
        <v/>
      </c>
      <c r="E61" s="15" t="str">
        <f>IF(COUNTIFS(Master_PIC!$A$8:$A$73,$B61)=1,IF(VLOOKUP($B61,Master_PIC!$A$8:$G$73,5,FALSE)="","",VLOOKUP($B61,Master_PIC!$A$8:$G$73,5,FALSE)),"")</f>
        <v/>
      </c>
      <c r="F61" s="15" t="str">
        <f>IF(COUNTIFS(Master_PIC!$A$8:$A$73,$B61)=1,IF(VLOOKUP($B61,Master_PIC!$A$8:$G$73,6,FALSE)="","",VLOOKUP($B61,Master_PIC!$A$8:$G$73,6,FALSE)),"")</f>
        <v/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8"/>
      <c r="Y61" s="5"/>
      <c r="Z61" s="5"/>
      <c r="AA61" s="9"/>
      <c r="AB61" s="5"/>
      <c r="AC61" s="5"/>
      <c r="AD61" s="9"/>
      <c r="AE61" s="5"/>
      <c r="AF61" s="7" t="str">
        <f t="shared" si="0"/>
        <v/>
      </c>
      <c r="AG61" s="7" t="str">
        <f t="shared" si="1"/>
        <v/>
      </c>
      <c r="AH61" s="7" t="str">
        <f t="shared" si="2"/>
        <v/>
      </c>
      <c r="AI61" s="7" t="str">
        <f t="shared" si="3"/>
        <v/>
      </c>
      <c r="AJ61" s="7" t="str">
        <f t="shared" si="4"/>
        <v/>
      </c>
      <c r="AK61" s="7" t="str">
        <f t="shared" si="5"/>
        <v/>
      </c>
      <c r="AL61" s="10" t="str">
        <f t="shared" si="6"/>
        <v/>
      </c>
      <c r="AM61" s="15" t="str">
        <f>IF(OR($A61&lt;&gt;"",$B61&lt;&gt;""),IF(OR($A61="",$B61=""),"Isi tanggal dan ID PIC",IF(NOT(ISNUMBER($A61)),"Tanggal harus berupa tanggal Excel",IF(COUNTIFS(Master_PIC!$A$8:$A$73,$B61)&lt;&gt;1,"ID PIC tidak unik/terdaftar",IF(VLOOKUP($B61,Master_PIC!$A$8:$G$73,3,FALSE)&lt;&gt;"Sales","Jabatan tidak sesuai sheet",IF(OR($C61="",$D61="",$E61="",$F61=""),"Lengkapi master PIC",IF(COUNTIFS($A$8:$A$507,$A61,$B$8:$B$507,$B61)&gt;1,"Laporan ganda",IF(COUNTIFS(G61:P61,"Tidak Berlaku")&gt;0,"N/A hanya untuk kegiatan bersyarat",IF(SUM(AG61,AH61,AI61,AJ61,AK61)&lt;&gt;14,"Status kegiatan tidak valid",IF(AK61&gt;0,"Lengkapi status kegiatan",IF(AND(AJ61&gt;0,U61=""),"Isi alasan Tidak Berlaku",IF(AND(SUM(AH61,AI61)&gt;0,OR(U61="",V61="",W61="",X61="")),"Isi kendala dan tindak lanjut",IF(AND(Z61&lt;&gt;"Draft",Z61&lt;&gt;"Dikirim"),"Isi status laporan yang valid",IF(AND(AB61&lt;&gt;"",AB61&lt;&gt;"Belum Diperiksa",AB61&lt;&gt;"Disetujui",AB61&lt;&gt;"Perlu Perbaikan"),"Hasil review tidak valid",IF(AND(Z61="Dikirim",OR(Y61="",AA61="")),"Isi bukti dan waktu kirim",IF(AND(AB61="Disetujui",OR(Z61&lt;&gt;"Dikirim",AC61="",AD61="")),"Lengkapi pemeriksaan",IF(AND(AB61="Perlu Perbaikan",OR(AE61="",AC61="",AD61="")),"Isi pemeriksa dan catatan perbaikan","OK")))))))))))))))),"")</f>
        <v/>
      </c>
    </row>
    <row r="62" spans="1:39" ht="24.95" customHeight="1">
      <c r="A62" s="8"/>
      <c r="B62" s="6"/>
      <c r="C62" s="15" t="str">
        <f>IF(COUNTIFS(Master_PIC!$A$8:$A$73,$B62)=1,IF(VLOOKUP($B62,Master_PIC!$A$8:$G$73,2,FALSE)="","",VLOOKUP($B62,Master_PIC!$A$8:$G$73,2,FALSE)),"")</f>
        <v/>
      </c>
      <c r="D62" s="15" t="str">
        <f>IF(COUNTIFS(Master_PIC!$A$8:$A$73,$B62)=1,IF(VLOOKUP($B62,Master_PIC!$A$8:$G$73,4,FALSE)="","",VLOOKUP($B62,Master_PIC!$A$8:$G$73,4,FALSE)),"")</f>
        <v/>
      </c>
      <c r="E62" s="15" t="str">
        <f>IF(COUNTIFS(Master_PIC!$A$8:$A$73,$B62)=1,IF(VLOOKUP($B62,Master_PIC!$A$8:$G$73,5,FALSE)="","",VLOOKUP($B62,Master_PIC!$A$8:$G$73,5,FALSE)),"")</f>
        <v/>
      </c>
      <c r="F62" s="15" t="str">
        <f>IF(COUNTIFS(Master_PIC!$A$8:$A$73,$B62)=1,IF(VLOOKUP($B62,Master_PIC!$A$8:$G$73,6,FALSE)="","",VLOOKUP($B62,Master_PIC!$A$8:$G$73,6,FALSE)),"")</f>
        <v/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8"/>
      <c r="Y62" s="5"/>
      <c r="Z62" s="5"/>
      <c r="AA62" s="9"/>
      <c r="AB62" s="5"/>
      <c r="AC62" s="5"/>
      <c r="AD62" s="9"/>
      <c r="AE62" s="5"/>
      <c r="AF62" s="7" t="str">
        <f t="shared" si="0"/>
        <v/>
      </c>
      <c r="AG62" s="7" t="str">
        <f t="shared" si="1"/>
        <v/>
      </c>
      <c r="AH62" s="7" t="str">
        <f t="shared" si="2"/>
        <v/>
      </c>
      <c r="AI62" s="7" t="str">
        <f t="shared" si="3"/>
        <v/>
      </c>
      <c r="AJ62" s="7" t="str">
        <f t="shared" si="4"/>
        <v/>
      </c>
      <c r="AK62" s="7" t="str">
        <f t="shared" si="5"/>
        <v/>
      </c>
      <c r="AL62" s="10" t="str">
        <f t="shared" si="6"/>
        <v/>
      </c>
      <c r="AM62" s="15" t="str">
        <f>IF(OR($A62&lt;&gt;"",$B62&lt;&gt;""),IF(OR($A62="",$B62=""),"Isi tanggal dan ID PIC",IF(NOT(ISNUMBER($A62)),"Tanggal harus berupa tanggal Excel",IF(COUNTIFS(Master_PIC!$A$8:$A$73,$B62)&lt;&gt;1,"ID PIC tidak unik/terdaftar",IF(VLOOKUP($B62,Master_PIC!$A$8:$G$73,3,FALSE)&lt;&gt;"Sales","Jabatan tidak sesuai sheet",IF(OR($C62="",$D62="",$E62="",$F62=""),"Lengkapi master PIC",IF(COUNTIFS($A$8:$A$507,$A62,$B$8:$B$507,$B62)&gt;1,"Laporan ganda",IF(COUNTIFS(G62:P62,"Tidak Berlaku")&gt;0,"N/A hanya untuk kegiatan bersyarat",IF(SUM(AG62,AH62,AI62,AJ62,AK62)&lt;&gt;14,"Status kegiatan tidak valid",IF(AK62&gt;0,"Lengkapi status kegiatan",IF(AND(AJ62&gt;0,U62=""),"Isi alasan Tidak Berlaku",IF(AND(SUM(AH62,AI62)&gt;0,OR(U62="",V62="",W62="",X62="")),"Isi kendala dan tindak lanjut",IF(AND(Z62&lt;&gt;"Draft",Z62&lt;&gt;"Dikirim"),"Isi status laporan yang valid",IF(AND(AB62&lt;&gt;"",AB62&lt;&gt;"Belum Diperiksa",AB62&lt;&gt;"Disetujui",AB62&lt;&gt;"Perlu Perbaikan"),"Hasil review tidak valid",IF(AND(Z62="Dikirim",OR(Y62="",AA62="")),"Isi bukti dan waktu kirim",IF(AND(AB62="Disetujui",OR(Z62&lt;&gt;"Dikirim",AC62="",AD62="")),"Lengkapi pemeriksaan",IF(AND(AB62="Perlu Perbaikan",OR(AE62="",AC62="",AD62="")),"Isi pemeriksa dan catatan perbaikan","OK")))))))))))))))),"")</f>
        <v/>
      </c>
    </row>
    <row r="63" spans="1:39" ht="24.95" customHeight="1">
      <c r="A63" s="8"/>
      <c r="B63" s="6"/>
      <c r="C63" s="15" t="str">
        <f>IF(COUNTIFS(Master_PIC!$A$8:$A$73,$B63)=1,IF(VLOOKUP($B63,Master_PIC!$A$8:$G$73,2,FALSE)="","",VLOOKUP($B63,Master_PIC!$A$8:$G$73,2,FALSE)),"")</f>
        <v/>
      </c>
      <c r="D63" s="15" t="str">
        <f>IF(COUNTIFS(Master_PIC!$A$8:$A$73,$B63)=1,IF(VLOOKUP($B63,Master_PIC!$A$8:$G$73,4,FALSE)="","",VLOOKUP($B63,Master_PIC!$A$8:$G$73,4,FALSE)),"")</f>
        <v/>
      </c>
      <c r="E63" s="15" t="str">
        <f>IF(COUNTIFS(Master_PIC!$A$8:$A$73,$B63)=1,IF(VLOOKUP($B63,Master_PIC!$A$8:$G$73,5,FALSE)="","",VLOOKUP($B63,Master_PIC!$A$8:$G$73,5,FALSE)),"")</f>
        <v/>
      </c>
      <c r="F63" s="15" t="str">
        <f>IF(COUNTIFS(Master_PIC!$A$8:$A$73,$B63)=1,IF(VLOOKUP($B63,Master_PIC!$A$8:$G$73,6,FALSE)="","",VLOOKUP($B63,Master_PIC!$A$8:$G$73,6,FALSE)),"")</f>
        <v/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8"/>
      <c r="Y63" s="5"/>
      <c r="Z63" s="5"/>
      <c r="AA63" s="9"/>
      <c r="AB63" s="5"/>
      <c r="AC63" s="5"/>
      <c r="AD63" s="9"/>
      <c r="AE63" s="5"/>
      <c r="AF63" s="7" t="str">
        <f t="shared" si="0"/>
        <v/>
      </c>
      <c r="AG63" s="7" t="str">
        <f t="shared" si="1"/>
        <v/>
      </c>
      <c r="AH63" s="7" t="str">
        <f t="shared" si="2"/>
        <v/>
      </c>
      <c r="AI63" s="7" t="str">
        <f t="shared" si="3"/>
        <v/>
      </c>
      <c r="AJ63" s="7" t="str">
        <f t="shared" si="4"/>
        <v/>
      </c>
      <c r="AK63" s="7" t="str">
        <f t="shared" si="5"/>
        <v/>
      </c>
      <c r="AL63" s="10" t="str">
        <f t="shared" si="6"/>
        <v/>
      </c>
      <c r="AM63" s="15" t="str">
        <f>IF(OR($A63&lt;&gt;"",$B63&lt;&gt;""),IF(OR($A63="",$B63=""),"Isi tanggal dan ID PIC",IF(NOT(ISNUMBER($A63)),"Tanggal harus berupa tanggal Excel",IF(COUNTIFS(Master_PIC!$A$8:$A$73,$B63)&lt;&gt;1,"ID PIC tidak unik/terdaftar",IF(VLOOKUP($B63,Master_PIC!$A$8:$G$73,3,FALSE)&lt;&gt;"Sales","Jabatan tidak sesuai sheet",IF(OR($C63="",$D63="",$E63="",$F63=""),"Lengkapi master PIC",IF(COUNTIFS($A$8:$A$507,$A63,$B$8:$B$507,$B63)&gt;1,"Laporan ganda",IF(COUNTIFS(G63:P63,"Tidak Berlaku")&gt;0,"N/A hanya untuk kegiatan bersyarat",IF(SUM(AG63,AH63,AI63,AJ63,AK63)&lt;&gt;14,"Status kegiatan tidak valid",IF(AK63&gt;0,"Lengkapi status kegiatan",IF(AND(AJ63&gt;0,U63=""),"Isi alasan Tidak Berlaku",IF(AND(SUM(AH63,AI63)&gt;0,OR(U63="",V63="",W63="",X63="")),"Isi kendala dan tindak lanjut",IF(AND(Z63&lt;&gt;"Draft",Z63&lt;&gt;"Dikirim"),"Isi status laporan yang valid",IF(AND(AB63&lt;&gt;"",AB63&lt;&gt;"Belum Diperiksa",AB63&lt;&gt;"Disetujui",AB63&lt;&gt;"Perlu Perbaikan"),"Hasil review tidak valid",IF(AND(Z63="Dikirim",OR(Y63="",AA63="")),"Isi bukti dan waktu kirim",IF(AND(AB63="Disetujui",OR(Z63&lt;&gt;"Dikirim",AC63="",AD63="")),"Lengkapi pemeriksaan",IF(AND(AB63="Perlu Perbaikan",OR(AE63="",AC63="",AD63="")),"Isi pemeriksa dan catatan perbaikan","OK")))))))))))))))),"")</f>
        <v/>
      </c>
    </row>
    <row r="64" spans="1:39" ht="24.95" customHeight="1">
      <c r="A64" s="8"/>
      <c r="B64" s="6"/>
      <c r="C64" s="15" t="str">
        <f>IF(COUNTIFS(Master_PIC!$A$8:$A$73,$B64)=1,IF(VLOOKUP($B64,Master_PIC!$A$8:$G$73,2,FALSE)="","",VLOOKUP($B64,Master_PIC!$A$8:$G$73,2,FALSE)),"")</f>
        <v/>
      </c>
      <c r="D64" s="15" t="str">
        <f>IF(COUNTIFS(Master_PIC!$A$8:$A$73,$B64)=1,IF(VLOOKUP($B64,Master_PIC!$A$8:$G$73,4,FALSE)="","",VLOOKUP($B64,Master_PIC!$A$8:$G$73,4,FALSE)),"")</f>
        <v/>
      </c>
      <c r="E64" s="15" t="str">
        <f>IF(COUNTIFS(Master_PIC!$A$8:$A$73,$B64)=1,IF(VLOOKUP($B64,Master_PIC!$A$8:$G$73,5,FALSE)="","",VLOOKUP($B64,Master_PIC!$A$8:$G$73,5,FALSE)),"")</f>
        <v/>
      </c>
      <c r="F64" s="15" t="str">
        <f>IF(COUNTIFS(Master_PIC!$A$8:$A$73,$B64)=1,IF(VLOOKUP($B64,Master_PIC!$A$8:$G$73,6,FALSE)="","",VLOOKUP($B64,Master_PIC!$A$8:$G$73,6,FALSE)),"")</f>
        <v/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8"/>
      <c r="Y64" s="5"/>
      <c r="Z64" s="5"/>
      <c r="AA64" s="9"/>
      <c r="AB64" s="5"/>
      <c r="AC64" s="5"/>
      <c r="AD64" s="9"/>
      <c r="AE64" s="5"/>
      <c r="AF64" s="7" t="str">
        <f t="shared" si="0"/>
        <v/>
      </c>
      <c r="AG64" s="7" t="str">
        <f t="shared" si="1"/>
        <v/>
      </c>
      <c r="AH64" s="7" t="str">
        <f t="shared" si="2"/>
        <v/>
      </c>
      <c r="AI64" s="7" t="str">
        <f t="shared" si="3"/>
        <v/>
      </c>
      <c r="AJ64" s="7" t="str">
        <f t="shared" si="4"/>
        <v/>
      </c>
      <c r="AK64" s="7" t="str">
        <f t="shared" si="5"/>
        <v/>
      </c>
      <c r="AL64" s="10" t="str">
        <f t="shared" si="6"/>
        <v/>
      </c>
      <c r="AM64" s="15" t="str">
        <f>IF(OR($A64&lt;&gt;"",$B64&lt;&gt;""),IF(OR($A64="",$B64=""),"Isi tanggal dan ID PIC",IF(NOT(ISNUMBER($A64)),"Tanggal harus berupa tanggal Excel",IF(COUNTIFS(Master_PIC!$A$8:$A$73,$B64)&lt;&gt;1,"ID PIC tidak unik/terdaftar",IF(VLOOKUP($B64,Master_PIC!$A$8:$G$73,3,FALSE)&lt;&gt;"Sales","Jabatan tidak sesuai sheet",IF(OR($C64="",$D64="",$E64="",$F64=""),"Lengkapi master PIC",IF(COUNTIFS($A$8:$A$507,$A64,$B$8:$B$507,$B64)&gt;1,"Laporan ganda",IF(COUNTIFS(G64:P64,"Tidak Berlaku")&gt;0,"N/A hanya untuk kegiatan bersyarat",IF(SUM(AG64,AH64,AI64,AJ64,AK64)&lt;&gt;14,"Status kegiatan tidak valid",IF(AK64&gt;0,"Lengkapi status kegiatan",IF(AND(AJ64&gt;0,U64=""),"Isi alasan Tidak Berlaku",IF(AND(SUM(AH64,AI64)&gt;0,OR(U64="",V64="",W64="",X64="")),"Isi kendala dan tindak lanjut",IF(AND(Z64&lt;&gt;"Draft",Z64&lt;&gt;"Dikirim"),"Isi status laporan yang valid",IF(AND(AB64&lt;&gt;"",AB64&lt;&gt;"Belum Diperiksa",AB64&lt;&gt;"Disetujui",AB64&lt;&gt;"Perlu Perbaikan"),"Hasil review tidak valid",IF(AND(Z64="Dikirim",OR(Y64="",AA64="")),"Isi bukti dan waktu kirim",IF(AND(AB64="Disetujui",OR(Z64&lt;&gt;"Dikirim",AC64="",AD64="")),"Lengkapi pemeriksaan",IF(AND(AB64="Perlu Perbaikan",OR(AE64="",AC64="",AD64="")),"Isi pemeriksa dan catatan perbaikan","OK")))))))))))))))),"")</f>
        <v/>
      </c>
    </row>
    <row r="65" spans="1:39" ht="24.95" customHeight="1">
      <c r="A65" s="8"/>
      <c r="B65" s="6"/>
      <c r="C65" s="15" t="str">
        <f>IF(COUNTIFS(Master_PIC!$A$8:$A$73,$B65)=1,IF(VLOOKUP($B65,Master_PIC!$A$8:$G$73,2,FALSE)="","",VLOOKUP($B65,Master_PIC!$A$8:$G$73,2,FALSE)),"")</f>
        <v/>
      </c>
      <c r="D65" s="15" t="str">
        <f>IF(COUNTIFS(Master_PIC!$A$8:$A$73,$B65)=1,IF(VLOOKUP($B65,Master_PIC!$A$8:$G$73,4,FALSE)="","",VLOOKUP($B65,Master_PIC!$A$8:$G$73,4,FALSE)),"")</f>
        <v/>
      </c>
      <c r="E65" s="15" t="str">
        <f>IF(COUNTIFS(Master_PIC!$A$8:$A$73,$B65)=1,IF(VLOOKUP($B65,Master_PIC!$A$8:$G$73,5,FALSE)="","",VLOOKUP($B65,Master_PIC!$A$8:$G$73,5,FALSE)),"")</f>
        <v/>
      </c>
      <c r="F65" s="15" t="str">
        <f>IF(COUNTIFS(Master_PIC!$A$8:$A$73,$B65)=1,IF(VLOOKUP($B65,Master_PIC!$A$8:$G$73,6,FALSE)="","",VLOOKUP($B65,Master_PIC!$A$8:$G$73,6,FALSE)),"")</f>
        <v/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8"/>
      <c r="Y65" s="5"/>
      <c r="Z65" s="5"/>
      <c r="AA65" s="9"/>
      <c r="AB65" s="5"/>
      <c r="AC65" s="5"/>
      <c r="AD65" s="9"/>
      <c r="AE65" s="5"/>
      <c r="AF65" s="7" t="str">
        <f t="shared" si="0"/>
        <v/>
      </c>
      <c r="AG65" s="7" t="str">
        <f t="shared" si="1"/>
        <v/>
      </c>
      <c r="AH65" s="7" t="str">
        <f t="shared" si="2"/>
        <v/>
      </c>
      <c r="AI65" s="7" t="str">
        <f t="shared" si="3"/>
        <v/>
      </c>
      <c r="AJ65" s="7" t="str">
        <f t="shared" si="4"/>
        <v/>
      </c>
      <c r="AK65" s="7" t="str">
        <f t="shared" si="5"/>
        <v/>
      </c>
      <c r="AL65" s="10" t="str">
        <f t="shared" si="6"/>
        <v/>
      </c>
      <c r="AM65" s="15" t="str">
        <f>IF(OR($A65&lt;&gt;"",$B65&lt;&gt;""),IF(OR($A65="",$B65=""),"Isi tanggal dan ID PIC",IF(NOT(ISNUMBER($A65)),"Tanggal harus berupa tanggal Excel",IF(COUNTIFS(Master_PIC!$A$8:$A$73,$B65)&lt;&gt;1,"ID PIC tidak unik/terdaftar",IF(VLOOKUP($B65,Master_PIC!$A$8:$G$73,3,FALSE)&lt;&gt;"Sales","Jabatan tidak sesuai sheet",IF(OR($C65="",$D65="",$E65="",$F65=""),"Lengkapi master PIC",IF(COUNTIFS($A$8:$A$507,$A65,$B$8:$B$507,$B65)&gt;1,"Laporan ganda",IF(COUNTIFS(G65:P65,"Tidak Berlaku")&gt;0,"N/A hanya untuk kegiatan bersyarat",IF(SUM(AG65,AH65,AI65,AJ65,AK65)&lt;&gt;14,"Status kegiatan tidak valid",IF(AK65&gt;0,"Lengkapi status kegiatan",IF(AND(AJ65&gt;0,U65=""),"Isi alasan Tidak Berlaku",IF(AND(SUM(AH65,AI65)&gt;0,OR(U65="",V65="",W65="",X65="")),"Isi kendala dan tindak lanjut",IF(AND(Z65&lt;&gt;"Draft",Z65&lt;&gt;"Dikirim"),"Isi status laporan yang valid",IF(AND(AB65&lt;&gt;"",AB65&lt;&gt;"Belum Diperiksa",AB65&lt;&gt;"Disetujui",AB65&lt;&gt;"Perlu Perbaikan"),"Hasil review tidak valid",IF(AND(Z65="Dikirim",OR(Y65="",AA65="")),"Isi bukti dan waktu kirim",IF(AND(AB65="Disetujui",OR(Z65&lt;&gt;"Dikirim",AC65="",AD65="")),"Lengkapi pemeriksaan",IF(AND(AB65="Perlu Perbaikan",OR(AE65="",AC65="",AD65="")),"Isi pemeriksa dan catatan perbaikan","OK")))))))))))))))),"")</f>
        <v/>
      </c>
    </row>
    <row r="66" spans="1:39" ht="24.95" customHeight="1">
      <c r="A66" s="8"/>
      <c r="B66" s="6"/>
      <c r="C66" s="15" t="str">
        <f>IF(COUNTIFS(Master_PIC!$A$8:$A$73,$B66)=1,IF(VLOOKUP($B66,Master_PIC!$A$8:$G$73,2,FALSE)="","",VLOOKUP($B66,Master_PIC!$A$8:$G$73,2,FALSE)),"")</f>
        <v/>
      </c>
      <c r="D66" s="15" t="str">
        <f>IF(COUNTIFS(Master_PIC!$A$8:$A$73,$B66)=1,IF(VLOOKUP($B66,Master_PIC!$A$8:$G$73,4,FALSE)="","",VLOOKUP($B66,Master_PIC!$A$8:$G$73,4,FALSE)),"")</f>
        <v/>
      </c>
      <c r="E66" s="15" t="str">
        <f>IF(COUNTIFS(Master_PIC!$A$8:$A$73,$B66)=1,IF(VLOOKUP($B66,Master_PIC!$A$8:$G$73,5,FALSE)="","",VLOOKUP($B66,Master_PIC!$A$8:$G$73,5,FALSE)),"")</f>
        <v/>
      </c>
      <c r="F66" s="15" t="str">
        <f>IF(COUNTIFS(Master_PIC!$A$8:$A$73,$B66)=1,IF(VLOOKUP($B66,Master_PIC!$A$8:$G$73,6,FALSE)="","",VLOOKUP($B66,Master_PIC!$A$8:$G$73,6,FALSE)),"")</f>
        <v/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8"/>
      <c r="Y66" s="5"/>
      <c r="Z66" s="5"/>
      <c r="AA66" s="9"/>
      <c r="AB66" s="5"/>
      <c r="AC66" s="5"/>
      <c r="AD66" s="9"/>
      <c r="AE66" s="5"/>
      <c r="AF66" s="7" t="str">
        <f t="shared" si="0"/>
        <v/>
      </c>
      <c r="AG66" s="7" t="str">
        <f t="shared" si="1"/>
        <v/>
      </c>
      <c r="AH66" s="7" t="str">
        <f t="shared" si="2"/>
        <v/>
      </c>
      <c r="AI66" s="7" t="str">
        <f t="shared" si="3"/>
        <v/>
      </c>
      <c r="AJ66" s="7" t="str">
        <f t="shared" si="4"/>
        <v/>
      </c>
      <c r="AK66" s="7" t="str">
        <f t="shared" si="5"/>
        <v/>
      </c>
      <c r="AL66" s="10" t="str">
        <f t="shared" si="6"/>
        <v/>
      </c>
      <c r="AM66" s="15" t="str">
        <f>IF(OR($A66&lt;&gt;"",$B66&lt;&gt;""),IF(OR($A66="",$B66=""),"Isi tanggal dan ID PIC",IF(NOT(ISNUMBER($A66)),"Tanggal harus berupa tanggal Excel",IF(COUNTIFS(Master_PIC!$A$8:$A$73,$B66)&lt;&gt;1,"ID PIC tidak unik/terdaftar",IF(VLOOKUP($B66,Master_PIC!$A$8:$G$73,3,FALSE)&lt;&gt;"Sales","Jabatan tidak sesuai sheet",IF(OR($C66="",$D66="",$E66="",$F66=""),"Lengkapi master PIC",IF(COUNTIFS($A$8:$A$507,$A66,$B$8:$B$507,$B66)&gt;1,"Laporan ganda",IF(COUNTIFS(G66:P66,"Tidak Berlaku")&gt;0,"N/A hanya untuk kegiatan bersyarat",IF(SUM(AG66,AH66,AI66,AJ66,AK66)&lt;&gt;14,"Status kegiatan tidak valid",IF(AK66&gt;0,"Lengkapi status kegiatan",IF(AND(AJ66&gt;0,U66=""),"Isi alasan Tidak Berlaku",IF(AND(SUM(AH66,AI66)&gt;0,OR(U66="",V66="",W66="",X66="")),"Isi kendala dan tindak lanjut",IF(AND(Z66&lt;&gt;"Draft",Z66&lt;&gt;"Dikirim"),"Isi status laporan yang valid",IF(AND(AB66&lt;&gt;"",AB66&lt;&gt;"Belum Diperiksa",AB66&lt;&gt;"Disetujui",AB66&lt;&gt;"Perlu Perbaikan"),"Hasil review tidak valid",IF(AND(Z66="Dikirim",OR(Y66="",AA66="")),"Isi bukti dan waktu kirim",IF(AND(AB66="Disetujui",OR(Z66&lt;&gt;"Dikirim",AC66="",AD66="")),"Lengkapi pemeriksaan",IF(AND(AB66="Perlu Perbaikan",OR(AE66="",AC66="",AD66="")),"Isi pemeriksa dan catatan perbaikan","OK")))))))))))))))),"")</f>
        <v/>
      </c>
    </row>
    <row r="67" spans="1:39" ht="24.95" customHeight="1">
      <c r="A67" s="8"/>
      <c r="B67" s="6"/>
      <c r="C67" s="15" t="str">
        <f>IF(COUNTIFS(Master_PIC!$A$8:$A$73,$B67)=1,IF(VLOOKUP($B67,Master_PIC!$A$8:$G$73,2,FALSE)="","",VLOOKUP($B67,Master_PIC!$A$8:$G$73,2,FALSE)),"")</f>
        <v/>
      </c>
      <c r="D67" s="15" t="str">
        <f>IF(COUNTIFS(Master_PIC!$A$8:$A$73,$B67)=1,IF(VLOOKUP($B67,Master_PIC!$A$8:$G$73,4,FALSE)="","",VLOOKUP($B67,Master_PIC!$A$8:$G$73,4,FALSE)),"")</f>
        <v/>
      </c>
      <c r="E67" s="15" t="str">
        <f>IF(COUNTIFS(Master_PIC!$A$8:$A$73,$B67)=1,IF(VLOOKUP($B67,Master_PIC!$A$8:$G$73,5,FALSE)="","",VLOOKUP($B67,Master_PIC!$A$8:$G$73,5,FALSE)),"")</f>
        <v/>
      </c>
      <c r="F67" s="15" t="str">
        <f>IF(COUNTIFS(Master_PIC!$A$8:$A$73,$B67)=1,IF(VLOOKUP($B67,Master_PIC!$A$8:$G$73,6,FALSE)="","",VLOOKUP($B67,Master_PIC!$A$8:$G$73,6,FALSE)),"")</f>
        <v/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8"/>
      <c r="Y67" s="5"/>
      <c r="Z67" s="5"/>
      <c r="AA67" s="9"/>
      <c r="AB67" s="5"/>
      <c r="AC67" s="5"/>
      <c r="AD67" s="9"/>
      <c r="AE67" s="5"/>
      <c r="AF67" s="7" t="str">
        <f t="shared" si="0"/>
        <v/>
      </c>
      <c r="AG67" s="7" t="str">
        <f t="shared" si="1"/>
        <v/>
      </c>
      <c r="AH67" s="7" t="str">
        <f t="shared" si="2"/>
        <v/>
      </c>
      <c r="AI67" s="7" t="str">
        <f t="shared" si="3"/>
        <v/>
      </c>
      <c r="AJ67" s="7" t="str">
        <f t="shared" si="4"/>
        <v/>
      </c>
      <c r="AK67" s="7" t="str">
        <f t="shared" si="5"/>
        <v/>
      </c>
      <c r="AL67" s="10" t="str">
        <f t="shared" si="6"/>
        <v/>
      </c>
      <c r="AM67" s="15" t="str">
        <f>IF(OR($A67&lt;&gt;"",$B67&lt;&gt;""),IF(OR($A67="",$B67=""),"Isi tanggal dan ID PIC",IF(NOT(ISNUMBER($A67)),"Tanggal harus berupa tanggal Excel",IF(COUNTIFS(Master_PIC!$A$8:$A$73,$B67)&lt;&gt;1,"ID PIC tidak unik/terdaftar",IF(VLOOKUP($B67,Master_PIC!$A$8:$G$73,3,FALSE)&lt;&gt;"Sales","Jabatan tidak sesuai sheet",IF(OR($C67="",$D67="",$E67="",$F67=""),"Lengkapi master PIC",IF(COUNTIFS($A$8:$A$507,$A67,$B$8:$B$507,$B67)&gt;1,"Laporan ganda",IF(COUNTIFS(G67:P67,"Tidak Berlaku")&gt;0,"N/A hanya untuk kegiatan bersyarat",IF(SUM(AG67,AH67,AI67,AJ67,AK67)&lt;&gt;14,"Status kegiatan tidak valid",IF(AK67&gt;0,"Lengkapi status kegiatan",IF(AND(AJ67&gt;0,U67=""),"Isi alasan Tidak Berlaku",IF(AND(SUM(AH67,AI67)&gt;0,OR(U67="",V67="",W67="",X67="")),"Isi kendala dan tindak lanjut",IF(AND(Z67&lt;&gt;"Draft",Z67&lt;&gt;"Dikirim"),"Isi status laporan yang valid",IF(AND(AB67&lt;&gt;"",AB67&lt;&gt;"Belum Diperiksa",AB67&lt;&gt;"Disetujui",AB67&lt;&gt;"Perlu Perbaikan"),"Hasil review tidak valid",IF(AND(Z67="Dikirim",OR(Y67="",AA67="")),"Isi bukti dan waktu kirim",IF(AND(AB67="Disetujui",OR(Z67&lt;&gt;"Dikirim",AC67="",AD67="")),"Lengkapi pemeriksaan",IF(AND(AB67="Perlu Perbaikan",OR(AE67="",AC67="",AD67="")),"Isi pemeriksa dan catatan perbaikan","OK")))))))))))))))),"")</f>
        <v/>
      </c>
    </row>
    <row r="68" spans="1:39" ht="24.95" customHeight="1">
      <c r="A68" s="8"/>
      <c r="B68" s="6"/>
      <c r="C68" s="15" t="str">
        <f>IF(COUNTIFS(Master_PIC!$A$8:$A$73,$B68)=1,IF(VLOOKUP($B68,Master_PIC!$A$8:$G$73,2,FALSE)="","",VLOOKUP($B68,Master_PIC!$A$8:$G$73,2,FALSE)),"")</f>
        <v/>
      </c>
      <c r="D68" s="15" t="str">
        <f>IF(COUNTIFS(Master_PIC!$A$8:$A$73,$B68)=1,IF(VLOOKUP($B68,Master_PIC!$A$8:$G$73,4,FALSE)="","",VLOOKUP($B68,Master_PIC!$A$8:$G$73,4,FALSE)),"")</f>
        <v/>
      </c>
      <c r="E68" s="15" t="str">
        <f>IF(COUNTIFS(Master_PIC!$A$8:$A$73,$B68)=1,IF(VLOOKUP($B68,Master_PIC!$A$8:$G$73,5,FALSE)="","",VLOOKUP($B68,Master_PIC!$A$8:$G$73,5,FALSE)),"")</f>
        <v/>
      </c>
      <c r="F68" s="15" t="str">
        <f>IF(COUNTIFS(Master_PIC!$A$8:$A$73,$B68)=1,IF(VLOOKUP($B68,Master_PIC!$A$8:$G$73,6,FALSE)="","",VLOOKUP($B68,Master_PIC!$A$8:$G$73,6,FALSE)),"")</f>
        <v/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8"/>
      <c r="Y68" s="5"/>
      <c r="Z68" s="5"/>
      <c r="AA68" s="9"/>
      <c r="AB68" s="5"/>
      <c r="AC68" s="5"/>
      <c r="AD68" s="9"/>
      <c r="AE68" s="5"/>
      <c r="AF68" s="7" t="str">
        <f t="shared" si="0"/>
        <v/>
      </c>
      <c r="AG68" s="7" t="str">
        <f t="shared" si="1"/>
        <v/>
      </c>
      <c r="AH68" s="7" t="str">
        <f t="shared" si="2"/>
        <v/>
      </c>
      <c r="AI68" s="7" t="str">
        <f t="shared" si="3"/>
        <v/>
      </c>
      <c r="AJ68" s="7" t="str">
        <f t="shared" si="4"/>
        <v/>
      </c>
      <c r="AK68" s="7" t="str">
        <f t="shared" si="5"/>
        <v/>
      </c>
      <c r="AL68" s="10" t="str">
        <f t="shared" si="6"/>
        <v/>
      </c>
      <c r="AM68" s="15" t="str">
        <f>IF(OR($A68&lt;&gt;"",$B68&lt;&gt;""),IF(OR($A68="",$B68=""),"Isi tanggal dan ID PIC",IF(NOT(ISNUMBER($A68)),"Tanggal harus berupa tanggal Excel",IF(COUNTIFS(Master_PIC!$A$8:$A$73,$B68)&lt;&gt;1,"ID PIC tidak unik/terdaftar",IF(VLOOKUP($B68,Master_PIC!$A$8:$G$73,3,FALSE)&lt;&gt;"Sales","Jabatan tidak sesuai sheet",IF(OR($C68="",$D68="",$E68="",$F68=""),"Lengkapi master PIC",IF(COUNTIFS($A$8:$A$507,$A68,$B$8:$B$507,$B68)&gt;1,"Laporan ganda",IF(COUNTIFS(G68:P68,"Tidak Berlaku")&gt;0,"N/A hanya untuk kegiatan bersyarat",IF(SUM(AG68,AH68,AI68,AJ68,AK68)&lt;&gt;14,"Status kegiatan tidak valid",IF(AK68&gt;0,"Lengkapi status kegiatan",IF(AND(AJ68&gt;0,U68=""),"Isi alasan Tidak Berlaku",IF(AND(SUM(AH68,AI68)&gt;0,OR(U68="",V68="",W68="",X68="")),"Isi kendala dan tindak lanjut",IF(AND(Z68&lt;&gt;"Draft",Z68&lt;&gt;"Dikirim"),"Isi status laporan yang valid",IF(AND(AB68&lt;&gt;"",AB68&lt;&gt;"Belum Diperiksa",AB68&lt;&gt;"Disetujui",AB68&lt;&gt;"Perlu Perbaikan"),"Hasil review tidak valid",IF(AND(Z68="Dikirim",OR(Y68="",AA68="")),"Isi bukti dan waktu kirim",IF(AND(AB68="Disetujui",OR(Z68&lt;&gt;"Dikirim",AC68="",AD68="")),"Lengkapi pemeriksaan",IF(AND(AB68="Perlu Perbaikan",OR(AE68="",AC68="",AD68="")),"Isi pemeriksa dan catatan perbaikan","OK")))))))))))))))),"")</f>
        <v/>
      </c>
    </row>
    <row r="69" spans="1:39" ht="24.95" customHeight="1">
      <c r="A69" s="8"/>
      <c r="B69" s="6"/>
      <c r="C69" s="15" t="str">
        <f>IF(COUNTIFS(Master_PIC!$A$8:$A$73,$B69)=1,IF(VLOOKUP($B69,Master_PIC!$A$8:$G$73,2,FALSE)="","",VLOOKUP($B69,Master_PIC!$A$8:$G$73,2,FALSE)),"")</f>
        <v/>
      </c>
      <c r="D69" s="15" t="str">
        <f>IF(COUNTIFS(Master_PIC!$A$8:$A$73,$B69)=1,IF(VLOOKUP($B69,Master_PIC!$A$8:$G$73,4,FALSE)="","",VLOOKUP($B69,Master_PIC!$A$8:$G$73,4,FALSE)),"")</f>
        <v/>
      </c>
      <c r="E69" s="15" t="str">
        <f>IF(COUNTIFS(Master_PIC!$A$8:$A$73,$B69)=1,IF(VLOOKUP($B69,Master_PIC!$A$8:$G$73,5,FALSE)="","",VLOOKUP($B69,Master_PIC!$A$8:$G$73,5,FALSE)),"")</f>
        <v/>
      </c>
      <c r="F69" s="15" t="str">
        <f>IF(COUNTIFS(Master_PIC!$A$8:$A$73,$B69)=1,IF(VLOOKUP($B69,Master_PIC!$A$8:$G$73,6,FALSE)="","",VLOOKUP($B69,Master_PIC!$A$8:$G$73,6,FALSE)),"")</f>
        <v/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8"/>
      <c r="Y69" s="5"/>
      <c r="Z69" s="5"/>
      <c r="AA69" s="9"/>
      <c r="AB69" s="5"/>
      <c r="AC69" s="5"/>
      <c r="AD69" s="9"/>
      <c r="AE69" s="5"/>
      <c r="AF69" s="7" t="str">
        <f t="shared" si="0"/>
        <v/>
      </c>
      <c r="AG69" s="7" t="str">
        <f t="shared" si="1"/>
        <v/>
      </c>
      <c r="AH69" s="7" t="str">
        <f t="shared" si="2"/>
        <v/>
      </c>
      <c r="AI69" s="7" t="str">
        <f t="shared" si="3"/>
        <v/>
      </c>
      <c r="AJ69" s="7" t="str">
        <f t="shared" si="4"/>
        <v/>
      </c>
      <c r="AK69" s="7" t="str">
        <f t="shared" si="5"/>
        <v/>
      </c>
      <c r="AL69" s="10" t="str">
        <f t="shared" si="6"/>
        <v/>
      </c>
      <c r="AM69" s="15" t="str">
        <f>IF(OR($A69&lt;&gt;"",$B69&lt;&gt;""),IF(OR($A69="",$B69=""),"Isi tanggal dan ID PIC",IF(NOT(ISNUMBER($A69)),"Tanggal harus berupa tanggal Excel",IF(COUNTIFS(Master_PIC!$A$8:$A$73,$B69)&lt;&gt;1,"ID PIC tidak unik/terdaftar",IF(VLOOKUP($B69,Master_PIC!$A$8:$G$73,3,FALSE)&lt;&gt;"Sales","Jabatan tidak sesuai sheet",IF(OR($C69="",$D69="",$E69="",$F69=""),"Lengkapi master PIC",IF(COUNTIFS($A$8:$A$507,$A69,$B$8:$B$507,$B69)&gt;1,"Laporan ganda",IF(COUNTIFS(G69:P69,"Tidak Berlaku")&gt;0,"N/A hanya untuk kegiatan bersyarat",IF(SUM(AG69,AH69,AI69,AJ69,AK69)&lt;&gt;14,"Status kegiatan tidak valid",IF(AK69&gt;0,"Lengkapi status kegiatan",IF(AND(AJ69&gt;0,U69=""),"Isi alasan Tidak Berlaku",IF(AND(SUM(AH69,AI69)&gt;0,OR(U69="",V69="",W69="",X69="")),"Isi kendala dan tindak lanjut",IF(AND(Z69&lt;&gt;"Draft",Z69&lt;&gt;"Dikirim"),"Isi status laporan yang valid",IF(AND(AB69&lt;&gt;"",AB69&lt;&gt;"Belum Diperiksa",AB69&lt;&gt;"Disetujui",AB69&lt;&gt;"Perlu Perbaikan"),"Hasil review tidak valid",IF(AND(Z69="Dikirim",OR(Y69="",AA69="")),"Isi bukti dan waktu kirim",IF(AND(AB69="Disetujui",OR(Z69&lt;&gt;"Dikirim",AC69="",AD69="")),"Lengkapi pemeriksaan",IF(AND(AB69="Perlu Perbaikan",OR(AE69="",AC69="",AD69="")),"Isi pemeriksa dan catatan perbaikan","OK")))))))))))))))),"")</f>
        <v/>
      </c>
    </row>
    <row r="70" spans="1:39" ht="24.95" customHeight="1">
      <c r="A70" s="8"/>
      <c r="B70" s="6"/>
      <c r="C70" s="15" t="str">
        <f>IF(COUNTIFS(Master_PIC!$A$8:$A$73,$B70)=1,IF(VLOOKUP($B70,Master_PIC!$A$8:$G$73,2,FALSE)="","",VLOOKUP($B70,Master_PIC!$A$8:$G$73,2,FALSE)),"")</f>
        <v/>
      </c>
      <c r="D70" s="15" t="str">
        <f>IF(COUNTIFS(Master_PIC!$A$8:$A$73,$B70)=1,IF(VLOOKUP($B70,Master_PIC!$A$8:$G$73,4,FALSE)="","",VLOOKUP($B70,Master_PIC!$A$8:$G$73,4,FALSE)),"")</f>
        <v/>
      </c>
      <c r="E70" s="15" t="str">
        <f>IF(COUNTIFS(Master_PIC!$A$8:$A$73,$B70)=1,IF(VLOOKUP($B70,Master_PIC!$A$8:$G$73,5,FALSE)="","",VLOOKUP($B70,Master_PIC!$A$8:$G$73,5,FALSE)),"")</f>
        <v/>
      </c>
      <c r="F70" s="15" t="str">
        <f>IF(COUNTIFS(Master_PIC!$A$8:$A$73,$B70)=1,IF(VLOOKUP($B70,Master_PIC!$A$8:$G$73,6,FALSE)="","",VLOOKUP($B70,Master_PIC!$A$8:$G$73,6,FALSE)),"")</f>
        <v/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8"/>
      <c r="Y70" s="5"/>
      <c r="Z70" s="5"/>
      <c r="AA70" s="9"/>
      <c r="AB70" s="5"/>
      <c r="AC70" s="5"/>
      <c r="AD70" s="9"/>
      <c r="AE70" s="5"/>
      <c r="AF70" s="7" t="str">
        <f t="shared" si="0"/>
        <v/>
      </c>
      <c r="AG70" s="7" t="str">
        <f t="shared" si="1"/>
        <v/>
      </c>
      <c r="AH70" s="7" t="str">
        <f t="shared" si="2"/>
        <v/>
      </c>
      <c r="AI70" s="7" t="str">
        <f t="shared" si="3"/>
        <v/>
      </c>
      <c r="AJ70" s="7" t="str">
        <f t="shared" si="4"/>
        <v/>
      </c>
      <c r="AK70" s="7" t="str">
        <f t="shared" si="5"/>
        <v/>
      </c>
      <c r="AL70" s="10" t="str">
        <f t="shared" si="6"/>
        <v/>
      </c>
      <c r="AM70" s="15" t="str">
        <f>IF(OR($A70&lt;&gt;"",$B70&lt;&gt;""),IF(OR($A70="",$B70=""),"Isi tanggal dan ID PIC",IF(NOT(ISNUMBER($A70)),"Tanggal harus berupa tanggal Excel",IF(COUNTIFS(Master_PIC!$A$8:$A$73,$B70)&lt;&gt;1,"ID PIC tidak unik/terdaftar",IF(VLOOKUP($B70,Master_PIC!$A$8:$G$73,3,FALSE)&lt;&gt;"Sales","Jabatan tidak sesuai sheet",IF(OR($C70="",$D70="",$E70="",$F70=""),"Lengkapi master PIC",IF(COUNTIFS($A$8:$A$507,$A70,$B$8:$B$507,$B70)&gt;1,"Laporan ganda",IF(COUNTIFS(G70:P70,"Tidak Berlaku")&gt;0,"N/A hanya untuk kegiatan bersyarat",IF(SUM(AG70,AH70,AI70,AJ70,AK70)&lt;&gt;14,"Status kegiatan tidak valid",IF(AK70&gt;0,"Lengkapi status kegiatan",IF(AND(AJ70&gt;0,U70=""),"Isi alasan Tidak Berlaku",IF(AND(SUM(AH70,AI70)&gt;0,OR(U70="",V70="",W70="",X70="")),"Isi kendala dan tindak lanjut",IF(AND(Z70&lt;&gt;"Draft",Z70&lt;&gt;"Dikirim"),"Isi status laporan yang valid",IF(AND(AB70&lt;&gt;"",AB70&lt;&gt;"Belum Diperiksa",AB70&lt;&gt;"Disetujui",AB70&lt;&gt;"Perlu Perbaikan"),"Hasil review tidak valid",IF(AND(Z70="Dikirim",OR(Y70="",AA70="")),"Isi bukti dan waktu kirim",IF(AND(AB70="Disetujui",OR(Z70&lt;&gt;"Dikirim",AC70="",AD70="")),"Lengkapi pemeriksaan",IF(AND(AB70="Perlu Perbaikan",OR(AE70="",AC70="",AD70="")),"Isi pemeriksa dan catatan perbaikan","OK")))))))))))))))),"")</f>
        <v/>
      </c>
    </row>
    <row r="71" spans="1:39" ht="24.95" customHeight="1">
      <c r="A71" s="8"/>
      <c r="B71" s="6"/>
      <c r="C71" s="15" t="str">
        <f>IF(COUNTIFS(Master_PIC!$A$8:$A$73,$B71)=1,IF(VLOOKUP($B71,Master_PIC!$A$8:$G$73,2,FALSE)="","",VLOOKUP($B71,Master_PIC!$A$8:$G$73,2,FALSE)),"")</f>
        <v/>
      </c>
      <c r="D71" s="15" t="str">
        <f>IF(COUNTIFS(Master_PIC!$A$8:$A$73,$B71)=1,IF(VLOOKUP($B71,Master_PIC!$A$8:$G$73,4,FALSE)="","",VLOOKUP($B71,Master_PIC!$A$8:$G$73,4,FALSE)),"")</f>
        <v/>
      </c>
      <c r="E71" s="15" t="str">
        <f>IF(COUNTIFS(Master_PIC!$A$8:$A$73,$B71)=1,IF(VLOOKUP($B71,Master_PIC!$A$8:$G$73,5,FALSE)="","",VLOOKUP($B71,Master_PIC!$A$8:$G$73,5,FALSE)),"")</f>
        <v/>
      </c>
      <c r="F71" s="15" t="str">
        <f>IF(COUNTIFS(Master_PIC!$A$8:$A$73,$B71)=1,IF(VLOOKUP($B71,Master_PIC!$A$8:$G$73,6,FALSE)="","",VLOOKUP($B71,Master_PIC!$A$8:$G$73,6,FALSE)),"")</f>
        <v/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8"/>
      <c r="Y71" s="5"/>
      <c r="Z71" s="5"/>
      <c r="AA71" s="9"/>
      <c r="AB71" s="5"/>
      <c r="AC71" s="5"/>
      <c r="AD71" s="9"/>
      <c r="AE71" s="5"/>
      <c r="AF71" s="7" t="str">
        <f t="shared" si="0"/>
        <v/>
      </c>
      <c r="AG71" s="7" t="str">
        <f t="shared" si="1"/>
        <v/>
      </c>
      <c r="AH71" s="7" t="str">
        <f t="shared" si="2"/>
        <v/>
      </c>
      <c r="AI71" s="7" t="str">
        <f t="shared" si="3"/>
        <v/>
      </c>
      <c r="AJ71" s="7" t="str">
        <f t="shared" si="4"/>
        <v/>
      </c>
      <c r="AK71" s="7" t="str">
        <f t="shared" si="5"/>
        <v/>
      </c>
      <c r="AL71" s="10" t="str">
        <f t="shared" si="6"/>
        <v/>
      </c>
      <c r="AM71" s="15" t="str">
        <f>IF(OR($A71&lt;&gt;"",$B71&lt;&gt;""),IF(OR($A71="",$B71=""),"Isi tanggal dan ID PIC",IF(NOT(ISNUMBER($A71)),"Tanggal harus berupa tanggal Excel",IF(COUNTIFS(Master_PIC!$A$8:$A$73,$B71)&lt;&gt;1,"ID PIC tidak unik/terdaftar",IF(VLOOKUP($B71,Master_PIC!$A$8:$G$73,3,FALSE)&lt;&gt;"Sales","Jabatan tidak sesuai sheet",IF(OR($C71="",$D71="",$E71="",$F71=""),"Lengkapi master PIC",IF(COUNTIFS($A$8:$A$507,$A71,$B$8:$B$507,$B71)&gt;1,"Laporan ganda",IF(COUNTIFS(G71:P71,"Tidak Berlaku")&gt;0,"N/A hanya untuk kegiatan bersyarat",IF(SUM(AG71,AH71,AI71,AJ71,AK71)&lt;&gt;14,"Status kegiatan tidak valid",IF(AK71&gt;0,"Lengkapi status kegiatan",IF(AND(AJ71&gt;0,U71=""),"Isi alasan Tidak Berlaku",IF(AND(SUM(AH71,AI71)&gt;0,OR(U71="",V71="",W71="",X71="")),"Isi kendala dan tindak lanjut",IF(AND(Z71&lt;&gt;"Draft",Z71&lt;&gt;"Dikirim"),"Isi status laporan yang valid",IF(AND(AB71&lt;&gt;"",AB71&lt;&gt;"Belum Diperiksa",AB71&lt;&gt;"Disetujui",AB71&lt;&gt;"Perlu Perbaikan"),"Hasil review tidak valid",IF(AND(Z71="Dikirim",OR(Y71="",AA71="")),"Isi bukti dan waktu kirim",IF(AND(AB71="Disetujui",OR(Z71&lt;&gt;"Dikirim",AC71="",AD71="")),"Lengkapi pemeriksaan",IF(AND(AB71="Perlu Perbaikan",OR(AE71="",AC71="",AD71="")),"Isi pemeriksa dan catatan perbaikan","OK")))))))))))))))),"")</f>
        <v/>
      </c>
    </row>
    <row r="72" spans="1:39" ht="24.95" customHeight="1">
      <c r="A72" s="8"/>
      <c r="B72" s="6"/>
      <c r="C72" s="15" t="str">
        <f>IF(COUNTIFS(Master_PIC!$A$8:$A$73,$B72)=1,IF(VLOOKUP($B72,Master_PIC!$A$8:$G$73,2,FALSE)="","",VLOOKUP($B72,Master_PIC!$A$8:$G$73,2,FALSE)),"")</f>
        <v/>
      </c>
      <c r="D72" s="15" t="str">
        <f>IF(COUNTIFS(Master_PIC!$A$8:$A$73,$B72)=1,IF(VLOOKUP($B72,Master_PIC!$A$8:$G$73,4,FALSE)="","",VLOOKUP($B72,Master_PIC!$A$8:$G$73,4,FALSE)),"")</f>
        <v/>
      </c>
      <c r="E72" s="15" t="str">
        <f>IF(COUNTIFS(Master_PIC!$A$8:$A$73,$B72)=1,IF(VLOOKUP($B72,Master_PIC!$A$8:$G$73,5,FALSE)="","",VLOOKUP($B72,Master_PIC!$A$8:$G$73,5,FALSE)),"")</f>
        <v/>
      </c>
      <c r="F72" s="15" t="str">
        <f>IF(COUNTIFS(Master_PIC!$A$8:$A$73,$B72)=1,IF(VLOOKUP($B72,Master_PIC!$A$8:$G$73,6,FALSE)="","",VLOOKUP($B72,Master_PIC!$A$8:$G$73,6,FALSE)),"")</f>
        <v/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8"/>
      <c r="Y72" s="5"/>
      <c r="Z72" s="5"/>
      <c r="AA72" s="9"/>
      <c r="AB72" s="5"/>
      <c r="AC72" s="5"/>
      <c r="AD72" s="9"/>
      <c r="AE72" s="5"/>
      <c r="AF72" s="7" t="str">
        <f t="shared" ref="AF72:AF135" si="7">IF(OR($A72&lt;&gt;"",$B72&lt;&gt;""),14-AJ72,"")</f>
        <v/>
      </c>
      <c r="AG72" s="7" t="str">
        <f t="shared" ref="AG72:AG135" si="8">IF(OR($A72&lt;&gt;"",$B72&lt;&gt;""),COUNTIFS(G72:T72,"Selesai"),"")</f>
        <v/>
      </c>
      <c r="AH72" s="7" t="str">
        <f t="shared" ref="AH72:AH135" si="9">IF(OR($A72&lt;&gt;"",$B72&lt;&gt;""),COUNTIFS(G72:T72,"Proses"),"")</f>
        <v/>
      </c>
      <c r="AI72" s="7" t="str">
        <f t="shared" ref="AI72:AI135" si="10">IF(OR($A72&lt;&gt;"",$B72&lt;&gt;""),COUNTIFS(G72:T72,"Belum"),"")</f>
        <v/>
      </c>
      <c r="AJ72" s="7" t="str">
        <f t="shared" ref="AJ72:AJ135" si="11">IF(OR($A72&lt;&gt;"",$B72&lt;&gt;""),COUNTIFS(G72:T72,"Tidak Berlaku"),"")</f>
        <v/>
      </c>
      <c r="AK72" s="7" t="str">
        <f t="shared" ref="AK72:AK135" si="12">IF(OR($A72&lt;&gt;"",$B72&lt;&gt;""),COUNTBLANK(G72:T72),"")</f>
        <v/>
      </c>
      <c r="AL72" s="10" t="str">
        <f t="shared" ref="AL72:AL135" si="13">IF(OR($A72&lt;&gt;"",$B72&lt;&gt;""),IF(AF72=0,"n.a.",AG72/AF72),"")</f>
        <v/>
      </c>
      <c r="AM72" s="15" t="str">
        <f>IF(OR($A72&lt;&gt;"",$B72&lt;&gt;""),IF(OR($A72="",$B72=""),"Isi tanggal dan ID PIC",IF(NOT(ISNUMBER($A72)),"Tanggal harus berupa tanggal Excel",IF(COUNTIFS(Master_PIC!$A$8:$A$73,$B72)&lt;&gt;1,"ID PIC tidak unik/terdaftar",IF(VLOOKUP($B72,Master_PIC!$A$8:$G$73,3,FALSE)&lt;&gt;"Sales","Jabatan tidak sesuai sheet",IF(OR($C72="",$D72="",$E72="",$F72=""),"Lengkapi master PIC",IF(COUNTIFS($A$8:$A$507,$A72,$B$8:$B$507,$B72)&gt;1,"Laporan ganda",IF(COUNTIFS(G72:P72,"Tidak Berlaku")&gt;0,"N/A hanya untuk kegiatan bersyarat",IF(SUM(AG72,AH72,AI72,AJ72,AK72)&lt;&gt;14,"Status kegiatan tidak valid",IF(AK72&gt;0,"Lengkapi status kegiatan",IF(AND(AJ72&gt;0,U72=""),"Isi alasan Tidak Berlaku",IF(AND(SUM(AH72,AI72)&gt;0,OR(U72="",V72="",W72="",X72="")),"Isi kendala dan tindak lanjut",IF(AND(Z72&lt;&gt;"Draft",Z72&lt;&gt;"Dikirim"),"Isi status laporan yang valid",IF(AND(AB72&lt;&gt;"",AB72&lt;&gt;"Belum Diperiksa",AB72&lt;&gt;"Disetujui",AB72&lt;&gt;"Perlu Perbaikan"),"Hasil review tidak valid",IF(AND(Z72="Dikirim",OR(Y72="",AA72="")),"Isi bukti dan waktu kirim",IF(AND(AB72="Disetujui",OR(Z72&lt;&gt;"Dikirim",AC72="",AD72="")),"Lengkapi pemeriksaan",IF(AND(AB72="Perlu Perbaikan",OR(AE72="",AC72="",AD72="")),"Isi pemeriksa dan catatan perbaikan","OK")))))))))))))))),"")</f>
        <v/>
      </c>
    </row>
    <row r="73" spans="1:39" ht="24.95" customHeight="1">
      <c r="A73" s="8"/>
      <c r="B73" s="6"/>
      <c r="C73" s="15" t="str">
        <f>IF(COUNTIFS(Master_PIC!$A$8:$A$73,$B73)=1,IF(VLOOKUP($B73,Master_PIC!$A$8:$G$73,2,FALSE)="","",VLOOKUP($B73,Master_PIC!$A$8:$G$73,2,FALSE)),"")</f>
        <v/>
      </c>
      <c r="D73" s="15" t="str">
        <f>IF(COUNTIFS(Master_PIC!$A$8:$A$73,$B73)=1,IF(VLOOKUP($B73,Master_PIC!$A$8:$G$73,4,FALSE)="","",VLOOKUP($B73,Master_PIC!$A$8:$G$73,4,FALSE)),"")</f>
        <v/>
      </c>
      <c r="E73" s="15" t="str">
        <f>IF(COUNTIFS(Master_PIC!$A$8:$A$73,$B73)=1,IF(VLOOKUP($B73,Master_PIC!$A$8:$G$73,5,FALSE)="","",VLOOKUP($B73,Master_PIC!$A$8:$G$73,5,FALSE)),"")</f>
        <v/>
      </c>
      <c r="F73" s="15" t="str">
        <f>IF(COUNTIFS(Master_PIC!$A$8:$A$73,$B73)=1,IF(VLOOKUP($B73,Master_PIC!$A$8:$G$73,6,FALSE)="","",VLOOKUP($B73,Master_PIC!$A$8:$G$73,6,FALSE)),"")</f>
        <v/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8"/>
      <c r="Y73" s="5"/>
      <c r="Z73" s="5"/>
      <c r="AA73" s="9"/>
      <c r="AB73" s="5"/>
      <c r="AC73" s="5"/>
      <c r="AD73" s="9"/>
      <c r="AE73" s="5"/>
      <c r="AF73" s="7" t="str">
        <f t="shared" si="7"/>
        <v/>
      </c>
      <c r="AG73" s="7" t="str">
        <f t="shared" si="8"/>
        <v/>
      </c>
      <c r="AH73" s="7" t="str">
        <f t="shared" si="9"/>
        <v/>
      </c>
      <c r="AI73" s="7" t="str">
        <f t="shared" si="10"/>
        <v/>
      </c>
      <c r="AJ73" s="7" t="str">
        <f t="shared" si="11"/>
        <v/>
      </c>
      <c r="AK73" s="7" t="str">
        <f t="shared" si="12"/>
        <v/>
      </c>
      <c r="AL73" s="10" t="str">
        <f t="shared" si="13"/>
        <v/>
      </c>
      <c r="AM73" s="15" t="str">
        <f>IF(OR($A73&lt;&gt;"",$B73&lt;&gt;""),IF(OR($A73="",$B73=""),"Isi tanggal dan ID PIC",IF(NOT(ISNUMBER($A73)),"Tanggal harus berupa tanggal Excel",IF(COUNTIFS(Master_PIC!$A$8:$A$73,$B73)&lt;&gt;1,"ID PIC tidak unik/terdaftar",IF(VLOOKUP($B73,Master_PIC!$A$8:$G$73,3,FALSE)&lt;&gt;"Sales","Jabatan tidak sesuai sheet",IF(OR($C73="",$D73="",$E73="",$F73=""),"Lengkapi master PIC",IF(COUNTIFS($A$8:$A$507,$A73,$B$8:$B$507,$B73)&gt;1,"Laporan ganda",IF(COUNTIFS(G73:P73,"Tidak Berlaku")&gt;0,"N/A hanya untuk kegiatan bersyarat",IF(SUM(AG73,AH73,AI73,AJ73,AK73)&lt;&gt;14,"Status kegiatan tidak valid",IF(AK73&gt;0,"Lengkapi status kegiatan",IF(AND(AJ73&gt;0,U73=""),"Isi alasan Tidak Berlaku",IF(AND(SUM(AH73,AI73)&gt;0,OR(U73="",V73="",W73="",X73="")),"Isi kendala dan tindak lanjut",IF(AND(Z73&lt;&gt;"Draft",Z73&lt;&gt;"Dikirim"),"Isi status laporan yang valid",IF(AND(AB73&lt;&gt;"",AB73&lt;&gt;"Belum Diperiksa",AB73&lt;&gt;"Disetujui",AB73&lt;&gt;"Perlu Perbaikan"),"Hasil review tidak valid",IF(AND(Z73="Dikirim",OR(Y73="",AA73="")),"Isi bukti dan waktu kirim",IF(AND(AB73="Disetujui",OR(Z73&lt;&gt;"Dikirim",AC73="",AD73="")),"Lengkapi pemeriksaan",IF(AND(AB73="Perlu Perbaikan",OR(AE73="",AC73="",AD73="")),"Isi pemeriksa dan catatan perbaikan","OK")))))))))))))))),"")</f>
        <v/>
      </c>
    </row>
    <row r="74" spans="1:39" ht="24.95" customHeight="1">
      <c r="A74" s="8"/>
      <c r="B74" s="6"/>
      <c r="C74" s="15" t="str">
        <f>IF(COUNTIFS(Master_PIC!$A$8:$A$73,$B74)=1,IF(VLOOKUP($B74,Master_PIC!$A$8:$G$73,2,FALSE)="","",VLOOKUP($B74,Master_PIC!$A$8:$G$73,2,FALSE)),"")</f>
        <v/>
      </c>
      <c r="D74" s="15" t="str">
        <f>IF(COUNTIFS(Master_PIC!$A$8:$A$73,$B74)=1,IF(VLOOKUP($B74,Master_PIC!$A$8:$G$73,4,FALSE)="","",VLOOKUP($B74,Master_PIC!$A$8:$G$73,4,FALSE)),"")</f>
        <v/>
      </c>
      <c r="E74" s="15" t="str">
        <f>IF(COUNTIFS(Master_PIC!$A$8:$A$73,$B74)=1,IF(VLOOKUP($B74,Master_PIC!$A$8:$G$73,5,FALSE)="","",VLOOKUP($B74,Master_PIC!$A$8:$G$73,5,FALSE)),"")</f>
        <v/>
      </c>
      <c r="F74" s="15" t="str">
        <f>IF(COUNTIFS(Master_PIC!$A$8:$A$73,$B74)=1,IF(VLOOKUP($B74,Master_PIC!$A$8:$G$73,6,FALSE)="","",VLOOKUP($B74,Master_PIC!$A$8:$G$73,6,FALSE)),"")</f>
        <v/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8"/>
      <c r="Y74" s="5"/>
      <c r="Z74" s="5"/>
      <c r="AA74" s="9"/>
      <c r="AB74" s="5"/>
      <c r="AC74" s="5"/>
      <c r="AD74" s="9"/>
      <c r="AE74" s="5"/>
      <c r="AF74" s="7" t="str">
        <f t="shared" si="7"/>
        <v/>
      </c>
      <c r="AG74" s="7" t="str">
        <f t="shared" si="8"/>
        <v/>
      </c>
      <c r="AH74" s="7" t="str">
        <f t="shared" si="9"/>
        <v/>
      </c>
      <c r="AI74" s="7" t="str">
        <f t="shared" si="10"/>
        <v/>
      </c>
      <c r="AJ74" s="7" t="str">
        <f t="shared" si="11"/>
        <v/>
      </c>
      <c r="AK74" s="7" t="str">
        <f t="shared" si="12"/>
        <v/>
      </c>
      <c r="AL74" s="10" t="str">
        <f t="shared" si="13"/>
        <v/>
      </c>
      <c r="AM74" s="15" t="str">
        <f>IF(OR($A74&lt;&gt;"",$B74&lt;&gt;""),IF(OR($A74="",$B74=""),"Isi tanggal dan ID PIC",IF(NOT(ISNUMBER($A74)),"Tanggal harus berupa tanggal Excel",IF(COUNTIFS(Master_PIC!$A$8:$A$73,$B74)&lt;&gt;1,"ID PIC tidak unik/terdaftar",IF(VLOOKUP($B74,Master_PIC!$A$8:$G$73,3,FALSE)&lt;&gt;"Sales","Jabatan tidak sesuai sheet",IF(OR($C74="",$D74="",$E74="",$F74=""),"Lengkapi master PIC",IF(COUNTIFS($A$8:$A$507,$A74,$B$8:$B$507,$B74)&gt;1,"Laporan ganda",IF(COUNTIFS(G74:P74,"Tidak Berlaku")&gt;0,"N/A hanya untuk kegiatan bersyarat",IF(SUM(AG74,AH74,AI74,AJ74,AK74)&lt;&gt;14,"Status kegiatan tidak valid",IF(AK74&gt;0,"Lengkapi status kegiatan",IF(AND(AJ74&gt;0,U74=""),"Isi alasan Tidak Berlaku",IF(AND(SUM(AH74,AI74)&gt;0,OR(U74="",V74="",W74="",X74="")),"Isi kendala dan tindak lanjut",IF(AND(Z74&lt;&gt;"Draft",Z74&lt;&gt;"Dikirim"),"Isi status laporan yang valid",IF(AND(AB74&lt;&gt;"",AB74&lt;&gt;"Belum Diperiksa",AB74&lt;&gt;"Disetujui",AB74&lt;&gt;"Perlu Perbaikan"),"Hasil review tidak valid",IF(AND(Z74="Dikirim",OR(Y74="",AA74="")),"Isi bukti dan waktu kirim",IF(AND(AB74="Disetujui",OR(Z74&lt;&gt;"Dikirim",AC74="",AD74="")),"Lengkapi pemeriksaan",IF(AND(AB74="Perlu Perbaikan",OR(AE74="",AC74="",AD74="")),"Isi pemeriksa dan catatan perbaikan","OK")))))))))))))))),"")</f>
        <v/>
      </c>
    </row>
    <row r="75" spans="1:39" ht="24.95" customHeight="1">
      <c r="A75" s="8"/>
      <c r="B75" s="6"/>
      <c r="C75" s="15" t="str">
        <f>IF(COUNTIFS(Master_PIC!$A$8:$A$73,$B75)=1,IF(VLOOKUP($B75,Master_PIC!$A$8:$G$73,2,FALSE)="","",VLOOKUP($B75,Master_PIC!$A$8:$G$73,2,FALSE)),"")</f>
        <v/>
      </c>
      <c r="D75" s="15" t="str">
        <f>IF(COUNTIFS(Master_PIC!$A$8:$A$73,$B75)=1,IF(VLOOKUP($B75,Master_PIC!$A$8:$G$73,4,FALSE)="","",VLOOKUP($B75,Master_PIC!$A$8:$G$73,4,FALSE)),"")</f>
        <v/>
      </c>
      <c r="E75" s="15" t="str">
        <f>IF(COUNTIFS(Master_PIC!$A$8:$A$73,$B75)=1,IF(VLOOKUP($B75,Master_PIC!$A$8:$G$73,5,FALSE)="","",VLOOKUP($B75,Master_PIC!$A$8:$G$73,5,FALSE)),"")</f>
        <v/>
      </c>
      <c r="F75" s="15" t="str">
        <f>IF(COUNTIFS(Master_PIC!$A$8:$A$73,$B75)=1,IF(VLOOKUP($B75,Master_PIC!$A$8:$G$73,6,FALSE)="","",VLOOKUP($B75,Master_PIC!$A$8:$G$73,6,FALSE)),"")</f>
        <v/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8"/>
      <c r="Y75" s="5"/>
      <c r="Z75" s="5"/>
      <c r="AA75" s="9"/>
      <c r="AB75" s="5"/>
      <c r="AC75" s="5"/>
      <c r="AD75" s="9"/>
      <c r="AE75" s="5"/>
      <c r="AF75" s="7" t="str">
        <f t="shared" si="7"/>
        <v/>
      </c>
      <c r="AG75" s="7" t="str">
        <f t="shared" si="8"/>
        <v/>
      </c>
      <c r="AH75" s="7" t="str">
        <f t="shared" si="9"/>
        <v/>
      </c>
      <c r="AI75" s="7" t="str">
        <f t="shared" si="10"/>
        <v/>
      </c>
      <c r="AJ75" s="7" t="str">
        <f t="shared" si="11"/>
        <v/>
      </c>
      <c r="AK75" s="7" t="str">
        <f t="shared" si="12"/>
        <v/>
      </c>
      <c r="AL75" s="10" t="str">
        <f t="shared" si="13"/>
        <v/>
      </c>
      <c r="AM75" s="15" t="str">
        <f>IF(OR($A75&lt;&gt;"",$B75&lt;&gt;""),IF(OR($A75="",$B75=""),"Isi tanggal dan ID PIC",IF(NOT(ISNUMBER($A75)),"Tanggal harus berupa tanggal Excel",IF(COUNTIFS(Master_PIC!$A$8:$A$73,$B75)&lt;&gt;1,"ID PIC tidak unik/terdaftar",IF(VLOOKUP($B75,Master_PIC!$A$8:$G$73,3,FALSE)&lt;&gt;"Sales","Jabatan tidak sesuai sheet",IF(OR($C75="",$D75="",$E75="",$F75=""),"Lengkapi master PIC",IF(COUNTIFS($A$8:$A$507,$A75,$B$8:$B$507,$B75)&gt;1,"Laporan ganda",IF(COUNTIFS(G75:P75,"Tidak Berlaku")&gt;0,"N/A hanya untuk kegiatan bersyarat",IF(SUM(AG75,AH75,AI75,AJ75,AK75)&lt;&gt;14,"Status kegiatan tidak valid",IF(AK75&gt;0,"Lengkapi status kegiatan",IF(AND(AJ75&gt;0,U75=""),"Isi alasan Tidak Berlaku",IF(AND(SUM(AH75,AI75)&gt;0,OR(U75="",V75="",W75="",X75="")),"Isi kendala dan tindak lanjut",IF(AND(Z75&lt;&gt;"Draft",Z75&lt;&gt;"Dikirim"),"Isi status laporan yang valid",IF(AND(AB75&lt;&gt;"",AB75&lt;&gt;"Belum Diperiksa",AB75&lt;&gt;"Disetujui",AB75&lt;&gt;"Perlu Perbaikan"),"Hasil review tidak valid",IF(AND(Z75="Dikirim",OR(Y75="",AA75="")),"Isi bukti dan waktu kirim",IF(AND(AB75="Disetujui",OR(Z75&lt;&gt;"Dikirim",AC75="",AD75="")),"Lengkapi pemeriksaan",IF(AND(AB75="Perlu Perbaikan",OR(AE75="",AC75="",AD75="")),"Isi pemeriksa dan catatan perbaikan","OK")))))))))))))))),"")</f>
        <v/>
      </c>
    </row>
    <row r="76" spans="1:39" ht="24.95" customHeight="1">
      <c r="A76" s="8"/>
      <c r="B76" s="6"/>
      <c r="C76" s="15" t="str">
        <f>IF(COUNTIFS(Master_PIC!$A$8:$A$73,$B76)=1,IF(VLOOKUP($B76,Master_PIC!$A$8:$G$73,2,FALSE)="","",VLOOKUP($B76,Master_PIC!$A$8:$G$73,2,FALSE)),"")</f>
        <v/>
      </c>
      <c r="D76" s="15" t="str">
        <f>IF(COUNTIFS(Master_PIC!$A$8:$A$73,$B76)=1,IF(VLOOKUP($B76,Master_PIC!$A$8:$G$73,4,FALSE)="","",VLOOKUP($B76,Master_PIC!$A$8:$G$73,4,FALSE)),"")</f>
        <v/>
      </c>
      <c r="E76" s="15" t="str">
        <f>IF(COUNTIFS(Master_PIC!$A$8:$A$73,$B76)=1,IF(VLOOKUP($B76,Master_PIC!$A$8:$G$73,5,FALSE)="","",VLOOKUP($B76,Master_PIC!$A$8:$G$73,5,FALSE)),"")</f>
        <v/>
      </c>
      <c r="F76" s="15" t="str">
        <f>IF(COUNTIFS(Master_PIC!$A$8:$A$73,$B76)=1,IF(VLOOKUP($B76,Master_PIC!$A$8:$G$73,6,FALSE)="","",VLOOKUP($B76,Master_PIC!$A$8:$G$73,6,FALSE)),"")</f>
        <v/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8"/>
      <c r="Y76" s="5"/>
      <c r="Z76" s="5"/>
      <c r="AA76" s="9"/>
      <c r="AB76" s="5"/>
      <c r="AC76" s="5"/>
      <c r="AD76" s="9"/>
      <c r="AE76" s="5"/>
      <c r="AF76" s="7" t="str">
        <f t="shared" si="7"/>
        <v/>
      </c>
      <c r="AG76" s="7" t="str">
        <f t="shared" si="8"/>
        <v/>
      </c>
      <c r="AH76" s="7" t="str">
        <f t="shared" si="9"/>
        <v/>
      </c>
      <c r="AI76" s="7" t="str">
        <f t="shared" si="10"/>
        <v/>
      </c>
      <c r="AJ76" s="7" t="str">
        <f t="shared" si="11"/>
        <v/>
      </c>
      <c r="AK76" s="7" t="str">
        <f t="shared" si="12"/>
        <v/>
      </c>
      <c r="AL76" s="10" t="str">
        <f t="shared" si="13"/>
        <v/>
      </c>
      <c r="AM76" s="15" t="str">
        <f>IF(OR($A76&lt;&gt;"",$B76&lt;&gt;""),IF(OR($A76="",$B76=""),"Isi tanggal dan ID PIC",IF(NOT(ISNUMBER($A76)),"Tanggal harus berupa tanggal Excel",IF(COUNTIFS(Master_PIC!$A$8:$A$73,$B76)&lt;&gt;1,"ID PIC tidak unik/terdaftar",IF(VLOOKUP($B76,Master_PIC!$A$8:$G$73,3,FALSE)&lt;&gt;"Sales","Jabatan tidak sesuai sheet",IF(OR($C76="",$D76="",$E76="",$F76=""),"Lengkapi master PIC",IF(COUNTIFS($A$8:$A$507,$A76,$B$8:$B$507,$B76)&gt;1,"Laporan ganda",IF(COUNTIFS(G76:P76,"Tidak Berlaku")&gt;0,"N/A hanya untuk kegiatan bersyarat",IF(SUM(AG76,AH76,AI76,AJ76,AK76)&lt;&gt;14,"Status kegiatan tidak valid",IF(AK76&gt;0,"Lengkapi status kegiatan",IF(AND(AJ76&gt;0,U76=""),"Isi alasan Tidak Berlaku",IF(AND(SUM(AH76,AI76)&gt;0,OR(U76="",V76="",W76="",X76="")),"Isi kendala dan tindak lanjut",IF(AND(Z76&lt;&gt;"Draft",Z76&lt;&gt;"Dikirim"),"Isi status laporan yang valid",IF(AND(AB76&lt;&gt;"",AB76&lt;&gt;"Belum Diperiksa",AB76&lt;&gt;"Disetujui",AB76&lt;&gt;"Perlu Perbaikan"),"Hasil review tidak valid",IF(AND(Z76="Dikirim",OR(Y76="",AA76="")),"Isi bukti dan waktu kirim",IF(AND(AB76="Disetujui",OR(Z76&lt;&gt;"Dikirim",AC76="",AD76="")),"Lengkapi pemeriksaan",IF(AND(AB76="Perlu Perbaikan",OR(AE76="",AC76="",AD76="")),"Isi pemeriksa dan catatan perbaikan","OK")))))))))))))))),"")</f>
        <v/>
      </c>
    </row>
    <row r="77" spans="1:39" ht="24.95" customHeight="1">
      <c r="A77" s="8"/>
      <c r="B77" s="6"/>
      <c r="C77" s="15" t="str">
        <f>IF(COUNTIFS(Master_PIC!$A$8:$A$73,$B77)=1,IF(VLOOKUP($B77,Master_PIC!$A$8:$G$73,2,FALSE)="","",VLOOKUP($B77,Master_PIC!$A$8:$G$73,2,FALSE)),"")</f>
        <v/>
      </c>
      <c r="D77" s="15" t="str">
        <f>IF(COUNTIFS(Master_PIC!$A$8:$A$73,$B77)=1,IF(VLOOKUP($B77,Master_PIC!$A$8:$G$73,4,FALSE)="","",VLOOKUP($B77,Master_PIC!$A$8:$G$73,4,FALSE)),"")</f>
        <v/>
      </c>
      <c r="E77" s="15" t="str">
        <f>IF(COUNTIFS(Master_PIC!$A$8:$A$73,$B77)=1,IF(VLOOKUP($B77,Master_PIC!$A$8:$G$73,5,FALSE)="","",VLOOKUP($B77,Master_PIC!$A$8:$G$73,5,FALSE)),"")</f>
        <v/>
      </c>
      <c r="F77" s="15" t="str">
        <f>IF(COUNTIFS(Master_PIC!$A$8:$A$73,$B77)=1,IF(VLOOKUP($B77,Master_PIC!$A$8:$G$73,6,FALSE)="","",VLOOKUP($B77,Master_PIC!$A$8:$G$73,6,FALSE)),"")</f>
        <v/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8"/>
      <c r="Y77" s="5"/>
      <c r="Z77" s="5"/>
      <c r="AA77" s="9"/>
      <c r="AB77" s="5"/>
      <c r="AC77" s="5"/>
      <c r="AD77" s="9"/>
      <c r="AE77" s="5"/>
      <c r="AF77" s="7" t="str">
        <f t="shared" si="7"/>
        <v/>
      </c>
      <c r="AG77" s="7" t="str">
        <f t="shared" si="8"/>
        <v/>
      </c>
      <c r="AH77" s="7" t="str">
        <f t="shared" si="9"/>
        <v/>
      </c>
      <c r="AI77" s="7" t="str">
        <f t="shared" si="10"/>
        <v/>
      </c>
      <c r="AJ77" s="7" t="str">
        <f t="shared" si="11"/>
        <v/>
      </c>
      <c r="AK77" s="7" t="str">
        <f t="shared" si="12"/>
        <v/>
      </c>
      <c r="AL77" s="10" t="str">
        <f t="shared" si="13"/>
        <v/>
      </c>
      <c r="AM77" s="15" t="str">
        <f>IF(OR($A77&lt;&gt;"",$B77&lt;&gt;""),IF(OR($A77="",$B77=""),"Isi tanggal dan ID PIC",IF(NOT(ISNUMBER($A77)),"Tanggal harus berupa tanggal Excel",IF(COUNTIFS(Master_PIC!$A$8:$A$73,$B77)&lt;&gt;1,"ID PIC tidak unik/terdaftar",IF(VLOOKUP($B77,Master_PIC!$A$8:$G$73,3,FALSE)&lt;&gt;"Sales","Jabatan tidak sesuai sheet",IF(OR($C77="",$D77="",$E77="",$F77=""),"Lengkapi master PIC",IF(COUNTIFS($A$8:$A$507,$A77,$B$8:$B$507,$B77)&gt;1,"Laporan ganda",IF(COUNTIFS(G77:P77,"Tidak Berlaku")&gt;0,"N/A hanya untuk kegiatan bersyarat",IF(SUM(AG77,AH77,AI77,AJ77,AK77)&lt;&gt;14,"Status kegiatan tidak valid",IF(AK77&gt;0,"Lengkapi status kegiatan",IF(AND(AJ77&gt;0,U77=""),"Isi alasan Tidak Berlaku",IF(AND(SUM(AH77,AI77)&gt;0,OR(U77="",V77="",W77="",X77="")),"Isi kendala dan tindak lanjut",IF(AND(Z77&lt;&gt;"Draft",Z77&lt;&gt;"Dikirim"),"Isi status laporan yang valid",IF(AND(AB77&lt;&gt;"",AB77&lt;&gt;"Belum Diperiksa",AB77&lt;&gt;"Disetujui",AB77&lt;&gt;"Perlu Perbaikan"),"Hasil review tidak valid",IF(AND(Z77="Dikirim",OR(Y77="",AA77="")),"Isi bukti dan waktu kirim",IF(AND(AB77="Disetujui",OR(Z77&lt;&gt;"Dikirim",AC77="",AD77="")),"Lengkapi pemeriksaan",IF(AND(AB77="Perlu Perbaikan",OR(AE77="",AC77="",AD77="")),"Isi pemeriksa dan catatan perbaikan","OK")))))))))))))))),"")</f>
        <v/>
      </c>
    </row>
    <row r="78" spans="1:39" ht="24.95" customHeight="1">
      <c r="A78" s="8"/>
      <c r="B78" s="6"/>
      <c r="C78" s="15" t="str">
        <f>IF(COUNTIFS(Master_PIC!$A$8:$A$73,$B78)=1,IF(VLOOKUP($B78,Master_PIC!$A$8:$G$73,2,FALSE)="","",VLOOKUP($B78,Master_PIC!$A$8:$G$73,2,FALSE)),"")</f>
        <v/>
      </c>
      <c r="D78" s="15" t="str">
        <f>IF(COUNTIFS(Master_PIC!$A$8:$A$73,$B78)=1,IF(VLOOKUP($B78,Master_PIC!$A$8:$G$73,4,FALSE)="","",VLOOKUP($B78,Master_PIC!$A$8:$G$73,4,FALSE)),"")</f>
        <v/>
      </c>
      <c r="E78" s="15" t="str">
        <f>IF(COUNTIFS(Master_PIC!$A$8:$A$73,$B78)=1,IF(VLOOKUP($B78,Master_PIC!$A$8:$G$73,5,FALSE)="","",VLOOKUP($B78,Master_PIC!$A$8:$G$73,5,FALSE)),"")</f>
        <v/>
      </c>
      <c r="F78" s="15" t="str">
        <f>IF(COUNTIFS(Master_PIC!$A$8:$A$73,$B78)=1,IF(VLOOKUP($B78,Master_PIC!$A$8:$G$73,6,FALSE)="","",VLOOKUP($B78,Master_PIC!$A$8:$G$73,6,FALSE)),"")</f>
        <v/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8"/>
      <c r="Y78" s="5"/>
      <c r="Z78" s="5"/>
      <c r="AA78" s="9"/>
      <c r="AB78" s="5"/>
      <c r="AC78" s="5"/>
      <c r="AD78" s="9"/>
      <c r="AE78" s="5"/>
      <c r="AF78" s="7" t="str">
        <f t="shared" si="7"/>
        <v/>
      </c>
      <c r="AG78" s="7" t="str">
        <f t="shared" si="8"/>
        <v/>
      </c>
      <c r="AH78" s="7" t="str">
        <f t="shared" si="9"/>
        <v/>
      </c>
      <c r="AI78" s="7" t="str">
        <f t="shared" si="10"/>
        <v/>
      </c>
      <c r="AJ78" s="7" t="str">
        <f t="shared" si="11"/>
        <v/>
      </c>
      <c r="AK78" s="7" t="str">
        <f t="shared" si="12"/>
        <v/>
      </c>
      <c r="AL78" s="10" t="str">
        <f t="shared" si="13"/>
        <v/>
      </c>
      <c r="AM78" s="15" t="str">
        <f>IF(OR($A78&lt;&gt;"",$B78&lt;&gt;""),IF(OR($A78="",$B78=""),"Isi tanggal dan ID PIC",IF(NOT(ISNUMBER($A78)),"Tanggal harus berupa tanggal Excel",IF(COUNTIFS(Master_PIC!$A$8:$A$73,$B78)&lt;&gt;1,"ID PIC tidak unik/terdaftar",IF(VLOOKUP($B78,Master_PIC!$A$8:$G$73,3,FALSE)&lt;&gt;"Sales","Jabatan tidak sesuai sheet",IF(OR($C78="",$D78="",$E78="",$F78=""),"Lengkapi master PIC",IF(COUNTIFS($A$8:$A$507,$A78,$B$8:$B$507,$B78)&gt;1,"Laporan ganda",IF(COUNTIFS(G78:P78,"Tidak Berlaku")&gt;0,"N/A hanya untuk kegiatan bersyarat",IF(SUM(AG78,AH78,AI78,AJ78,AK78)&lt;&gt;14,"Status kegiatan tidak valid",IF(AK78&gt;0,"Lengkapi status kegiatan",IF(AND(AJ78&gt;0,U78=""),"Isi alasan Tidak Berlaku",IF(AND(SUM(AH78,AI78)&gt;0,OR(U78="",V78="",W78="",X78="")),"Isi kendala dan tindak lanjut",IF(AND(Z78&lt;&gt;"Draft",Z78&lt;&gt;"Dikirim"),"Isi status laporan yang valid",IF(AND(AB78&lt;&gt;"",AB78&lt;&gt;"Belum Diperiksa",AB78&lt;&gt;"Disetujui",AB78&lt;&gt;"Perlu Perbaikan"),"Hasil review tidak valid",IF(AND(Z78="Dikirim",OR(Y78="",AA78="")),"Isi bukti dan waktu kirim",IF(AND(AB78="Disetujui",OR(Z78&lt;&gt;"Dikirim",AC78="",AD78="")),"Lengkapi pemeriksaan",IF(AND(AB78="Perlu Perbaikan",OR(AE78="",AC78="",AD78="")),"Isi pemeriksa dan catatan perbaikan","OK")))))))))))))))),"")</f>
        <v/>
      </c>
    </row>
    <row r="79" spans="1:39" ht="24.95" customHeight="1">
      <c r="A79" s="8"/>
      <c r="B79" s="6"/>
      <c r="C79" s="15" t="str">
        <f>IF(COUNTIFS(Master_PIC!$A$8:$A$73,$B79)=1,IF(VLOOKUP($B79,Master_PIC!$A$8:$G$73,2,FALSE)="","",VLOOKUP($B79,Master_PIC!$A$8:$G$73,2,FALSE)),"")</f>
        <v/>
      </c>
      <c r="D79" s="15" t="str">
        <f>IF(COUNTIFS(Master_PIC!$A$8:$A$73,$B79)=1,IF(VLOOKUP($B79,Master_PIC!$A$8:$G$73,4,FALSE)="","",VLOOKUP($B79,Master_PIC!$A$8:$G$73,4,FALSE)),"")</f>
        <v/>
      </c>
      <c r="E79" s="15" t="str">
        <f>IF(COUNTIFS(Master_PIC!$A$8:$A$73,$B79)=1,IF(VLOOKUP($B79,Master_PIC!$A$8:$G$73,5,FALSE)="","",VLOOKUP($B79,Master_PIC!$A$8:$G$73,5,FALSE)),"")</f>
        <v/>
      </c>
      <c r="F79" s="15" t="str">
        <f>IF(COUNTIFS(Master_PIC!$A$8:$A$73,$B79)=1,IF(VLOOKUP($B79,Master_PIC!$A$8:$G$73,6,FALSE)="","",VLOOKUP($B79,Master_PIC!$A$8:$G$73,6,FALSE)),"")</f>
        <v/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8"/>
      <c r="Y79" s="5"/>
      <c r="Z79" s="5"/>
      <c r="AA79" s="9"/>
      <c r="AB79" s="5"/>
      <c r="AC79" s="5"/>
      <c r="AD79" s="9"/>
      <c r="AE79" s="5"/>
      <c r="AF79" s="7" t="str">
        <f t="shared" si="7"/>
        <v/>
      </c>
      <c r="AG79" s="7" t="str">
        <f t="shared" si="8"/>
        <v/>
      </c>
      <c r="AH79" s="7" t="str">
        <f t="shared" si="9"/>
        <v/>
      </c>
      <c r="AI79" s="7" t="str">
        <f t="shared" si="10"/>
        <v/>
      </c>
      <c r="AJ79" s="7" t="str">
        <f t="shared" si="11"/>
        <v/>
      </c>
      <c r="AK79" s="7" t="str">
        <f t="shared" si="12"/>
        <v/>
      </c>
      <c r="AL79" s="10" t="str">
        <f t="shared" si="13"/>
        <v/>
      </c>
      <c r="AM79" s="15" t="str">
        <f>IF(OR($A79&lt;&gt;"",$B79&lt;&gt;""),IF(OR($A79="",$B79=""),"Isi tanggal dan ID PIC",IF(NOT(ISNUMBER($A79)),"Tanggal harus berupa tanggal Excel",IF(COUNTIFS(Master_PIC!$A$8:$A$73,$B79)&lt;&gt;1,"ID PIC tidak unik/terdaftar",IF(VLOOKUP($B79,Master_PIC!$A$8:$G$73,3,FALSE)&lt;&gt;"Sales","Jabatan tidak sesuai sheet",IF(OR($C79="",$D79="",$E79="",$F79=""),"Lengkapi master PIC",IF(COUNTIFS($A$8:$A$507,$A79,$B$8:$B$507,$B79)&gt;1,"Laporan ganda",IF(COUNTIFS(G79:P79,"Tidak Berlaku")&gt;0,"N/A hanya untuk kegiatan bersyarat",IF(SUM(AG79,AH79,AI79,AJ79,AK79)&lt;&gt;14,"Status kegiatan tidak valid",IF(AK79&gt;0,"Lengkapi status kegiatan",IF(AND(AJ79&gt;0,U79=""),"Isi alasan Tidak Berlaku",IF(AND(SUM(AH79,AI79)&gt;0,OR(U79="",V79="",W79="",X79="")),"Isi kendala dan tindak lanjut",IF(AND(Z79&lt;&gt;"Draft",Z79&lt;&gt;"Dikirim"),"Isi status laporan yang valid",IF(AND(AB79&lt;&gt;"",AB79&lt;&gt;"Belum Diperiksa",AB79&lt;&gt;"Disetujui",AB79&lt;&gt;"Perlu Perbaikan"),"Hasil review tidak valid",IF(AND(Z79="Dikirim",OR(Y79="",AA79="")),"Isi bukti dan waktu kirim",IF(AND(AB79="Disetujui",OR(Z79&lt;&gt;"Dikirim",AC79="",AD79="")),"Lengkapi pemeriksaan",IF(AND(AB79="Perlu Perbaikan",OR(AE79="",AC79="",AD79="")),"Isi pemeriksa dan catatan perbaikan","OK")))))))))))))))),"")</f>
        <v/>
      </c>
    </row>
    <row r="80" spans="1:39" ht="24.95" customHeight="1">
      <c r="A80" s="8"/>
      <c r="B80" s="6"/>
      <c r="C80" s="15" t="str">
        <f>IF(COUNTIFS(Master_PIC!$A$8:$A$73,$B80)=1,IF(VLOOKUP($B80,Master_PIC!$A$8:$G$73,2,FALSE)="","",VLOOKUP($B80,Master_PIC!$A$8:$G$73,2,FALSE)),"")</f>
        <v/>
      </c>
      <c r="D80" s="15" t="str">
        <f>IF(COUNTIFS(Master_PIC!$A$8:$A$73,$B80)=1,IF(VLOOKUP($B80,Master_PIC!$A$8:$G$73,4,FALSE)="","",VLOOKUP($B80,Master_PIC!$A$8:$G$73,4,FALSE)),"")</f>
        <v/>
      </c>
      <c r="E80" s="15" t="str">
        <f>IF(COUNTIFS(Master_PIC!$A$8:$A$73,$B80)=1,IF(VLOOKUP($B80,Master_PIC!$A$8:$G$73,5,FALSE)="","",VLOOKUP($B80,Master_PIC!$A$8:$G$73,5,FALSE)),"")</f>
        <v/>
      </c>
      <c r="F80" s="15" t="str">
        <f>IF(COUNTIFS(Master_PIC!$A$8:$A$73,$B80)=1,IF(VLOOKUP($B80,Master_PIC!$A$8:$G$73,6,FALSE)="","",VLOOKUP($B80,Master_PIC!$A$8:$G$73,6,FALSE)),"")</f>
        <v/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8"/>
      <c r="Y80" s="5"/>
      <c r="Z80" s="5"/>
      <c r="AA80" s="9"/>
      <c r="AB80" s="5"/>
      <c r="AC80" s="5"/>
      <c r="AD80" s="9"/>
      <c r="AE80" s="5"/>
      <c r="AF80" s="7" t="str">
        <f t="shared" si="7"/>
        <v/>
      </c>
      <c r="AG80" s="7" t="str">
        <f t="shared" si="8"/>
        <v/>
      </c>
      <c r="AH80" s="7" t="str">
        <f t="shared" si="9"/>
        <v/>
      </c>
      <c r="AI80" s="7" t="str">
        <f t="shared" si="10"/>
        <v/>
      </c>
      <c r="AJ80" s="7" t="str">
        <f t="shared" si="11"/>
        <v/>
      </c>
      <c r="AK80" s="7" t="str">
        <f t="shared" si="12"/>
        <v/>
      </c>
      <c r="AL80" s="10" t="str">
        <f t="shared" si="13"/>
        <v/>
      </c>
      <c r="AM80" s="15" t="str">
        <f>IF(OR($A80&lt;&gt;"",$B80&lt;&gt;""),IF(OR($A80="",$B80=""),"Isi tanggal dan ID PIC",IF(NOT(ISNUMBER($A80)),"Tanggal harus berupa tanggal Excel",IF(COUNTIFS(Master_PIC!$A$8:$A$73,$B80)&lt;&gt;1,"ID PIC tidak unik/terdaftar",IF(VLOOKUP($B80,Master_PIC!$A$8:$G$73,3,FALSE)&lt;&gt;"Sales","Jabatan tidak sesuai sheet",IF(OR($C80="",$D80="",$E80="",$F80=""),"Lengkapi master PIC",IF(COUNTIFS($A$8:$A$507,$A80,$B$8:$B$507,$B80)&gt;1,"Laporan ganda",IF(COUNTIFS(G80:P80,"Tidak Berlaku")&gt;0,"N/A hanya untuk kegiatan bersyarat",IF(SUM(AG80,AH80,AI80,AJ80,AK80)&lt;&gt;14,"Status kegiatan tidak valid",IF(AK80&gt;0,"Lengkapi status kegiatan",IF(AND(AJ80&gt;0,U80=""),"Isi alasan Tidak Berlaku",IF(AND(SUM(AH80,AI80)&gt;0,OR(U80="",V80="",W80="",X80="")),"Isi kendala dan tindak lanjut",IF(AND(Z80&lt;&gt;"Draft",Z80&lt;&gt;"Dikirim"),"Isi status laporan yang valid",IF(AND(AB80&lt;&gt;"",AB80&lt;&gt;"Belum Diperiksa",AB80&lt;&gt;"Disetujui",AB80&lt;&gt;"Perlu Perbaikan"),"Hasil review tidak valid",IF(AND(Z80="Dikirim",OR(Y80="",AA80="")),"Isi bukti dan waktu kirim",IF(AND(AB80="Disetujui",OR(Z80&lt;&gt;"Dikirim",AC80="",AD80="")),"Lengkapi pemeriksaan",IF(AND(AB80="Perlu Perbaikan",OR(AE80="",AC80="",AD80="")),"Isi pemeriksa dan catatan perbaikan","OK")))))))))))))))),"")</f>
        <v/>
      </c>
    </row>
    <row r="81" spans="1:39" ht="24.95" customHeight="1">
      <c r="A81" s="8"/>
      <c r="B81" s="6"/>
      <c r="C81" s="15" t="str">
        <f>IF(COUNTIFS(Master_PIC!$A$8:$A$73,$B81)=1,IF(VLOOKUP($B81,Master_PIC!$A$8:$G$73,2,FALSE)="","",VLOOKUP($B81,Master_PIC!$A$8:$G$73,2,FALSE)),"")</f>
        <v/>
      </c>
      <c r="D81" s="15" t="str">
        <f>IF(COUNTIFS(Master_PIC!$A$8:$A$73,$B81)=1,IF(VLOOKUP($B81,Master_PIC!$A$8:$G$73,4,FALSE)="","",VLOOKUP($B81,Master_PIC!$A$8:$G$73,4,FALSE)),"")</f>
        <v/>
      </c>
      <c r="E81" s="15" t="str">
        <f>IF(COUNTIFS(Master_PIC!$A$8:$A$73,$B81)=1,IF(VLOOKUP($B81,Master_PIC!$A$8:$G$73,5,FALSE)="","",VLOOKUP($B81,Master_PIC!$A$8:$G$73,5,FALSE)),"")</f>
        <v/>
      </c>
      <c r="F81" s="15" t="str">
        <f>IF(COUNTIFS(Master_PIC!$A$8:$A$73,$B81)=1,IF(VLOOKUP($B81,Master_PIC!$A$8:$G$73,6,FALSE)="","",VLOOKUP($B81,Master_PIC!$A$8:$G$73,6,FALSE)),"")</f>
        <v/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8"/>
      <c r="Y81" s="5"/>
      <c r="Z81" s="5"/>
      <c r="AA81" s="9"/>
      <c r="AB81" s="5"/>
      <c r="AC81" s="5"/>
      <c r="AD81" s="9"/>
      <c r="AE81" s="5"/>
      <c r="AF81" s="7" t="str">
        <f t="shared" si="7"/>
        <v/>
      </c>
      <c r="AG81" s="7" t="str">
        <f t="shared" si="8"/>
        <v/>
      </c>
      <c r="AH81" s="7" t="str">
        <f t="shared" si="9"/>
        <v/>
      </c>
      <c r="AI81" s="7" t="str">
        <f t="shared" si="10"/>
        <v/>
      </c>
      <c r="AJ81" s="7" t="str">
        <f t="shared" si="11"/>
        <v/>
      </c>
      <c r="AK81" s="7" t="str">
        <f t="shared" si="12"/>
        <v/>
      </c>
      <c r="AL81" s="10" t="str">
        <f t="shared" si="13"/>
        <v/>
      </c>
      <c r="AM81" s="15" t="str">
        <f>IF(OR($A81&lt;&gt;"",$B81&lt;&gt;""),IF(OR($A81="",$B81=""),"Isi tanggal dan ID PIC",IF(NOT(ISNUMBER($A81)),"Tanggal harus berupa tanggal Excel",IF(COUNTIFS(Master_PIC!$A$8:$A$73,$B81)&lt;&gt;1,"ID PIC tidak unik/terdaftar",IF(VLOOKUP($B81,Master_PIC!$A$8:$G$73,3,FALSE)&lt;&gt;"Sales","Jabatan tidak sesuai sheet",IF(OR($C81="",$D81="",$E81="",$F81=""),"Lengkapi master PIC",IF(COUNTIFS($A$8:$A$507,$A81,$B$8:$B$507,$B81)&gt;1,"Laporan ganda",IF(COUNTIFS(G81:P81,"Tidak Berlaku")&gt;0,"N/A hanya untuk kegiatan bersyarat",IF(SUM(AG81,AH81,AI81,AJ81,AK81)&lt;&gt;14,"Status kegiatan tidak valid",IF(AK81&gt;0,"Lengkapi status kegiatan",IF(AND(AJ81&gt;0,U81=""),"Isi alasan Tidak Berlaku",IF(AND(SUM(AH81,AI81)&gt;0,OR(U81="",V81="",W81="",X81="")),"Isi kendala dan tindak lanjut",IF(AND(Z81&lt;&gt;"Draft",Z81&lt;&gt;"Dikirim"),"Isi status laporan yang valid",IF(AND(AB81&lt;&gt;"",AB81&lt;&gt;"Belum Diperiksa",AB81&lt;&gt;"Disetujui",AB81&lt;&gt;"Perlu Perbaikan"),"Hasil review tidak valid",IF(AND(Z81="Dikirim",OR(Y81="",AA81="")),"Isi bukti dan waktu kirim",IF(AND(AB81="Disetujui",OR(Z81&lt;&gt;"Dikirim",AC81="",AD81="")),"Lengkapi pemeriksaan",IF(AND(AB81="Perlu Perbaikan",OR(AE81="",AC81="",AD81="")),"Isi pemeriksa dan catatan perbaikan","OK")))))))))))))))),"")</f>
        <v/>
      </c>
    </row>
    <row r="82" spans="1:39" ht="24.95" customHeight="1">
      <c r="A82" s="8"/>
      <c r="B82" s="6"/>
      <c r="C82" s="15" t="str">
        <f>IF(COUNTIFS(Master_PIC!$A$8:$A$73,$B82)=1,IF(VLOOKUP($B82,Master_PIC!$A$8:$G$73,2,FALSE)="","",VLOOKUP($B82,Master_PIC!$A$8:$G$73,2,FALSE)),"")</f>
        <v/>
      </c>
      <c r="D82" s="15" t="str">
        <f>IF(COUNTIFS(Master_PIC!$A$8:$A$73,$B82)=1,IF(VLOOKUP($B82,Master_PIC!$A$8:$G$73,4,FALSE)="","",VLOOKUP($B82,Master_PIC!$A$8:$G$73,4,FALSE)),"")</f>
        <v/>
      </c>
      <c r="E82" s="15" t="str">
        <f>IF(COUNTIFS(Master_PIC!$A$8:$A$73,$B82)=1,IF(VLOOKUP($B82,Master_PIC!$A$8:$G$73,5,FALSE)="","",VLOOKUP($B82,Master_PIC!$A$8:$G$73,5,FALSE)),"")</f>
        <v/>
      </c>
      <c r="F82" s="15" t="str">
        <f>IF(COUNTIFS(Master_PIC!$A$8:$A$73,$B82)=1,IF(VLOOKUP($B82,Master_PIC!$A$8:$G$73,6,FALSE)="","",VLOOKUP($B82,Master_PIC!$A$8:$G$73,6,FALSE)),"")</f>
        <v/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8"/>
      <c r="Y82" s="5"/>
      <c r="Z82" s="5"/>
      <c r="AA82" s="9"/>
      <c r="AB82" s="5"/>
      <c r="AC82" s="5"/>
      <c r="AD82" s="9"/>
      <c r="AE82" s="5"/>
      <c r="AF82" s="7" t="str">
        <f t="shared" si="7"/>
        <v/>
      </c>
      <c r="AG82" s="7" t="str">
        <f t="shared" si="8"/>
        <v/>
      </c>
      <c r="AH82" s="7" t="str">
        <f t="shared" si="9"/>
        <v/>
      </c>
      <c r="AI82" s="7" t="str">
        <f t="shared" si="10"/>
        <v/>
      </c>
      <c r="AJ82" s="7" t="str">
        <f t="shared" si="11"/>
        <v/>
      </c>
      <c r="AK82" s="7" t="str">
        <f t="shared" si="12"/>
        <v/>
      </c>
      <c r="AL82" s="10" t="str">
        <f t="shared" si="13"/>
        <v/>
      </c>
      <c r="AM82" s="15" t="str">
        <f>IF(OR($A82&lt;&gt;"",$B82&lt;&gt;""),IF(OR($A82="",$B82=""),"Isi tanggal dan ID PIC",IF(NOT(ISNUMBER($A82)),"Tanggal harus berupa tanggal Excel",IF(COUNTIFS(Master_PIC!$A$8:$A$73,$B82)&lt;&gt;1,"ID PIC tidak unik/terdaftar",IF(VLOOKUP($B82,Master_PIC!$A$8:$G$73,3,FALSE)&lt;&gt;"Sales","Jabatan tidak sesuai sheet",IF(OR($C82="",$D82="",$E82="",$F82=""),"Lengkapi master PIC",IF(COUNTIFS($A$8:$A$507,$A82,$B$8:$B$507,$B82)&gt;1,"Laporan ganda",IF(COUNTIFS(G82:P82,"Tidak Berlaku")&gt;0,"N/A hanya untuk kegiatan bersyarat",IF(SUM(AG82,AH82,AI82,AJ82,AK82)&lt;&gt;14,"Status kegiatan tidak valid",IF(AK82&gt;0,"Lengkapi status kegiatan",IF(AND(AJ82&gt;0,U82=""),"Isi alasan Tidak Berlaku",IF(AND(SUM(AH82,AI82)&gt;0,OR(U82="",V82="",W82="",X82="")),"Isi kendala dan tindak lanjut",IF(AND(Z82&lt;&gt;"Draft",Z82&lt;&gt;"Dikirim"),"Isi status laporan yang valid",IF(AND(AB82&lt;&gt;"",AB82&lt;&gt;"Belum Diperiksa",AB82&lt;&gt;"Disetujui",AB82&lt;&gt;"Perlu Perbaikan"),"Hasil review tidak valid",IF(AND(Z82="Dikirim",OR(Y82="",AA82="")),"Isi bukti dan waktu kirim",IF(AND(AB82="Disetujui",OR(Z82&lt;&gt;"Dikirim",AC82="",AD82="")),"Lengkapi pemeriksaan",IF(AND(AB82="Perlu Perbaikan",OR(AE82="",AC82="",AD82="")),"Isi pemeriksa dan catatan perbaikan","OK")))))))))))))))),"")</f>
        <v/>
      </c>
    </row>
    <row r="83" spans="1:39" ht="24.95" customHeight="1">
      <c r="A83" s="8"/>
      <c r="B83" s="6"/>
      <c r="C83" s="15" t="str">
        <f>IF(COUNTIFS(Master_PIC!$A$8:$A$73,$B83)=1,IF(VLOOKUP($B83,Master_PIC!$A$8:$G$73,2,FALSE)="","",VLOOKUP($B83,Master_PIC!$A$8:$G$73,2,FALSE)),"")</f>
        <v/>
      </c>
      <c r="D83" s="15" t="str">
        <f>IF(COUNTIFS(Master_PIC!$A$8:$A$73,$B83)=1,IF(VLOOKUP($B83,Master_PIC!$A$8:$G$73,4,FALSE)="","",VLOOKUP($B83,Master_PIC!$A$8:$G$73,4,FALSE)),"")</f>
        <v/>
      </c>
      <c r="E83" s="15" t="str">
        <f>IF(COUNTIFS(Master_PIC!$A$8:$A$73,$B83)=1,IF(VLOOKUP($B83,Master_PIC!$A$8:$G$73,5,FALSE)="","",VLOOKUP($B83,Master_PIC!$A$8:$G$73,5,FALSE)),"")</f>
        <v/>
      </c>
      <c r="F83" s="15" t="str">
        <f>IF(COUNTIFS(Master_PIC!$A$8:$A$73,$B83)=1,IF(VLOOKUP($B83,Master_PIC!$A$8:$G$73,6,FALSE)="","",VLOOKUP($B83,Master_PIC!$A$8:$G$73,6,FALSE)),"")</f>
        <v/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8"/>
      <c r="Y83" s="5"/>
      <c r="Z83" s="5"/>
      <c r="AA83" s="9"/>
      <c r="AB83" s="5"/>
      <c r="AC83" s="5"/>
      <c r="AD83" s="9"/>
      <c r="AE83" s="5"/>
      <c r="AF83" s="7" t="str">
        <f t="shared" si="7"/>
        <v/>
      </c>
      <c r="AG83" s="7" t="str">
        <f t="shared" si="8"/>
        <v/>
      </c>
      <c r="AH83" s="7" t="str">
        <f t="shared" si="9"/>
        <v/>
      </c>
      <c r="AI83" s="7" t="str">
        <f t="shared" si="10"/>
        <v/>
      </c>
      <c r="AJ83" s="7" t="str">
        <f t="shared" si="11"/>
        <v/>
      </c>
      <c r="AK83" s="7" t="str">
        <f t="shared" si="12"/>
        <v/>
      </c>
      <c r="AL83" s="10" t="str">
        <f t="shared" si="13"/>
        <v/>
      </c>
      <c r="AM83" s="15" t="str">
        <f>IF(OR($A83&lt;&gt;"",$B83&lt;&gt;""),IF(OR($A83="",$B83=""),"Isi tanggal dan ID PIC",IF(NOT(ISNUMBER($A83)),"Tanggal harus berupa tanggal Excel",IF(COUNTIFS(Master_PIC!$A$8:$A$73,$B83)&lt;&gt;1,"ID PIC tidak unik/terdaftar",IF(VLOOKUP($B83,Master_PIC!$A$8:$G$73,3,FALSE)&lt;&gt;"Sales","Jabatan tidak sesuai sheet",IF(OR($C83="",$D83="",$E83="",$F83=""),"Lengkapi master PIC",IF(COUNTIFS($A$8:$A$507,$A83,$B$8:$B$507,$B83)&gt;1,"Laporan ganda",IF(COUNTIFS(G83:P83,"Tidak Berlaku")&gt;0,"N/A hanya untuk kegiatan bersyarat",IF(SUM(AG83,AH83,AI83,AJ83,AK83)&lt;&gt;14,"Status kegiatan tidak valid",IF(AK83&gt;0,"Lengkapi status kegiatan",IF(AND(AJ83&gt;0,U83=""),"Isi alasan Tidak Berlaku",IF(AND(SUM(AH83,AI83)&gt;0,OR(U83="",V83="",W83="",X83="")),"Isi kendala dan tindak lanjut",IF(AND(Z83&lt;&gt;"Draft",Z83&lt;&gt;"Dikirim"),"Isi status laporan yang valid",IF(AND(AB83&lt;&gt;"",AB83&lt;&gt;"Belum Diperiksa",AB83&lt;&gt;"Disetujui",AB83&lt;&gt;"Perlu Perbaikan"),"Hasil review tidak valid",IF(AND(Z83="Dikirim",OR(Y83="",AA83="")),"Isi bukti dan waktu kirim",IF(AND(AB83="Disetujui",OR(Z83&lt;&gt;"Dikirim",AC83="",AD83="")),"Lengkapi pemeriksaan",IF(AND(AB83="Perlu Perbaikan",OR(AE83="",AC83="",AD83="")),"Isi pemeriksa dan catatan perbaikan","OK")))))))))))))))),"")</f>
        <v/>
      </c>
    </row>
    <row r="84" spans="1:39" ht="24.95" customHeight="1">
      <c r="A84" s="8"/>
      <c r="B84" s="6"/>
      <c r="C84" s="15" t="str">
        <f>IF(COUNTIFS(Master_PIC!$A$8:$A$73,$B84)=1,IF(VLOOKUP($B84,Master_PIC!$A$8:$G$73,2,FALSE)="","",VLOOKUP($B84,Master_PIC!$A$8:$G$73,2,FALSE)),"")</f>
        <v/>
      </c>
      <c r="D84" s="15" t="str">
        <f>IF(COUNTIFS(Master_PIC!$A$8:$A$73,$B84)=1,IF(VLOOKUP($B84,Master_PIC!$A$8:$G$73,4,FALSE)="","",VLOOKUP($B84,Master_PIC!$A$8:$G$73,4,FALSE)),"")</f>
        <v/>
      </c>
      <c r="E84" s="15" t="str">
        <f>IF(COUNTIFS(Master_PIC!$A$8:$A$73,$B84)=1,IF(VLOOKUP($B84,Master_PIC!$A$8:$G$73,5,FALSE)="","",VLOOKUP($B84,Master_PIC!$A$8:$G$73,5,FALSE)),"")</f>
        <v/>
      </c>
      <c r="F84" s="15" t="str">
        <f>IF(COUNTIFS(Master_PIC!$A$8:$A$73,$B84)=1,IF(VLOOKUP($B84,Master_PIC!$A$8:$G$73,6,FALSE)="","",VLOOKUP($B84,Master_PIC!$A$8:$G$73,6,FALSE)),"")</f>
        <v/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8"/>
      <c r="Y84" s="5"/>
      <c r="Z84" s="5"/>
      <c r="AA84" s="9"/>
      <c r="AB84" s="5"/>
      <c r="AC84" s="5"/>
      <c r="AD84" s="9"/>
      <c r="AE84" s="5"/>
      <c r="AF84" s="7" t="str">
        <f t="shared" si="7"/>
        <v/>
      </c>
      <c r="AG84" s="7" t="str">
        <f t="shared" si="8"/>
        <v/>
      </c>
      <c r="AH84" s="7" t="str">
        <f t="shared" si="9"/>
        <v/>
      </c>
      <c r="AI84" s="7" t="str">
        <f t="shared" si="10"/>
        <v/>
      </c>
      <c r="AJ84" s="7" t="str">
        <f t="shared" si="11"/>
        <v/>
      </c>
      <c r="AK84" s="7" t="str">
        <f t="shared" si="12"/>
        <v/>
      </c>
      <c r="AL84" s="10" t="str">
        <f t="shared" si="13"/>
        <v/>
      </c>
      <c r="AM84" s="15" t="str">
        <f>IF(OR($A84&lt;&gt;"",$B84&lt;&gt;""),IF(OR($A84="",$B84=""),"Isi tanggal dan ID PIC",IF(NOT(ISNUMBER($A84)),"Tanggal harus berupa tanggal Excel",IF(COUNTIFS(Master_PIC!$A$8:$A$73,$B84)&lt;&gt;1,"ID PIC tidak unik/terdaftar",IF(VLOOKUP($B84,Master_PIC!$A$8:$G$73,3,FALSE)&lt;&gt;"Sales","Jabatan tidak sesuai sheet",IF(OR($C84="",$D84="",$E84="",$F84=""),"Lengkapi master PIC",IF(COUNTIFS($A$8:$A$507,$A84,$B$8:$B$507,$B84)&gt;1,"Laporan ganda",IF(COUNTIFS(G84:P84,"Tidak Berlaku")&gt;0,"N/A hanya untuk kegiatan bersyarat",IF(SUM(AG84,AH84,AI84,AJ84,AK84)&lt;&gt;14,"Status kegiatan tidak valid",IF(AK84&gt;0,"Lengkapi status kegiatan",IF(AND(AJ84&gt;0,U84=""),"Isi alasan Tidak Berlaku",IF(AND(SUM(AH84,AI84)&gt;0,OR(U84="",V84="",W84="",X84="")),"Isi kendala dan tindak lanjut",IF(AND(Z84&lt;&gt;"Draft",Z84&lt;&gt;"Dikirim"),"Isi status laporan yang valid",IF(AND(AB84&lt;&gt;"",AB84&lt;&gt;"Belum Diperiksa",AB84&lt;&gt;"Disetujui",AB84&lt;&gt;"Perlu Perbaikan"),"Hasil review tidak valid",IF(AND(Z84="Dikirim",OR(Y84="",AA84="")),"Isi bukti dan waktu kirim",IF(AND(AB84="Disetujui",OR(Z84&lt;&gt;"Dikirim",AC84="",AD84="")),"Lengkapi pemeriksaan",IF(AND(AB84="Perlu Perbaikan",OR(AE84="",AC84="",AD84="")),"Isi pemeriksa dan catatan perbaikan","OK")))))))))))))))),"")</f>
        <v/>
      </c>
    </row>
    <row r="85" spans="1:39" ht="24.95" customHeight="1">
      <c r="A85" s="8"/>
      <c r="B85" s="6"/>
      <c r="C85" s="15" t="str">
        <f>IF(COUNTIFS(Master_PIC!$A$8:$A$73,$B85)=1,IF(VLOOKUP($B85,Master_PIC!$A$8:$G$73,2,FALSE)="","",VLOOKUP($B85,Master_PIC!$A$8:$G$73,2,FALSE)),"")</f>
        <v/>
      </c>
      <c r="D85" s="15" t="str">
        <f>IF(COUNTIFS(Master_PIC!$A$8:$A$73,$B85)=1,IF(VLOOKUP($B85,Master_PIC!$A$8:$G$73,4,FALSE)="","",VLOOKUP($B85,Master_PIC!$A$8:$G$73,4,FALSE)),"")</f>
        <v/>
      </c>
      <c r="E85" s="15" t="str">
        <f>IF(COUNTIFS(Master_PIC!$A$8:$A$73,$B85)=1,IF(VLOOKUP($B85,Master_PIC!$A$8:$G$73,5,FALSE)="","",VLOOKUP($B85,Master_PIC!$A$8:$G$73,5,FALSE)),"")</f>
        <v/>
      </c>
      <c r="F85" s="15" t="str">
        <f>IF(COUNTIFS(Master_PIC!$A$8:$A$73,$B85)=1,IF(VLOOKUP($B85,Master_PIC!$A$8:$G$73,6,FALSE)="","",VLOOKUP($B85,Master_PIC!$A$8:$G$73,6,FALSE)),"")</f>
        <v/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8"/>
      <c r="Y85" s="5"/>
      <c r="Z85" s="5"/>
      <c r="AA85" s="9"/>
      <c r="AB85" s="5"/>
      <c r="AC85" s="5"/>
      <c r="AD85" s="9"/>
      <c r="AE85" s="5"/>
      <c r="AF85" s="7" t="str">
        <f t="shared" si="7"/>
        <v/>
      </c>
      <c r="AG85" s="7" t="str">
        <f t="shared" si="8"/>
        <v/>
      </c>
      <c r="AH85" s="7" t="str">
        <f t="shared" si="9"/>
        <v/>
      </c>
      <c r="AI85" s="7" t="str">
        <f t="shared" si="10"/>
        <v/>
      </c>
      <c r="AJ85" s="7" t="str">
        <f t="shared" si="11"/>
        <v/>
      </c>
      <c r="AK85" s="7" t="str">
        <f t="shared" si="12"/>
        <v/>
      </c>
      <c r="AL85" s="10" t="str">
        <f t="shared" si="13"/>
        <v/>
      </c>
      <c r="AM85" s="15" t="str">
        <f>IF(OR($A85&lt;&gt;"",$B85&lt;&gt;""),IF(OR($A85="",$B85=""),"Isi tanggal dan ID PIC",IF(NOT(ISNUMBER($A85)),"Tanggal harus berupa tanggal Excel",IF(COUNTIFS(Master_PIC!$A$8:$A$73,$B85)&lt;&gt;1,"ID PIC tidak unik/terdaftar",IF(VLOOKUP($B85,Master_PIC!$A$8:$G$73,3,FALSE)&lt;&gt;"Sales","Jabatan tidak sesuai sheet",IF(OR($C85="",$D85="",$E85="",$F85=""),"Lengkapi master PIC",IF(COUNTIFS($A$8:$A$507,$A85,$B$8:$B$507,$B85)&gt;1,"Laporan ganda",IF(COUNTIFS(G85:P85,"Tidak Berlaku")&gt;0,"N/A hanya untuk kegiatan bersyarat",IF(SUM(AG85,AH85,AI85,AJ85,AK85)&lt;&gt;14,"Status kegiatan tidak valid",IF(AK85&gt;0,"Lengkapi status kegiatan",IF(AND(AJ85&gt;0,U85=""),"Isi alasan Tidak Berlaku",IF(AND(SUM(AH85,AI85)&gt;0,OR(U85="",V85="",W85="",X85="")),"Isi kendala dan tindak lanjut",IF(AND(Z85&lt;&gt;"Draft",Z85&lt;&gt;"Dikirim"),"Isi status laporan yang valid",IF(AND(AB85&lt;&gt;"",AB85&lt;&gt;"Belum Diperiksa",AB85&lt;&gt;"Disetujui",AB85&lt;&gt;"Perlu Perbaikan"),"Hasil review tidak valid",IF(AND(Z85="Dikirim",OR(Y85="",AA85="")),"Isi bukti dan waktu kirim",IF(AND(AB85="Disetujui",OR(Z85&lt;&gt;"Dikirim",AC85="",AD85="")),"Lengkapi pemeriksaan",IF(AND(AB85="Perlu Perbaikan",OR(AE85="",AC85="",AD85="")),"Isi pemeriksa dan catatan perbaikan","OK")))))))))))))))),"")</f>
        <v/>
      </c>
    </row>
    <row r="86" spans="1:39" ht="24.95" customHeight="1">
      <c r="A86" s="8"/>
      <c r="B86" s="6"/>
      <c r="C86" s="15" t="str">
        <f>IF(COUNTIFS(Master_PIC!$A$8:$A$73,$B86)=1,IF(VLOOKUP($B86,Master_PIC!$A$8:$G$73,2,FALSE)="","",VLOOKUP($B86,Master_PIC!$A$8:$G$73,2,FALSE)),"")</f>
        <v/>
      </c>
      <c r="D86" s="15" t="str">
        <f>IF(COUNTIFS(Master_PIC!$A$8:$A$73,$B86)=1,IF(VLOOKUP($B86,Master_PIC!$A$8:$G$73,4,FALSE)="","",VLOOKUP($B86,Master_PIC!$A$8:$G$73,4,FALSE)),"")</f>
        <v/>
      </c>
      <c r="E86" s="15" t="str">
        <f>IF(COUNTIFS(Master_PIC!$A$8:$A$73,$B86)=1,IF(VLOOKUP($B86,Master_PIC!$A$8:$G$73,5,FALSE)="","",VLOOKUP($B86,Master_PIC!$A$8:$G$73,5,FALSE)),"")</f>
        <v/>
      </c>
      <c r="F86" s="15" t="str">
        <f>IF(COUNTIFS(Master_PIC!$A$8:$A$73,$B86)=1,IF(VLOOKUP($B86,Master_PIC!$A$8:$G$73,6,FALSE)="","",VLOOKUP($B86,Master_PIC!$A$8:$G$73,6,FALSE)),"")</f>
        <v/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8"/>
      <c r="Y86" s="5"/>
      <c r="Z86" s="5"/>
      <c r="AA86" s="9"/>
      <c r="AB86" s="5"/>
      <c r="AC86" s="5"/>
      <c r="AD86" s="9"/>
      <c r="AE86" s="5"/>
      <c r="AF86" s="7" t="str">
        <f t="shared" si="7"/>
        <v/>
      </c>
      <c r="AG86" s="7" t="str">
        <f t="shared" si="8"/>
        <v/>
      </c>
      <c r="AH86" s="7" t="str">
        <f t="shared" si="9"/>
        <v/>
      </c>
      <c r="AI86" s="7" t="str">
        <f t="shared" si="10"/>
        <v/>
      </c>
      <c r="AJ86" s="7" t="str">
        <f t="shared" si="11"/>
        <v/>
      </c>
      <c r="AK86" s="7" t="str">
        <f t="shared" si="12"/>
        <v/>
      </c>
      <c r="AL86" s="10" t="str">
        <f t="shared" si="13"/>
        <v/>
      </c>
      <c r="AM86" s="15" t="str">
        <f>IF(OR($A86&lt;&gt;"",$B86&lt;&gt;""),IF(OR($A86="",$B86=""),"Isi tanggal dan ID PIC",IF(NOT(ISNUMBER($A86)),"Tanggal harus berupa tanggal Excel",IF(COUNTIFS(Master_PIC!$A$8:$A$73,$B86)&lt;&gt;1,"ID PIC tidak unik/terdaftar",IF(VLOOKUP($B86,Master_PIC!$A$8:$G$73,3,FALSE)&lt;&gt;"Sales","Jabatan tidak sesuai sheet",IF(OR($C86="",$D86="",$E86="",$F86=""),"Lengkapi master PIC",IF(COUNTIFS($A$8:$A$507,$A86,$B$8:$B$507,$B86)&gt;1,"Laporan ganda",IF(COUNTIFS(G86:P86,"Tidak Berlaku")&gt;0,"N/A hanya untuk kegiatan bersyarat",IF(SUM(AG86,AH86,AI86,AJ86,AK86)&lt;&gt;14,"Status kegiatan tidak valid",IF(AK86&gt;0,"Lengkapi status kegiatan",IF(AND(AJ86&gt;0,U86=""),"Isi alasan Tidak Berlaku",IF(AND(SUM(AH86,AI86)&gt;0,OR(U86="",V86="",W86="",X86="")),"Isi kendala dan tindak lanjut",IF(AND(Z86&lt;&gt;"Draft",Z86&lt;&gt;"Dikirim"),"Isi status laporan yang valid",IF(AND(AB86&lt;&gt;"",AB86&lt;&gt;"Belum Diperiksa",AB86&lt;&gt;"Disetujui",AB86&lt;&gt;"Perlu Perbaikan"),"Hasil review tidak valid",IF(AND(Z86="Dikirim",OR(Y86="",AA86="")),"Isi bukti dan waktu kirim",IF(AND(AB86="Disetujui",OR(Z86&lt;&gt;"Dikirim",AC86="",AD86="")),"Lengkapi pemeriksaan",IF(AND(AB86="Perlu Perbaikan",OR(AE86="",AC86="",AD86="")),"Isi pemeriksa dan catatan perbaikan","OK")))))))))))))))),"")</f>
        <v/>
      </c>
    </row>
    <row r="87" spans="1:39" ht="24.95" customHeight="1">
      <c r="A87" s="8"/>
      <c r="B87" s="6"/>
      <c r="C87" s="15" t="str">
        <f>IF(COUNTIFS(Master_PIC!$A$8:$A$73,$B87)=1,IF(VLOOKUP($B87,Master_PIC!$A$8:$G$73,2,FALSE)="","",VLOOKUP($B87,Master_PIC!$A$8:$G$73,2,FALSE)),"")</f>
        <v/>
      </c>
      <c r="D87" s="15" t="str">
        <f>IF(COUNTIFS(Master_PIC!$A$8:$A$73,$B87)=1,IF(VLOOKUP($B87,Master_PIC!$A$8:$G$73,4,FALSE)="","",VLOOKUP($B87,Master_PIC!$A$8:$G$73,4,FALSE)),"")</f>
        <v/>
      </c>
      <c r="E87" s="15" t="str">
        <f>IF(COUNTIFS(Master_PIC!$A$8:$A$73,$B87)=1,IF(VLOOKUP($B87,Master_PIC!$A$8:$G$73,5,FALSE)="","",VLOOKUP($B87,Master_PIC!$A$8:$G$73,5,FALSE)),"")</f>
        <v/>
      </c>
      <c r="F87" s="15" t="str">
        <f>IF(COUNTIFS(Master_PIC!$A$8:$A$73,$B87)=1,IF(VLOOKUP($B87,Master_PIC!$A$8:$G$73,6,FALSE)="","",VLOOKUP($B87,Master_PIC!$A$8:$G$73,6,FALSE)),"")</f>
        <v/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8"/>
      <c r="Y87" s="5"/>
      <c r="Z87" s="5"/>
      <c r="AA87" s="9"/>
      <c r="AB87" s="5"/>
      <c r="AC87" s="5"/>
      <c r="AD87" s="9"/>
      <c r="AE87" s="5"/>
      <c r="AF87" s="7" t="str">
        <f t="shared" si="7"/>
        <v/>
      </c>
      <c r="AG87" s="7" t="str">
        <f t="shared" si="8"/>
        <v/>
      </c>
      <c r="AH87" s="7" t="str">
        <f t="shared" si="9"/>
        <v/>
      </c>
      <c r="AI87" s="7" t="str">
        <f t="shared" si="10"/>
        <v/>
      </c>
      <c r="AJ87" s="7" t="str">
        <f t="shared" si="11"/>
        <v/>
      </c>
      <c r="AK87" s="7" t="str">
        <f t="shared" si="12"/>
        <v/>
      </c>
      <c r="AL87" s="10" t="str">
        <f t="shared" si="13"/>
        <v/>
      </c>
      <c r="AM87" s="15" t="str">
        <f>IF(OR($A87&lt;&gt;"",$B87&lt;&gt;""),IF(OR($A87="",$B87=""),"Isi tanggal dan ID PIC",IF(NOT(ISNUMBER($A87)),"Tanggal harus berupa tanggal Excel",IF(COUNTIFS(Master_PIC!$A$8:$A$73,$B87)&lt;&gt;1,"ID PIC tidak unik/terdaftar",IF(VLOOKUP($B87,Master_PIC!$A$8:$G$73,3,FALSE)&lt;&gt;"Sales","Jabatan tidak sesuai sheet",IF(OR($C87="",$D87="",$E87="",$F87=""),"Lengkapi master PIC",IF(COUNTIFS($A$8:$A$507,$A87,$B$8:$B$507,$B87)&gt;1,"Laporan ganda",IF(COUNTIFS(G87:P87,"Tidak Berlaku")&gt;0,"N/A hanya untuk kegiatan bersyarat",IF(SUM(AG87,AH87,AI87,AJ87,AK87)&lt;&gt;14,"Status kegiatan tidak valid",IF(AK87&gt;0,"Lengkapi status kegiatan",IF(AND(AJ87&gt;0,U87=""),"Isi alasan Tidak Berlaku",IF(AND(SUM(AH87,AI87)&gt;0,OR(U87="",V87="",W87="",X87="")),"Isi kendala dan tindak lanjut",IF(AND(Z87&lt;&gt;"Draft",Z87&lt;&gt;"Dikirim"),"Isi status laporan yang valid",IF(AND(AB87&lt;&gt;"",AB87&lt;&gt;"Belum Diperiksa",AB87&lt;&gt;"Disetujui",AB87&lt;&gt;"Perlu Perbaikan"),"Hasil review tidak valid",IF(AND(Z87="Dikirim",OR(Y87="",AA87="")),"Isi bukti dan waktu kirim",IF(AND(AB87="Disetujui",OR(Z87&lt;&gt;"Dikirim",AC87="",AD87="")),"Lengkapi pemeriksaan",IF(AND(AB87="Perlu Perbaikan",OR(AE87="",AC87="",AD87="")),"Isi pemeriksa dan catatan perbaikan","OK")))))))))))))))),"")</f>
        <v/>
      </c>
    </row>
    <row r="88" spans="1:39" ht="24.95" customHeight="1">
      <c r="A88" s="8"/>
      <c r="B88" s="6"/>
      <c r="C88" s="15" t="str">
        <f>IF(COUNTIFS(Master_PIC!$A$8:$A$73,$B88)=1,IF(VLOOKUP($B88,Master_PIC!$A$8:$G$73,2,FALSE)="","",VLOOKUP($B88,Master_PIC!$A$8:$G$73,2,FALSE)),"")</f>
        <v/>
      </c>
      <c r="D88" s="15" t="str">
        <f>IF(COUNTIFS(Master_PIC!$A$8:$A$73,$B88)=1,IF(VLOOKUP($B88,Master_PIC!$A$8:$G$73,4,FALSE)="","",VLOOKUP($B88,Master_PIC!$A$8:$G$73,4,FALSE)),"")</f>
        <v/>
      </c>
      <c r="E88" s="15" t="str">
        <f>IF(COUNTIFS(Master_PIC!$A$8:$A$73,$B88)=1,IF(VLOOKUP($B88,Master_PIC!$A$8:$G$73,5,FALSE)="","",VLOOKUP($B88,Master_PIC!$A$8:$G$73,5,FALSE)),"")</f>
        <v/>
      </c>
      <c r="F88" s="15" t="str">
        <f>IF(COUNTIFS(Master_PIC!$A$8:$A$73,$B88)=1,IF(VLOOKUP($B88,Master_PIC!$A$8:$G$73,6,FALSE)="","",VLOOKUP($B88,Master_PIC!$A$8:$G$73,6,FALSE)),"")</f>
        <v/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8"/>
      <c r="Y88" s="5"/>
      <c r="Z88" s="5"/>
      <c r="AA88" s="9"/>
      <c r="AB88" s="5"/>
      <c r="AC88" s="5"/>
      <c r="AD88" s="9"/>
      <c r="AE88" s="5"/>
      <c r="AF88" s="7" t="str">
        <f t="shared" si="7"/>
        <v/>
      </c>
      <c r="AG88" s="7" t="str">
        <f t="shared" si="8"/>
        <v/>
      </c>
      <c r="AH88" s="7" t="str">
        <f t="shared" si="9"/>
        <v/>
      </c>
      <c r="AI88" s="7" t="str">
        <f t="shared" si="10"/>
        <v/>
      </c>
      <c r="AJ88" s="7" t="str">
        <f t="shared" si="11"/>
        <v/>
      </c>
      <c r="AK88" s="7" t="str">
        <f t="shared" si="12"/>
        <v/>
      </c>
      <c r="AL88" s="10" t="str">
        <f t="shared" si="13"/>
        <v/>
      </c>
      <c r="AM88" s="15" t="str">
        <f>IF(OR($A88&lt;&gt;"",$B88&lt;&gt;""),IF(OR($A88="",$B88=""),"Isi tanggal dan ID PIC",IF(NOT(ISNUMBER($A88)),"Tanggal harus berupa tanggal Excel",IF(COUNTIFS(Master_PIC!$A$8:$A$73,$B88)&lt;&gt;1,"ID PIC tidak unik/terdaftar",IF(VLOOKUP($B88,Master_PIC!$A$8:$G$73,3,FALSE)&lt;&gt;"Sales","Jabatan tidak sesuai sheet",IF(OR($C88="",$D88="",$E88="",$F88=""),"Lengkapi master PIC",IF(COUNTIFS($A$8:$A$507,$A88,$B$8:$B$507,$B88)&gt;1,"Laporan ganda",IF(COUNTIFS(G88:P88,"Tidak Berlaku")&gt;0,"N/A hanya untuk kegiatan bersyarat",IF(SUM(AG88,AH88,AI88,AJ88,AK88)&lt;&gt;14,"Status kegiatan tidak valid",IF(AK88&gt;0,"Lengkapi status kegiatan",IF(AND(AJ88&gt;0,U88=""),"Isi alasan Tidak Berlaku",IF(AND(SUM(AH88,AI88)&gt;0,OR(U88="",V88="",W88="",X88="")),"Isi kendala dan tindak lanjut",IF(AND(Z88&lt;&gt;"Draft",Z88&lt;&gt;"Dikirim"),"Isi status laporan yang valid",IF(AND(AB88&lt;&gt;"",AB88&lt;&gt;"Belum Diperiksa",AB88&lt;&gt;"Disetujui",AB88&lt;&gt;"Perlu Perbaikan"),"Hasil review tidak valid",IF(AND(Z88="Dikirim",OR(Y88="",AA88="")),"Isi bukti dan waktu kirim",IF(AND(AB88="Disetujui",OR(Z88&lt;&gt;"Dikirim",AC88="",AD88="")),"Lengkapi pemeriksaan",IF(AND(AB88="Perlu Perbaikan",OR(AE88="",AC88="",AD88="")),"Isi pemeriksa dan catatan perbaikan","OK")))))))))))))))),"")</f>
        <v/>
      </c>
    </row>
    <row r="89" spans="1:39" ht="24.95" customHeight="1">
      <c r="A89" s="8"/>
      <c r="B89" s="6"/>
      <c r="C89" s="15" t="str">
        <f>IF(COUNTIFS(Master_PIC!$A$8:$A$73,$B89)=1,IF(VLOOKUP($B89,Master_PIC!$A$8:$G$73,2,FALSE)="","",VLOOKUP($B89,Master_PIC!$A$8:$G$73,2,FALSE)),"")</f>
        <v/>
      </c>
      <c r="D89" s="15" t="str">
        <f>IF(COUNTIFS(Master_PIC!$A$8:$A$73,$B89)=1,IF(VLOOKUP($B89,Master_PIC!$A$8:$G$73,4,FALSE)="","",VLOOKUP($B89,Master_PIC!$A$8:$G$73,4,FALSE)),"")</f>
        <v/>
      </c>
      <c r="E89" s="15" t="str">
        <f>IF(COUNTIFS(Master_PIC!$A$8:$A$73,$B89)=1,IF(VLOOKUP($B89,Master_PIC!$A$8:$G$73,5,FALSE)="","",VLOOKUP($B89,Master_PIC!$A$8:$G$73,5,FALSE)),"")</f>
        <v/>
      </c>
      <c r="F89" s="15" t="str">
        <f>IF(COUNTIFS(Master_PIC!$A$8:$A$73,$B89)=1,IF(VLOOKUP($B89,Master_PIC!$A$8:$G$73,6,FALSE)="","",VLOOKUP($B89,Master_PIC!$A$8:$G$73,6,FALSE)),"")</f>
        <v/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8"/>
      <c r="Y89" s="5"/>
      <c r="Z89" s="5"/>
      <c r="AA89" s="9"/>
      <c r="AB89" s="5"/>
      <c r="AC89" s="5"/>
      <c r="AD89" s="9"/>
      <c r="AE89" s="5"/>
      <c r="AF89" s="7" t="str">
        <f t="shared" si="7"/>
        <v/>
      </c>
      <c r="AG89" s="7" t="str">
        <f t="shared" si="8"/>
        <v/>
      </c>
      <c r="AH89" s="7" t="str">
        <f t="shared" si="9"/>
        <v/>
      </c>
      <c r="AI89" s="7" t="str">
        <f t="shared" si="10"/>
        <v/>
      </c>
      <c r="AJ89" s="7" t="str">
        <f t="shared" si="11"/>
        <v/>
      </c>
      <c r="AK89" s="7" t="str">
        <f t="shared" si="12"/>
        <v/>
      </c>
      <c r="AL89" s="10" t="str">
        <f t="shared" si="13"/>
        <v/>
      </c>
      <c r="AM89" s="15" t="str">
        <f>IF(OR($A89&lt;&gt;"",$B89&lt;&gt;""),IF(OR($A89="",$B89=""),"Isi tanggal dan ID PIC",IF(NOT(ISNUMBER($A89)),"Tanggal harus berupa tanggal Excel",IF(COUNTIFS(Master_PIC!$A$8:$A$73,$B89)&lt;&gt;1,"ID PIC tidak unik/terdaftar",IF(VLOOKUP($B89,Master_PIC!$A$8:$G$73,3,FALSE)&lt;&gt;"Sales","Jabatan tidak sesuai sheet",IF(OR($C89="",$D89="",$E89="",$F89=""),"Lengkapi master PIC",IF(COUNTIFS($A$8:$A$507,$A89,$B$8:$B$507,$B89)&gt;1,"Laporan ganda",IF(COUNTIFS(G89:P89,"Tidak Berlaku")&gt;0,"N/A hanya untuk kegiatan bersyarat",IF(SUM(AG89,AH89,AI89,AJ89,AK89)&lt;&gt;14,"Status kegiatan tidak valid",IF(AK89&gt;0,"Lengkapi status kegiatan",IF(AND(AJ89&gt;0,U89=""),"Isi alasan Tidak Berlaku",IF(AND(SUM(AH89,AI89)&gt;0,OR(U89="",V89="",W89="",X89="")),"Isi kendala dan tindak lanjut",IF(AND(Z89&lt;&gt;"Draft",Z89&lt;&gt;"Dikirim"),"Isi status laporan yang valid",IF(AND(AB89&lt;&gt;"",AB89&lt;&gt;"Belum Diperiksa",AB89&lt;&gt;"Disetujui",AB89&lt;&gt;"Perlu Perbaikan"),"Hasil review tidak valid",IF(AND(Z89="Dikirim",OR(Y89="",AA89="")),"Isi bukti dan waktu kirim",IF(AND(AB89="Disetujui",OR(Z89&lt;&gt;"Dikirim",AC89="",AD89="")),"Lengkapi pemeriksaan",IF(AND(AB89="Perlu Perbaikan",OR(AE89="",AC89="",AD89="")),"Isi pemeriksa dan catatan perbaikan","OK")))))))))))))))),"")</f>
        <v/>
      </c>
    </row>
    <row r="90" spans="1:39" ht="24.95" customHeight="1">
      <c r="A90" s="8"/>
      <c r="B90" s="6"/>
      <c r="C90" s="15" t="str">
        <f>IF(COUNTIFS(Master_PIC!$A$8:$A$73,$B90)=1,IF(VLOOKUP($B90,Master_PIC!$A$8:$G$73,2,FALSE)="","",VLOOKUP($B90,Master_PIC!$A$8:$G$73,2,FALSE)),"")</f>
        <v/>
      </c>
      <c r="D90" s="15" t="str">
        <f>IF(COUNTIFS(Master_PIC!$A$8:$A$73,$B90)=1,IF(VLOOKUP($B90,Master_PIC!$A$8:$G$73,4,FALSE)="","",VLOOKUP($B90,Master_PIC!$A$8:$G$73,4,FALSE)),"")</f>
        <v/>
      </c>
      <c r="E90" s="15" t="str">
        <f>IF(COUNTIFS(Master_PIC!$A$8:$A$73,$B90)=1,IF(VLOOKUP($B90,Master_PIC!$A$8:$G$73,5,FALSE)="","",VLOOKUP($B90,Master_PIC!$A$8:$G$73,5,FALSE)),"")</f>
        <v/>
      </c>
      <c r="F90" s="15" t="str">
        <f>IF(COUNTIFS(Master_PIC!$A$8:$A$73,$B90)=1,IF(VLOOKUP($B90,Master_PIC!$A$8:$G$73,6,FALSE)="","",VLOOKUP($B90,Master_PIC!$A$8:$G$73,6,FALSE)),"")</f>
        <v/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8"/>
      <c r="Y90" s="5"/>
      <c r="Z90" s="5"/>
      <c r="AA90" s="9"/>
      <c r="AB90" s="5"/>
      <c r="AC90" s="5"/>
      <c r="AD90" s="9"/>
      <c r="AE90" s="5"/>
      <c r="AF90" s="7" t="str">
        <f t="shared" si="7"/>
        <v/>
      </c>
      <c r="AG90" s="7" t="str">
        <f t="shared" si="8"/>
        <v/>
      </c>
      <c r="AH90" s="7" t="str">
        <f t="shared" si="9"/>
        <v/>
      </c>
      <c r="AI90" s="7" t="str">
        <f t="shared" si="10"/>
        <v/>
      </c>
      <c r="AJ90" s="7" t="str">
        <f t="shared" si="11"/>
        <v/>
      </c>
      <c r="AK90" s="7" t="str">
        <f t="shared" si="12"/>
        <v/>
      </c>
      <c r="AL90" s="10" t="str">
        <f t="shared" si="13"/>
        <v/>
      </c>
      <c r="AM90" s="15" t="str">
        <f>IF(OR($A90&lt;&gt;"",$B90&lt;&gt;""),IF(OR($A90="",$B90=""),"Isi tanggal dan ID PIC",IF(NOT(ISNUMBER($A90)),"Tanggal harus berupa tanggal Excel",IF(COUNTIFS(Master_PIC!$A$8:$A$73,$B90)&lt;&gt;1,"ID PIC tidak unik/terdaftar",IF(VLOOKUP($B90,Master_PIC!$A$8:$G$73,3,FALSE)&lt;&gt;"Sales","Jabatan tidak sesuai sheet",IF(OR($C90="",$D90="",$E90="",$F90=""),"Lengkapi master PIC",IF(COUNTIFS($A$8:$A$507,$A90,$B$8:$B$507,$B90)&gt;1,"Laporan ganda",IF(COUNTIFS(G90:P90,"Tidak Berlaku")&gt;0,"N/A hanya untuk kegiatan bersyarat",IF(SUM(AG90,AH90,AI90,AJ90,AK90)&lt;&gt;14,"Status kegiatan tidak valid",IF(AK90&gt;0,"Lengkapi status kegiatan",IF(AND(AJ90&gt;0,U90=""),"Isi alasan Tidak Berlaku",IF(AND(SUM(AH90,AI90)&gt;0,OR(U90="",V90="",W90="",X90="")),"Isi kendala dan tindak lanjut",IF(AND(Z90&lt;&gt;"Draft",Z90&lt;&gt;"Dikirim"),"Isi status laporan yang valid",IF(AND(AB90&lt;&gt;"",AB90&lt;&gt;"Belum Diperiksa",AB90&lt;&gt;"Disetujui",AB90&lt;&gt;"Perlu Perbaikan"),"Hasil review tidak valid",IF(AND(Z90="Dikirim",OR(Y90="",AA90="")),"Isi bukti dan waktu kirim",IF(AND(AB90="Disetujui",OR(Z90&lt;&gt;"Dikirim",AC90="",AD90="")),"Lengkapi pemeriksaan",IF(AND(AB90="Perlu Perbaikan",OR(AE90="",AC90="",AD90="")),"Isi pemeriksa dan catatan perbaikan","OK")))))))))))))))),"")</f>
        <v/>
      </c>
    </row>
    <row r="91" spans="1:39" ht="24.95" customHeight="1">
      <c r="A91" s="8"/>
      <c r="B91" s="6"/>
      <c r="C91" s="15" t="str">
        <f>IF(COUNTIFS(Master_PIC!$A$8:$A$73,$B91)=1,IF(VLOOKUP($B91,Master_PIC!$A$8:$G$73,2,FALSE)="","",VLOOKUP($B91,Master_PIC!$A$8:$G$73,2,FALSE)),"")</f>
        <v/>
      </c>
      <c r="D91" s="15" t="str">
        <f>IF(COUNTIFS(Master_PIC!$A$8:$A$73,$B91)=1,IF(VLOOKUP($B91,Master_PIC!$A$8:$G$73,4,FALSE)="","",VLOOKUP($B91,Master_PIC!$A$8:$G$73,4,FALSE)),"")</f>
        <v/>
      </c>
      <c r="E91" s="15" t="str">
        <f>IF(COUNTIFS(Master_PIC!$A$8:$A$73,$B91)=1,IF(VLOOKUP($B91,Master_PIC!$A$8:$G$73,5,FALSE)="","",VLOOKUP($B91,Master_PIC!$A$8:$G$73,5,FALSE)),"")</f>
        <v/>
      </c>
      <c r="F91" s="15" t="str">
        <f>IF(COUNTIFS(Master_PIC!$A$8:$A$73,$B91)=1,IF(VLOOKUP($B91,Master_PIC!$A$8:$G$73,6,FALSE)="","",VLOOKUP($B91,Master_PIC!$A$8:$G$73,6,FALSE)),"")</f>
        <v/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8"/>
      <c r="Y91" s="5"/>
      <c r="Z91" s="5"/>
      <c r="AA91" s="9"/>
      <c r="AB91" s="5"/>
      <c r="AC91" s="5"/>
      <c r="AD91" s="9"/>
      <c r="AE91" s="5"/>
      <c r="AF91" s="7" t="str">
        <f t="shared" si="7"/>
        <v/>
      </c>
      <c r="AG91" s="7" t="str">
        <f t="shared" si="8"/>
        <v/>
      </c>
      <c r="AH91" s="7" t="str">
        <f t="shared" si="9"/>
        <v/>
      </c>
      <c r="AI91" s="7" t="str">
        <f t="shared" si="10"/>
        <v/>
      </c>
      <c r="AJ91" s="7" t="str">
        <f t="shared" si="11"/>
        <v/>
      </c>
      <c r="AK91" s="7" t="str">
        <f t="shared" si="12"/>
        <v/>
      </c>
      <c r="AL91" s="10" t="str">
        <f t="shared" si="13"/>
        <v/>
      </c>
      <c r="AM91" s="15" t="str">
        <f>IF(OR($A91&lt;&gt;"",$B91&lt;&gt;""),IF(OR($A91="",$B91=""),"Isi tanggal dan ID PIC",IF(NOT(ISNUMBER($A91)),"Tanggal harus berupa tanggal Excel",IF(COUNTIFS(Master_PIC!$A$8:$A$73,$B91)&lt;&gt;1,"ID PIC tidak unik/terdaftar",IF(VLOOKUP($B91,Master_PIC!$A$8:$G$73,3,FALSE)&lt;&gt;"Sales","Jabatan tidak sesuai sheet",IF(OR($C91="",$D91="",$E91="",$F91=""),"Lengkapi master PIC",IF(COUNTIFS($A$8:$A$507,$A91,$B$8:$B$507,$B91)&gt;1,"Laporan ganda",IF(COUNTIFS(G91:P91,"Tidak Berlaku")&gt;0,"N/A hanya untuk kegiatan bersyarat",IF(SUM(AG91,AH91,AI91,AJ91,AK91)&lt;&gt;14,"Status kegiatan tidak valid",IF(AK91&gt;0,"Lengkapi status kegiatan",IF(AND(AJ91&gt;0,U91=""),"Isi alasan Tidak Berlaku",IF(AND(SUM(AH91,AI91)&gt;0,OR(U91="",V91="",W91="",X91="")),"Isi kendala dan tindak lanjut",IF(AND(Z91&lt;&gt;"Draft",Z91&lt;&gt;"Dikirim"),"Isi status laporan yang valid",IF(AND(AB91&lt;&gt;"",AB91&lt;&gt;"Belum Diperiksa",AB91&lt;&gt;"Disetujui",AB91&lt;&gt;"Perlu Perbaikan"),"Hasil review tidak valid",IF(AND(Z91="Dikirim",OR(Y91="",AA91="")),"Isi bukti dan waktu kirim",IF(AND(AB91="Disetujui",OR(Z91&lt;&gt;"Dikirim",AC91="",AD91="")),"Lengkapi pemeriksaan",IF(AND(AB91="Perlu Perbaikan",OR(AE91="",AC91="",AD91="")),"Isi pemeriksa dan catatan perbaikan","OK")))))))))))))))),"")</f>
        <v/>
      </c>
    </row>
    <row r="92" spans="1:39" ht="24.95" customHeight="1">
      <c r="A92" s="8"/>
      <c r="B92" s="6"/>
      <c r="C92" s="15" t="str">
        <f>IF(COUNTIFS(Master_PIC!$A$8:$A$73,$B92)=1,IF(VLOOKUP($B92,Master_PIC!$A$8:$G$73,2,FALSE)="","",VLOOKUP($B92,Master_PIC!$A$8:$G$73,2,FALSE)),"")</f>
        <v/>
      </c>
      <c r="D92" s="15" t="str">
        <f>IF(COUNTIFS(Master_PIC!$A$8:$A$73,$B92)=1,IF(VLOOKUP($B92,Master_PIC!$A$8:$G$73,4,FALSE)="","",VLOOKUP($B92,Master_PIC!$A$8:$G$73,4,FALSE)),"")</f>
        <v/>
      </c>
      <c r="E92" s="15" t="str">
        <f>IF(COUNTIFS(Master_PIC!$A$8:$A$73,$B92)=1,IF(VLOOKUP($B92,Master_PIC!$A$8:$G$73,5,FALSE)="","",VLOOKUP($B92,Master_PIC!$A$8:$G$73,5,FALSE)),"")</f>
        <v/>
      </c>
      <c r="F92" s="15" t="str">
        <f>IF(COUNTIFS(Master_PIC!$A$8:$A$73,$B92)=1,IF(VLOOKUP($B92,Master_PIC!$A$8:$G$73,6,FALSE)="","",VLOOKUP($B92,Master_PIC!$A$8:$G$73,6,FALSE)),"")</f>
        <v/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8"/>
      <c r="Y92" s="5"/>
      <c r="Z92" s="5"/>
      <c r="AA92" s="9"/>
      <c r="AB92" s="5"/>
      <c r="AC92" s="5"/>
      <c r="AD92" s="9"/>
      <c r="AE92" s="5"/>
      <c r="AF92" s="7" t="str">
        <f t="shared" si="7"/>
        <v/>
      </c>
      <c r="AG92" s="7" t="str">
        <f t="shared" si="8"/>
        <v/>
      </c>
      <c r="AH92" s="7" t="str">
        <f t="shared" si="9"/>
        <v/>
      </c>
      <c r="AI92" s="7" t="str">
        <f t="shared" si="10"/>
        <v/>
      </c>
      <c r="AJ92" s="7" t="str">
        <f t="shared" si="11"/>
        <v/>
      </c>
      <c r="AK92" s="7" t="str">
        <f t="shared" si="12"/>
        <v/>
      </c>
      <c r="AL92" s="10" t="str">
        <f t="shared" si="13"/>
        <v/>
      </c>
      <c r="AM92" s="15" t="str">
        <f>IF(OR($A92&lt;&gt;"",$B92&lt;&gt;""),IF(OR($A92="",$B92=""),"Isi tanggal dan ID PIC",IF(NOT(ISNUMBER($A92)),"Tanggal harus berupa tanggal Excel",IF(COUNTIFS(Master_PIC!$A$8:$A$73,$B92)&lt;&gt;1,"ID PIC tidak unik/terdaftar",IF(VLOOKUP($B92,Master_PIC!$A$8:$G$73,3,FALSE)&lt;&gt;"Sales","Jabatan tidak sesuai sheet",IF(OR($C92="",$D92="",$E92="",$F92=""),"Lengkapi master PIC",IF(COUNTIFS($A$8:$A$507,$A92,$B$8:$B$507,$B92)&gt;1,"Laporan ganda",IF(COUNTIFS(G92:P92,"Tidak Berlaku")&gt;0,"N/A hanya untuk kegiatan bersyarat",IF(SUM(AG92,AH92,AI92,AJ92,AK92)&lt;&gt;14,"Status kegiatan tidak valid",IF(AK92&gt;0,"Lengkapi status kegiatan",IF(AND(AJ92&gt;0,U92=""),"Isi alasan Tidak Berlaku",IF(AND(SUM(AH92,AI92)&gt;0,OR(U92="",V92="",W92="",X92="")),"Isi kendala dan tindak lanjut",IF(AND(Z92&lt;&gt;"Draft",Z92&lt;&gt;"Dikirim"),"Isi status laporan yang valid",IF(AND(AB92&lt;&gt;"",AB92&lt;&gt;"Belum Diperiksa",AB92&lt;&gt;"Disetujui",AB92&lt;&gt;"Perlu Perbaikan"),"Hasil review tidak valid",IF(AND(Z92="Dikirim",OR(Y92="",AA92="")),"Isi bukti dan waktu kirim",IF(AND(AB92="Disetujui",OR(Z92&lt;&gt;"Dikirim",AC92="",AD92="")),"Lengkapi pemeriksaan",IF(AND(AB92="Perlu Perbaikan",OR(AE92="",AC92="",AD92="")),"Isi pemeriksa dan catatan perbaikan","OK")))))))))))))))),"")</f>
        <v/>
      </c>
    </row>
    <row r="93" spans="1:39" ht="24.95" customHeight="1">
      <c r="A93" s="8"/>
      <c r="B93" s="6"/>
      <c r="C93" s="15" t="str">
        <f>IF(COUNTIFS(Master_PIC!$A$8:$A$73,$B93)=1,IF(VLOOKUP($B93,Master_PIC!$A$8:$G$73,2,FALSE)="","",VLOOKUP($B93,Master_PIC!$A$8:$G$73,2,FALSE)),"")</f>
        <v/>
      </c>
      <c r="D93" s="15" t="str">
        <f>IF(COUNTIFS(Master_PIC!$A$8:$A$73,$B93)=1,IF(VLOOKUP($B93,Master_PIC!$A$8:$G$73,4,FALSE)="","",VLOOKUP($B93,Master_PIC!$A$8:$G$73,4,FALSE)),"")</f>
        <v/>
      </c>
      <c r="E93" s="15" t="str">
        <f>IF(COUNTIFS(Master_PIC!$A$8:$A$73,$B93)=1,IF(VLOOKUP($B93,Master_PIC!$A$8:$G$73,5,FALSE)="","",VLOOKUP($B93,Master_PIC!$A$8:$G$73,5,FALSE)),"")</f>
        <v/>
      </c>
      <c r="F93" s="15" t="str">
        <f>IF(COUNTIFS(Master_PIC!$A$8:$A$73,$B93)=1,IF(VLOOKUP($B93,Master_PIC!$A$8:$G$73,6,FALSE)="","",VLOOKUP($B93,Master_PIC!$A$8:$G$73,6,FALSE)),"")</f>
        <v/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8"/>
      <c r="Y93" s="5"/>
      <c r="Z93" s="5"/>
      <c r="AA93" s="9"/>
      <c r="AB93" s="5"/>
      <c r="AC93" s="5"/>
      <c r="AD93" s="9"/>
      <c r="AE93" s="5"/>
      <c r="AF93" s="7" t="str">
        <f t="shared" si="7"/>
        <v/>
      </c>
      <c r="AG93" s="7" t="str">
        <f t="shared" si="8"/>
        <v/>
      </c>
      <c r="AH93" s="7" t="str">
        <f t="shared" si="9"/>
        <v/>
      </c>
      <c r="AI93" s="7" t="str">
        <f t="shared" si="10"/>
        <v/>
      </c>
      <c r="AJ93" s="7" t="str">
        <f t="shared" si="11"/>
        <v/>
      </c>
      <c r="AK93" s="7" t="str">
        <f t="shared" si="12"/>
        <v/>
      </c>
      <c r="AL93" s="10" t="str">
        <f t="shared" si="13"/>
        <v/>
      </c>
      <c r="AM93" s="15" t="str">
        <f>IF(OR($A93&lt;&gt;"",$B93&lt;&gt;""),IF(OR($A93="",$B93=""),"Isi tanggal dan ID PIC",IF(NOT(ISNUMBER($A93)),"Tanggal harus berupa tanggal Excel",IF(COUNTIFS(Master_PIC!$A$8:$A$73,$B93)&lt;&gt;1,"ID PIC tidak unik/terdaftar",IF(VLOOKUP($B93,Master_PIC!$A$8:$G$73,3,FALSE)&lt;&gt;"Sales","Jabatan tidak sesuai sheet",IF(OR($C93="",$D93="",$E93="",$F93=""),"Lengkapi master PIC",IF(COUNTIFS($A$8:$A$507,$A93,$B$8:$B$507,$B93)&gt;1,"Laporan ganda",IF(COUNTIFS(G93:P93,"Tidak Berlaku")&gt;0,"N/A hanya untuk kegiatan bersyarat",IF(SUM(AG93,AH93,AI93,AJ93,AK93)&lt;&gt;14,"Status kegiatan tidak valid",IF(AK93&gt;0,"Lengkapi status kegiatan",IF(AND(AJ93&gt;0,U93=""),"Isi alasan Tidak Berlaku",IF(AND(SUM(AH93,AI93)&gt;0,OR(U93="",V93="",W93="",X93="")),"Isi kendala dan tindak lanjut",IF(AND(Z93&lt;&gt;"Draft",Z93&lt;&gt;"Dikirim"),"Isi status laporan yang valid",IF(AND(AB93&lt;&gt;"",AB93&lt;&gt;"Belum Diperiksa",AB93&lt;&gt;"Disetujui",AB93&lt;&gt;"Perlu Perbaikan"),"Hasil review tidak valid",IF(AND(Z93="Dikirim",OR(Y93="",AA93="")),"Isi bukti dan waktu kirim",IF(AND(AB93="Disetujui",OR(Z93&lt;&gt;"Dikirim",AC93="",AD93="")),"Lengkapi pemeriksaan",IF(AND(AB93="Perlu Perbaikan",OR(AE93="",AC93="",AD93="")),"Isi pemeriksa dan catatan perbaikan","OK")))))))))))))))),"")</f>
        <v/>
      </c>
    </row>
    <row r="94" spans="1:39" ht="24.95" customHeight="1">
      <c r="A94" s="8"/>
      <c r="B94" s="6"/>
      <c r="C94" s="15" t="str">
        <f>IF(COUNTIFS(Master_PIC!$A$8:$A$73,$B94)=1,IF(VLOOKUP($B94,Master_PIC!$A$8:$G$73,2,FALSE)="","",VLOOKUP($B94,Master_PIC!$A$8:$G$73,2,FALSE)),"")</f>
        <v/>
      </c>
      <c r="D94" s="15" t="str">
        <f>IF(COUNTIFS(Master_PIC!$A$8:$A$73,$B94)=1,IF(VLOOKUP($B94,Master_PIC!$A$8:$G$73,4,FALSE)="","",VLOOKUP($B94,Master_PIC!$A$8:$G$73,4,FALSE)),"")</f>
        <v/>
      </c>
      <c r="E94" s="15" t="str">
        <f>IF(COUNTIFS(Master_PIC!$A$8:$A$73,$B94)=1,IF(VLOOKUP($B94,Master_PIC!$A$8:$G$73,5,FALSE)="","",VLOOKUP($B94,Master_PIC!$A$8:$G$73,5,FALSE)),"")</f>
        <v/>
      </c>
      <c r="F94" s="15" t="str">
        <f>IF(COUNTIFS(Master_PIC!$A$8:$A$73,$B94)=1,IF(VLOOKUP($B94,Master_PIC!$A$8:$G$73,6,FALSE)="","",VLOOKUP($B94,Master_PIC!$A$8:$G$73,6,FALSE)),"")</f>
        <v/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8"/>
      <c r="Y94" s="5"/>
      <c r="Z94" s="5"/>
      <c r="AA94" s="9"/>
      <c r="AB94" s="5"/>
      <c r="AC94" s="5"/>
      <c r="AD94" s="9"/>
      <c r="AE94" s="5"/>
      <c r="AF94" s="7" t="str">
        <f t="shared" si="7"/>
        <v/>
      </c>
      <c r="AG94" s="7" t="str">
        <f t="shared" si="8"/>
        <v/>
      </c>
      <c r="AH94" s="7" t="str">
        <f t="shared" si="9"/>
        <v/>
      </c>
      <c r="AI94" s="7" t="str">
        <f t="shared" si="10"/>
        <v/>
      </c>
      <c r="AJ94" s="7" t="str">
        <f t="shared" si="11"/>
        <v/>
      </c>
      <c r="AK94" s="7" t="str">
        <f t="shared" si="12"/>
        <v/>
      </c>
      <c r="AL94" s="10" t="str">
        <f t="shared" si="13"/>
        <v/>
      </c>
      <c r="AM94" s="15" t="str">
        <f>IF(OR($A94&lt;&gt;"",$B94&lt;&gt;""),IF(OR($A94="",$B94=""),"Isi tanggal dan ID PIC",IF(NOT(ISNUMBER($A94)),"Tanggal harus berupa tanggal Excel",IF(COUNTIFS(Master_PIC!$A$8:$A$73,$B94)&lt;&gt;1,"ID PIC tidak unik/terdaftar",IF(VLOOKUP($B94,Master_PIC!$A$8:$G$73,3,FALSE)&lt;&gt;"Sales","Jabatan tidak sesuai sheet",IF(OR($C94="",$D94="",$E94="",$F94=""),"Lengkapi master PIC",IF(COUNTIFS($A$8:$A$507,$A94,$B$8:$B$507,$B94)&gt;1,"Laporan ganda",IF(COUNTIFS(G94:P94,"Tidak Berlaku")&gt;0,"N/A hanya untuk kegiatan bersyarat",IF(SUM(AG94,AH94,AI94,AJ94,AK94)&lt;&gt;14,"Status kegiatan tidak valid",IF(AK94&gt;0,"Lengkapi status kegiatan",IF(AND(AJ94&gt;0,U94=""),"Isi alasan Tidak Berlaku",IF(AND(SUM(AH94,AI94)&gt;0,OR(U94="",V94="",W94="",X94="")),"Isi kendala dan tindak lanjut",IF(AND(Z94&lt;&gt;"Draft",Z94&lt;&gt;"Dikirim"),"Isi status laporan yang valid",IF(AND(AB94&lt;&gt;"",AB94&lt;&gt;"Belum Diperiksa",AB94&lt;&gt;"Disetujui",AB94&lt;&gt;"Perlu Perbaikan"),"Hasil review tidak valid",IF(AND(Z94="Dikirim",OR(Y94="",AA94="")),"Isi bukti dan waktu kirim",IF(AND(AB94="Disetujui",OR(Z94&lt;&gt;"Dikirim",AC94="",AD94="")),"Lengkapi pemeriksaan",IF(AND(AB94="Perlu Perbaikan",OR(AE94="",AC94="",AD94="")),"Isi pemeriksa dan catatan perbaikan","OK")))))))))))))))),"")</f>
        <v/>
      </c>
    </row>
    <row r="95" spans="1:39" ht="24.95" customHeight="1">
      <c r="A95" s="8"/>
      <c r="B95" s="6"/>
      <c r="C95" s="15" t="str">
        <f>IF(COUNTIFS(Master_PIC!$A$8:$A$73,$B95)=1,IF(VLOOKUP($B95,Master_PIC!$A$8:$G$73,2,FALSE)="","",VLOOKUP($B95,Master_PIC!$A$8:$G$73,2,FALSE)),"")</f>
        <v/>
      </c>
      <c r="D95" s="15" t="str">
        <f>IF(COUNTIFS(Master_PIC!$A$8:$A$73,$B95)=1,IF(VLOOKUP($B95,Master_PIC!$A$8:$G$73,4,FALSE)="","",VLOOKUP($B95,Master_PIC!$A$8:$G$73,4,FALSE)),"")</f>
        <v/>
      </c>
      <c r="E95" s="15" t="str">
        <f>IF(COUNTIFS(Master_PIC!$A$8:$A$73,$B95)=1,IF(VLOOKUP($B95,Master_PIC!$A$8:$G$73,5,FALSE)="","",VLOOKUP($B95,Master_PIC!$A$8:$G$73,5,FALSE)),"")</f>
        <v/>
      </c>
      <c r="F95" s="15" t="str">
        <f>IF(COUNTIFS(Master_PIC!$A$8:$A$73,$B95)=1,IF(VLOOKUP($B95,Master_PIC!$A$8:$G$73,6,FALSE)="","",VLOOKUP($B95,Master_PIC!$A$8:$G$73,6,FALSE)),"")</f>
        <v/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8"/>
      <c r="Y95" s="5"/>
      <c r="Z95" s="5"/>
      <c r="AA95" s="9"/>
      <c r="AB95" s="5"/>
      <c r="AC95" s="5"/>
      <c r="AD95" s="9"/>
      <c r="AE95" s="5"/>
      <c r="AF95" s="7" t="str">
        <f t="shared" si="7"/>
        <v/>
      </c>
      <c r="AG95" s="7" t="str">
        <f t="shared" si="8"/>
        <v/>
      </c>
      <c r="AH95" s="7" t="str">
        <f t="shared" si="9"/>
        <v/>
      </c>
      <c r="AI95" s="7" t="str">
        <f t="shared" si="10"/>
        <v/>
      </c>
      <c r="AJ95" s="7" t="str">
        <f t="shared" si="11"/>
        <v/>
      </c>
      <c r="AK95" s="7" t="str">
        <f t="shared" si="12"/>
        <v/>
      </c>
      <c r="AL95" s="10" t="str">
        <f t="shared" si="13"/>
        <v/>
      </c>
      <c r="AM95" s="15" t="str">
        <f>IF(OR($A95&lt;&gt;"",$B95&lt;&gt;""),IF(OR($A95="",$B95=""),"Isi tanggal dan ID PIC",IF(NOT(ISNUMBER($A95)),"Tanggal harus berupa tanggal Excel",IF(COUNTIFS(Master_PIC!$A$8:$A$73,$B95)&lt;&gt;1,"ID PIC tidak unik/terdaftar",IF(VLOOKUP($B95,Master_PIC!$A$8:$G$73,3,FALSE)&lt;&gt;"Sales","Jabatan tidak sesuai sheet",IF(OR($C95="",$D95="",$E95="",$F95=""),"Lengkapi master PIC",IF(COUNTIFS($A$8:$A$507,$A95,$B$8:$B$507,$B95)&gt;1,"Laporan ganda",IF(COUNTIFS(G95:P95,"Tidak Berlaku")&gt;0,"N/A hanya untuk kegiatan bersyarat",IF(SUM(AG95,AH95,AI95,AJ95,AK95)&lt;&gt;14,"Status kegiatan tidak valid",IF(AK95&gt;0,"Lengkapi status kegiatan",IF(AND(AJ95&gt;0,U95=""),"Isi alasan Tidak Berlaku",IF(AND(SUM(AH95,AI95)&gt;0,OR(U95="",V95="",W95="",X95="")),"Isi kendala dan tindak lanjut",IF(AND(Z95&lt;&gt;"Draft",Z95&lt;&gt;"Dikirim"),"Isi status laporan yang valid",IF(AND(AB95&lt;&gt;"",AB95&lt;&gt;"Belum Diperiksa",AB95&lt;&gt;"Disetujui",AB95&lt;&gt;"Perlu Perbaikan"),"Hasil review tidak valid",IF(AND(Z95="Dikirim",OR(Y95="",AA95="")),"Isi bukti dan waktu kirim",IF(AND(AB95="Disetujui",OR(Z95&lt;&gt;"Dikirim",AC95="",AD95="")),"Lengkapi pemeriksaan",IF(AND(AB95="Perlu Perbaikan",OR(AE95="",AC95="",AD95="")),"Isi pemeriksa dan catatan perbaikan","OK")))))))))))))))),"")</f>
        <v/>
      </c>
    </row>
    <row r="96" spans="1:39" ht="24.95" customHeight="1">
      <c r="A96" s="8"/>
      <c r="B96" s="6"/>
      <c r="C96" s="15" t="str">
        <f>IF(COUNTIFS(Master_PIC!$A$8:$A$73,$B96)=1,IF(VLOOKUP($B96,Master_PIC!$A$8:$G$73,2,FALSE)="","",VLOOKUP($B96,Master_PIC!$A$8:$G$73,2,FALSE)),"")</f>
        <v/>
      </c>
      <c r="D96" s="15" t="str">
        <f>IF(COUNTIFS(Master_PIC!$A$8:$A$73,$B96)=1,IF(VLOOKUP($B96,Master_PIC!$A$8:$G$73,4,FALSE)="","",VLOOKUP($B96,Master_PIC!$A$8:$G$73,4,FALSE)),"")</f>
        <v/>
      </c>
      <c r="E96" s="15" t="str">
        <f>IF(COUNTIFS(Master_PIC!$A$8:$A$73,$B96)=1,IF(VLOOKUP($B96,Master_PIC!$A$8:$G$73,5,FALSE)="","",VLOOKUP($B96,Master_PIC!$A$8:$G$73,5,FALSE)),"")</f>
        <v/>
      </c>
      <c r="F96" s="15" t="str">
        <f>IF(COUNTIFS(Master_PIC!$A$8:$A$73,$B96)=1,IF(VLOOKUP($B96,Master_PIC!$A$8:$G$73,6,FALSE)="","",VLOOKUP($B96,Master_PIC!$A$8:$G$73,6,FALSE)),"")</f>
        <v/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8"/>
      <c r="Y96" s="5"/>
      <c r="Z96" s="5"/>
      <c r="AA96" s="9"/>
      <c r="AB96" s="5"/>
      <c r="AC96" s="5"/>
      <c r="AD96" s="9"/>
      <c r="AE96" s="5"/>
      <c r="AF96" s="7" t="str">
        <f t="shared" si="7"/>
        <v/>
      </c>
      <c r="AG96" s="7" t="str">
        <f t="shared" si="8"/>
        <v/>
      </c>
      <c r="AH96" s="7" t="str">
        <f t="shared" si="9"/>
        <v/>
      </c>
      <c r="AI96" s="7" t="str">
        <f t="shared" si="10"/>
        <v/>
      </c>
      <c r="AJ96" s="7" t="str">
        <f t="shared" si="11"/>
        <v/>
      </c>
      <c r="AK96" s="7" t="str">
        <f t="shared" si="12"/>
        <v/>
      </c>
      <c r="AL96" s="10" t="str">
        <f t="shared" si="13"/>
        <v/>
      </c>
      <c r="AM96" s="15" t="str">
        <f>IF(OR($A96&lt;&gt;"",$B96&lt;&gt;""),IF(OR($A96="",$B96=""),"Isi tanggal dan ID PIC",IF(NOT(ISNUMBER($A96)),"Tanggal harus berupa tanggal Excel",IF(COUNTIFS(Master_PIC!$A$8:$A$73,$B96)&lt;&gt;1,"ID PIC tidak unik/terdaftar",IF(VLOOKUP($B96,Master_PIC!$A$8:$G$73,3,FALSE)&lt;&gt;"Sales","Jabatan tidak sesuai sheet",IF(OR($C96="",$D96="",$E96="",$F96=""),"Lengkapi master PIC",IF(COUNTIFS($A$8:$A$507,$A96,$B$8:$B$507,$B96)&gt;1,"Laporan ganda",IF(COUNTIFS(G96:P96,"Tidak Berlaku")&gt;0,"N/A hanya untuk kegiatan bersyarat",IF(SUM(AG96,AH96,AI96,AJ96,AK96)&lt;&gt;14,"Status kegiatan tidak valid",IF(AK96&gt;0,"Lengkapi status kegiatan",IF(AND(AJ96&gt;0,U96=""),"Isi alasan Tidak Berlaku",IF(AND(SUM(AH96,AI96)&gt;0,OR(U96="",V96="",W96="",X96="")),"Isi kendala dan tindak lanjut",IF(AND(Z96&lt;&gt;"Draft",Z96&lt;&gt;"Dikirim"),"Isi status laporan yang valid",IF(AND(AB96&lt;&gt;"",AB96&lt;&gt;"Belum Diperiksa",AB96&lt;&gt;"Disetujui",AB96&lt;&gt;"Perlu Perbaikan"),"Hasil review tidak valid",IF(AND(Z96="Dikirim",OR(Y96="",AA96="")),"Isi bukti dan waktu kirim",IF(AND(AB96="Disetujui",OR(Z96&lt;&gt;"Dikirim",AC96="",AD96="")),"Lengkapi pemeriksaan",IF(AND(AB96="Perlu Perbaikan",OR(AE96="",AC96="",AD96="")),"Isi pemeriksa dan catatan perbaikan","OK")))))))))))))))),"")</f>
        <v/>
      </c>
    </row>
    <row r="97" spans="1:39" ht="24.95" customHeight="1">
      <c r="A97" s="8"/>
      <c r="B97" s="6"/>
      <c r="C97" s="15" t="str">
        <f>IF(COUNTIFS(Master_PIC!$A$8:$A$73,$B97)=1,IF(VLOOKUP($B97,Master_PIC!$A$8:$G$73,2,FALSE)="","",VLOOKUP($B97,Master_PIC!$A$8:$G$73,2,FALSE)),"")</f>
        <v/>
      </c>
      <c r="D97" s="15" t="str">
        <f>IF(COUNTIFS(Master_PIC!$A$8:$A$73,$B97)=1,IF(VLOOKUP($B97,Master_PIC!$A$8:$G$73,4,FALSE)="","",VLOOKUP($B97,Master_PIC!$A$8:$G$73,4,FALSE)),"")</f>
        <v/>
      </c>
      <c r="E97" s="15" t="str">
        <f>IF(COUNTIFS(Master_PIC!$A$8:$A$73,$B97)=1,IF(VLOOKUP($B97,Master_PIC!$A$8:$G$73,5,FALSE)="","",VLOOKUP($B97,Master_PIC!$A$8:$G$73,5,FALSE)),"")</f>
        <v/>
      </c>
      <c r="F97" s="15" t="str">
        <f>IF(COUNTIFS(Master_PIC!$A$8:$A$73,$B97)=1,IF(VLOOKUP($B97,Master_PIC!$A$8:$G$73,6,FALSE)="","",VLOOKUP($B97,Master_PIC!$A$8:$G$73,6,FALSE)),"")</f>
        <v/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8"/>
      <c r="Y97" s="5"/>
      <c r="Z97" s="5"/>
      <c r="AA97" s="9"/>
      <c r="AB97" s="5"/>
      <c r="AC97" s="5"/>
      <c r="AD97" s="9"/>
      <c r="AE97" s="5"/>
      <c r="AF97" s="7" t="str">
        <f t="shared" si="7"/>
        <v/>
      </c>
      <c r="AG97" s="7" t="str">
        <f t="shared" si="8"/>
        <v/>
      </c>
      <c r="AH97" s="7" t="str">
        <f t="shared" si="9"/>
        <v/>
      </c>
      <c r="AI97" s="7" t="str">
        <f t="shared" si="10"/>
        <v/>
      </c>
      <c r="AJ97" s="7" t="str">
        <f t="shared" si="11"/>
        <v/>
      </c>
      <c r="AK97" s="7" t="str">
        <f t="shared" si="12"/>
        <v/>
      </c>
      <c r="AL97" s="10" t="str">
        <f t="shared" si="13"/>
        <v/>
      </c>
      <c r="AM97" s="15" t="str">
        <f>IF(OR($A97&lt;&gt;"",$B97&lt;&gt;""),IF(OR($A97="",$B97=""),"Isi tanggal dan ID PIC",IF(NOT(ISNUMBER($A97)),"Tanggal harus berupa tanggal Excel",IF(COUNTIFS(Master_PIC!$A$8:$A$73,$B97)&lt;&gt;1,"ID PIC tidak unik/terdaftar",IF(VLOOKUP($B97,Master_PIC!$A$8:$G$73,3,FALSE)&lt;&gt;"Sales","Jabatan tidak sesuai sheet",IF(OR($C97="",$D97="",$E97="",$F97=""),"Lengkapi master PIC",IF(COUNTIFS($A$8:$A$507,$A97,$B$8:$B$507,$B97)&gt;1,"Laporan ganda",IF(COUNTIFS(G97:P97,"Tidak Berlaku")&gt;0,"N/A hanya untuk kegiatan bersyarat",IF(SUM(AG97,AH97,AI97,AJ97,AK97)&lt;&gt;14,"Status kegiatan tidak valid",IF(AK97&gt;0,"Lengkapi status kegiatan",IF(AND(AJ97&gt;0,U97=""),"Isi alasan Tidak Berlaku",IF(AND(SUM(AH97,AI97)&gt;0,OR(U97="",V97="",W97="",X97="")),"Isi kendala dan tindak lanjut",IF(AND(Z97&lt;&gt;"Draft",Z97&lt;&gt;"Dikirim"),"Isi status laporan yang valid",IF(AND(AB97&lt;&gt;"",AB97&lt;&gt;"Belum Diperiksa",AB97&lt;&gt;"Disetujui",AB97&lt;&gt;"Perlu Perbaikan"),"Hasil review tidak valid",IF(AND(Z97="Dikirim",OR(Y97="",AA97="")),"Isi bukti dan waktu kirim",IF(AND(AB97="Disetujui",OR(Z97&lt;&gt;"Dikirim",AC97="",AD97="")),"Lengkapi pemeriksaan",IF(AND(AB97="Perlu Perbaikan",OR(AE97="",AC97="",AD97="")),"Isi pemeriksa dan catatan perbaikan","OK")))))))))))))))),"")</f>
        <v/>
      </c>
    </row>
    <row r="98" spans="1:39" ht="24.95" customHeight="1">
      <c r="A98" s="8"/>
      <c r="B98" s="6"/>
      <c r="C98" s="15" t="str">
        <f>IF(COUNTIFS(Master_PIC!$A$8:$A$73,$B98)=1,IF(VLOOKUP($B98,Master_PIC!$A$8:$G$73,2,FALSE)="","",VLOOKUP($B98,Master_PIC!$A$8:$G$73,2,FALSE)),"")</f>
        <v/>
      </c>
      <c r="D98" s="15" t="str">
        <f>IF(COUNTIFS(Master_PIC!$A$8:$A$73,$B98)=1,IF(VLOOKUP($B98,Master_PIC!$A$8:$G$73,4,FALSE)="","",VLOOKUP($B98,Master_PIC!$A$8:$G$73,4,FALSE)),"")</f>
        <v/>
      </c>
      <c r="E98" s="15" t="str">
        <f>IF(COUNTIFS(Master_PIC!$A$8:$A$73,$B98)=1,IF(VLOOKUP($B98,Master_PIC!$A$8:$G$73,5,FALSE)="","",VLOOKUP($B98,Master_PIC!$A$8:$G$73,5,FALSE)),"")</f>
        <v/>
      </c>
      <c r="F98" s="15" t="str">
        <f>IF(COUNTIFS(Master_PIC!$A$8:$A$73,$B98)=1,IF(VLOOKUP($B98,Master_PIC!$A$8:$G$73,6,FALSE)="","",VLOOKUP($B98,Master_PIC!$A$8:$G$73,6,FALSE)),"")</f>
        <v/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8"/>
      <c r="Y98" s="5"/>
      <c r="Z98" s="5"/>
      <c r="AA98" s="9"/>
      <c r="AB98" s="5"/>
      <c r="AC98" s="5"/>
      <c r="AD98" s="9"/>
      <c r="AE98" s="5"/>
      <c r="AF98" s="7" t="str">
        <f t="shared" si="7"/>
        <v/>
      </c>
      <c r="AG98" s="7" t="str">
        <f t="shared" si="8"/>
        <v/>
      </c>
      <c r="AH98" s="7" t="str">
        <f t="shared" si="9"/>
        <v/>
      </c>
      <c r="AI98" s="7" t="str">
        <f t="shared" si="10"/>
        <v/>
      </c>
      <c r="AJ98" s="7" t="str">
        <f t="shared" si="11"/>
        <v/>
      </c>
      <c r="AK98" s="7" t="str">
        <f t="shared" si="12"/>
        <v/>
      </c>
      <c r="AL98" s="10" t="str">
        <f t="shared" si="13"/>
        <v/>
      </c>
      <c r="AM98" s="15" t="str">
        <f>IF(OR($A98&lt;&gt;"",$B98&lt;&gt;""),IF(OR($A98="",$B98=""),"Isi tanggal dan ID PIC",IF(NOT(ISNUMBER($A98)),"Tanggal harus berupa tanggal Excel",IF(COUNTIFS(Master_PIC!$A$8:$A$73,$B98)&lt;&gt;1,"ID PIC tidak unik/terdaftar",IF(VLOOKUP($B98,Master_PIC!$A$8:$G$73,3,FALSE)&lt;&gt;"Sales","Jabatan tidak sesuai sheet",IF(OR($C98="",$D98="",$E98="",$F98=""),"Lengkapi master PIC",IF(COUNTIFS($A$8:$A$507,$A98,$B$8:$B$507,$B98)&gt;1,"Laporan ganda",IF(COUNTIFS(G98:P98,"Tidak Berlaku")&gt;0,"N/A hanya untuk kegiatan bersyarat",IF(SUM(AG98,AH98,AI98,AJ98,AK98)&lt;&gt;14,"Status kegiatan tidak valid",IF(AK98&gt;0,"Lengkapi status kegiatan",IF(AND(AJ98&gt;0,U98=""),"Isi alasan Tidak Berlaku",IF(AND(SUM(AH98,AI98)&gt;0,OR(U98="",V98="",W98="",X98="")),"Isi kendala dan tindak lanjut",IF(AND(Z98&lt;&gt;"Draft",Z98&lt;&gt;"Dikirim"),"Isi status laporan yang valid",IF(AND(AB98&lt;&gt;"",AB98&lt;&gt;"Belum Diperiksa",AB98&lt;&gt;"Disetujui",AB98&lt;&gt;"Perlu Perbaikan"),"Hasil review tidak valid",IF(AND(Z98="Dikirim",OR(Y98="",AA98="")),"Isi bukti dan waktu kirim",IF(AND(AB98="Disetujui",OR(Z98&lt;&gt;"Dikirim",AC98="",AD98="")),"Lengkapi pemeriksaan",IF(AND(AB98="Perlu Perbaikan",OR(AE98="",AC98="",AD98="")),"Isi pemeriksa dan catatan perbaikan","OK")))))))))))))))),"")</f>
        <v/>
      </c>
    </row>
    <row r="99" spans="1:39" ht="24.95" customHeight="1">
      <c r="A99" s="8"/>
      <c r="B99" s="6"/>
      <c r="C99" s="15" t="str">
        <f>IF(COUNTIFS(Master_PIC!$A$8:$A$73,$B99)=1,IF(VLOOKUP($B99,Master_PIC!$A$8:$G$73,2,FALSE)="","",VLOOKUP($B99,Master_PIC!$A$8:$G$73,2,FALSE)),"")</f>
        <v/>
      </c>
      <c r="D99" s="15" t="str">
        <f>IF(COUNTIFS(Master_PIC!$A$8:$A$73,$B99)=1,IF(VLOOKUP($B99,Master_PIC!$A$8:$G$73,4,FALSE)="","",VLOOKUP($B99,Master_PIC!$A$8:$G$73,4,FALSE)),"")</f>
        <v/>
      </c>
      <c r="E99" s="15" t="str">
        <f>IF(COUNTIFS(Master_PIC!$A$8:$A$73,$B99)=1,IF(VLOOKUP($B99,Master_PIC!$A$8:$G$73,5,FALSE)="","",VLOOKUP($B99,Master_PIC!$A$8:$G$73,5,FALSE)),"")</f>
        <v/>
      </c>
      <c r="F99" s="15" t="str">
        <f>IF(COUNTIFS(Master_PIC!$A$8:$A$73,$B99)=1,IF(VLOOKUP($B99,Master_PIC!$A$8:$G$73,6,FALSE)="","",VLOOKUP($B99,Master_PIC!$A$8:$G$73,6,FALSE)),"")</f>
        <v/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8"/>
      <c r="Y99" s="5"/>
      <c r="Z99" s="5"/>
      <c r="AA99" s="9"/>
      <c r="AB99" s="5"/>
      <c r="AC99" s="5"/>
      <c r="AD99" s="9"/>
      <c r="AE99" s="5"/>
      <c r="AF99" s="7" t="str">
        <f t="shared" si="7"/>
        <v/>
      </c>
      <c r="AG99" s="7" t="str">
        <f t="shared" si="8"/>
        <v/>
      </c>
      <c r="AH99" s="7" t="str">
        <f t="shared" si="9"/>
        <v/>
      </c>
      <c r="AI99" s="7" t="str">
        <f t="shared" si="10"/>
        <v/>
      </c>
      <c r="AJ99" s="7" t="str">
        <f t="shared" si="11"/>
        <v/>
      </c>
      <c r="AK99" s="7" t="str">
        <f t="shared" si="12"/>
        <v/>
      </c>
      <c r="AL99" s="10" t="str">
        <f t="shared" si="13"/>
        <v/>
      </c>
      <c r="AM99" s="15" t="str">
        <f>IF(OR($A99&lt;&gt;"",$B99&lt;&gt;""),IF(OR($A99="",$B99=""),"Isi tanggal dan ID PIC",IF(NOT(ISNUMBER($A99)),"Tanggal harus berupa tanggal Excel",IF(COUNTIFS(Master_PIC!$A$8:$A$73,$B99)&lt;&gt;1,"ID PIC tidak unik/terdaftar",IF(VLOOKUP($B99,Master_PIC!$A$8:$G$73,3,FALSE)&lt;&gt;"Sales","Jabatan tidak sesuai sheet",IF(OR($C99="",$D99="",$E99="",$F99=""),"Lengkapi master PIC",IF(COUNTIFS($A$8:$A$507,$A99,$B$8:$B$507,$B99)&gt;1,"Laporan ganda",IF(COUNTIFS(G99:P99,"Tidak Berlaku")&gt;0,"N/A hanya untuk kegiatan bersyarat",IF(SUM(AG99,AH99,AI99,AJ99,AK99)&lt;&gt;14,"Status kegiatan tidak valid",IF(AK99&gt;0,"Lengkapi status kegiatan",IF(AND(AJ99&gt;0,U99=""),"Isi alasan Tidak Berlaku",IF(AND(SUM(AH99,AI99)&gt;0,OR(U99="",V99="",W99="",X99="")),"Isi kendala dan tindak lanjut",IF(AND(Z99&lt;&gt;"Draft",Z99&lt;&gt;"Dikirim"),"Isi status laporan yang valid",IF(AND(AB99&lt;&gt;"",AB99&lt;&gt;"Belum Diperiksa",AB99&lt;&gt;"Disetujui",AB99&lt;&gt;"Perlu Perbaikan"),"Hasil review tidak valid",IF(AND(Z99="Dikirim",OR(Y99="",AA99="")),"Isi bukti dan waktu kirim",IF(AND(AB99="Disetujui",OR(Z99&lt;&gt;"Dikirim",AC99="",AD99="")),"Lengkapi pemeriksaan",IF(AND(AB99="Perlu Perbaikan",OR(AE99="",AC99="",AD99="")),"Isi pemeriksa dan catatan perbaikan","OK")))))))))))))))),"")</f>
        <v/>
      </c>
    </row>
    <row r="100" spans="1:39" ht="24.95" customHeight="1">
      <c r="A100" s="8"/>
      <c r="B100" s="6"/>
      <c r="C100" s="15" t="str">
        <f>IF(COUNTIFS(Master_PIC!$A$8:$A$73,$B100)=1,IF(VLOOKUP($B100,Master_PIC!$A$8:$G$73,2,FALSE)="","",VLOOKUP($B100,Master_PIC!$A$8:$G$73,2,FALSE)),"")</f>
        <v/>
      </c>
      <c r="D100" s="15" t="str">
        <f>IF(COUNTIFS(Master_PIC!$A$8:$A$73,$B100)=1,IF(VLOOKUP($B100,Master_PIC!$A$8:$G$73,4,FALSE)="","",VLOOKUP($B100,Master_PIC!$A$8:$G$73,4,FALSE)),"")</f>
        <v/>
      </c>
      <c r="E100" s="15" t="str">
        <f>IF(COUNTIFS(Master_PIC!$A$8:$A$73,$B100)=1,IF(VLOOKUP($B100,Master_PIC!$A$8:$G$73,5,FALSE)="","",VLOOKUP($B100,Master_PIC!$A$8:$G$73,5,FALSE)),"")</f>
        <v/>
      </c>
      <c r="F100" s="15" t="str">
        <f>IF(COUNTIFS(Master_PIC!$A$8:$A$73,$B100)=1,IF(VLOOKUP($B100,Master_PIC!$A$8:$G$73,6,FALSE)="","",VLOOKUP($B100,Master_PIC!$A$8:$G$73,6,FALSE)),"")</f>
        <v/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8"/>
      <c r="Y100" s="5"/>
      <c r="Z100" s="5"/>
      <c r="AA100" s="9"/>
      <c r="AB100" s="5"/>
      <c r="AC100" s="5"/>
      <c r="AD100" s="9"/>
      <c r="AE100" s="5"/>
      <c r="AF100" s="7" t="str">
        <f t="shared" si="7"/>
        <v/>
      </c>
      <c r="AG100" s="7" t="str">
        <f t="shared" si="8"/>
        <v/>
      </c>
      <c r="AH100" s="7" t="str">
        <f t="shared" si="9"/>
        <v/>
      </c>
      <c r="AI100" s="7" t="str">
        <f t="shared" si="10"/>
        <v/>
      </c>
      <c r="AJ100" s="7" t="str">
        <f t="shared" si="11"/>
        <v/>
      </c>
      <c r="AK100" s="7" t="str">
        <f t="shared" si="12"/>
        <v/>
      </c>
      <c r="AL100" s="10" t="str">
        <f t="shared" si="13"/>
        <v/>
      </c>
      <c r="AM100" s="15" t="str">
        <f>IF(OR($A100&lt;&gt;"",$B100&lt;&gt;""),IF(OR($A100="",$B100=""),"Isi tanggal dan ID PIC",IF(NOT(ISNUMBER($A100)),"Tanggal harus berupa tanggal Excel",IF(COUNTIFS(Master_PIC!$A$8:$A$73,$B100)&lt;&gt;1,"ID PIC tidak unik/terdaftar",IF(VLOOKUP($B100,Master_PIC!$A$8:$G$73,3,FALSE)&lt;&gt;"Sales","Jabatan tidak sesuai sheet",IF(OR($C100="",$D100="",$E100="",$F100=""),"Lengkapi master PIC",IF(COUNTIFS($A$8:$A$507,$A100,$B$8:$B$507,$B100)&gt;1,"Laporan ganda",IF(COUNTIFS(G100:P100,"Tidak Berlaku")&gt;0,"N/A hanya untuk kegiatan bersyarat",IF(SUM(AG100,AH100,AI100,AJ100,AK100)&lt;&gt;14,"Status kegiatan tidak valid",IF(AK100&gt;0,"Lengkapi status kegiatan",IF(AND(AJ100&gt;0,U100=""),"Isi alasan Tidak Berlaku",IF(AND(SUM(AH100,AI100)&gt;0,OR(U100="",V100="",W100="",X100="")),"Isi kendala dan tindak lanjut",IF(AND(Z100&lt;&gt;"Draft",Z100&lt;&gt;"Dikirim"),"Isi status laporan yang valid",IF(AND(AB100&lt;&gt;"",AB100&lt;&gt;"Belum Diperiksa",AB100&lt;&gt;"Disetujui",AB100&lt;&gt;"Perlu Perbaikan"),"Hasil review tidak valid",IF(AND(Z100="Dikirim",OR(Y100="",AA100="")),"Isi bukti dan waktu kirim",IF(AND(AB100="Disetujui",OR(Z100&lt;&gt;"Dikirim",AC100="",AD100="")),"Lengkapi pemeriksaan",IF(AND(AB100="Perlu Perbaikan",OR(AE100="",AC100="",AD100="")),"Isi pemeriksa dan catatan perbaikan","OK")))))))))))))))),"")</f>
        <v/>
      </c>
    </row>
    <row r="101" spans="1:39" ht="24.95" customHeight="1">
      <c r="A101" s="8"/>
      <c r="B101" s="6"/>
      <c r="C101" s="15" t="str">
        <f>IF(COUNTIFS(Master_PIC!$A$8:$A$73,$B101)=1,IF(VLOOKUP($B101,Master_PIC!$A$8:$G$73,2,FALSE)="","",VLOOKUP($B101,Master_PIC!$A$8:$G$73,2,FALSE)),"")</f>
        <v/>
      </c>
      <c r="D101" s="15" t="str">
        <f>IF(COUNTIFS(Master_PIC!$A$8:$A$73,$B101)=1,IF(VLOOKUP($B101,Master_PIC!$A$8:$G$73,4,FALSE)="","",VLOOKUP($B101,Master_PIC!$A$8:$G$73,4,FALSE)),"")</f>
        <v/>
      </c>
      <c r="E101" s="15" t="str">
        <f>IF(COUNTIFS(Master_PIC!$A$8:$A$73,$B101)=1,IF(VLOOKUP($B101,Master_PIC!$A$8:$G$73,5,FALSE)="","",VLOOKUP($B101,Master_PIC!$A$8:$G$73,5,FALSE)),"")</f>
        <v/>
      </c>
      <c r="F101" s="15" t="str">
        <f>IF(COUNTIFS(Master_PIC!$A$8:$A$73,$B101)=1,IF(VLOOKUP($B101,Master_PIC!$A$8:$G$73,6,FALSE)="","",VLOOKUP($B101,Master_PIC!$A$8:$G$73,6,FALSE)),"")</f>
        <v/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8"/>
      <c r="Y101" s="5"/>
      <c r="Z101" s="5"/>
      <c r="AA101" s="9"/>
      <c r="AB101" s="5"/>
      <c r="AC101" s="5"/>
      <c r="AD101" s="9"/>
      <c r="AE101" s="5"/>
      <c r="AF101" s="7" t="str">
        <f t="shared" si="7"/>
        <v/>
      </c>
      <c r="AG101" s="7" t="str">
        <f t="shared" si="8"/>
        <v/>
      </c>
      <c r="AH101" s="7" t="str">
        <f t="shared" si="9"/>
        <v/>
      </c>
      <c r="AI101" s="7" t="str">
        <f t="shared" si="10"/>
        <v/>
      </c>
      <c r="AJ101" s="7" t="str">
        <f t="shared" si="11"/>
        <v/>
      </c>
      <c r="AK101" s="7" t="str">
        <f t="shared" si="12"/>
        <v/>
      </c>
      <c r="AL101" s="10" t="str">
        <f t="shared" si="13"/>
        <v/>
      </c>
      <c r="AM101" s="15" t="str">
        <f>IF(OR($A101&lt;&gt;"",$B101&lt;&gt;""),IF(OR($A101="",$B101=""),"Isi tanggal dan ID PIC",IF(NOT(ISNUMBER($A101)),"Tanggal harus berupa tanggal Excel",IF(COUNTIFS(Master_PIC!$A$8:$A$73,$B101)&lt;&gt;1,"ID PIC tidak unik/terdaftar",IF(VLOOKUP($B101,Master_PIC!$A$8:$G$73,3,FALSE)&lt;&gt;"Sales","Jabatan tidak sesuai sheet",IF(OR($C101="",$D101="",$E101="",$F101=""),"Lengkapi master PIC",IF(COUNTIFS($A$8:$A$507,$A101,$B$8:$B$507,$B101)&gt;1,"Laporan ganda",IF(COUNTIFS(G101:P101,"Tidak Berlaku")&gt;0,"N/A hanya untuk kegiatan bersyarat",IF(SUM(AG101,AH101,AI101,AJ101,AK101)&lt;&gt;14,"Status kegiatan tidak valid",IF(AK101&gt;0,"Lengkapi status kegiatan",IF(AND(AJ101&gt;0,U101=""),"Isi alasan Tidak Berlaku",IF(AND(SUM(AH101,AI101)&gt;0,OR(U101="",V101="",W101="",X101="")),"Isi kendala dan tindak lanjut",IF(AND(Z101&lt;&gt;"Draft",Z101&lt;&gt;"Dikirim"),"Isi status laporan yang valid",IF(AND(AB101&lt;&gt;"",AB101&lt;&gt;"Belum Diperiksa",AB101&lt;&gt;"Disetujui",AB101&lt;&gt;"Perlu Perbaikan"),"Hasil review tidak valid",IF(AND(Z101="Dikirim",OR(Y101="",AA101="")),"Isi bukti dan waktu kirim",IF(AND(AB101="Disetujui",OR(Z101&lt;&gt;"Dikirim",AC101="",AD101="")),"Lengkapi pemeriksaan",IF(AND(AB101="Perlu Perbaikan",OR(AE101="",AC101="",AD101="")),"Isi pemeriksa dan catatan perbaikan","OK")))))))))))))))),"")</f>
        <v/>
      </c>
    </row>
    <row r="102" spans="1:39" ht="24.95" customHeight="1">
      <c r="A102" s="8"/>
      <c r="B102" s="6"/>
      <c r="C102" s="15" t="str">
        <f>IF(COUNTIFS(Master_PIC!$A$8:$A$73,$B102)=1,IF(VLOOKUP($B102,Master_PIC!$A$8:$G$73,2,FALSE)="","",VLOOKUP($B102,Master_PIC!$A$8:$G$73,2,FALSE)),"")</f>
        <v/>
      </c>
      <c r="D102" s="15" t="str">
        <f>IF(COUNTIFS(Master_PIC!$A$8:$A$73,$B102)=1,IF(VLOOKUP($B102,Master_PIC!$A$8:$G$73,4,FALSE)="","",VLOOKUP($B102,Master_PIC!$A$8:$G$73,4,FALSE)),"")</f>
        <v/>
      </c>
      <c r="E102" s="15" t="str">
        <f>IF(COUNTIFS(Master_PIC!$A$8:$A$73,$B102)=1,IF(VLOOKUP($B102,Master_PIC!$A$8:$G$73,5,FALSE)="","",VLOOKUP($B102,Master_PIC!$A$8:$G$73,5,FALSE)),"")</f>
        <v/>
      </c>
      <c r="F102" s="15" t="str">
        <f>IF(COUNTIFS(Master_PIC!$A$8:$A$73,$B102)=1,IF(VLOOKUP($B102,Master_PIC!$A$8:$G$73,6,FALSE)="","",VLOOKUP($B102,Master_PIC!$A$8:$G$73,6,FALSE)),"")</f>
        <v/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8"/>
      <c r="Y102" s="5"/>
      <c r="Z102" s="5"/>
      <c r="AA102" s="9"/>
      <c r="AB102" s="5"/>
      <c r="AC102" s="5"/>
      <c r="AD102" s="9"/>
      <c r="AE102" s="5"/>
      <c r="AF102" s="7" t="str">
        <f t="shared" si="7"/>
        <v/>
      </c>
      <c r="AG102" s="7" t="str">
        <f t="shared" si="8"/>
        <v/>
      </c>
      <c r="AH102" s="7" t="str">
        <f t="shared" si="9"/>
        <v/>
      </c>
      <c r="AI102" s="7" t="str">
        <f t="shared" si="10"/>
        <v/>
      </c>
      <c r="AJ102" s="7" t="str">
        <f t="shared" si="11"/>
        <v/>
      </c>
      <c r="AK102" s="7" t="str">
        <f t="shared" si="12"/>
        <v/>
      </c>
      <c r="AL102" s="10" t="str">
        <f t="shared" si="13"/>
        <v/>
      </c>
      <c r="AM102" s="15" t="str">
        <f>IF(OR($A102&lt;&gt;"",$B102&lt;&gt;""),IF(OR($A102="",$B102=""),"Isi tanggal dan ID PIC",IF(NOT(ISNUMBER($A102)),"Tanggal harus berupa tanggal Excel",IF(COUNTIFS(Master_PIC!$A$8:$A$73,$B102)&lt;&gt;1,"ID PIC tidak unik/terdaftar",IF(VLOOKUP($B102,Master_PIC!$A$8:$G$73,3,FALSE)&lt;&gt;"Sales","Jabatan tidak sesuai sheet",IF(OR($C102="",$D102="",$E102="",$F102=""),"Lengkapi master PIC",IF(COUNTIFS($A$8:$A$507,$A102,$B$8:$B$507,$B102)&gt;1,"Laporan ganda",IF(COUNTIFS(G102:P102,"Tidak Berlaku")&gt;0,"N/A hanya untuk kegiatan bersyarat",IF(SUM(AG102,AH102,AI102,AJ102,AK102)&lt;&gt;14,"Status kegiatan tidak valid",IF(AK102&gt;0,"Lengkapi status kegiatan",IF(AND(AJ102&gt;0,U102=""),"Isi alasan Tidak Berlaku",IF(AND(SUM(AH102,AI102)&gt;0,OR(U102="",V102="",W102="",X102="")),"Isi kendala dan tindak lanjut",IF(AND(Z102&lt;&gt;"Draft",Z102&lt;&gt;"Dikirim"),"Isi status laporan yang valid",IF(AND(AB102&lt;&gt;"",AB102&lt;&gt;"Belum Diperiksa",AB102&lt;&gt;"Disetujui",AB102&lt;&gt;"Perlu Perbaikan"),"Hasil review tidak valid",IF(AND(Z102="Dikirim",OR(Y102="",AA102="")),"Isi bukti dan waktu kirim",IF(AND(AB102="Disetujui",OR(Z102&lt;&gt;"Dikirim",AC102="",AD102="")),"Lengkapi pemeriksaan",IF(AND(AB102="Perlu Perbaikan",OR(AE102="",AC102="",AD102="")),"Isi pemeriksa dan catatan perbaikan","OK")))))))))))))))),"")</f>
        <v/>
      </c>
    </row>
    <row r="103" spans="1:39" ht="24.95" customHeight="1">
      <c r="A103" s="8"/>
      <c r="B103" s="6"/>
      <c r="C103" s="15" t="str">
        <f>IF(COUNTIFS(Master_PIC!$A$8:$A$73,$B103)=1,IF(VLOOKUP($B103,Master_PIC!$A$8:$G$73,2,FALSE)="","",VLOOKUP($B103,Master_PIC!$A$8:$G$73,2,FALSE)),"")</f>
        <v/>
      </c>
      <c r="D103" s="15" t="str">
        <f>IF(COUNTIFS(Master_PIC!$A$8:$A$73,$B103)=1,IF(VLOOKUP($B103,Master_PIC!$A$8:$G$73,4,FALSE)="","",VLOOKUP($B103,Master_PIC!$A$8:$G$73,4,FALSE)),"")</f>
        <v/>
      </c>
      <c r="E103" s="15" t="str">
        <f>IF(COUNTIFS(Master_PIC!$A$8:$A$73,$B103)=1,IF(VLOOKUP($B103,Master_PIC!$A$8:$G$73,5,FALSE)="","",VLOOKUP($B103,Master_PIC!$A$8:$G$73,5,FALSE)),"")</f>
        <v/>
      </c>
      <c r="F103" s="15" t="str">
        <f>IF(COUNTIFS(Master_PIC!$A$8:$A$73,$B103)=1,IF(VLOOKUP($B103,Master_PIC!$A$8:$G$73,6,FALSE)="","",VLOOKUP($B103,Master_PIC!$A$8:$G$73,6,FALSE)),"")</f>
        <v/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8"/>
      <c r="Y103" s="5"/>
      <c r="Z103" s="5"/>
      <c r="AA103" s="9"/>
      <c r="AB103" s="5"/>
      <c r="AC103" s="5"/>
      <c r="AD103" s="9"/>
      <c r="AE103" s="5"/>
      <c r="AF103" s="7" t="str">
        <f t="shared" si="7"/>
        <v/>
      </c>
      <c r="AG103" s="7" t="str">
        <f t="shared" si="8"/>
        <v/>
      </c>
      <c r="AH103" s="7" t="str">
        <f t="shared" si="9"/>
        <v/>
      </c>
      <c r="AI103" s="7" t="str">
        <f t="shared" si="10"/>
        <v/>
      </c>
      <c r="AJ103" s="7" t="str">
        <f t="shared" si="11"/>
        <v/>
      </c>
      <c r="AK103" s="7" t="str">
        <f t="shared" si="12"/>
        <v/>
      </c>
      <c r="AL103" s="10" t="str">
        <f t="shared" si="13"/>
        <v/>
      </c>
      <c r="AM103" s="15" t="str">
        <f>IF(OR($A103&lt;&gt;"",$B103&lt;&gt;""),IF(OR($A103="",$B103=""),"Isi tanggal dan ID PIC",IF(NOT(ISNUMBER($A103)),"Tanggal harus berupa tanggal Excel",IF(COUNTIFS(Master_PIC!$A$8:$A$73,$B103)&lt;&gt;1,"ID PIC tidak unik/terdaftar",IF(VLOOKUP($B103,Master_PIC!$A$8:$G$73,3,FALSE)&lt;&gt;"Sales","Jabatan tidak sesuai sheet",IF(OR($C103="",$D103="",$E103="",$F103=""),"Lengkapi master PIC",IF(COUNTIFS($A$8:$A$507,$A103,$B$8:$B$507,$B103)&gt;1,"Laporan ganda",IF(COUNTIFS(G103:P103,"Tidak Berlaku")&gt;0,"N/A hanya untuk kegiatan bersyarat",IF(SUM(AG103,AH103,AI103,AJ103,AK103)&lt;&gt;14,"Status kegiatan tidak valid",IF(AK103&gt;0,"Lengkapi status kegiatan",IF(AND(AJ103&gt;0,U103=""),"Isi alasan Tidak Berlaku",IF(AND(SUM(AH103,AI103)&gt;0,OR(U103="",V103="",W103="",X103="")),"Isi kendala dan tindak lanjut",IF(AND(Z103&lt;&gt;"Draft",Z103&lt;&gt;"Dikirim"),"Isi status laporan yang valid",IF(AND(AB103&lt;&gt;"",AB103&lt;&gt;"Belum Diperiksa",AB103&lt;&gt;"Disetujui",AB103&lt;&gt;"Perlu Perbaikan"),"Hasil review tidak valid",IF(AND(Z103="Dikirim",OR(Y103="",AA103="")),"Isi bukti dan waktu kirim",IF(AND(AB103="Disetujui",OR(Z103&lt;&gt;"Dikirim",AC103="",AD103="")),"Lengkapi pemeriksaan",IF(AND(AB103="Perlu Perbaikan",OR(AE103="",AC103="",AD103="")),"Isi pemeriksa dan catatan perbaikan","OK")))))))))))))))),"")</f>
        <v/>
      </c>
    </row>
    <row r="104" spans="1:39" ht="24.95" customHeight="1">
      <c r="A104" s="8"/>
      <c r="B104" s="6"/>
      <c r="C104" s="15" t="str">
        <f>IF(COUNTIFS(Master_PIC!$A$8:$A$73,$B104)=1,IF(VLOOKUP($B104,Master_PIC!$A$8:$G$73,2,FALSE)="","",VLOOKUP($B104,Master_PIC!$A$8:$G$73,2,FALSE)),"")</f>
        <v/>
      </c>
      <c r="D104" s="15" t="str">
        <f>IF(COUNTIFS(Master_PIC!$A$8:$A$73,$B104)=1,IF(VLOOKUP($B104,Master_PIC!$A$8:$G$73,4,FALSE)="","",VLOOKUP($B104,Master_PIC!$A$8:$G$73,4,FALSE)),"")</f>
        <v/>
      </c>
      <c r="E104" s="15" t="str">
        <f>IF(COUNTIFS(Master_PIC!$A$8:$A$73,$B104)=1,IF(VLOOKUP($B104,Master_PIC!$A$8:$G$73,5,FALSE)="","",VLOOKUP($B104,Master_PIC!$A$8:$G$73,5,FALSE)),"")</f>
        <v/>
      </c>
      <c r="F104" s="15" t="str">
        <f>IF(COUNTIFS(Master_PIC!$A$8:$A$73,$B104)=1,IF(VLOOKUP($B104,Master_PIC!$A$8:$G$73,6,FALSE)="","",VLOOKUP($B104,Master_PIC!$A$8:$G$73,6,FALSE)),"")</f>
        <v/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8"/>
      <c r="Y104" s="5"/>
      <c r="Z104" s="5"/>
      <c r="AA104" s="9"/>
      <c r="AB104" s="5"/>
      <c r="AC104" s="5"/>
      <c r="AD104" s="9"/>
      <c r="AE104" s="5"/>
      <c r="AF104" s="7" t="str">
        <f t="shared" si="7"/>
        <v/>
      </c>
      <c r="AG104" s="7" t="str">
        <f t="shared" si="8"/>
        <v/>
      </c>
      <c r="AH104" s="7" t="str">
        <f t="shared" si="9"/>
        <v/>
      </c>
      <c r="AI104" s="7" t="str">
        <f t="shared" si="10"/>
        <v/>
      </c>
      <c r="AJ104" s="7" t="str">
        <f t="shared" si="11"/>
        <v/>
      </c>
      <c r="AK104" s="7" t="str">
        <f t="shared" si="12"/>
        <v/>
      </c>
      <c r="AL104" s="10" t="str">
        <f t="shared" si="13"/>
        <v/>
      </c>
      <c r="AM104" s="15" t="str">
        <f>IF(OR($A104&lt;&gt;"",$B104&lt;&gt;""),IF(OR($A104="",$B104=""),"Isi tanggal dan ID PIC",IF(NOT(ISNUMBER($A104)),"Tanggal harus berupa tanggal Excel",IF(COUNTIFS(Master_PIC!$A$8:$A$73,$B104)&lt;&gt;1,"ID PIC tidak unik/terdaftar",IF(VLOOKUP($B104,Master_PIC!$A$8:$G$73,3,FALSE)&lt;&gt;"Sales","Jabatan tidak sesuai sheet",IF(OR($C104="",$D104="",$E104="",$F104=""),"Lengkapi master PIC",IF(COUNTIFS($A$8:$A$507,$A104,$B$8:$B$507,$B104)&gt;1,"Laporan ganda",IF(COUNTIFS(G104:P104,"Tidak Berlaku")&gt;0,"N/A hanya untuk kegiatan bersyarat",IF(SUM(AG104,AH104,AI104,AJ104,AK104)&lt;&gt;14,"Status kegiatan tidak valid",IF(AK104&gt;0,"Lengkapi status kegiatan",IF(AND(AJ104&gt;0,U104=""),"Isi alasan Tidak Berlaku",IF(AND(SUM(AH104,AI104)&gt;0,OR(U104="",V104="",W104="",X104="")),"Isi kendala dan tindak lanjut",IF(AND(Z104&lt;&gt;"Draft",Z104&lt;&gt;"Dikirim"),"Isi status laporan yang valid",IF(AND(AB104&lt;&gt;"",AB104&lt;&gt;"Belum Diperiksa",AB104&lt;&gt;"Disetujui",AB104&lt;&gt;"Perlu Perbaikan"),"Hasil review tidak valid",IF(AND(Z104="Dikirim",OR(Y104="",AA104="")),"Isi bukti dan waktu kirim",IF(AND(AB104="Disetujui",OR(Z104&lt;&gt;"Dikirim",AC104="",AD104="")),"Lengkapi pemeriksaan",IF(AND(AB104="Perlu Perbaikan",OR(AE104="",AC104="",AD104="")),"Isi pemeriksa dan catatan perbaikan","OK")))))))))))))))),"")</f>
        <v/>
      </c>
    </row>
    <row r="105" spans="1:39" ht="24.95" customHeight="1">
      <c r="A105" s="8"/>
      <c r="B105" s="6"/>
      <c r="C105" s="15" t="str">
        <f>IF(COUNTIFS(Master_PIC!$A$8:$A$73,$B105)=1,IF(VLOOKUP($B105,Master_PIC!$A$8:$G$73,2,FALSE)="","",VLOOKUP($B105,Master_PIC!$A$8:$G$73,2,FALSE)),"")</f>
        <v/>
      </c>
      <c r="D105" s="15" t="str">
        <f>IF(COUNTIFS(Master_PIC!$A$8:$A$73,$B105)=1,IF(VLOOKUP($B105,Master_PIC!$A$8:$G$73,4,FALSE)="","",VLOOKUP($B105,Master_PIC!$A$8:$G$73,4,FALSE)),"")</f>
        <v/>
      </c>
      <c r="E105" s="15" t="str">
        <f>IF(COUNTIFS(Master_PIC!$A$8:$A$73,$B105)=1,IF(VLOOKUP($B105,Master_PIC!$A$8:$G$73,5,FALSE)="","",VLOOKUP($B105,Master_PIC!$A$8:$G$73,5,FALSE)),"")</f>
        <v/>
      </c>
      <c r="F105" s="15" t="str">
        <f>IF(COUNTIFS(Master_PIC!$A$8:$A$73,$B105)=1,IF(VLOOKUP($B105,Master_PIC!$A$8:$G$73,6,FALSE)="","",VLOOKUP($B105,Master_PIC!$A$8:$G$73,6,FALSE)),"")</f>
        <v/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8"/>
      <c r="Y105" s="5"/>
      <c r="Z105" s="5"/>
      <c r="AA105" s="9"/>
      <c r="AB105" s="5"/>
      <c r="AC105" s="5"/>
      <c r="AD105" s="9"/>
      <c r="AE105" s="5"/>
      <c r="AF105" s="7" t="str">
        <f t="shared" si="7"/>
        <v/>
      </c>
      <c r="AG105" s="7" t="str">
        <f t="shared" si="8"/>
        <v/>
      </c>
      <c r="AH105" s="7" t="str">
        <f t="shared" si="9"/>
        <v/>
      </c>
      <c r="AI105" s="7" t="str">
        <f t="shared" si="10"/>
        <v/>
      </c>
      <c r="AJ105" s="7" t="str">
        <f t="shared" si="11"/>
        <v/>
      </c>
      <c r="AK105" s="7" t="str">
        <f t="shared" si="12"/>
        <v/>
      </c>
      <c r="AL105" s="10" t="str">
        <f t="shared" si="13"/>
        <v/>
      </c>
      <c r="AM105" s="15" t="str">
        <f>IF(OR($A105&lt;&gt;"",$B105&lt;&gt;""),IF(OR($A105="",$B105=""),"Isi tanggal dan ID PIC",IF(NOT(ISNUMBER($A105)),"Tanggal harus berupa tanggal Excel",IF(COUNTIFS(Master_PIC!$A$8:$A$73,$B105)&lt;&gt;1,"ID PIC tidak unik/terdaftar",IF(VLOOKUP($B105,Master_PIC!$A$8:$G$73,3,FALSE)&lt;&gt;"Sales","Jabatan tidak sesuai sheet",IF(OR($C105="",$D105="",$E105="",$F105=""),"Lengkapi master PIC",IF(COUNTIFS($A$8:$A$507,$A105,$B$8:$B$507,$B105)&gt;1,"Laporan ganda",IF(COUNTIFS(G105:P105,"Tidak Berlaku")&gt;0,"N/A hanya untuk kegiatan bersyarat",IF(SUM(AG105,AH105,AI105,AJ105,AK105)&lt;&gt;14,"Status kegiatan tidak valid",IF(AK105&gt;0,"Lengkapi status kegiatan",IF(AND(AJ105&gt;0,U105=""),"Isi alasan Tidak Berlaku",IF(AND(SUM(AH105,AI105)&gt;0,OR(U105="",V105="",W105="",X105="")),"Isi kendala dan tindak lanjut",IF(AND(Z105&lt;&gt;"Draft",Z105&lt;&gt;"Dikirim"),"Isi status laporan yang valid",IF(AND(AB105&lt;&gt;"",AB105&lt;&gt;"Belum Diperiksa",AB105&lt;&gt;"Disetujui",AB105&lt;&gt;"Perlu Perbaikan"),"Hasil review tidak valid",IF(AND(Z105="Dikirim",OR(Y105="",AA105="")),"Isi bukti dan waktu kirim",IF(AND(AB105="Disetujui",OR(Z105&lt;&gt;"Dikirim",AC105="",AD105="")),"Lengkapi pemeriksaan",IF(AND(AB105="Perlu Perbaikan",OR(AE105="",AC105="",AD105="")),"Isi pemeriksa dan catatan perbaikan","OK")))))))))))))))),"")</f>
        <v/>
      </c>
    </row>
    <row r="106" spans="1:39" ht="24.95" customHeight="1">
      <c r="A106" s="8"/>
      <c r="B106" s="6"/>
      <c r="C106" s="15" t="str">
        <f>IF(COUNTIFS(Master_PIC!$A$8:$A$73,$B106)=1,IF(VLOOKUP($B106,Master_PIC!$A$8:$G$73,2,FALSE)="","",VLOOKUP($B106,Master_PIC!$A$8:$G$73,2,FALSE)),"")</f>
        <v/>
      </c>
      <c r="D106" s="15" t="str">
        <f>IF(COUNTIFS(Master_PIC!$A$8:$A$73,$B106)=1,IF(VLOOKUP($B106,Master_PIC!$A$8:$G$73,4,FALSE)="","",VLOOKUP($B106,Master_PIC!$A$8:$G$73,4,FALSE)),"")</f>
        <v/>
      </c>
      <c r="E106" s="15" t="str">
        <f>IF(COUNTIFS(Master_PIC!$A$8:$A$73,$B106)=1,IF(VLOOKUP($B106,Master_PIC!$A$8:$G$73,5,FALSE)="","",VLOOKUP($B106,Master_PIC!$A$8:$G$73,5,FALSE)),"")</f>
        <v/>
      </c>
      <c r="F106" s="15" t="str">
        <f>IF(COUNTIFS(Master_PIC!$A$8:$A$73,$B106)=1,IF(VLOOKUP($B106,Master_PIC!$A$8:$G$73,6,FALSE)="","",VLOOKUP($B106,Master_PIC!$A$8:$G$73,6,FALSE)),"")</f>
        <v/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8"/>
      <c r="Y106" s="5"/>
      <c r="Z106" s="5"/>
      <c r="AA106" s="9"/>
      <c r="AB106" s="5"/>
      <c r="AC106" s="5"/>
      <c r="AD106" s="9"/>
      <c r="AE106" s="5"/>
      <c r="AF106" s="7" t="str">
        <f t="shared" si="7"/>
        <v/>
      </c>
      <c r="AG106" s="7" t="str">
        <f t="shared" si="8"/>
        <v/>
      </c>
      <c r="AH106" s="7" t="str">
        <f t="shared" si="9"/>
        <v/>
      </c>
      <c r="AI106" s="7" t="str">
        <f t="shared" si="10"/>
        <v/>
      </c>
      <c r="AJ106" s="7" t="str">
        <f t="shared" si="11"/>
        <v/>
      </c>
      <c r="AK106" s="7" t="str">
        <f t="shared" si="12"/>
        <v/>
      </c>
      <c r="AL106" s="10" t="str">
        <f t="shared" si="13"/>
        <v/>
      </c>
      <c r="AM106" s="15" t="str">
        <f>IF(OR($A106&lt;&gt;"",$B106&lt;&gt;""),IF(OR($A106="",$B106=""),"Isi tanggal dan ID PIC",IF(NOT(ISNUMBER($A106)),"Tanggal harus berupa tanggal Excel",IF(COUNTIFS(Master_PIC!$A$8:$A$73,$B106)&lt;&gt;1,"ID PIC tidak unik/terdaftar",IF(VLOOKUP($B106,Master_PIC!$A$8:$G$73,3,FALSE)&lt;&gt;"Sales","Jabatan tidak sesuai sheet",IF(OR($C106="",$D106="",$E106="",$F106=""),"Lengkapi master PIC",IF(COUNTIFS($A$8:$A$507,$A106,$B$8:$B$507,$B106)&gt;1,"Laporan ganda",IF(COUNTIFS(G106:P106,"Tidak Berlaku")&gt;0,"N/A hanya untuk kegiatan bersyarat",IF(SUM(AG106,AH106,AI106,AJ106,AK106)&lt;&gt;14,"Status kegiatan tidak valid",IF(AK106&gt;0,"Lengkapi status kegiatan",IF(AND(AJ106&gt;0,U106=""),"Isi alasan Tidak Berlaku",IF(AND(SUM(AH106,AI106)&gt;0,OR(U106="",V106="",W106="",X106="")),"Isi kendala dan tindak lanjut",IF(AND(Z106&lt;&gt;"Draft",Z106&lt;&gt;"Dikirim"),"Isi status laporan yang valid",IF(AND(AB106&lt;&gt;"",AB106&lt;&gt;"Belum Diperiksa",AB106&lt;&gt;"Disetujui",AB106&lt;&gt;"Perlu Perbaikan"),"Hasil review tidak valid",IF(AND(Z106="Dikirim",OR(Y106="",AA106="")),"Isi bukti dan waktu kirim",IF(AND(AB106="Disetujui",OR(Z106&lt;&gt;"Dikirim",AC106="",AD106="")),"Lengkapi pemeriksaan",IF(AND(AB106="Perlu Perbaikan",OR(AE106="",AC106="",AD106="")),"Isi pemeriksa dan catatan perbaikan","OK")))))))))))))))),"")</f>
        <v/>
      </c>
    </row>
    <row r="107" spans="1:39" ht="24.95" customHeight="1">
      <c r="A107" s="8"/>
      <c r="B107" s="6"/>
      <c r="C107" s="15" t="str">
        <f>IF(COUNTIFS(Master_PIC!$A$8:$A$73,$B107)=1,IF(VLOOKUP($B107,Master_PIC!$A$8:$G$73,2,FALSE)="","",VLOOKUP($B107,Master_PIC!$A$8:$G$73,2,FALSE)),"")</f>
        <v/>
      </c>
      <c r="D107" s="15" t="str">
        <f>IF(COUNTIFS(Master_PIC!$A$8:$A$73,$B107)=1,IF(VLOOKUP($B107,Master_PIC!$A$8:$G$73,4,FALSE)="","",VLOOKUP($B107,Master_PIC!$A$8:$G$73,4,FALSE)),"")</f>
        <v/>
      </c>
      <c r="E107" s="15" t="str">
        <f>IF(COUNTIFS(Master_PIC!$A$8:$A$73,$B107)=1,IF(VLOOKUP($B107,Master_PIC!$A$8:$G$73,5,FALSE)="","",VLOOKUP($B107,Master_PIC!$A$8:$G$73,5,FALSE)),"")</f>
        <v/>
      </c>
      <c r="F107" s="15" t="str">
        <f>IF(COUNTIFS(Master_PIC!$A$8:$A$73,$B107)=1,IF(VLOOKUP($B107,Master_PIC!$A$8:$G$73,6,FALSE)="","",VLOOKUP($B107,Master_PIC!$A$8:$G$73,6,FALSE)),"")</f>
        <v/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8"/>
      <c r="Y107" s="5"/>
      <c r="Z107" s="5"/>
      <c r="AA107" s="9"/>
      <c r="AB107" s="5"/>
      <c r="AC107" s="5"/>
      <c r="AD107" s="9"/>
      <c r="AE107" s="5"/>
      <c r="AF107" s="7" t="str">
        <f t="shared" si="7"/>
        <v/>
      </c>
      <c r="AG107" s="7" t="str">
        <f t="shared" si="8"/>
        <v/>
      </c>
      <c r="AH107" s="7" t="str">
        <f t="shared" si="9"/>
        <v/>
      </c>
      <c r="AI107" s="7" t="str">
        <f t="shared" si="10"/>
        <v/>
      </c>
      <c r="AJ107" s="7" t="str">
        <f t="shared" si="11"/>
        <v/>
      </c>
      <c r="AK107" s="7" t="str">
        <f t="shared" si="12"/>
        <v/>
      </c>
      <c r="AL107" s="10" t="str">
        <f t="shared" si="13"/>
        <v/>
      </c>
      <c r="AM107" s="15" t="str">
        <f>IF(OR($A107&lt;&gt;"",$B107&lt;&gt;""),IF(OR($A107="",$B107=""),"Isi tanggal dan ID PIC",IF(NOT(ISNUMBER($A107)),"Tanggal harus berupa tanggal Excel",IF(COUNTIFS(Master_PIC!$A$8:$A$73,$B107)&lt;&gt;1,"ID PIC tidak unik/terdaftar",IF(VLOOKUP($B107,Master_PIC!$A$8:$G$73,3,FALSE)&lt;&gt;"Sales","Jabatan tidak sesuai sheet",IF(OR($C107="",$D107="",$E107="",$F107=""),"Lengkapi master PIC",IF(COUNTIFS($A$8:$A$507,$A107,$B$8:$B$507,$B107)&gt;1,"Laporan ganda",IF(COUNTIFS(G107:P107,"Tidak Berlaku")&gt;0,"N/A hanya untuk kegiatan bersyarat",IF(SUM(AG107,AH107,AI107,AJ107,AK107)&lt;&gt;14,"Status kegiatan tidak valid",IF(AK107&gt;0,"Lengkapi status kegiatan",IF(AND(AJ107&gt;0,U107=""),"Isi alasan Tidak Berlaku",IF(AND(SUM(AH107,AI107)&gt;0,OR(U107="",V107="",W107="",X107="")),"Isi kendala dan tindak lanjut",IF(AND(Z107&lt;&gt;"Draft",Z107&lt;&gt;"Dikirim"),"Isi status laporan yang valid",IF(AND(AB107&lt;&gt;"",AB107&lt;&gt;"Belum Diperiksa",AB107&lt;&gt;"Disetujui",AB107&lt;&gt;"Perlu Perbaikan"),"Hasil review tidak valid",IF(AND(Z107="Dikirim",OR(Y107="",AA107="")),"Isi bukti dan waktu kirim",IF(AND(AB107="Disetujui",OR(Z107&lt;&gt;"Dikirim",AC107="",AD107="")),"Lengkapi pemeriksaan",IF(AND(AB107="Perlu Perbaikan",OR(AE107="",AC107="",AD107="")),"Isi pemeriksa dan catatan perbaikan","OK")))))))))))))))),"")</f>
        <v/>
      </c>
    </row>
    <row r="108" spans="1:39" ht="24.95" customHeight="1">
      <c r="A108" s="8"/>
      <c r="B108" s="6"/>
      <c r="C108" s="15" t="str">
        <f>IF(COUNTIFS(Master_PIC!$A$8:$A$73,$B108)=1,IF(VLOOKUP($B108,Master_PIC!$A$8:$G$73,2,FALSE)="","",VLOOKUP($B108,Master_PIC!$A$8:$G$73,2,FALSE)),"")</f>
        <v/>
      </c>
      <c r="D108" s="15" t="str">
        <f>IF(COUNTIFS(Master_PIC!$A$8:$A$73,$B108)=1,IF(VLOOKUP($B108,Master_PIC!$A$8:$G$73,4,FALSE)="","",VLOOKUP($B108,Master_PIC!$A$8:$G$73,4,FALSE)),"")</f>
        <v/>
      </c>
      <c r="E108" s="15" t="str">
        <f>IF(COUNTIFS(Master_PIC!$A$8:$A$73,$B108)=1,IF(VLOOKUP($B108,Master_PIC!$A$8:$G$73,5,FALSE)="","",VLOOKUP($B108,Master_PIC!$A$8:$G$73,5,FALSE)),"")</f>
        <v/>
      </c>
      <c r="F108" s="15" t="str">
        <f>IF(COUNTIFS(Master_PIC!$A$8:$A$73,$B108)=1,IF(VLOOKUP($B108,Master_PIC!$A$8:$G$73,6,FALSE)="","",VLOOKUP($B108,Master_PIC!$A$8:$G$73,6,FALSE)),"")</f>
        <v/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8"/>
      <c r="Y108" s="5"/>
      <c r="Z108" s="5"/>
      <c r="AA108" s="9"/>
      <c r="AB108" s="5"/>
      <c r="AC108" s="5"/>
      <c r="AD108" s="9"/>
      <c r="AE108" s="5"/>
      <c r="AF108" s="7" t="str">
        <f t="shared" si="7"/>
        <v/>
      </c>
      <c r="AG108" s="7" t="str">
        <f t="shared" si="8"/>
        <v/>
      </c>
      <c r="AH108" s="7" t="str">
        <f t="shared" si="9"/>
        <v/>
      </c>
      <c r="AI108" s="7" t="str">
        <f t="shared" si="10"/>
        <v/>
      </c>
      <c r="AJ108" s="7" t="str">
        <f t="shared" si="11"/>
        <v/>
      </c>
      <c r="AK108" s="7" t="str">
        <f t="shared" si="12"/>
        <v/>
      </c>
      <c r="AL108" s="10" t="str">
        <f t="shared" si="13"/>
        <v/>
      </c>
      <c r="AM108" s="15" t="str">
        <f>IF(OR($A108&lt;&gt;"",$B108&lt;&gt;""),IF(OR($A108="",$B108=""),"Isi tanggal dan ID PIC",IF(NOT(ISNUMBER($A108)),"Tanggal harus berupa tanggal Excel",IF(COUNTIFS(Master_PIC!$A$8:$A$73,$B108)&lt;&gt;1,"ID PIC tidak unik/terdaftar",IF(VLOOKUP($B108,Master_PIC!$A$8:$G$73,3,FALSE)&lt;&gt;"Sales","Jabatan tidak sesuai sheet",IF(OR($C108="",$D108="",$E108="",$F108=""),"Lengkapi master PIC",IF(COUNTIFS($A$8:$A$507,$A108,$B$8:$B$507,$B108)&gt;1,"Laporan ganda",IF(COUNTIFS(G108:P108,"Tidak Berlaku")&gt;0,"N/A hanya untuk kegiatan bersyarat",IF(SUM(AG108,AH108,AI108,AJ108,AK108)&lt;&gt;14,"Status kegiatan tidak valid",IF(AK108&gt;0,"Lengkapi status kegiatan",IF(AND(AJ108&gt;0,U108=""),"Isi alasan Tidak Berlaku",IF(AND(SUM(AH108,AI108)&gt;0,OR(U108="",V108="",W108="",X108="")),"Isi kendala dan tindak lanjut",IF(AND(Z108&lt;&gt;"Draft",Z108&lt;&gt;"Dikirim"),"Isi status laporan yang valid",IF(AND(AB108&lt;&gt;"",AB108&lt;&gt;"Belum Diperiksa",AB108&lt;&gt;"Disetujui",AB108&lt;&gt;"Perlu Perbaikan"),"Hasil review tidak valid",IF(AND(Z108="Dikirim",OR(Y108="",AA108="")),"Isi bukti dan waktu kirim",IF(AND(AB108="Disetujui",OR(Z108&lt;&gt;"Dikirim",AC108="",AD108="")),"Lengkapi pemeriksaan",IF(AND(AB108="Perlu Perbaikan",OR(AE108="",AC108="",AD108="")),"Isi pemeriksa dan catatan perbaikan","OK")))))))))))))))),"")</f>
        <v/>
      </c>
    </row>
    <row r="109" spans="1:39" ht="24.95" customHeight="1">
      <c r="A109" s="8"/>
      <c r="B109" s="6"/>
      <c r="C109" s="15" t="str">
        <f>IF(COUNTIFS(Master_PIC!$A$8:$A$73,$B109)=1,IF(VLOOKUP($B109,Master_PIC!$A$8:$G$73,2,FALSE)="","",VLOOKUP($B109,Master_PIC!$A$8:$G$73,2,FALSE)),"")</f>
        <v/>
      </c>
      <c r="D109" s="15" t="str">
        <f>IF(COUNTIFS(Master_PIC!$A$8:$A$73,$B109)=1,IF(VLOOKUP($B109,Master_PIC!$A$8:$G$73,4,FALSE)="","",VLOOKUP($B109,Master_PIC!$A$8:$G$73,4,FALSE)),"")</f>
        <v/>
      </c>
      <c r="E109" s="15" t="str">
        <f>IF(COUNTIFS(Master_PIC!$A$8:$A$73,$B109)=1,IF(VLOOKUP($B109,Master_PIC!$A$8:$G$73,5,FALSE)="","",VLOOKUP($B109,Master_PIC!$A$8:$G$73,5,FALSE)),"")</f>
        <v/>
      </c>
      <c r="F109" s="15" t="str">
        <f>IF(COUNTIFS(Master_PIC!$A$8:$A$73,$B109)=1,IF(VLOOKUP($B109,Master_PIC!$A$8:$G$73,6,FALSE)="","",VLOOKUP($B109,Master_PIC!$A$8:$G$73,6,FALSE)),"")</f>
        <v/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8"/>
      <c r="Y109" s="5"/>
      <c r="Z109" s="5"/>
      <c r="AA109" s="9"/>
      <c r="AB109" s="5"/>
      <c r="AC109" s="5"/>
      <c r="AD109" s="9"/>
      <c r="AE109" s="5"/>
      <c r="AF109" s="7" t="str">
        <f t="shared" si="7"/>
        <v/>
      </c>
      <c r="AG109" s="7" t="str">
        <f t="shared" si="8"/>
        <v/>
      </c>
      <c r="AH109" s="7" t="str">
        <f t="shared" si="9"/>
        <v/>
      </c>
      <c r="AI109" s="7" t="str">
        <f t="shared" si="10"/>
        <v/>
      </c>
      <c r="AJ109" s="7" t="str">
        <f t="shared" si="11"/>
        <v/>
      </c>
      <c r="AK109" s="7" t="str">
        <f t="shared" si="12"/>
        <v/>
      </c>
      <c r="AL109" s="10" t="str">
        <f t="shared" si="13"/>
        <v/>
      </c>
      <c r="AM109" s="15" t="str">
        <f>IF(OR($A109&lt;&gt;"",$B109&lt;&gt;""),IF(OR($A109="",$B109=""),"Isi tanggal dan ID PIC",IF(NOT(ISNUMBER($A109)),"Tanggal harus berupa tanggal Excel",IF(COUNTIFS(Master_PIC!$A$8:$A$73,$B109)&lt;&gt;1,"ID PIC tidak unik/terdaftar",IF(VLOOKUP($B109,Master_PIC!$A$8:$G$73,3,FALSE)&lt;&gt;"Sales","Jabatan tidak sesuai sheet",IF(OR($C109="",$D109="",$E109="",$F109=""),"Lengkapi master PIC",IF(COUNTIFS($A$8:$A$507,$A109,$B$8:$B$507,$B109)&gt;1,"Laporan ganda",IF(COUNTIFS(G109:P109,"Tidak Berlaku")&gt;0,"N/A hanya untuk kegiatan bersyarat",IF(SUM(AG109,AH109,AI109,AJ109,AK109)&lt;&gt;14,"Status kegiatan tidak valid",IF(AK109&gt;0,"Lengkapi status kegiatan",IF(AND(AJ109&gt;0,U109=""),"Isi alasan Tidak Berlaku",IF(AND(SUM(AH109,AI109)&gt;0,OR(U109="",V109="",W109="",X109="")),"Isi kendala dan tindak lanjut",IF(AND(Z109&lt;&gt;"Draft",Z109&lt;&gt;"Dikirim"),"Isi status laporan yang valid",IF(AND(AB109&lt;&gt;"",AB109&lt;&gt;"Belum Diperiksa",AB109&lt;&gt;"Disetujui",AB109&lt;&gt;"Perlu Perbaikan"),"Hasil review tidak valid",IF(AND(Z109="Dikirim",OR(Y109="",AA109="")),"Isi bukti dan waktu kirim",IF(AND(AB109="Disetujui",OR(Z109&lt;&gt;"Dikirim",AC109="",AD109="")),"Lengkapi pemeriksaan",IF(AND(AB109="Perlu Perbaikan",OR(AE109="",AC109="",AD109="")),"Isi pemeriksa dan catatan perbaikan","OK")))))))))))))))),"")</f>
        <v/>
      </c>
    </row>
    <row r="110" spans="1:39" ht="24.95" customHeight="1">
      <c r="A110" s="8"/>
      <c r="B110" s="6"/>
      <c r="C110" s="15" t="str">
        <f>IF(COUNTIFS(Master_PIC!$A$8:$A$73,$B110)=1,IF(VLOOKUP($B110,Master_PIC!$A$8:$G$73,2,FALSE)="","",VLOOKUP($B110,Master_PIC!$A$8:$G$73,2,FALSE)),"")</f>
        <v/>
      </c>
      <c r="D110" s="15" t="str">
        <f>IF(COUNTIFS(Master_PIC!$A$8:$A$73,$B110)=1,IF(VLOOKUP($B110,Master_PIC!$A$8:$G$73,4,FALSE)="","",VLOOKUP($B110,Master_PIC!$A$8:$G$73,4,FALSE)),"")</f>
        <v/>
      </c>
      <c r="E110" s="15" t="str">
        <f>IF(COUNTIFS(Master_PIC!$A$8:$A$73,$B110)=1,IF(VLOOKUP($B110,Master_PIC!$A$8:$G$73,5,FALSE)="","",VLOOKUP($B110,Master_PIC!$A$8:$G$73,5,FALSE)),"")</f>
        <v/>
      </c>
      <c r="F110" s="15" t="str">
        <f>IF(COUNTIFS(Master_PIC!$A$8:$A$73,$B110)=1,IF(VLOOKUP($B110,Master_PIC!$A$8:$G$73,6,FALSE)="","",VLOOKUP($B110,Master_PIC!$A$8:$G$73,6,FALSE)),"")</f>
        <v/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8"/>
      <c r="Y110" s="5"/>
      <c r="Z110" s="5"/>
      <c r="AA110" s="9"/>
      <c r="AB110" s="5"/>
      <c r="AC110" s="5"/>
      <c r="AD110" s="9"/>
      <c r="AE110" s="5"/>
      <c r="AF110" s="7" t="str">
        <f t="shared" si="7"/>
        <v/>
      </c>
      <c r="AG110" s="7" t="str">
        <f t="shared" si="8"/>
        <v/>
      </c>
      <c r="AH110" s="7" t="str">
        <f t="shared" si="9"/>
        <v/>
      </c>
      <c r="AI110" s="7" t="str">
        <f t="shared" si="10"/>
        <v/>
      </c>
      <c r="AJ110" s="7" t="str">
        <f t="shared" si="11"/>
        <v/>
      </c>
      <c r="AK110" s="7" t="str">
        <f t="shared" si="12"/>
        <v/>
      </c>
      <c r="AL110" s="10" t="str">
        <f t="shared" si="13"/>
        <v/>
      </c>
      <c r="AM110" s="15" t="str">
        <f>IF(OR($A110&lt;&gt;"",$B110&lt;&gt;""),IF(OR($A110="",$B110=""),"Isi tanggal dan ID PIC",IF(NOT(ISNUMBER($A110)),"Tanggal harus berupa tanggal Excel",IF(COUNTIFS(Master_PIC!$A$8:$A$73,$B110)&lt;&gt;1,"ID PIC tidak unik/terdaftar",IF(VLOOKUP($B110,Master_PIC!$A$8:$G$73,3,FALSE)&lt;&gt;"Sales","Jabatan tidak sesuai sheet",IF(OR($C110="",$D110="",$E110="",$F110=""),"Lengkapi master PIC",IF(COUNTIFS($A$8:$A$507,$A110,$B$8:$B$507,$B110)&gt;1,"Laporan ganda",IF(COUNTIFS(G110:P110,"Tidak Berlaku")&gt;0,"N/A hanya untuk kegiatan bersyarat",IF(SUM(AG110,AH110,AI110,AJ110,AK110)&lt;&gt;14,"Status kegiatan tidak valid",IF(AK110&gt;0,"Lengkapi status kegiatan",IF(AND(AJ110&gt;0,U110=""),"Isi alasan Tidak Berlaku",IF(AND(SUM(AH110,AI110)&gt;0,OR(U110="",V110="",W110="",X110="")),"Isi kendala dan tindak lanjut",IF(AND(Z110&lt;&gt;"Draft",Z110&lt;&gt;"Dikirim"),"Isi status laporan yang valid",IF(AND(AB110&lt;&gt;"",AB110&lt;&gt;"Belum Diperiksa",AB110&lt;&gt;"Disetujui",AB110&lt;&gt;"Perlu Perbaikan"),"Hasil review tidak valid",IF(AND(Z110="Dikirim",OR(Y110="",AA110="")),"Isi bukti dan waktu kirim",IF(AND(AB110="Disetujui",OR(Z110&lt;&gt;"Dikirim",AC110="",AD110="")),"Lengkapi pemeriksaan",IF(AND(AB110="Perlu Perbaikan",OR(AE110="",AC110="",AD110="")),"Isi pemeriksa dan catatan perbaikan","OK")))))))))))))))),"")</f>
        <v/>
      </c>
    </row>
    <row r="111" spans="1:39" ht="24.95" customHeight="1">
      <c r="A111" s="8"/>
      <c r="B111" s="6"/>
      <c r="C111" s="15" t="str">
        <f>IF(COUNTIFS(Master_PIC!$A$8:$A$73,$B111)=1,IF(VLOOKUP($B111,Master_PIC!$A$8:$G$73,2,FALSE)="","",VLOOKUP($B111,Master_PIC!$A$8:$G$73,2,FALSE)),"")</f>
        <v/>
      </c>
      <c r="D111" s="15" t="str">
        <f>IF(COUNTIFS(Master_PIC!$A$8:$A$73,$B111)=1,IF(VLOOKUP($B111,Master_PIC!$A$8:$G$73,4,FALSE)="","",VLOOKUP($B111,Master_PIC!$A$8:$G$73,4,FALSE)),"")</f>
        <v/>
      </c>
      <c r="E111" s="15" t="str">
        <f>IF(COUNTIFS(Master_PIC!$A$8:$A$73,$B111)=1,IF(VLOOKUP($B111,Master_PIC!$A$8:$G$73,5,FALSE)="","",VLOOKUP($B111,Master_PIC!$A$8:$G$73,5,FALSE)),"")</f>
        <v/>
      </c>
      <c r="F111" s="15" t="str">
        <f>IF(COUNTIFS(Master_PIC!$A$8:$A$73,$B111)=1,IF(VLOOKUP($B111,Master_PIC!$A$8:$G$73,6,FALSE)="","",VLOOKUP($B111,Master_PIC!$A$8:$G$73,6,FALSE)),"")</f>
        <v/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8"/>
      <c r="Y111" s="5"/>
      <c r="Z111" s="5"/>
      <c r="AA111" s="9"/>
      <c r="AB111" s="5"/>
      <c r="AC111" s="5"/>
      <c r="AD111" s="9"/>
      <c r="AE111" s="5"/>
      <c r="AF111" s="7" t="str">
        <f t="shared" si="7"/>
        <v/>
      </c>
      <c r="AG111" s="7" t="str">
        <f t="shared" si="8"/>
        <v/>
      </c>
      <c r="AH111" s="7" t="str">
        <f t="shared" si="9"/>
        <v/>
      </c>
      <c r="AI111" s="7" t="str">
        <f t="shared" si="10"/>
        <v/>
      </c>
      <c r="AJ111" s="7" t="str">
        <f t="shared" si="11"/>
        <v/>
      </c>
      <c r="AK111" s="7" t="str">
        <f t="shared" si="12"/>
        <v/>
      </c>
      <c r="AL111" s="10" t="str">
        <f t="shared" si="13"/>
        <v/>
      </c>
      <c r="AM111" s="15" t="str">
        <f>IF(OR($A111&lt;&gt;"",$B111&lt;&gt;""),IF(OR($A111="",$B111=""),"Isi tanggal dan ID PIC",IF(NOT(ISNUMBER($A111)),"Tanggal harus berupa tanggal Excel",IF(COUNTIFS(Master_PIC!$A$8:$A$73,$B111)&lt;&gt;1,"ID PIC tidak unik/terdaftar",IF(VLOOKUP($B111,Master_PIC!$A$8:$G$73,3,FALSE)&lt;&gt;"Sales","Jabatan tidak sesuai sheet",IF(OR($C111="",$D111="",$E111="",$F111=""),"Lengkapi master PIC",IF(COUNTIFS($A$8:$A$507,$A111,$B$8:$B$507,$B111)&gt;1,"Laporan ganda",IF(COUNTIFS(G111:P111,"Tidak Berlaku")&gt;0,"N/A hanya untuk kegiatan bersyarat",IF(SUM(AG111,AH111,AI111,AJ111,AK111)&lt;&gt;14,"Status kegiatan tidak valid",IF(AK111&gt;0,"Lengkapi status kegiatan",IF(AND(AJ111&gt;0,U111=""),"Isi alasan Tidak Berlaku",IF(AND(SUM(AH111,AI111)&gt;0,OR(U111="",V111="",W111="",X111="")),"Isi kendala dan tindak lanjut",IF(AND(Z111&lt;&gt;"Draft",Z111&lt;&gt;"Dikirim"),"Isi status laporan yang valid",IF(AND(AB111&lt;&gt;"",AB111&lt;&gt;"Belum Diperiksa",AB111&lt;&gt;"Disetujui",AB111&lt;&gt;"Perlu Perbaikan"),"Hasil review tidak valid",IF(AND(Z111="Dikirim",OR(Y111="",AA111="")),"Isi bukti dan waktu kirim",IF(AND(AB111="Disetujui",OR(Z111&lt;&gt;"Dikirim",AC111="",AD111="")),"Lengkapi pemeriksaan",IF(AND(AB111="Perlu Perbaikan",OR(AE111="",AC111="",AD111="")),"Isi pemeriksa dan catatan perbaikan","OK")))))))))))))))),"")</f>
        <v/>
      </c>
    </row>
    <row r="112" spans="1:39" ht="24.95" customHeight="1">
      <c r="A112" s="8"/>
      <c r="B112" s="6"/>
      <c r="C112" s="15" t="str">
        <f>IF(COUNTIFS(Master_PIC!$A$8:$A$73,$B112)=1,IF(VLOOKUP($B112,Master_PIC!$A$8:$G$73,2,FALSE)="","",VLOOKUP($B112,Master_PIC!$A$8:$G$73,2,FALSE)),"")</f>
        <v/>
      </c>
      <c r="D112" s="15" t="str">
        <f>IF(COUNTIFS(Master_PIC!$A$8:$A$73,$B112)=1,IF(VLOOKUP($B112,Master_PIC!$A$8:$G$73,4,FALSE)="","",VLOOKUP($B112,Master_PIC!$A$8:$G$73,4,FALSE)),"")</f>
        <v/>
      </c>
      <c r="E112" s="15" t="str">
        <f>IF(COUNTIFS(Master_PIC!$A$8:$A$73,$B112)=1,IF(VLOOKUP($B112,Master_PIC!$A$8:$G$73,5,FALSE)="","",VLOOKUP($B112,Master_PIC!$A$8:$G$73,5,FALSE)),"")</f>
        <v/>
      </c>
      <c r="F112" s="15" t="str">
        <f>IF(COUNTIFS(Master_PIC!$A$8:$A$73,$B112)=1,IF(VLOOKUP($B112,Master_PIC!$A$8:$G$73,6,FALSE)="","",VLOOKUP($B112,Master_PIC!$A$8:$G$73,6,FALSE)),"")</f>
        <v/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8"/>
      <c r="Y112" s="5"/>
      <c r="Z112" s="5"/>
      <c r="AA112" s="9"/>
      <c r="AB112" s="5"/>
      <c r="AC112" s="5"/>
      <c r="AD112" s="9"/>
      <c r="AE112" s="5"/>
      <c r="AF112" s="7" t="str">
        <f t="shared" si="7"/>
        <v/>
      </c>
      <c r="AG112" s="7" t="str">
        <f t="shared" si="8"/>
        <v/>
      </c>
      <c r="AH112" s="7" t="str">
        <f t="shared" si="9"/>
        <v/>
      </c>
      <c r="AI112" s="7" t="str">
        <f t="shared" si="10"/>
        <v/>
      </c>
      <c r="AJ112" s="7" t="str">
        <f t="shared" si="11"/>
        <v/>
      </c>
      <c r="AK112" s="7" t="str">
        <f t="shared" si="12"/>
        <v/>
      </c>
      <c r="AL112" s="10" t="str">
        <f t="shared" si="13"/>
        <v/>
      </c>
      <c r="AM112" s="15" t="str">
        <f>IF(OR($A112&lt;&gt;"",$B112&lt;&gt;""),IF(OR($A112="",$B112=""),"Isi tanggal dan ID PIC",IF(NOT(ISNUMBER($A112)),"Tanggal harus berupa tanggal Excel",IF(COUNTIFS(Master_PIC!$A$8:$A$73,$B112)&lt;&gt;1,"ID PIC tidak unik/terdaftar",IF(VLOOKUP($B112,Master_PIC!$A$8:$G$73,3,FALSE)&lt;&gt;"Sales","Jabatan tidak sesuai sheet",IF(OR($C112="",$D112="",$E112="",$F112=""),"Lengkapi master PIC",IF(COUNTIFS($A$8:$A$507,$A112,$B$8:$B$507,$B112)&gt;1,"Laporan ganda",IF(COUNTIFS(G112:P112,"Tidak Berlaku")&gt;0,"N/A hanya untuk kegiatan bersyarat",IF(SUM(AG112,AH112,AI112,AJ112,AK112)&lt;&gt;14,"Status kegiatan tidak valid",IF(AK112&gt;0,"Lengkapi status kegiatan",IF(AND(AJ112&gt;0,U112=""),"Isi alasan Tidak Berlaku",IF(AND(SUM(AH112,AI112)&gt;0,OR(U112="",V112="",W112="",X112="")),"Isi kendala dan tindak lanjut",IF(AND(Z112&lt;&gt;"Draft",Z112&lt;&gt;"Dikirim"),"Isi status laporan yang valid",IF(AND(AB112&lt;&gt;"",AB112&lt;&gt;"Belum Diperiksa",AB112&lt;&gt;"Disetujui",AB112&lt;&gt;"Perlu Perbaikan"),"Hasil review tidak valid",IF(AND(Z112="Dikirim",OR(Y112="",AA112="")),"Isi bukti dan waktu kirim",IF(AND(AB112="Disetujui",OR(Z112&lt;&gt;"Dikirim",AC112="",AD112="")),"Lengkapi pemeriksaan",IF(AND(AB112="Perlu Perbaikan",OR(AE112="",AC112="",AD112="")),"Isi pemeriksa dan catatan perbaikan","OK")))))))))))))))),"")</f>
        <v/>
      </c>
    </row>
    <row r="113" spans="1:39" ht="24.95" customHeight="1">
      <c r="A113" s="8"/>
      <c r="B113" s="6"/>
      <c r="C113" s="15" t="str">
        <f>IF(COUNTIFS(Master_PIC!$A$8:$A$73,$B113)=1,IF(VLOOKUP($B113,Master_PIC!$A$8:$G$73,2,FALSE)="","",VLOOKUP($B113,Master_PIC!$A$8:$G$73,2,FALSE)),"")</f>
        <v/>
      </c>
      <c r="D113" s="15" t="str">
        <f>IF(COUNTIFS(Master_PIC!$A$8:$A$73,$B113)=1,IF(VLOOKUP($B113,Master_PIC!$A$8:$G$73,4,FALSE)="","",VLOOKUP($B113,Master_PIC!$A$8:$G$73,4,FALSE)),"")</f>
        <v/>
      </c>
      <c r="E113" s="15" t="str">
        <f>IF(COUNTIFS(Master_PIC!$A$8:$A$73,$B113)=1,IF(VLOOKUP($B113,Master_PIC!$A$8:$G$73,5,FALSE)="","",VLOOKUP($B113,Master_PIC!$A$8:$G$73,5,FALSE)),"")</f>
        <v/>
      </c>
      <c r="F113" s="15" t="str">
        <f>IF(COUNTIFS(Master_PIC!$A$8:$A$73,$B113)=1,IF(VLOOKUP($B113,Master_PIC!$A$8:$G$73,6,FALSE)="","",VLOOKUP($B113,Master_PIC!$A$8:$G$73,6,FALSE)),"")</f>
        <v/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8"/>
      <c r="Y113" s="5"/>
      <c r="Z113" s="5"/>
      <c r="AA113" s="9"/>
      <c r="AB113" s="5"/>
      <c r="AC113" s="5"/>
      <c r="AD113" s="9"/>
      <c r="AE113" s="5"/>
      <c r="AF113" s="7" t="str">
        <f t="shared" si="7"/>
        <v/>
      </c>
      <c r="AG113" s="7" t="str">
        <f t="shared" si="8"/>
        <v/>
      </c>
      <c r="AH113" s="7" t="str">
        <f t="shared" si="9"/>
        <v/>
      </c>
      <c r="AI113" s="7" t="str">
        <f t="shared" si="10"/>
        <v/>
      </c>
      <c r="AJ113" s="7" t="str">
        <f t="shared" si="11"/>
        <v/>
      </c>
      <c r="AK113" s="7" t="str">
        <f t="shared" si="12"/>
        <v/>
      </c>
      <c r="AL113" s="10" t="str">
        <f t="shared" si="13"/>
        <v/>
      </c>
      <c r="AM113" s="15" t="str">
        <f>IF(OR($A113&lt;&gt;"",$B113&lt;&gt;""),IF(OR($A113="",$B113=""),"Isi tanggal dan ID PIC",IF(NOT(ISNUMBER($A113)),"Tanggal harus berupa tanggal Excel",IF(COUNTIFS(Master_PIC!$A$8:$A$73,$B113)&lt;&gt;1,"ID PIC tidak unik/terdaftar",IF(VLOOKUP($B113,Master_PIC!$A$8:$G$73,3,FALSE)&lt;&gt;"Sales","Jabatan tidak sesuai sheet",IF(OR($C113="",$D113="",$E113="",$F113=""),"Lengkapi master PIC",IF(COUNTIFS($A$8:$A$507,$A113,$B$8:$B$507,$B113)&gt;1,"Laporan ganda",IF(COUNTIFS(G113:P113,"Tidak Berlaku")&gt;0,"N/A hanya untuk kegiatan bersyarat",IF(SUM(AG113,AH113,AI113,AJ113,AK113)&lt;&gt;14,"Status kegiatan tidak valid",IF(AK113&gt;0,"Lengkapi status kegiatan",IF(AND(AJ113&gt;0,U113=""),"Isi alasan Tidak Berlaku",IF(AND(SUM(AH113,AI113)&gt;0,OR(U113="",V113="",W113="",X113="")),"Isi kendala dan tindak lanjut",IF(AND(Z113&lt;&gt;"Draft",Z113&lt;&gt;"Dikirim"),"Isi status laporan yang valid",IF(AND(AB113&lt;&gt;"",AB113&lt;&gt;"Belum Diperiksa",AB113&lt;&gt;"Disetujui",AB113&lt;&gt;"Perlu Perbaikan"),"Hasil review tidak valid",IF(AND(Z113="Dikirim",OR(Y113="",AA113="")),"Isi bukti dan waktu kirim",IF(AND(AB113="Disetujui",OR(Z113&lt;&gt;"Dikirim",AC113="",AD113="")),"Lengkapi pemeriksaan",IF(AND(AB113="Perlu Perbaikan",OR(AE113="",AC113="",AD113="")),"Isi pemeriksa dan catatan perbaikan","OK")))))))))))))))),"")</f>
        <v/>
      </c>
    </row>
    <row r="114" spans="1:39" ht="24.95" customHeight="1">
      <c r="A114" s="8"/>
      <c r="B114" s="6"/>
      <c r="C114" s="15" t="str">
        <f>IF(COUNTIFS(Master_PIC!$A$8:$A$73,$B114)=1,IF(VLOOKUP($B114,Master_PIC!$A$8:$G$73,2,FALSE)="","",VLOOKUP($B114,Master_PIC!$A$8:$G$73,2,FALSE)),"")</f>
        <v/>
      </c>
      <c r="D114" s="15" t="str">
        <f>IF(COUNTIFS(Master_PIC!$A$8:$A$73,$B114)=1,IF(VLOOKUP($B114,Master_PIC!$A$8:$G$73,4,FALSE)="","",VLOOKUP($B114,Master_PIC!$A$8:$G$73,4,FALSE)),"")</f>
        <v/>
      </c>
      <c r="E114" s="15" t="str">
        <f>IF(COUNTIFS(Master_PIC!$A$8:$A$73,$B114)=1,IF(VLOOKUP($B114,Master_PIC!$A$8:$G$73,5,FALSE)="","",VLOOKUP($B114,Master_PIC!$A$8:$G$73,5,FALSE)),"")</f>
        <v/>
      </c>
      <c r="F114" s="15" t="str">
        <f>IF(COUNTIFS(Master_PIC!$A$8:$A$73,$B114)=1,IF(VLOOKUP($B114,Master_PIC!$A$8:$G$73,6,FALSE)="","",VLOOKUP($B114,Master_PIC!$A$8:$G$73,6,FALSE)),"")</f>
        <v/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8"/>
      <c r="Y114" s="5"/>
      <c r="Z114" s="5"/>
      <c r="AA114" s="9"/>
      <c r="AB114" s="5"/>
      <c r="AC114" s="5"/>
      <c r="AD114" s="9"/>
      <c r="AE114" s="5"/>
      <c r="AF114" s="7" t="str">
        <f t="shared" si="7"/>
        <v/>
      </c>
      <c r="AG114" s="7" t="str">
        <f t="shared" si="8"/>
        <v/>
      </c>
      <c r="AH114" s="7" t="str">
        <f t="shared" si="9"/>
        <v/>
      </c>
      <c r="AI114" s="7" t="str">
        <f t="shared" si="10"/>
        <v/>
      </c>
      <c r="AJ114" s="7" t="str">
        <f t="shared" si="11"/>
        <v/>
      </c>
      <c r="AK114" s="7" t="str">
        <f t="shared" si="12"/>
        <v/>
      </c>
      <c r="AL114" s="10" t="str">
        <f t="shared" si="13"/>
        <v/>
      </c>
      <c r="AM114" s="15" t="str">
        <f>IF(OR($A114&lt;&gt;"",$B114&lt;&gt;""),IF(OR($A114="",$B114=""),"Isi tanggal dan ID PIC",IF(NOT(ISNUMBER($A114)),"Tanggal harus berupa tanggal Excel",IF(COUNTIFS(Master_PIC!$A$8:$A$73,$B114)&lt;&gt;1,"ID PIC tidak unik/terdaftar",IF(VLOOKUP($B114,Master_PIC!$A$8:$G$73,3,FALSE)&lt;&gt;"Sales","Jabatan tidak sesuai sheet",IF(OR($C114="",$D114="",$E114="",$F114=""),"Lengkapi master PIC",IF(COUNTIFS($A$8:$A$507,$A114,$B$8:$B$507,$B114)&gt;1,"Laporan ganda",IF(COUNTIFS(G114:P114,"Tidak Berlaku")&gt;0,"N/A hanya untuk kegiatan bersyarat",IF(SUM(AG114,AH114,AI114,AJ114,AK114)&lt;&gt;14,"Status kegiatan tidak valid",IF(AK114&gt;0,"Lengkapi status kegiatan",IF(AND(AJ114&gt;0,U114=""),"Isi alasan Tidak Berlaku",IF(AND(SUM(AH114,AI114)&gt;0,OR(U114="",V114="",W114="",X114="")),"Isi kendala dan tindak lanjut",IF(AND(Z114&lt;&gt;"Draft",Z114&lt;&gt;"Dikirim"),"Isi status laporan yang valid",IF(AND(AB114&lt;&gt;"",AB114&lt;&gt;"Belum Diperiksa",AB114&lt;&gt;"Disetujui",AB114&lt;&gt;"Perlu Perbaikan"),"Hasil review tidak valid",IF(AND(Z114="Dikirim",OR(Y114="",AA114="")),"Isi bukti dan waktu kirim",IF(AND(AB114="Disetujui",OR(Z114&lt;&gt;"Dikirim",AC114="",AD114="")),"Lengkapi pemeriksaan",IF(AND(AB114="Perlu Perbaikan",OR(AE114="",AC114="",AD114="")),"Isi pemeriksa dan catatan perbaikan","OK")))))))))))))))),"")</f>
        <v/>
      </c>
    </row>
    <row r="115" spans="1:39" ht="24.95" customHeight="1">
      <c r="A115" s="8"/>
      <c r="B115" s="6"/>
      <c r="C115" s="15" t="str">
        <f>IF(COUNTIFS(Master_PIC!$A$8:$A$73,$B115)=1,IF(VLOOKUP($B115,Master_PIC!$A$8:$G$73,2,FALSE)="","",VLOOKUP($B115,Master_PIC!$A$8:$G$73,2,FALSE)),"")</f>
        <v/>
      </c>
      <c r="D115" s="15" t="str">
        <f>IF(COUNTIFS(Master_PIC!$A$8:$A$73,$B115)=1,IF(VLOOKUP($B115,Master_PIC!$A$8:$G$73,4,FALSE)="","",VLOOKUP($B115,Master_PIC!$A$8:$G$73,4,FALSE)),"")</f>
        <v/>
      </c>
      <c r="E115" s="15" t="str">
        <f>IF(COUNTIFS(Master_PIC!$A$8:$A$73,$B115)=1,IF(VLOOKUP($B115,Master_PIC!$A$8:$G$73,5,FALSE)="","",VLOOKUP($B115,Master_PIC!$A$8:$G$73,5,FALSE)),"")</f>
        <v/>
      </c>
      <c r="F115" s="15" t="str">
        <f>IF(COUNTIFS(Master_PIC!$A$8:$A$73,$B115)=1,IF(VLOOKUP($B115,Master_PIC!$A$8:$G$73,6,FALSE)="","",VLOOKUP($B115,Master_PIC!$A$8:$G$73,6,FALSE)),"")</f>
        <v/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8"/>
      <c r="Y115" s="5"/>
      <c r="Z115" s="5"/>
      <c r="AA115" s="9"/>
      <c r="AB115" s="5"/>
      <c r="AC115" s="5"/>
      <c r="AD115" s="9"/>
      <c r="AE115" s="5"/>
      <c r="AF115" s="7" t="str">
        <f t="shared" si="7"/>
        <v/>
      </c>
      <c r="AG115" s="7" t="str">
        <f t="shared" si="8"/>
        <v/>
      </c>
      <c r="AH115" s="7" t="str">
        <f t="shared" si="9"/>
        <v/>
      </c>
      <c r="AI115" s="7" t="str">
        <f t="shared" si="10"/>
        <v/>
      </c>
      <c r="AJ115" s="7" t="str">
        <f t="shared" si="11"/>
        <v/>
      </c>
      <c r="AK115" s="7" t="str">
        <f t="shared" si="12"/>
        <v/>
      </c>
      <c r="AL115" s="10" t="str">
        <f t="shared" si="13"/>
        <v/>
      </c>
      <c r="AM115" s="15" t="str">
        <f>IF(OR($A115&lt;&gt;"",$B115&lt;&gt;""),IF(OR($A115="",$B115=""),"Isi tanggal dan ID PIC",IF(NOT(ISNUMBER($A115)),"Tanggal harus berupa tanggal Excel",IF(COUNTIFS(Master_PIC!$A$8:$A$73,$B115)&lt;&gt;1,"ID PIC tidak unik/terdaftar",IF(VLOOKUP($B115,Master_PIC!$A$8:$G$73,3,FALSE)&lt;&gt;"Sales","Jabatan tidak sesuai sheet",IF(OR($C115="",$D115="",$E115="",$F115=""),"Lengkapi master PIC",IF(COUNTIFS($A$8:$A$507,$A115,$B$8:$B$507,$B115)&gt;1,"Laporan ganda",IF(COUNTIFS(G115:P115,"Tidak Berlaku")&gt;0,"N/A hanya untuk kegiatan bersyarat",IF(SUM(AG115,AH115,AI115,AJ115,AK115)&lt;&gt;14,"Status kegiatan tidak valid",IF(AK115&gt;0,"Lengkapi status kegiatan",IF(AND(AJ115&gt;0,U115=""),"Isi alasan Tidak Berlaku",IF(AND(SUM(AH115,AI115)&gt;0,OR(U115="",V115="",W115="",X115="")),"Isi kendala dan tindak lanjut",IF(AND(Z115&lt;&gt;"Draft",Z115&lt;&gt;"Dikirim"),"Isi status laporan yang valid",IF(AND(AB115&lt;&gt;"",AB115&lt;&gt;"Belum Diperiksa",AB115&lt;&gt;"Disetujui",AB115&lt;&gt;"Perlu Perbaikan"),"Hasil review tidak valid",IF(AND(Z115="Dikirim",OR(Y115="",AA115="")),"Isi bukti dan waktu kirim",IF(AND(AB115="Disetujui",OR(Z115&lt;&gt;"Dikirim",AC115="",AD115="")),"Lengkapi pemeriksaan",IF(AND(AB115="Perlu Perbaikan",OR(AE115="",AC115="",AD115="")),"Isi pemeriksa dan catatan perbaikan","OK")))))))))))))))),"")</f>
        <v/>
      </c>
    </row>
    <row r="116" spans="1:39" ht="24.95" customHeight="1">
      <c r="A116" s="8"/>
      <c r="B116" s="6"/>
      <c r="C116" s="15" t="str">
        <f>IF(COUNTIFS(Master_PIC!$A$8:$A$73,$B116)=1,IF(VLOOKUP($B116,Master_PIC!$A$8:$G$73,2,FALSE)="","",VLOOKUP($B116,Master_PIC!$A$8:$G$73,2,FALSE)),"")</f>
        <v/>
      </c>
      <c r="D116" s="15" t="str">
        <f>IF(COUNTIFS(Master_PIC!$A$8:$A$73,$B116)=1,IF(VLOOKUP($B116,Master_PIC!$A$8:$G$73,4,FALSE)="","",VLOOKUP($B116,Master_PIC!$A$8:$G$73,4,FALSE)),"")</f>
        <v/>
      </c>
      <c r="E116" s="15" t="str">
        <f>IF(COUNTIFS(Master_PIC!$A$8:$A$73,$B116)=1,IF(VLOOKUP($B116,Master_PIC!$A$8:$G$73,5,FALSE)="","",VLOOKUP($B116,Master_PIC!$A$8:$G$73,5,FALSE)),"")</f>
        <v/>
      </c>
      <c r="F116" s="15" t="str">
        <f>IF(COUNTIFS(Master_PIC!$A$8:$A$73,$B116)=1,IF(VLOOKUP($B116,Master_PIC!$A$8:$G$73,6,FALSE)="","",VLOOKUP($B116,Master_PIC!$A$8:$G$73,6,FALSE)),"")</f>
        <v/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8"/>
      <c r="Y116" s="5"/>
      <c r="Z116" s="5"/>
      <c r="AA116" s="9"/>
      <c r="AB116" s="5"/>
      <c r="AC116" s="5"/>
      <c r="AD116" s="9"/>
      <c r="AE116" s="5"/>
      <c r="AF116" s="7" t="str">
        <f t="shared" si="7"/>
        <v/>
      </c>
      <c r="AG116" s="7" t="str">
        <f t="shared" si="8"/>
        <v/>
      </c>
      <c r="AH116" s="7" t="str">
        <f t="shared" si="9"/>
        <v/>
      </c>
      <c r="AI116" s="7" t="str">
        <f t="shared" si="10"/>
        <v/>
      </c>
      <c r="AJ116" s="7" t="str">
        <f t="shared" si="11"/>
        <v/>
      </c>
      <c r="AK116" s="7" t="str">
        <f t="shared" si="12"/>
        <v/>
      </c>
      <c r="AL116" s="10" t="str">
        <f t="shared" si="13"/>
        <v/>
      </c>
      <c r="AM116" s="15" t="str">
        <f>IF(OR($A116&lt;&gt;"",$B116&lt;&gt;""),IF(OR($A116="",$B116=""),"Isi tanggal dan ID PIC",IF(NOT(ISNUMBER($A116)),"Tanggal harus berupa tanggal Excel",IF(COUNTIFS(Master_PIC!$A$8:$A$73,$B116)&lt;&gt;1,"ID PIC tidak unik/terdaftar",IF(VLOOKUP($B116,Master_PIC!$A$8:$G$73,3,FALSE)&lt;&gt;"Sales","Jabatan tidak sesuai sheet",IF(OR($C116="",$D116="",$E116="",$F116=""),"Lengkapi master PIC",IF(COUNTIFS($A$8:$A$507,$A116,$B$8:$B$507,$B116)&gt;1,"Laporan ganda",IF(COUNTIFS(G116:P116,"Tidak Berlaku")&gt;0,"N/A hanya untuk kegiatan bersyarat",IF(SUM(AG116,AH116,AI116,AJ116,AK116)&lt;&gt;14,"Status kegiatan tidak valid",IF(AK116&gt;0,"Lengkapi status kegiatan",IF(AND(AJ116&gt;0,U116=""),"Isi alasan Tidak Berlaku",IF(AND(SUM(AH116,AI116)&gt;0,OR(U116="",V116="",W116="",X116="")),"Isi kendala dan tindak lanjut",IF(AND(Z116&lt;&gt;"Draft",Z116&lt;&gt;"Dikirim"),"Isi status laporan yang valid",IF(AND(AB116&lt;&gt;"",AB116&lt;&gt;"Belum Diperiksa",AB116&lt;&gt;"Disetujui",AB116&lt;&gt;"Perlu Perbaikan"),"Hasil review tidak valid",IF(AND(Z116="Dikirim",OR(Y116="",AA116="")),"Isi bukti dan waktu kirim",IF(AND(AB116="Disetujui",OR(Z116&lt;&gt;"Dikirim",AC116="",AD116="")),"Lengkapi pemeriksaan",IF(AND(AB116="Perlu Perbaikan",OR(AE116="",AC116="",AD116="")),"Isi pemeriksa dan catatan perbaikan","OK")))))))))))))))),"")</f>
        <v/>
      </c>
    </row>
    <row r="117" spans="1:39" ht="24.95" customHeight="1">
      <c r="A117" s="8"/>
      <c r="B117" s="6"/>
      <c r="C117" s="15" t="str">
        <f>IF(COUNTIFS(Master_PIC!$A$8:$A$73,$B117)=1,IF(VLOOKUP($B117,Master_PIC!$A$8:$G$73,2,FALSE)="","",VLOOKUP($B117,Master_PIC!$A$8:$G$73,2,FALSE)),"")</f>
        <v/>
      </c>
      <c r="D117" s="15" t="str">
        <f>IF(COUNTIFS(Master_PIC!$A$8:$A$73,$B117)=1,IF(VLOOKUP($B117,Master_PIC!$A$8:$G$73,4,FALSE)="","",VLOOKUP($B117,Master_PIC!$A$8:$G$73,4,FALSE)),"")</f>
        <v/>
      </c>
      <c r="E117" s="15" t="str">
        <f>IF(COUNTIFS(Master_PIC!$A$8:$A$73,$B117)=1,IF(VLOOKUP($B117,Master_PIC!$A$8:$G$73,5,FALSE)="","",VLOOKUP($B117,Master_PIC!$A$8:$G$73,5,FALSE)),"")</f>
        <v/>
      </c>
      <c r="F117" s="15" t="str">
        <f>IF(COUNTIFS(Master_PIC!$A$8:$A$73,$B117)=1,IF(VLOOKUP($B117,Master_PIC!$A$8:$G$73,6,FALSE)="","",VLOOKUP($B117,Master_PIC!$A$8:$G$73,6,FALSE)),"")</f>
        <v/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8"/>
      <c r="Y117" s="5"/>
      <c r="Z117" s="5"/>
      <c r="AA117" s="9"/>
      <c r="AB117" s="5"/>
      <c r="AC117" s="5"/>
      <c r="AD117" s="9"/>
      <c r="AE117" s="5"/>
      <c r="AF117" s="7" t="str">
        <f t="shared" si="7"/>
        <v/>
      </c>
      <c r="AG117" s="7" t="str">
        <f t="shared" si="8"/>
        <v/>
      </c>
      <c r="AH117" s="7" t="str">
        <f t="shared" si="9"/>
        <v/>
      </c>
      <c r="AI117" s="7" t="str">
        <f t="shared" si="10"/>
        <v/>
      </c>
      <c r="AJ117" s="7" t="str">
        <f t="shared" si="11"/>
        <v/>
      </c>
      <c r="AK117" s="7" t="str">
        <f t="shared" si="12"/>
        <v/>
      </c>
      <c r="AL117" s="10" t="str">
        <f t="shared" si="13"/>
        <v/>
      </c>
      <c r="AM117" s="15" t="str">
        <f>IF(OR($A117&lt;&gt;"",$B117&lt;&gt;""),IF(OR($A117="",$B117=""),"Isi tanggal dan ID PIC",IF(NOT(ISNUMBER($A117)),"Tanggal harus berupa tanggal Excel",IF(COUNTIFS(Master_PIC!$A$8:$A$73,$B117)&lt;&gt;1,"ID PIC tidak unik/terdaftar",IF(VLOOKUP($B117,Master_PIC!$A$8:$G$73,3,FALSE)&lt;&gt;"Sales","Jabatan tidak sesuai sheet",IF(OR($C117="",$D117="",$E117="",$F117=""),"Lengkapi master PIC",IF(COUNTIFS($A$8:$A$507,$A117,$B$8:$B$507,$B117)&gt;1,"Laporan ganda",IF(COUNTIFS(G117:P117,"Tidak Berlaku")&gt;0,"N/A hanya untuk kegiatan bersyarat",IF(SUM(AG117,AH117,AI117,AJ117,AK117)&lt;&gt;14,"Status kegiatan tidak valid",IF(AK117&gt;0,"Lengkapi status kegiatan",IF(AND(AJ117&gt;0,U117=""),"Isi alasan Tidak Berlaku",IF(AND(SUM(AH117,AI117)&gt;0,OR(U117="",V117="",W117="",X117="")),"Isi kendala dan tindak lanjut",IF(AND(Z117&lt;&gt;"Draft",Z117&lt;&gt;"Dikirim"),"Isi status laporan yang valid",IF(AND(AB117&lt;&gt;"",AB117&lt;&gt;"Belum Diperiksa",AB117&lt;&gt;"Disetujui",AB117&lt;&gt;"Perlu Perbaikan"),"Hasil review tidak valid",IF(AND(Z117="Dikirim",OR(Y117="",AA117="")),"Isi bukti dan waktu kirim",IF(AND(AB117="Disetujui",OR(Z117&lt;&gt;"Dikirim",AC117="",AD117="")),"Lengkapi pemeriksaan",IF(AND(AB117="Perlu Perbaikan",OR(AE117="",AC117="",AD117="")),"Isi pemeriksa dan catatan perbaikan","OK")))))))))))))))),"")</f>
        <v/>
      </c>
    </row>
    <row r="118" spans="1:39" ht="24.95" customHeight="1">
      <c r="A118" s="8"/>
      <c r="B118" s="6"/>
      <c r="C118" s="15" t="str">
        <f>IF(COUNTIFS(Master_PIC!$A$8:$A$73,$B118)=1,IF(VLOOKUP($B118,Master_PIC!$A$8:$G$73,2,FALSE)="","",VLOOKUP($B118,Master_PIC!$A$8:$G$73,2,FALSE)),"")</f>
        <v/>
      </c>
      <c r="D118" s="15" t="str">
        <f>IF(COUNTIFS(Master_PIC!$A$8:$A$73,$B118)=1,IF(VLOOKUP($B118,Master_PIC!$A$8:$G$73,4,FALSE)="","",VLOOKUP($B118,Master_PIC!$A$8:$G$73,4,FALSE)),"")</f>
        <v/>
      </c>
      <c r="E118" s="15" t="str">
        <f>IF(COUNTIFS(Master_PIC!$A$8:$A$73,$B118)=1,IF(VLOOKUP($B118,Master_PIC!$A$8:$G$73,5,FALSE)="","",VLOOKUP($B118,Master_PIC!$A$8:$G$73,5,FALSE)),"")</f>
        <v/>
      </c>
      <c r="F118" s="15" t="str">
        <f>IF(COUNTIFS(Master_PIC!$A$8:$A$73,$B118)=1,IF(VLOOKUP($B118,Master_PIC!$A$8:$G$73,6,FALSE)="","",VLOOKUP($B118,Master_PIC!$A$8:$G$73,6,FALSE)),"")</f>
        <v/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8"/>
      <c r="Y118" s="5"/>
      <c r="Z118" s="5"/>
      <c r="AA118" s="9"/>
      <c r="AB118" s="5"/>
      <c r="AC118" s="5"/>
      <c r="AD118" s="9"/>
      <c r="AE118" s="5"/>
      <c r="AF118" s="7" t="str">
        <f t="shared" si="7"/>
        <v/>
      </c>
      <c r="AG118" s="7" t="str">
        <f t="shared" si="8"/>
        <v/>
      </c>
      <c r="AH118" s="7" t="str">
        <f t="shared" si="9"/>
        <v/>
      </c>
      <c r="AI118" s="7" t="str">
        <f t="shared" si="10"/>
        <v/>
      </c>
      <c r="AJ118" s="7" t="str">
        <f t="shared" si="11"/>
        <v/>
      </c>
      <c r="AK118" s="7" t="str">
        <f t="shared" si="12"/>
        <v/>
      </c>
      <c r="AL118" s="10" t="str">
        <f t="shared" si="13"/>
        <v/>
      </c>
      <c r="AM118" s="15" t="str">
        <f>IF(OR($A118&lt;&gt;"",$B118&lt;&gt;""),IF(OR($A118="",$B118=""),"Isi tanggal dan ID PIC",IF(NOT(ISNUMBER($A118)),"Tanggal harus berupa tanggal Excel",IF(COUNTIFS(Master_PIC!$A$8:$A$73,$B118)&lt;&gt;1,"ID PIC tidak unik/terdaftar",IF(VLOOKUP($B118,Master_PIC!$A$8:$G$73,3,FALSE)&lt;&gt;"Sales","Jabatan tidak sesuai sheet",IF(OR($C118="",$D118="",$E118="",$F118=""),"Lengkapi master PIC",IF(COUNTIFS($A$8:$A$507,$A118,$B$8:$B$507,$B118)&gt;1,"Laporan ganda",IF(COUNTIFS(G118:P118,"Tidak Berlaku")&gt;0,"N/A hanya untuk kegiatan bersyarat",IF(SUM(AG118,AH118,AI118,AJ118,AK118)&lt;&gt;14,"Status kegiatan tidak valid",IF(AK118&gt;0,"Lengkapi status kegiatan",IF(AND(AJ118&gt;0,U118=""),"Isi alasan Tidak Berlaku",IF(AND(SUM(AH118,AI118)&gt;0,OR(U118="",V118="",W118="",X118="")),"Isi kendala dan tindak lanjut",IF(AND(Z118&lt;&gt;"Draft",Z118&lt;&gt;"Dikirim"),"Isi status laporan yang valid",IF(AND(AB118&lt;&gt;"",AB118&lt;&gt;"Belum Diperiksa",AB118&lt;&gt;"Disetujui",AB118&lt;&gt;"Perlu Perbaikan"),"Hasil review tidak valid",IF(AND(Z118="Dikirim",OR(Y118="",AA118="")),"Isi bukti dan waktu kirim",IF(AND(AB118="Disetujui",OR(Z118&lt;&gt;"Dikirim",AC118="",AD118="")),"Lengkapi pemeriksaan",IF(AND(AB118="Perlu Perbaikan",OR(AE118="",AC118="",AD118="")),"Isi pemeriksa dan catatan perbaikan","OK")))))))))))))))),"")</f>
        <v/>
      </c>
    </row>
    <row r="119" spans="1:39" ht="24.95" customHeight="1">
      <c r="A119" s="8"/>
      <c r="B119" s="6"/>
      <c r="C119" s="15" t="str">
        <f>IF(COUNTIFS(Master_PIC!$A$8:$A$73,$B119)=1,IF(VLOOKUP($B119,Master_PIC!$A$8:$G$73,2,FALSE)="","",VLOOKUP($B119,Master_PIC!$A$8:$G$73,2,FALSE)),"")</f>
        <v/>
      </c>
      <c r="D119" s="15" t="str">
        <f>IF(COUNTIFS(Master_PIC!$A$8:$A$73,$B119)=1,IF(VLOOKUP($B119,Master_PIC!$A$8:$G$73,4,FALSE)="","",VLOOKUP($B119,Master_PIC!$A$8:$G$73,4,FALSE)),"")</f>
        <v/>
      </c>
      <c r="E119" s="15" t="str">
        <f>IF(COUNTIFS(Master_PIC!$A$8:$A$73,$B119)=1,IF(VLOOKUP($B119,Master_PIC!$A$8:$G$73,5,FALSE)="","",VLOOKUP($B119,Master_PIC!$A$8:$G$73,5,FALSE)),"")</f>
        <v/>
      </c>
      <c r="F119" s="15" t="str">
        <f>IF(COUNTIFS(Master_PIC!$A$8:$A$73,$B119)=1,IF(VLOOKUP($B119,Master_PIC!$A$8:$G$73,6,FALSE)="","",VLOOKUP($B119,Master_PIC!$A$8:$G$73,6,FALSE)),"")</f>
        <v/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8"/>
      <c r="Y119" s="5"/>
      <c r="Z119" s="5"/>
      <c r="AA119" s="9"/>
      <c r="AB119" s="5"/>
      <c r="AC119" s="5"/>
      <c r="AD119" s="9"/>
      <c r="AE119" s="5"/>
      <c r="AF119" s="7" t="str">
        <f t="shared" si="7"/>
        <v/>
      </c>
      <c r="AG119" s="7" t="str">
        <f t="shared" si="8"/>
        <v/>
      </c>
      <c r="AH119" s="7" t="str">
        <f t="shared" si="9"/>
        <v/>
      </c>
      <c r="AI119" s="7" t="str">
        <f t="shared" si="10"/>
        <v/>
      </c>
      <c r="AJ119" s="7" t="str">
        <f t="shared" si="11"/>
        <v/>
      </c>
      <c r="AK119" s="7" t="str">
        <f t="shared" si="12"/>
        <v/>
      </c>
      <c r="AL119" s="10" t="str">
        <f t="shared" si="13"/>
        <v/>
      </c>
      <c r="AM119" s="15" t="str">
        <f>IF(OR($A119&lt;&gt;"",$B119&lt;&gt;""),IF(OR($A119="",$B119=""),"Isi tanggal dan ID PIC",IF(NOT(ISNUMBER($A119)),"Tanggal harus berupa tanggal Excel",IF(COUNTIFS(Master_PIC!$A$8:$A$73,$B119)&lt;&gt;1,"ID PIC tidak unik/terdaftar",IF(VLOOKUP($B119,Master_PIC!$A$8:$G$73,3,FALSE)&lt;&gt;"Sales","Jabatan tidak sesuai sheet",IF(OR($C119="",$D119="",$E119="",$F119=""),"Lengkapi master PIC",IF(COUNTIFS($A$8:$A$507,$A119,$B$8:$B$507,$B119)&gt;1,"Laporan ganda",IF(COUNTIFS(G119:P119,"Tidak Berlaku")&gt;0,"N/A hanya untuk kegiatan bersyarat",IF(SUM(AG119,AH119,AI119,AJ119,AK119)&lt;&gt;14,"Status kegiatan tidak valid",IF(AK119&gt;0,"Lengkapi status kegiatan",IF(AND(AJ119&gt;0,U119=""),"Isi alasan Tidak Berlaku",IF(AND(SUM(AH119,AI119)&gt;0,OR(U119="",V119="",W119="",X119="")),"Isi kendala dan tindak lanjut",IF(AND(Z119&lt;&gt;"Draft",Z119&lt;&gt;"Dikirim"),"Isi status laporan yang valid",IF(AND(AB119&lt;&gt;"",AB119&lt;&gt;"Belum Diperiksa",AB119&lt;&gt;"Disetujui",AB119&lt;&gt;"Perlu Perbaikan"),"Hasil review tidak valid",IF(AND(Z119="Dikirim",OR(Y119="",AA119="")),"Isi bukti dan waktu kirim",IF(AND(AB119="Disetujui",OR(Z119&lt;&gt;"Dikirim",AC119="",AD119="")),"Lengkapi pemeriksaan",IF(AND(AB119="Perlu Perbaikan",OR(AE119="",AC119="",AD119="")),"Isi pemeriksa dan catatan perbaikan","OK")))))))))))))))),"")</f>
        <v/>
      </c>
    </row>
    <row r="120" spans="1:39" ht="24.95" customHeight="1">
      <c r="A120" s="8"/>
      <c r="B120" s="6"/>
      <c r="C120" s="15" t="str">
        <f>IF(COUNTIFS(Master_PIC!$A$8:$A$73,$B120)=1,IF(VLOOKUP($B120,Master_PIC!$A$8:$G$73,2,FALSE)="","",VLOOKUP($B120,Master_PIC!$A$8:$G$73,2,FALSE)),"")</f>
        <v/>
      </c>
      <c r="D120" s="15" t="str">
        <f>IF(COUNTIFS(Master_PIC!$A$8:$A$73,$B120)=1,IF(VLOOKUP($B120,Master_PIC!$A$8:$G$73,4,FALSE)="","",VLOOKUP($B120,Master_PIC!$A$8:$G$73,4,FALSE)),"")</f>
        <v/>
      </c>
      <c r="E120" s="15" t="str">
        <f>IF(COUNTIFS(Master_PIC!$A$8:$A$73,$B120)=1,IF(VLOOKUP($B120,Master_PIC!$A$8:$G$73,5,FALSE)="","",VLOOKUP($B120,Master_PIC!$A$8:$G$73,5,FALSE)),"")</f>
        <v/>
      </c>
      <c r="F120" s="15" t="str">
        <f>IF(COUNTIFS(Master_PIC!$A$8:$A$73,$B120)=1,IF(VLOOKUP($B120,Master_PIC!$A$8:$G$73,6,FALSE)="","",VLOOKUP($B120,Master_PIC!$A$8:$G$73,6,FALSE)),"")</f>
        <v/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8"/>
      <c r="Y120" s="5"/>
      <c r="Z120" s="5"/>
      <c r="AA120" s="9"/>
      <c r="AB120" s="5"/>
      <c r="AC120" s="5"/>
      <c r="AD120" s="9"/>
      <c r="AE120" s="5"/>
      <c r="AF120" s="7" t="str">
        <f t="shared" si="7"/>
        <v/>
      </c>
      <c r="AG120" s="7" t="str">
        <f t="shared" si="8"/>
        <v/>
      </c>
      <c r="AH120" s="7" t="str">
        <f t="shared" si="9"/>
        <v/>
      </c>
      <c r="AI120" s="7" t="str">
        <f t="shared" si="10"/>
        <v/>
      </c>
      <c r="AJ120" s="7" t="str">
        <f t="shared" si="11"/>
        <v/>
      </c>
      <c r="AK120" s="7" t="str">
        <f t="shared" si="12"/>
        <v/>
      </c>
      <c r="AL120" s="10" t="str">
        <f t="shared" si="13"/>
        <v/>
      </c>
      <c r="AM120" s="15" t="str">
        <f>IF(OR($A120&lt;&gt;"",$B120&lt;&gt;""),IF(OR($A120="",$B120=""),"Isi tanggal dan ID PIC",IF(NOT(ISNUMBER($A120)),"Tanggal harus berupa tanggal Excel",IF(COUNTIFS(Master_PIC!$A$8:$A$73,$B120)&lt;&gt;1,"ID PIC tidak unik/terdaftar",IF(VLOOKUP($B120,Master_PIC!$A$8:$G$73,3,FALSE)&lt;&gt;"Sales","Jabatan tidak sesuai sheet",IF(OR($C120="",$D120="",$E120="",$F120=""),"Lengkapi master PIC",IF(COUNTIFS($A$8:$A$507,$A120,$B$8:$B$507,$B120)&gt;1,"Laporan ganda",IF(COUNTIFS(G120:P120,"Tidak Berlaku")&gt;0,"N/A hanya untuk kegiatan bersyarat",IF(SUM(AG120,AH120,AI120,AJ120,AK120)&lt;&gt;14,"Status kegiatan tidak valid",IF(AK120&gt;0,"Lengkapi status kegiatan",IF(AND(AJ120&gt;0,U120=""),"Isi alasan Tidak Berlaku",IF(AND(SUM(AH120,AI120)&gt;0,OR(U120="",V120="",W120="",X120="")),"Isi kendala dan tindak lanjut",IF(AND(Z120&lt;&gt;"Draft",Z120&lt;&gt;"Dikirim"),"Isi status laporan yang valid",IF(AND(AB120&lt;&gt;"",AB120&lt;&gt;"Belum Diperiksa",AB120&lt;&gt;"Disetujui",AB120&lt;&gt;"Perlu Perbaikan"),"Hasil review tidak valid",IF(AND(Z120="Dikirim",OR(Y120="",AA120="")),"Isi bukti dan waktu kirim",IF(AND(AB120="Disetujui",OR(Z120&lt;&gt;"Dikirim",AC120="",AD120="")),"Lengkapi pemeriksaan",IF(AND(AB120="Perlu Perbaikan",OR(AE120="",AC120="",AD120="")),"Isi pemeriksa dan catatan perbaikan","OK")))))))))))))))),"")</f>
        <v/>
      </c>
    </row>
    <row r="121" spans="1:39" ht="24.95" customHeight="1">
      <c r="A121" s="8"/>
      <c r="B121" s="6"/>
      <c r="C121" s="15" t="str">
        <f>IF(COUNTIFS(Master_PIC!$A$8:$A$73,$B121)=1,IF(VLOOKUP($B121,Master_PIC!$A$8:$G$73,2,FALSE)="","",VLOOKUP($B121,Master_PIC!$A$8:$G$73,2,FALSE)),"")</f>
        <v/>
      </c>
      <c r="D121" s="15" t="str">
        <f>IF(COUNTIFS(Master_PIC!$A$8:$A$73,$B121)=1,IF(VLOOKUP($B121,Master_PIC!$A$8:$G$73,4,FALSE)="","",VLOOKUP($B121,Master_PIC!$A$8:$G$73,4,FALSE)),"")</f>
        <v/>
      </c>
      <c r="E121" s="15" t="str">
        <f>IF(COUNTIFS(Master_PIC!$A$8:$A$73,$B121)=1,IF(VLOOKUP($B121,Master_PIC!$A$8:$G$73,5,FALSE)="","",VLOOKUP($B121,Master_PIC!$A$8:$G$73,5,FALSE)),"")</f>
        <v/>
      </c>
      <c r="F121" s="15" t="str">
        <f>IF(COUNTIFS(Master_PIC!$A$8:$A$73,$B121)=1,IF(VLOOKUP($B121,Master_PIC!$A$8:$G$73,6,FALSE)="","",VLOOKUP($B121,Master_PIC!$A$8:$G$73,6,FALSE)),"")</f>
        <v/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8"/>
      <c r="Y121" s="5"/>
      <c r="Z121" s="5"/>
      <c r="AA121" s="9"/>
      <c r="AB121" s="5"/>
      <c r="AC121" s="5"/>
      <c r="AD121" s="9"/>
      <c r="AE121" s="5"/>
      <c r="AF121" s="7" t="str">
        <f t="shared" si="7"/>
        <v/>
      </c>
      <c r="AG121" s="7" t="str">
        <f t="shared" si="8"/>
        <v/>
      </c>
      <c r="AH121" s="7" t="str">
        <f t="shared" si="9"/>
        <v/>
      </c>
      <c r="AI121" s="7" t="str">
        <f t="shared" si="10"/>
        <v/>
      </c>
      <c r="AJ121" s="7" t="str">
        <f t="shared" si="11"/>
        <v/>
      </c>
      <c r="AK121" s="7" t="str">
        <f t="shared" si="12"/>
        <v/>
      </c>
      <c r="AL121" s="10" t="str">
        <f t="shared" si="13"/>
        <v/>
      </c>
      <c r="AM121" s="15" t="str">
        <f>IF(OR($A121&lt;&gt;"",$B121&lt;&gt;""),IF(OR($A121="",$B121=""),"Isi tanggal dan ID PIC",IF(NOT(ISNUMBER($A121)),"Tanggal harus berupa tanggal Excel",IF(COUNTIFS(Master_PIC!$A$8:$A$73,$B121)&lt;&gt;1,"ID PIC tidak unik/terdaftar",IF(VLOOKUP($B121,Master_PIC!$A$8:$G$73,3,FALSE)&lt;&gt;"Sales","Jabatan tidak sesuai sheet",IF(OR($C121="",$D121="",$E121="",$F121=""),"Lengkapi master PIC",IF(COUNTIFS($A$8:$A$507,$A121,$B$8:$B$507,$B121)&gt;1,"Laporan ganda",IF(COUNTIFS(G121:P121,"Tidak Berlaku")&gt;0,"N/A hanya untuk kegiatan bersyarat",IF(SUM(AG121,AH121,AI121,AJ121,AK121)&lt;&gt;14,"Status kegiatan tidak valid",IF(AK121&gt;0,"Lengkapi status kegiatan",IF(AND(AJ121&gt;0,U121=""),"Isi alasan Tidak Berlaku",IF(AND(SUM(AH121,AI121)&gt;0,OR(U121="",V121="",W121="",X121="")),"Isi kendala dan tindak lanjut",IF(AND(Z121&lt;&gt;"Draft",Z121&lt;&gt;"Dikirim"),"Isi status laporan yang valid",IF(AND(AB121&lt;&gt;"",AB121&lt;&gt;"Belum Diperiksa",AB121&lt;&gt;"Disetujui",AB121&lt;&gt;"Perlu Perbaikan"),"Hasil review tidak valid",IF(AND(Z121="Dikirim",OR(Y121="",AA121="")),"Isi bukti dan waktu kirim",IF(AND(AB121="Disetujui",OR(Z121&lt;&gt;"Dikirim",AC121="",AD121="")),"Lengkapi pemeriksaan",IF(AND(AB121="Perlu Perbaikan",OR(AE121="",AC121="",AD121="")),"Isi pemeriksa dan catatan perbaikan","OK")))))))))))))))),"")</f>
        <v/>
      </c>
    </row>
    <row r="122" spans="1:39" ht="24.95" customHeight="1">
      <c r="A122" s="8"/>
      <c r="B122" s="6"/>
      <c r="C122" s="15" t="str">
        <f>IF(COUNTIFS(Master_PIC!$A$8:$A$73,$B122)=1,IF(VLOOKUP($B122,Master_PIC!$A$8:$G$73,2,FALSE)="","",VLOOKUP($B122,Master_PIC!$A$8:$G$73,2,FALSE)),"")</f>
        <v/>
      </c>
      <c r="D122" s="15" t="str">
        <f>IF(COUNTIFS(Master_PIC!$A$8:$A$73,$B122)=1,IF(VLOOKUP($B122,Master_PIC!$A$8:$G$73,4,FALSE)="","",VLOOKUP($B122,Master_PIC!$A$8:$G$73,4,FALSE)),"")</f>
        <v/>
      </c>
      <c r="E122" s="15" t="str">
        <f>IF(COUNTIFS(Master_PIC!$A$8:$A$73,$B122)=1,IF(VLOOKUP($B122,Master_PIC!$A$8:$G$73,5,FALSE)="","",VLOOKUP($B122,Master_PIC!$A$8:$G$73,5,FALSE)),"")</f>
        <v/>
      </c>
      <c r="F122" s="15" t="str">
        <f>IF(COUNTIFS(Master_PIC!$A$8:$A$73,$B122)=1,IF(VLOOKUP($B122,Master_PIC!$A$8:$G$73,6,FALSE)="","",VLOOKUP($B122,Master_PIC!$A$8:$G$73,6,FALSE)),"")</f>
        <v/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8"/>
      <c r="Y122" s="5"/>
      <c r="Z122" s="5"/>
      <c r="AA122" s="9"/>
      <c r="AB122" s="5"/>
      <c r="AC122" s="5"/>
      <c r="AD122" s="9"/>
      <c r="AE122" s="5"/>
      <c r="AF122" s="7" t="str">
        <f t="shared" si="7"/>
        <v/>
      </c>
      <c r="AG122" s="7" t="str">
        <f t="shared" si="8"/>
        <v/>
      </c>
      <c r="AH122" s="7" t="str">
        <f t="shared" si="9"/>
        <v/>
      </c>
      <c r="AI122" s="7" t="str">
        <f t="shared" si="10"/>
        <v/>
      </c>
      <c r="AJ122" s="7" t="str">
        <f t="shared" si="11"/>
        <v/>
      </c>
      <c r="AK122" s="7" t="str">
        <f t="shared" si="12"/>
        <v/>
      </c>
      <c r="AL122" s="10" t="str">
        <f t="shared" si="13"/>
        <v/>
      </c>
      <c r="AM122" s="15" t="str">
        <f>IF(OR($A122&lt;&gt;"",$B122&lt;&gt;""),IF(OR($A122="",$B122=""),"Isi tanggal dan ID PIC",IF(NOT(ISNUMBER($A122)),"Tanggal harus berupa tanggal Excel",IF(COUNTIFS(Master_PIC!$A$8:$A$73,$B122)&lt;&gt;1,"ID PIC tidak unik/terdaftar",IF(VLOOKUP($B122,Master_PIC!$A$8:$G$73,3,FALSE)&lt;&gt;"Sales","Jabatan tidak sesuai sheet",IF(OR($C122="",$D122="",$E122="",$F122=""),"Lengkapi master PIC",IF(COUNTIFS($A$8:$A$507,$A122,$B$8:$B$507,$B122)&gt;1,"Laporan ganda",IF(COUNTIFS(G122:P122,"Tidak Berlaku")&gt;0,"N/A hanya untuk kegiatan bersyarat",IF(SUM(AG122,AH122,AI122,AJ122,AK122)&lt;&gt;14,"Status kegiatan tidak valid",IF(AK122&gt;0,"Lengkapi status kegiatan",IF(AND(AJ122&gt;0,U122=""),"Isi alasan Tidak Berlaku",IF(AND(SUM(AH122,AI122)&gt;0,OR(U122="",V122="",W122="",X122="")),"Isi kendala dan tindak lanjut",IF(AND(Z122&lt;&gt;"Draft",Z122&lt;&gt;"Dikirim"),"Isi status laporan yang valid",IF(AND(AB122&lt;&gt;"",AB122&lt;&gt;"Belum Diperiksa",AB122&lt;&gt;"Disetujui",AB122&lt;&gt;"Perlu Perbaikan"),"Hasil review tidak valid",IF(AND(Z122="Dikirim",OR(Y122="",AA122="")),"Isi bukti dan waktu kirim",IF(AND(AB122="Disetujui",OR(Z122&lt;&gt;"Dikirim",AC122="",AD122="")),"Lengkapi pemeriksaan",IF(AND(AB122="Perlu Perbaikan",OR(AE122="",AC122="",AD122="")),"Isi pemeriksa dan catatan perbaikan","OK")))))))))))))))),"")</f>
        <v/>
      </c>
    </row>
    <row r="123" spans="1:39" ht="24.95" customHeight="1">
      <c r="A123" s="8"/>
      <c r="B123" s="6"/>
      <c r="C123" s="15" t="str">
        <f>IF(COUNTIFS(Master_PIC!$A$8:$A$73,$B123)=1,IF(VLOOKUP($B123,Master_PIC!$A$8:$G$73,2,FALSE)="","",VLOOKUP($B123,Master_PIC!$A$8:$G$73,2,FALSE)),"")</f>
        <v/>
      </c>
      <c r="D123" s="15" t="str">
        <f>IF(COUNTIFS(Master_PIC!$A$8:$A$73,$B123)=1,IF(VLOOKUP($B123,Master_PIC!$A$8:$G$73,4,FALSE)="","",VLOOKUP($B123,Master_PIC!$A$8:$G$73,4,FALSE)),"")</f>
        <v/>
      </c>
      <c r="E123" s="15" t="str">
        <f>IF(COUNTIFS(Master_PIC!$A$8:$A$73,$B123)=1,IF(VLOOKUP($B123,Master_PIC!$A$8:$G$73,5,FALSE)="","",VLOOKUP($B123,Master_PIC!$A$8:$G$73,5,FALSE)),"")</f>
        <v/>
      </c>
      <c r="F123" s="15" t="str">
        <f>IF(COUNTIFS(Master_PIC!$A$8:$A$73,$B123)=1,IF(VLOOKUP($B123,Master_PIC!$A$8:$G$73,6,FALSE)="","",VLOOKUP($B123,Master_PIC!$A$8:$G$73,6,FALSE)),"")</f>
        <v/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8"/>
      <c r="Y123" s="5"/>
      <c r="Z123" s="5"/>
      <c r="AA123" s="9"/>
      <c r="AB123" s="5"/>
      <c r="AC123" s="5"/>
      <c r="AD123" s="9"/>
      <c r="AE123" s="5"/>
      <c r="AF123" s="7" t="str">
        <f t="shared" si="7"/>
        <v/>
      </c>
      <c r="AG123" s="7" t="str">
        <f t="shared" si="8"/>
        <v/>
      </c>
      <c r="AH123" s="7" t="str">
        <f t="shared" si="9"/>
        <v/>
      </c>
      <c r="AI123" s="7" t="str">
        <f t="shared" si="10"/>
        <v/>
      </c>
      <c r="AJ123" s="7" t="str">
        <f t="shared" si="11"/>
        <v/>
      </c>
      <c r="AK123" s="7" t="str">
        <f t="shared" si="12"/>
        <v/>
      </c>
      <c r="AL123" s="10" t="str">
        <f t="shared" si="13"/>
        <v/>
      </c>
      <c r="AM123" s="15" t="str">
        <f>IF(OR($A123&lt;&gt;"",$B123&lt;&gt;""),IF(OR($A123="",$B123=""),"Isi tanggal dan ID PIC",IF(NOT(ISNUMBER($A123)),"Tanggal harus berupa tanggal Excel",IF(COUNTIFS(Master_PIC!$A$8:$A$73,$B123)&lt;&gt;1,"ID PIC tidak unik/terdaftar",IF(VLOOKUP($B123,Master_PIC!$A$8:$G$73,3,FALSE)&lt;&gt;"Sales","Jabatan tidak sesuai sheet",IF(OR($C123="",$D123="",$E123="",$F123=""),"Lengkapi master PIC",IF(COUNTIFS($A$8:$A$507,$A123,$B$8:$B$507,$B123)&gt;1,"Laporan ganda",IF(COUNTIFS(G123:P123,"Tidak Berlaku")&gt;0,"N/A hanya untuk kegiatan bersyarat",IF(SUM(AG123,AH123,AI123,AJ123,AK123)&lt;&gt;14,"Status kegiatan tidak valid",IF(AK123&gt;0,"Lengkapi status kegiatan",IF(AND(AJ123&gt;0,U123=""),"Isi alasan Tidak Berlaku",IF(AND(SUM(AH123,AI123)&gt;0,OR(U123="",V123="",W123="",X123="")),"Isi kendala dan tindak lanjut",IF(AND(Z123&lt;&gt;"Draft",Z123&lt;&gt;"Dikirim"),"Isi status laporan yang valid",IF(AND(AB123&lt;&gt;"",AB123&lt;&gt;"Belum Diperiksa",AB123&lt;&gt;"Disetujui",AB123&lt;&gt;"Perlu Perbaikan"),"Hasil review tidak valid",IF(AND(Z123="Dikirim",OR(Y123="",AA123="")),"Isi bukti dan waktu kirim",IF(AND(AB123="Disetujui",OR(Z123&lt;&gt;"Dikirim",AC123="",AD123="")),"Lengkapi pemeriksaan",IF(AND(AB123="Perlu Perbaikan",OR(AE123="",AC123="",AD123="")),"Isi pemeriksa dan catatan perbaikan","OK")))))))))))))))),"")</f>
        <v/>
      </c>
    </row>
    <row r="124" spans="1:39" ht="24.95" customHeight="1">
      <c r="A124" s="8"/>
      <c r="B124" s="6"/>
      <c r="C124" s="15" t="str">
        <f>IF(COUNTIFS(Master_PIC!$A$8:$A$73,$B124)=1,IF(VLOOKUP($B124,Master_PIC!$A$8:$G$73,2,FALSE)="","",VLOOKUP($B124,Master_PIC!$A$8:$G$73,2,FALSE)),"")</f>
        <v/>
      </c>
      <c r="D124" s="15" t="str">
        <f>IF(COUNTIFS(Master_PIC!$A$8:$A$73,$B124)=1,IF(VLOOKUP($B124,Master_PIC!$A$8:$G$73,4,FALSE)="","",VLOOKUP($B124,Master_PIC!$A$8:$G$73,4,FALSE)),"")</f>
        <v/>
      </c>
      <c r="E124" s="15" t="str">
        <f>IF(COUNTIFS(Master_PIC!$A$8:$A$73,$B124)=1,IF(VLOOKUP($B124,Master_PIC!$A$8:$G$73,5,FALSE)="","",VLOOKUP($B124,Master_PIC!$A$8:$G$73,5,FALSE)),"")</f>
        <v/>
      </c>
      <c r="F124" s="15" t="str">
        <f>IF(COUNTIFS(Master_PIC!$A$8:$A$73,$B124)=1,IF(VLOOKUP($B124,Master_PIC!$A$8:$G$73,6,FALSE)="","",VLOOKUP($B124,Master_PIC!$A$8:$G$73,6,FALSE)),"")</f>
        <v/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8"/>
      <c r="Y124" s="5"/>
      <c r="Z124" s="5"/>
      <c r="AA124" s="9"/>
      <c r="AB124" s="5"/>
      <c r="AC124" s="5"/>
      <c r="AD124" s="9"/>
      <c r="AE124" s="5"/>
      <c r="AF124" s="7" t="str">
        <f t="shared" si="7"/>
        <v/>
      </c>
      <c r="AG124" s="7" t="str">
        <f t="shared" si="8"/>
        <v/>
      </c>
      <c r="AH124" s="7" t="str">
        <f t="shared" si="9"/>
        <v/>
      </c>
      <c r="AI124" s="7" t="str">
        <f t="shared" si="10"/>
        <v/>
      </c>
      <c r="AJ124" s="7" t="str">
        <f t="shared" si="11"/>
        <v/>
      </c>
      <c r="AK124" s="7" t="str">
        <f t="shared" si="12"/>
        <v/>
      </c>
      <c r="AL124" s="10" t="str">
        <f t="shared" si="13"/>
        <v/>
      </c>
      <c r="AM124" s="15" t="str">
        <f>IF(OR($A124&lt;&gt;"",$B124&lt;&gt;""),IF(OR($A124="",$B124=""),"Isi tanggal dan ID PIC",IF(NOT(ISNUMBER($A124)),"Tanggal harus berupa tanggal Excel",IF(COUNTIFS(Master_PIC!$A$8:$A$73,$B124)&lt;&gt;1,"ID PIC tidak unik/terdaftar",IF(VLOOKUP($B124,Master_PIC!$A$8:$G$73,3,FALSE)&lt;&gt;"Sales","Jabatan tidak sesuai sheet",IF(OR($C124="",$D124="",$E124="",$F124=""),"Lengkapi master PIC",IF(COUNTIFS($A$8:$A$507,$A124,$B$8:$B$507,$B124)&gt;1,"Laporan ganda",IF(COUNTIFS(G124:P124,"Tidak Berlaku")&gt;0,"N/A hanya untuk kegiatan bersyarat",IF(SUM(AG124,AH124,AI124,AJ124,AK124)&lt;&gt;14,"Status kegiatan tidak valid",IF(AK124&gt;0,"Lengkapi status kegiatan",IF(AND(AJ124&gt;0,U124=""),"Isi alasan Tidak Berlaku",IF(AND(SUM(AH124,AI124)&gt;0,OR(U124="",V124="",W124="",X124="")),"Isi kendala dan tindak lanjut",IF(AND(Z124&lt;&gt;"Draft",Z124&lt;&gt;"Dikirim"),"Isi status laporan yang valid",IF(AND(AB124&lt;&gt;"",AB124&lt;&gt;"Belum Diperiksa",AB124&lt;&gt;"Disetujui",AB124&lt;&gt;"Perlu Perbaikan"),"Hasil review tidak valid",IF(AND(Z124="Dikirim",OR(Y124="",AA124="")),"Isi bukti dan waktu kirim",IF(AND(AB124="Disetujui",OR(Z124&lt;&gt;"Dikirim",AC124="",AD124="")),"Lengkapi pemeriksaan",IF(AND(AB124="Perlu Perbaikan",OR(AE124="",AC124="",AD124="")),"Isi pemeriksa dan catatan perbaikan","OK")))))))))))))))),"")</f>
        <v/>
      </c>
    </row>
    <row r="125" spans="1:39" ht="24.95" customHeight="1">
      <c r="A125" s="8"/>
      <c r="B125" s="6"/>
      <c r="C125" s="15" t="str">
        <f>IF(COUNTIFS(Master_PIC!$A$8:$A$73,$B125)=1,IF(VLOOKUP($B125,Master_PIC!$A$8:$G$73,2,FALSE)="","",VLOOKUP($B125,Master_PIC!$A$8:$G$73,2,FALSE)),"")</f>
        <v/>
      </c>
      <c r="D125" s="15" t="str">
        <f>IF(COUNTIFS(Master_PIC!$A$8:$A$73,$B125)=1,IF(VLOOKUP($B125,Master_PIC!$A$8:$G$73,4,FALSE)="","",VLOOKUP($B125,Master_PIC!$A$8:$G$73,4,FALSE)),"")</f>
        <v/>
      </c>
      <c r="E125" s="15" t="str">
        <f>IF(COUNTIFS(Master_PIC!$A$8:$A$73,$B125)=1,IF(VLOOKUP($B125,Master_PIC!$A$8:$G$73,5,FALSE)="","",VLOOKUP($B125,Master_PIC!$A$8:$G$73,5,FALSE)),"")</f>
        <v/>
      </c>
      <c r="F125" s="15" t="str">
        <f>IF(COUNTIFS(Master_PIC!$A$8:$A$73,$B125)=1,IF(VLOOKUP($B125,Master_PIC!$A$8:$G$73,6,FALSE)="","",VLOOKUP($B125,Master_PIC!$A$8:$G$73,6,FALSE)),"")</f>
        <v/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8"/>
      <c r="Y125" s="5"/>
      <c r="Z125" s="5"/>
      <c r="AA125" s="9"/>
      <c r="AB125" s="5"/>
      <c r="AC125" s="5"/>
      <c r="AD125" s="9"/>
      <c r="AE125" s="5"/>
      <c r="AF125" s="7" t="str">
        <f t="shared" si="7"/>
        <v/>
      </c>
      <c r="AG125" s="7" t="str">
        <f t="shared" si="8"/>
        <v/>
      </c>
      <c r="AH125" s="7" t="str">
        <f t="shared" si="9"/>
        <v/>
      </c>
      <c r="AI125" s="7" t="str">
        <f t="shared" si="10"/>
        <v/>
      </c>
      <c r="AJ125" s="7" t="str">
        <f t="shared" si="11"/>
        <v/>
      </c>
      <c r="AK125" s="7" t="str">
        <f t="shared" si="12"/>
        <v/>
      </c>
      <c r="AL125" s="10" t="str">
        <f t="shared" si="13"/>
        <v/>
      </c>
      <c r="AM125" s="15" t="str">
        <f>IF(OR($A125&lt;&gt;"",$B125&lt;&gt;""),IF(OR($A125="",$B125=""),"Isi tanggal dan ID PIC",IF(NOT(ISNUMBER($A125)),"Tanggal harus berupa tanggal Excel",IF(COUNTIFS(Master_PIC!$A$8:$A$73,$B125)&lt;&gt;1,"ID PIC tidak unik/terdaftar",IF(VLOOKUP($B125,Master_PIC!$A$8:$G$73,3,FALSE)&lt;&gt;"Sales","Jabatan tidak sesuai sheet",IF(OR($C125="",$D125="",$E125="",$F125=""),"Lengkapi master PIC",IF(COUNTIFS($A$8:$A$507,$A125,$B$8:$B$507,$B125)&gt;1,"Laporan ganda",IF(COUNTIFS(G125:P125,"Tidak Berlaku")&gt;0,"N/A hanya untuk kegiatan bersyarat",IF(SUM(AG125,AH125,AI125,AJ125,AK125)&lt;&gt;14,"Status kegiatan tidak valid",IF(AK125&gt;0,"Lengkapi status kegiatan",IF(AND(AJ125&gt;0,U125=""),"Isi alasan Tidak Berlaku",IF(AND(SUM(AH125,AI125)&gt;0,OR(U125="",V125="",W125="",X125="")),"Isi kendala dan tindak lanjut",IF(AND(Z125&lt;&gt;"Draft",Z125&lt;&gt;"Dikirim"),"Isi status laporan yang valid",IF(AND(AB125&lt;&gt;"",AB125&lt;&gt;"Belum Diperiksa",AB125&lt;&gt;"Disetujui",AB125&lt;&gt;"Perlu Perbaikan"),"Hasil review tidak valid",IF(AND(Z125="Dikirim",OR(Y125="",AA125="")),"Isi bukti dan waktu kirim",IF(AND(AB125="Disetujui",OR(Z125&lt;&gt;"Dikirim",AC125="",AD125="")),"Lengkapi pemeriksaan",IF(AND(AB125="Perlu Perbaikan",OR(AE125="",AC125="",AD125="")),"Isi pemeriksa dan catatan perbaikan","OK")))))))))))))))),"")</f>
        <v/>
      </c>
    </row>
    <row r="126" spans="1:39" ht="24.95" customHeight="1">
      <c r="A126" s="8"/>
      <c r="B126" s="6"/>
      <c r="C126" s="15" t="str">
        <f>IF(COUNTIFS(Master_PIC!$A$8:$A$73,$B126)=1,IF(VLOOKUP($B126,Master_PIC!$A$8:$G$73,2,FALSE)="","",VLOOKUP($B126,Master_PIC!$A$8:$G$73,2,FALSE)),"")</f>
        <v/>
      </c>
      <c r="D126" s="15" t="str">
        <f>IF(COUNTIFS(Master_PIC!$A$8:$A$73,$B126)=1,IF(VLOOKUP($B126,Master_PIC!$A$8:$G$73,4,FALSE)="","",VLOOKUP($B126,Master_PIC!$A$8:$G$73,4,FALSE)),"")</f>
        <v/>
      </c>
      <c r="E126" s="15" t="str">
        <f>IF(COUNTIFS(Master_PIC!$A$8:$A$73,$B126)=1,IF(VLOOKUP($B126,Master_PIC!$A$8:$G$73,5,FALSE)="","",VLOOKUP($B126,Master_PIC!$A$8:$G$73,5,FALSE)),"")</f>
        <v/>
      </c>
      <c r="F126" s="15" t="str">
        <f>IF(COUNTIFS(Master_PIC!$A$8:$A$73,$B126)=1,IF(VLOOKUP($B126,Master_PIC!$A$8:$G$73,6,FALSE)="","",VLOOKUP($B126,Master_PIC!$A$8:$G$73,6,FALSE)),"")</f>
        <v/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8"/>
      <c r="Y126" s="5"/>
      <c r="Z126" s="5"/>
      <c r="AA126" s="9"/>
      <c r="AB126" s="5"/>
      <c r="AC126" s="5"/>
      <c r="AD126" s="9"/>
      <c r="AE126" s="5"/>
      <c r="AF126" s="7" t="str">
        <f t="shared" si="7"/>
        <v/>
      </c>
      <c r="AG126" s="7" t="str">
        <f t="shared" si="8"/>
        <v/>
      </c>
      <c r="AH126" s="7" t="str">
        <f t="shared" si="9"/>
        <v/>
      </c>
      <c r="AI126" s="7" t="str">
        <f t="shared" si="10"/>
        <v/>
      </c>
      <c r="AJ126" s="7" t="str">
        <f t="shared" si="11"/>
        <v/>
      </c>
      <c r="AK126" s="7" t="str">
        <f t="shared" si="12"/>
        <v/>
      </c>
      <c r="AL126" s="10" t="str">
        <f t="shared" si="13"/>
        <v/>
      </c>
      <c r="AM126" s="15" t="str">
        <f>IF(OR($A126&lt;&gt;"",$B126&lt;&gt;""),IF(OR($A126="",$B126=""),"Isi tanggal dan ID PIC",IF(NOT(ISNUMBER($A126)),"Tanggal harus berupa tanggal Excel",IF(COUNTIFS(Master_PIC!$A$8:$A$73,$B126)&lt;&gt;1,"ID PIC tidak unik/terdaftar",IF(VLOOKUP($B126,Master_PIC!$A$8:$G$73,3,FALSE)&lt;&gt;"Sales","Jabatan tidak sesuai sheet",IF(OR($C126="",$D126="",$E126="",$F126=""),"Lengkapi master PIC",IF(COUNTIFS($A$8:$A$507,$A126,$B$8:$B$507,$B126)&gt;1,"Laporan ganda",IF(COUNTIFS(G126:P126,"Tidak Berlaku")&gt;0,"N/A hanya untuk kegiatan bersyarat",IF(SUM(AG126,AH126,AI126,AJ126,AK126)&lt;&gt;14,"Status kegiatan tidak valid",IF(AK126&gt;0,"Lengkapi status kegiatan",IF(AND(AJ126&gt;0,U126=""),"Isi alasan Tidak Berlaku",IF(AND(SUM(AH126,AI126)&gt;0,OR(U126="",V126="",W126="",X126="")),"Isi kendala dan tindak lanjut",IF(AND(Z126&lt;&gt;"Draft",Z126&lt;&gt;"Dikirim"),"Isi status laporan yang valid",IF(AND(AB126&lt;&gt;"",AB126&lt;&gt;"Belum Diperiksa",AB126&lt;&gt;"Disetujui",AB126&lt;&gt;"Perlu Perbaikan"),"Hasil review tidak valid",IF(AND(Z126="Dikirim",OR(Y126="",AA126="")),"Isi bukti dan waktu kirim",IF(AND(AB126="Disetujui",OR(Z126&lt;&gt;"Dikirim",AC126="",AD126="")),"Lengkapi pemeriksaan",IF(AND(AB126="Perlu Perbaikan",OR(AE126="",AC126="",AD126="")),"Isi pemeriksa dan catatan perbaikan","OK")))))))))))))))),"")</f>
        <v/>
      </c>
    </row>
    <row r="127" spans="1:39" ht="24.95" customHeight="1">
      <c r="A127" s="8"/>
      <c r="B127" s="6"/>
      <c r="C127" s="15" t="str">
        <f>IF(COUNTIFS(Master_PIC!$A$8:$A$73,$B127)=1,IF(VLOOKUP($B127,Master_PIC!$A$8:$G$73,2,FALSE)="","",VLOOKUP($B127,Master_PIC!$A$8:$G$73,2,FALSE)),"")</f>
        <v/>
      </c>
      <c r="D127" s="15" t="str">
        <f>IF(COUNTIFS(Master_PIC!$A$8:$A$73,$B127)=1,IF(VLOOKUP($B127,Master_PIC!$A$8:$G$73,4,FALSE)="","",VLOOKUP($B127,Master_PIC!$A$8:$G$73,4,FALSE)),"")</f>
        <v/>
      </c>
      <c r="E127" s="15" t="str">
        <f>IF(COUNTIFS(Master_PIC!$A$8:$A$73,$B127)=1,IF(VLOOKUP($B127,Master_PIC!$A$8:$G$73,5,FALSE)="","",VLOOKUP($B127,Master_PIC!$A$8:$G$73,5,FALSE)),"")</f>
        <v/>
      </c>
      <c r="F127" s="15" t="str">
        <f>IF(COUNTIFS(Master_PIC!$A$8:$A$73,$B127)=1,IF(VLOOKUP($B127,Master_PIC!$A$8:$G$73,6,FALSE)="","",VLOOKUP($B127,Master_PIC!$A$8:$G$73,6,FALSE)),"")</f>
        <v/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8"/>
      <c r="Y127" s="5"/>
      <c r="Z127" s="5"/>
      <c r="AA127" s="9"/>
      <c r="AB127" s="5"/>
      <c r="AC127" s="5"/>
      <c r="AD127" s="9"/>
      <c r="AE127" s="5"/>
      <c r="AF127" s="7" t="str">
        <f t="shared" si="7"/>
        <v/>
      </c>
      <c r="AG127" s="7" t="str">
        <f t="shared" si="8"/>
        <v/>
      </c>
      <c r="AH127" s="7" t="str">
        <f t="shared" si="9"/>
        <v/>
      </c>
      <c r="AI127" s="7" t="str">
        <f t="shared" si="10"/>
        <v/>
      </c>
      <c r="AJ127" s="7" t="str">
        <f t="shared" si="11"/>
        <v/>
      </c>
      <c r="AK127" s="7" t="str">
        <f t="shared" si="12"/>
        <v/>
      </c>
      <c r="AL127" s="10" t="str">
        <f t="shared" si="13"/>
        <v/>
      </c>
      <c r="AM127" s="15" t="str">
        <f>IF(OR($A127&lt;&gt;"",$B127&lt;&gt;""),IF(OR($A127="",$B127=""),"Isi tanggal dan ID PIC",IF(NOT(ISNUMBER($A127)),"Tanggal harus berupa tanggal Excel",IF(COUNTIFS(Master_PIC!$A$8:$A$73,$B127)&lt;&gt;1,"ID PIC tidak unik/terdaftar",IF(VLOOKUP($B127,Master_PIC!$A$8:$G$73,3,FALSE)&lt;&gt;"Sales","Jabatan tidak sesuai sheet",IF(OR($C127="",$D127="",$E127="",$F127=""),"Lengkapi master PIC",IF(COUNTIFS($A$8:$A$507,$A127,$B$8:$B$507,$B127)&gt;1,"Laporan ganda",IF(COUNTIFS(G127:P127,"Tidak Berlaku")&gt;0,"N/A hanya untuk kegiatan bersyarat",IF(SUM(AG127,AH127,AI127,AJ127,AK127)&lt;&gt;14,"Status kegiatan tidak valid",IF(AK127&gt;0,"Lengkapi status kegiatan",IF(AND(AJ127&gt;0,U127=""),"Isi alasan Tidak Berlaku",IF(AND(SUM(AH127,AI127)&gt;0,OR(U127="",V127="",W127="",X127="")),"Isi kendala dan tindak lanjut",IF(AND(Z127&lt;&gt;"Draft",Z127&lt;&gt;"Dikirim"),"Isi status laporan yang valid",IF(AND(AB127&lt;&gt;"",AB127&lt;&gt;"Belum Diperiksa",AB127&lt;&gt;"Disetujui",AB127&lt;&gt;"Perlu Perbaikan"),"Hasil review tidak valid",IF(AND(Z127="Dikirim",OR(Y127="",AA127="")),"Isi bukti dan waktu kirim",IF(AND(AB127="Disetujui",OR(Z127&lt;&gt;"Dikirim",AC127="",AD127="")),"Lengkapi pemeriksaan",IF(AND(AB127="Perlu Perbaikan",OR(AE127="",AC127="",AD127="")),"Isi pemeriksa dan catatan perbaikan","OK")))))))))))))))),"")</f>
        <v/>
      </c>
    </row>
    <row r="128" spans="1:39" ht="24.95" customHeight="1">
      <c r="A128" s="8"/>
      <c r="B128" s="6"/>
      <c r="C128" s="15" t="str">
        <f>IF(COUNTIFS(Master_PIC!$A$8:$A$73,$B128)=1,IF(VLOOKUP($B128,Master_PIC!$A$8:$G$73,2,FALSE)="","",VLOOKUP($B128,Master_PIC!$A$8:$G$73,2,FALSE)),"")</f>
        <v/>
      </c>
      <c r="D128" s="15" t="str">
        <f>IF(COUNTIFS(Master_PIC!$A$8:$A$73,$B128)=1,IF(VLOOKUP($B128,Master_PIC!$A$8:$G$73,4,FALSE)="","",VLOOKUP($B128,Master_PIC!$A$8:$G$73,4,FALSE)),"")</f>
        <v/>
      </c>
      <c r="E128" s="15" t="str">
        <f>IF(COUNTIFS(Master_PIC!$A$8:$A$73,$B128)=1,IF(VLOOKUP($B128,Master_PIC!$A$8:$G$73,5,FALSE)="","",VLOOKUP($B128,Master_PIC!$A$8:$G$73,5,FALSE)),"")</f>
        <v/>
      </c>
      <c r="F128" s="15" t="str">
        <f>IF(COUNTIFS(Master_PIC!$A$8:$A$73,$B128)=1,IF(VLOOKUP($B128,Master_PIC!$A$8:$G$73,6,FALSE)="","",VLOOKUP($B128,Master_PIC!$A$8:$G$73,6,FALSE)),"")</f>
        <v/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8"/>
      <c r="Y128" s="5"/>
      <c r="Z128" s="5"/>
      <c r="AA128" s="9"/>
      <c r="AB128" s="5"/>
      <c r="AC128" s="5"/>
      <c r="AD128" s="9"/>
      <c r="AE128" s="5"/>
      <c r="AF128" s="7" t="str">
        <f t="shared" si="7"/>
        <v/>
      </c>
      <c r="AG128" s="7" t="str">
        <f t="shared" si="8"/>
        <v/>
      </c>
      <c r="AH128" s="7" t="str">
        <f t="shared" si="9"/>
        <v/>
      </c>
      <c r="AI128" s="7" t="str">
        <f t="shared" si="10"/>
        <v/>
      </c>
      <c r="AJ128" s="7" t="str">
        <f t="shared" si="11"/>
        <v/>
      </c>
      <c r="AK128" s="7" t="str">
        <f t="shared" si="12"/>
        <v/>
      </c>
      <c r="AL128" s="10" t="str">
        <f t="shared" si="13"/>
        <v/>
      </c>
      <c r="AM128" s="15" t="str">
        <f>IF(OR($A128&lt;&gt;"",$B128&lt;&gt;""),IF(OR($A128="",$B128=""),"Isi tanggal dan ID PIC",IF(NOT(ISNUMBER($A128)),"Tanggal harus berupa tanggal Excel",IF(COUNTIFS(Master_PIC!$A$8:$A$73,$B128)&lt;&gt;1,"ID PIC tidak unik/terdaftar",IF(VLOOKUP($B128,Master_PIC!$A$8:$G$73,3,FALSE)&lt;&gt;"Sales","Jabatan tidak sesuai sheet",IF(OR($C128="",$D128="",$E128="",$F128=""),"Lengkapi master PIC",IF(COUNTIFS($A$8:$A$507,$A128,$B$8:$B$507,$B128)&gt;1,"Laporan ganda",IF(COUNTIFS(G128:P128,"Tidak Berlaku")&gt;0,"N/A hanya untuk kegiatan bersyarat",IF(SUM(AG128,AH128,AI128,AJ128,AK128)&lt;&gt;14,"Status kegiatan tidak valid",IF(AK128&gt;0,"Lengkapi status kegiatan",IF(AND(AJ128&gt;0,U128=""),"Isi alasan Tidak Berlaku",IF(AND(SUM(AH128,AI128)&gt;0,OR(U128="",V128="",W128="",X128="")),"Isi kendala dan tindak lanjut",IF(AND(Z128&lt;&gt;"Draft",Z128&lt;&gt;"Dikirim"),"Isi status laporan yang valid",IF(AND(AB128&lt;&gt;"",AB128&lt;&gt;"Belum Diperiksa",AB128&lt;&gt;"Disetujui",AB128&lt;&gt;"Perlu Perbaikan"),"Hasil review tidak valid",IF(AND(Z128="Dikirim",OR(Y128="",AA128="")),"Isi bukti dan waktu kirim",IF(AND(AB128="Disetujui",OR(Z128&lt;&gt;"Dikirim",AC128="",AD128="")),"Lengkapi pemeriksaan",IF(AND(AB128="Perlu Perbaikan",OR(AE128="",AC128="",AD128="")),"Isi pemeriksa dan catatan perbaikan","OK")))))))))))))))),"")</f>
        <v/>
      </c>
    </row>
    <row r="129" spans="1:39" ht="24.95" customHeight="1">
      <c r="A129" s="8"/>
      <c r="B129" s="6"/>
      <c r="C129" s="15" t="str">
        <f>IF(COUNTIFS(Master_PIC!$A$8:$A$73,$B129)=1,IF(VLOOKUP($B129,Master_PIC!$A$8:$G$73,2,FALSE)="","",VLOOKUP($B129,Master_PIC!$A$8:$G$73,2,FALSE)),"")</f>
        <v/>
      </c>
      <c r="D129" s="15" t="str">
        <f>IF(COUNTIFS(Master_PIC!$A$8:$A$73,$B129)=1,IF(VLOOKUP($B129,Master_PIC!$A$8:$G$73,4,FALSE)="","",VLOOKUP($B129,Master_PIC!$A$8:$G$73,4,FALSE)),"")</f>
        <v/>
      </c>
      <c r="E129" s="15" t="str">
        <f>IF(COUNTIFS(Master_PIC!$A$8:$A$73,$B129)=1,IF(VLOOKUP($B129,Master_PIC!$A$8:$G$73,5,FALSE)="","",VLOOKUP($B129,Master_PIC!$A$8:$G$73,5,FALSE)),"")</f>
        <v/>
      </c>
      <c r="F129" s="15" t="str">
        <f>IF(COUNTIFS(Master_PIC!$A$8:$A$73,$B129)=1,IF(VLOOKUP($B129,Master_PIC!$A$8:$G$73,6,FALSE)="","",VLOOKUP($B129,Master_PIC!$A$8:$G$73,6,FALSE)),"")</f>
        <v/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8"/>
      <c r="Y129" s="5"/>
      <c r="Z129" s="5"/>
      <c r="AA129" s="9"/>
      <c r="AB129" s="5"/>
      <c r="AC129" s="5"/>
      <c r="AD129" s="9"/>
      <c r="AE129" s="5"/>
      <c r="AF129" s="7" t="str">
        <f t="shared" si="7"/>
        <v/>
      </c>
      <c r="AG129" s="7" t="str">
        <f t="shared" si="8"/>
        <v/>
      </c>
      <c r="AH129" s="7" t="str">
        <f t="shared" si="9"/>
        <v/>
      </c>
      <c r="AI129" s="7" t="str">
        <f t="shared" si="10"/>
        <v/>
      </c>
      <c r="AJ129" s="7" t="str">
        <f t="shared" si="11"/>
        <v/>
      </c>
      <c r="AK129" s="7" t="str">
        <f t="shared" si="12"/>
        <v/>
      </c>
      <c r="AL129" s="10" t="str">
        <f t="shared" si="13"/>
        <v/>
      </c>
      <c r="AM129" s="15" t="str">
        <f>IF(OR($A129&lt;&gt;"",$B129&lt;&gt;""),IF(OR($A129="",$B129=""),"Isi tanggal dan ID PIC",IF(NOT(ISNUMBER($A129)),"Tanggal harus berupa tanggal Excel",IF(COUNTIFS(Master_PIC!$A$8:$A$73,$B129)&lt;&gt;1,"ID PIC tidak unik/terdaftar",IF(VLOOKUP($B129,Master_PIC!$A$8:$G$73,3,FALSE)&lt;&gt;"Sales","Jabatan tidak sesuai sheet",IF(OR($C129="",$D129="",$E129="",$F129=""),"Lengkapi master PIC",IF(COUNTIFS($A$8:$A$507,$A129,$B$8:$B$507,$B129)&gt;1,"Laporan ganda",IF(COUNTIFS(G129:P129,"Tidak Berlaku")&gt;0,"N/A hanya untuk kegiatan bersyarat",IF(SUM(AG129,AH129,AI129,AJ129,AK129)&lt;&gt;14,"Status kegiatan tidak valid",IF(AK129&gt;0,"Lengkapi status kegiatan",IF(AND(AJ129&gt;0,U129=""),"Isi alasan Tidak Berlaku",IF(AND(SUM(AH129,AI129)&gt;0,OR(U129="",V129="",W129="",X129="")),"Isi kendala dan tindak lanjut",IF(AND(Z129&lt;&gt;"Draft",Z129&lt;&gt;"Dikirim"),"Isi status laporan yang valid",IF(AND(AB129&lt;&gt;"",AB129&lt;&gt;"Belum Diperiksa",AB129&lt;&gt;"Disetujui",AB129&lt;&gt;"Perlu Perbaikan"),"Hasil review tidak valid",IF(AND(Z129="Dikirim",OR(Y129="",AA129="")),"Isi bukti dan waktu kirim",IF(AND(AB129="Disetujui",OR(Z129&lt;&gt;"Dikirim",AC129="",AD129="")),"Lengkapi pemeriksaan",IF(AND(AB129="Perlu Perbaikan",OR(AE129="",AC129="",AD129="")),"Isi pemeriksa dan catatan perbaikan","OK")))))))))))))))),"")</f>
        <v/>
      </c>
    </row>
    <row r="130" spans="1:39" ht="24.95" customHeight="1">
      <c r="A130" s="8"/>
      <c r="B130" s="6"/>
      <c r="C130" s="15" t="str">
        <f>IF(COUNTIFS(Master_PIC!$A$8:$A$73,$B130)=1,IF(VLOOKUP($B130,Master_PIC!$A$8:$G$73,2,FALSE)="","",VLOOKUP($B130,Master_PIC!$A$8:$G$73,2,FALSE)),"")</f>
        <v/>
      </c>
      <c r="D130" s="15" t="str">
        <f>IF(COUNTIFS(Master_PIC!$A$8:$A$73,$B130)=1,IF(VLOOKUP($B130,Master_PIC!$A$8:$G$73,4,FALSE)="","",VLOOKUP($B130,Master_PIC!$A$8:$G$73,4,FALSE)),"")</f>
        <v/>
      </c>
      <c r="E130" s="15" t="str">
        <f>IF(COUNTIFS(Master_PIC!$A$8:$A$73,$B130)=1,IF(VLOOKUP($B130,Master_PIC!$A$8:$G$73,5,FALSE)="","",VLOOKUP($B130,Master_PIC!$A$8:$G$73,5,FALSE)),"")</f>
        <v/>
      </c>
      <c r="F130" s="15" t="str">
        <f>IF(COUNTIFS(Master_PIC!$A$8:$A$73,$B130)=1,IF(VLOOKUP($B130,Master_PIC!$A$8:$G$73,6,FALSE)="","",VLOOKUP($B130,Master_PIC!$A$8:$G$73,6,FALSE)),"")</f>
        <v/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8"/>
      <c r="Y130" s="5"/>
      <c r="Z130" s="5"/>
      <c r="AA130" s="9"/>
      <c r="AB130" s="5"/>
      <c r="AC130" s="5"/>
      <c r="AD130" s="9"/>
      <c r="AE130" s="5"/>
      <c r="AF130" s="7" t="str">
        <f t="shared" si="7"/>
        <v/>
      </c>
      <c r="AG130" s="7" t="str">
        <f t="shared" si="8"/>
        <v/>
      </c>
      <c r="AH130" s="7" t="str">
        <f t="shared" si="9"/>
        <v/>
      </c>
      <c r="AI130" s="7" t="str">
        <f t="shared" si="10"/>
        <v/>
      </c>
      <c r="AJ130" s="7" t="str">
        <f t="shared" si="11"/>
        <v/>
      </c>
      <c r="AK130" s="7" t="str">
        <f t="shared" si="12"/>
        <v/>
      </c>
      <c r="AL130" s="10" t="str">
        <f t="shared" si="13"/>
        <v/>
      </c>
      <c r="AM130" s="15" t="str">
        <f>IF(OR($A130&lt;&gt;"",$B130&lt;&gt;""),IF(OR($A130="",$B130=""),"Isi tanggal dan ID PIC",IF(NOT(ISNUMBER($A130)),"Tanggal harus berupa tanggal Excel",IF(COUNTIFS(Master_PIC!$A$8:$A$73,$B130)&lt;&gt;1,"ID PIC tidak unik/terdaftar",IF(VLOOKUP($B130,Master_PIC!$A$8:$G$73,3,FALSE)&lt;&gt;"Sales","Jabatan tidak sesuai sheet",IF(OR($C130="",$D130="",$E130="",$F130=""),"Lengkapi master PIC",IF(COUNTIFS($A$8:$A$507,$A130,$B$8:$B$507,$B130)&gt;1,"Laporan ganda",IF(COUNTIFS(G130:P130,"Tidak Berlaku")&gt;0,"N/A hanya untuk kegiatan bersyarat",IF(SUM(AG130,AH130,AI130,AJ130,AK130)&lt;&gt;14,"Status kegiatan tidak valid",IF(AK130&gt;0,"Lengkapi status kegiatan",IF(AND(AJ130&gt;0,U130=""),"Isi alasan Tidak Berlaku",IF(AND(SUM(AH130,AI130)&gt;0,OR(U130="",V130="",W130="",X130="")),"Isi kendala dan tindak lanjut",IF(AND(Z130&lt;&gt;"Draft",Z130&lt;&gt;"Dikirim"),"Isi status laporan yang valid",IF(AND(AB130&lt;&gt;"",AB130&lt;&gt;"Belum Diperiksa",AB130&lt;&gt;"Disetujui",AB130&lt;&gt;"Perlu Perbaikan"),"Hasil review tidak valid",IF(AND(Z130="Dikirim",OR(Y130="",AA130="")),"Isi bukti dan waktu kirim",IF(AND(AB130="Disetujui",OR(Z130&lt;&gt;"Dikirim",AC130="",AD130="")),"Lengkapi pemeriksaan",IF(AND(AB130="Perlu Perbaikan",OR(AE130="",AC130="",AD130="")),"Isi pemeriksa dan catatan perbaikan","OK")))))))))))))))),"")</f>
        <v/>
      </c>
    </row>
    <row r="131" spans="1:39" ht="24.95" customHeight="1">
      <c r="A131" s="8"/>
      <c r="B131" s="6"/>
      <c r="C131" s="15" t="str">
        <f>IF(COUNTIFS(Master_PIC!$A$8:$A$73,$B131)=1,IF(VLOOKUP($B131,Master_PIC!$A$8:$G$73,2,FALSE)="","",VLOOKUP($B131,Master_PIC!$A$8:$G$73,2,FALSE)),"")</f>
        <v/>
      </c>
      <c r="D131" s="15" t="str">
        <f>IF(COUNTIFS(Master_PIC!$A$8:$A$73,$B131)=1,IF(VLOOKUP($B131,Master_PIC!$A$8:$G$73,4,FALSE)="","",VLOOKUP($B131,Master_PIC!$A$8:$G$73,4,FALSE)),"")</f>
        <v/>
      </c>
      <c r="E131" s="15" t="str">
        <f>IF(COUNTIFS(Master_PIC!$A$8:$A$73,$B131)=1,IF(VLOOKUP($B131,Master_PIC!$A$8:$G$73,5,FALSE)="","",VLOOKUP($B131,Master_PIC!$A$8:$G$73,5,FALSE)),"")</f>
        <v/>
      </c>
      <c r="F131" s="15" t="str">
        <f>IF(COUNTIFS(Master_PIC!$A$8:$A$73,$B131)=1,IF(VLOOKUP($B131,Master_PIC!$A$8:$G$73,6,FALSE)="","",VLOOKUP($B131,Master_PIC!$A$8:$G$73,6,FALSE)),"")</f>
        <v/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8"/>
      <c r="Y131" s="5"/>
      <c r="Z131" s="5"/>
      <c r="AA131" s="9"/>
      <c r="AB131" s="5"/>
      <c r="AC131" s="5"/>
      <c r="AD131" s="9"/>
      <c r="AE131" s="5"/>
      <c r="AF131" s="7" t="str">
        <f t="shared" si="7"/>
        <v/>
      </c>
      <c r="AG131" s="7" t="str">
        <f t="shared" si="8"/>
        <v/>
      </c>
      <c r="AH131" s="7" t="str">
        <f t="shared" si="9"/>
        <v/>
      </c>
      <c r="AI131" s="7" t="str">
        <f t="shared" si="10"/>
        <v/>
      </c>
      <c r="AJ131" s="7" t="str">
        <f t="shared" si="11"/>
        <v/>
      </c>
      <c r="AK131" s="7" t="str">
        <f t="shared" si="12"/>
        <v/>
      </c>
      <c r="AL131" s="10" t="str">
        <f t="shared" si="13"/>
        <v/>
      </c>
      <c r="AM131" s="15" t="str">
        <f>IF(OR($A131&lt;&gt;"",$B131&lt;&gt;""),IF(OR($A131="",$B131=""),"Isi tanggal dan ID PIC",IF(NOT(ISNUMBER($A131)),"Tanggal harus berupa tanggal Excel",IF(COUNTIFS(Master_PIC!$A$8:$A$73,$B131)&lt;&gt;1,"ID PIC tidak unik/terdaftar",IF(VLOOKUP($B131,Master_PIC!$A$8:$G$73,3,FALSE)&lt;&gt;"Sales","Jabatan tidak sesuai sheet",IF(OR($C131="",$D131="",$E131="",$F131=""),"Lengkapi master PIC",IF(COUNTIFS($A$8:$A$507,$A131,$B$8:$B$507,$B131)&gt;1,"Laporan ganda",IF(COUNTIFS(G131:P131,"Tidak Berlaku")&gt;0,"N/A hanya untuk kegiatan bersyarat",IF(SUM(AG131,AH131,AI131,AJ131,AK131)&lt;&gt;14,"Status kegiatan tidak valid",IF(AK131&gt;0,"Lengkapi status kegiatan",IF(AND(AJ131&gt;0,U131=""),"Isi alasan Tidak Berlaku",IF(AND(SUM(AH131,AI131)&gt;0,OR(U131="",V131="",W131="",X131="")),"Isi kendala dan tindak lanjut",IF(AND(Z131&lt;&gt;"Draft",Z131&lt;&gt;"Dikirim"),"Isi status laporan yang valid",IF(AND(AB131&lt;&gt;"",AB131&lt;&gt;"Belum Diperiksa",AB131&lt;&gt;"Disetujui",AB131&lt;&gt;"Perlu Perbaikan"),"Hasil review tidak valid",IF(AND(Z131="Dikirim",OR(Y131="",AA131="")),"Isi bukti dan waktu kirim",IF(AND(AB131="Disetujui",OR(Z131&lt;&gt;"Dikirim",AC131="",AD131="")),"Lengkapi pemeriksaan",IF(AND(AB131="Perlu Perbaikan",OR(AE131="",AC131="",AD131="")),"Isi pemeriksa dan catatan perbaikan","OK")))))))))))))))),"")</f>
        <v/>
      </c>
    </row>
    <row r="132" spans="1:39" ht="24.95" customHeight="1">
      <c r="A132" s="8"/>
      <c r="B132" s="6"/>
      <c r="C132" s="15" t="str">
        <f>IF(COUNTIFS(Master_PIC!$A$8:$A$73,$B132)=1,IF(VLOOKUP($B132,Master_PIC!$A$8:$G$73,2,FALSE)="","",VLOOKUP($B132,Master_PIC!$A$8:$G$73,2,FALSE)),"")</f>
        <v/>
      </c>
      <c r="D132" s="15" t="str">
        <f>IF(COUNTIFS(Master_PIC!$A$8:$A$73,$B132)=1,IF(VLOOKUP($B132,Master_PIC!$A$8:$G$73,4,FALSE)="","",VLOOKUP($B132,Master_PIC!$A$8:$G$73,4,FALSE)),"")</f>
        <v/>
      </c>
      <c r="E132" s="15" t="str">
        <f>IF(COUNTIFS(Master_PIC!$A$8:$A$73,$B132)=1,IF(VLOOKUP($B132,Master_PIC!$A$8:$G$73,5,FALSE)="","",VLOOKUP($B132,Master_PIC!$A$8:$G$73,5,FALSE)),"")</f>
        <v/>
      </c>
      <c r="F132" s="15" t="str">
        <f>IF(COUNTIFS(Master_PIC!$A$8:$A$73,$B132)=1,IF(VLOOKUP($B132,Master_PIC!$A$8:$G$73,6,FALSE)="","",VLOOKUP($B132,Master_PIC!$A$8:$G$73,6,FALSE)),"")</f>
        <v/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8"/>
      <c r="Y132" s="5"/>
      <c r="Z132" s="5"/>
      <c r="AA132" s="9"/>
      <c r="AB132" s="5"/>
      <c r="AC132" s="5"/>
      <c r="AD132" s="9"/>
      <c r="AE132" s="5"/>
      <c r="AF132" s="7" t="str">
        <f t="shared" si="7"/>
        <v/>
      </c>
      <c r="AG132" s="7" t="str">
        <f t="shared" si="8"/>
        <v/>
      </c>
      <c r="AH132" s="7" t="str">
        <f t="shared" si="9"/>
        <v/>
      </c>
      <c r="AI132" s="7" t="str">
        <f t="shared" si="10"/>
        <v/>
      </c>
      <c r="AJ132" s="7" t="str">
        <f t="shared" si="11"/>
        <v/>
      </c>
      <c r="AK132" s="7" t="str">
        <f t="shared" si="12"/>
        <v/>
      </c>
      <c r="AL132" s="10" t="str">
        <f t="shared" si="13"/>
        <v/>
      </c>
      <c r="AM132" s="15" t="str">
        <f>IF(OR($A132&lt;&gt;"",$B132&lt;&gt;""),IF(OR($A132="",$B132=""),"Isi tanggal dan ID PIC",IF(NOT(ISNUMBER($A132)),"Tanggal harus berupa tanggal Excel",IF(COUNTIFS(Master_PIC!$A$8:$A$73,$B132)&lt;&gt;1,"ID PIC tidak unik/terdaftar",IF(VLOOKUP($B132,Master_PIC!$A$8:$G$73,3,FALSE)&lt;&gt;"Sales","Jabatan tidak sesuai sheet",IF(OR($C132="",$D132="",$E132="",$F132=""),"Lengkapi master PIC",IF(COUNTIFS($A$8:$A$507,$A132,$B$8:$B$507,$B132)&gt;1,"Laporan ganda",IF(COUNTIFS(G132:P132,"Tidak Berlaku")&gt;0,"N/A hanya untuk kegiatan bersyarat",IF(SUM(AG132,AH132,AI132,AJ132,AK132)&lt;&gt;14,"Status kegiatan tidak valid",IF(AK132&gt;0,"Lengkapi status kegiatan",IF(AND(AJ132&gt;0,U132=""),"Isi alasan Tidak Berlaku",IF(AND(SUM(AH132,AI132)&gt;0,OR(U132="",V132="",W132="",X132="")),"Isi kendala dan tindak lanjut",IF(AND(Z132&lt;&gt;"Draft",Z132&lt;&gt;"Dikirim"),"Isi status laporan yang valid",IF(AND(AB132&lt;&gt;"",AB132&lt;&gt;"Belum Diperiksa",AB132&lt;&gt;"Disetujui",AB132&lt;&gt;"Perlu Perbaikan"),"Hasil review tidak valid",IF(AND(Z132="Dikirim",OR(Y132="",AA132="")),"Isi bukti dan waktu kirim",IF(AND(AB132="Disetujui",OR(Z132&lt;&gt;"Dikirim",AC132="",AD132="")),"Lengkapi pemeriksaan",IF(AND(AB132="Perlu Perbaikan",OR(AE132="",AC132="",AD132="")),"Isi pemeriksa dan catatan perbaikan","OK")))))))))))))))),"")</f>
        <v/>
      </c>
    </row>
    <row r="133" spans="1:39" ht="24.95" customHeight="1">
      <c r="A133" s="8"/>
      <c r="B133" s="6"/>
      <c r="C133" s="15" t="str">
        <f>IF(COUNTIFS(Master_PIC!$A$8:$A$73,$B133)=1,IF(VLOOKUP($B133,Master_PIC!$A$8:$G$73,2,FALSE)="","",VLOOKUP($B133,Master_PIC!$A$8:$G$73,2,FALSE)),"")</f>
        <v/>
      </c>
      <c r="D133" s="15" t="str">
        <f>IF(COUNTIFS(Master_PIC!$A$8:$A$73,$B133)=1,IF(VLOOKUP($B133,Master_PIC!$A$8:$G$73,4,FALSE)="","",VLOOKUP($B133,Master_PIC!$A$8:$G$73,4,FALSE)),"")</f>
        <v/>
      </c>
      <c r="E133" s="15" t="str">
        <f>IF(COUNTIFS(Master_PIC!$A$8:$A$73,$B133)=1,IF(VLOOKUP($B133,Master_PIC!$A$8:$G$73,5,FALSE)="","",VLOOKUP($B133,Master_PIC!$A$8:$G$73,5,FALSE)),"")</f>
        <v/>
      </c>
      <c r="F133" s="15" t="str">
        <f>IF(COUNTIFS(Master_PIC!$A$8:$A$73,$B133)=1,IF(VLOOKUP($B133,Master_PIC!$A$8:$G$73,6,FALSE)="","",VLOOKUP($B133,Master_PIC!$A$8:$G$73,6,FALSE)),"")</f>
        <v/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8"/>
      <c r="Y133" s="5"/>
      <c r="Z133" s="5"/>
      <c r="AA133" s="9"/>
      <c r="AB133" s="5"/>
      <c r="AC133" s="5"/>
      <c r="AD133" s="9"/>
      <c r="AE133" s="5"/>
      <c r="AF133" s="7" t="str">
        <f t="shared" si="7"/>
        <v/>
      </c>
      <c r="AG133" s="7" t="str">
        <f t="shared" si="8"/>
        <v/>
      </c>
      <c r="AH133" s="7" t="str">
        <f t="shared" si="9"/>
        <v/>
      </c>
      <c r="AI133" s="7" t="str">
        <f t="shared" si="10"/>
        <v/>
      </c>
      <c r="AJ133" s="7" t="str">
        <f t="shared" si="11"/>
        <v/>
      </c>
      <c r="AK133" s="7" t="str">
        <f t="shared" si="12"/>
        <v/>
      </c>
      <c r="AL133" s="10" t="str">
        <f t="shared" si="13"/>
        <v/>
      </c>
      <c r="AM133" s="15" t="str">
        <f>IF(OR($A133&lt;&gt;"",$B133&lt;&gt;""),IF(OR($A133="",$B133=""),"Isi tanggal dan ID PIC",IF(NOT(ISNUMBER($A133)),"Tanggal harus berupa tanggal Excel",IF(COUNTIFS(Master_PIC!$A$8:$A$73,$B133)&lt;&gt;1,"ID PIC tidak unik/terdaftar",IF(VLOOKUP($B133,Master_PIC!$A$8:$G$73,3,FALSE)&lt;&gt;"Sales","Jabatan tidak sesuai sheet",IF(OR($C133="",$D133="",$E133="",$F133=""),"Lengkapi master PIC",IF(COUNTIFS($A$8:$A$507,$A133,$B$8:$B$507,$B133)&gt;1,"Laporan ganda",IF(COUNTIFS(G133:P133,"Tidak Berlaku")&gt;0,"N/A hanya untuk kegiatan bersyarat",IF(SUM(AG133,AH133,AI133,AJ133,AK133)&lt;&gt;14,"Status kegiatan tidak valid",IF(AK133&gt;0,"Lengkapi status kegiatan",IF(AND(AJ133&gt;0,U133=""),"Isi alasan Tidak Berlaku",IF(AND(SUM(AH133,AI133)&gt;0,OR(U133="",V133="",W133="",X133="")),"Isi kendala dan tindak lanjut",IF(AND(Z133&lt;&gt;"Draft",Z133&lt;&gt;"Dikirim"),"Isi status laporan yang valid",IF(AND(AB133&lt;&gt;"",AB133&lt;&gt;"Belum Diperiksa",AB133&lt;&gt;"Disetujui",AB133&lt;&gt;"Perlu Perbaikan"),"Hasil review tidak valid",IF(AND(Z133="Dikirim",OR(Y133="",AA133="")),"Isi bukti dan waktu kirim",IF(AND(AB133="Disetujui",OR(Z133&lt;&gt;"Dikirim",AC133="",AD133="")),"Lengkapi pemeriksaan",IF(AND(AB133="Perlu Perbaikan",OR(AE133="",AC133="",AD133="")),"Isi pemeriksa dan catatan perbaikan","OK")))))))))))))))),"")</f>
        <v/>
      </c>
    </row>
    <row r="134" spans="1:39" ht="24.95" customHeight="1">
      <c r="A134" s="8"/>
      <c r="B134" s="6"/>
      <c r="C134" s="15" t="str">
        <f>IF(COUNTIFS(Master_PIC!$A$8:$A$73,$B134)=1,IF(VLOOKUP($B134,Master_PIC!$A$8:$G$73,2,FALSE)="","",VLOOKUP($B134,Master_PIC!$A$8:$G$73,2,FALSE)),"")</f>
        <v/>
      </c>
      <c r="D134" s="15" t="str">
        <f>IF(COUNTIFS(Master_PIC!$A$8:$A$73,$B134)=1,IF(VLOOKUP($B134,Master_PIC!$A$8:$G$73,4,FALSE)="","",VLOOKUP($B134,Master_PIC!$A$8:$G$73,4,FALSE)),"")</f>
        <v/>
      </c>
      <c r="E134" s="15" t="str">
        <f>IF(COUNTIFS(Master_PIC!$A$8:$A$73,$B134)=1,IF(VLOOKUP($B134,Master_PIC!$A$8:$G$73,5,FALSE)="","",VLOOKUP($B134,Master_PIC!$A$8:$G$73,5,FALSE)),"")</f>
        <v/>
      </c>
      <c r="F134" s="15" t="str">
        <f>IF(COUNTIFS(Master_PIC!$A$8:$A$73,$B134)=1,IF(VLOOKUP($B134,Master_PIC!$A$8:$G$73,6,FALSE)="","",VLOOKUP($B134,Master_PIC!$A$8:$G$73,6,FALSE)),"")</f>
        <v/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8"/>
      <c r="Y134" s="5"/>
      <c r="Z134" s="5"/>
      <c r="AA134" s="9"/>
      <c r="AB134" s="5"/>
      <c r="AC134" s="5"/>
      <c r="AD134" s="9"/>
      <c r="AE134" s="5"/>
      <c r="AF134" s="7" t="str">
        <f t="shared" si="7"/>
        <v/>
      </c>
      <c r="AG134" s="7" t="str">
        <f t="shared" si="8"/>
        <v/>
      </c>
      <c r="AH134" s="7" t="str">
        <f t="shared" si="9"/>
        <v/>
      </c>
      <c r="AI134" s="7" t="str">
        <f t="shared" si="10"/>
        <v/>
      </c>
      <c r="AJ134" s="7" t="str">
        <f t="shared" si="11"/>
        <v/>
      </c>
      <c r="AK134" s="7" t="str">
        <f t="shared" si="12"/>
        <v/>
      </c>
      <c r="AL134" s="10" t="str">
        <f t="shared" si="13"/>
        <v/>
      </c>
      <c r="AM134" s="15" t="str">
        <f>IF(OR($A134&lt;&gt;"",$B134&lt;&gt;""),IF(OR($A134="",$B134=""),"Isi tanggal dan ID PIC",IF(NOT(ISNUMBER($A134)),"Tanggal harus berupa tanggal Excel",IF(COUNTIFS(Master_PIC!$A$8:$A$73,$B134)&lt;&gt;1,"ID PIC tidak unik/terdaftar",IF(VLOOKUP($B134,Master_PIC!$A$8:$G$73,3,FALSE)&lt;&gt;"Sales","Jabatan tidak sesuai sheet",IF(OR($C134="",$D134="",$E134="",$F134=""),"Lengkapi master PIC",IF(COUNTIFS($A$8:$A$507,$A134,$B$8:$B$507,$B134)&gt;1,"Laporan ganda",IF(COUNTIFS(G134:P134,"Tidak Berlaku")&gt;0,"N/A hanya untuk kegiatan bersyarat",IF(SUM(AG134,AH134,AI134,AJ134,AK134)&lt;&gt;14,"Status kegiatan tidak valid",IF(AK134&gt;0,"Lengkapi status kegiatan",IF(AND(AJ134&gt;0,U134=""),"Isi alasan Tidak Berlaku",IF(AND(SUM(AH134,AI134)&gt;0,OR(U134="",V134="",W134="",X134="")),"Isi kendala dan tindak lanjut",IF(AND(Z134&lt;&gt;"Draft",Z134&lt;&gt;"Dikirim"),"Isi status laporan yang valid",IF(AND(AB134&lt;&gt;"",AB134&lt;&gt;"Belum Diperiksa",AB134&lt;&gt;"Disetujui",AB134&lt;&gt;"Perlu Perbaikan"),"Hasil review tidak valid",IF(AND(Z134="Dikirim",OR(Y134="",AA134="")),"Isi bukti dan waktu kirim",IF(AND(AB134="Disetujui",OR(Z134&lt;&gt;"Dikirim",AC134="",AD134="")),"Lengkapi pemeriksaan",IF(AND(AB134="Perlu Perbaikan",OR(AE134="",AC134="",AD134="")),"Isi pemeriksa dan catatan perbaikan","OK")))))))))))))))),"")</f>
        <v/>
      </c>
    </row>
    <row r="135" spans="1:39" ht="24.95" customHeight="1">
      <c r="A135" s="8"/>
      <c r="B135" s="6"/>
      <c r="C135" s="15" t="str">
        <f>IF(COUNTIFS(Master_PIC!$A$8:$A$73,$B135)=1,IF(VLOOKUP($B135,Master_PIC!$A$8:$G$73,2,FALSE)="","",VLOOKUP($B135,Master_PIC!$A$8:$G$73,2,FALSE)),"")</f>
        <v/>
      </c>
      <c r="D135" s="15" t="str">
        <f>IF(COUNTIFS(Master_PIC!$A$8:$A$73,$B135)=1,IF(VLOOKUP($B135,Master_PIC!$A$8:$G$73,4,FALSE)="","",VLOOKUP($B135,Master_PIC!$A$8:$G$73,4,FALSE)),"")</f>
        <v/>
      </c>
      <c r="E135" s="15" t="str">
        <f>IF(COUNTIFS(Master_PIC!$A$8:$A$73,$B135)=1,IF(VLOOKUP($B135,Master_PIC!$A$8:$G$73,5,FALSE)="","",VLOOKUP($B135,Master_PIC!$A$8:$G$73,5,FALSE)),"")</f>
        <v/>
      </c>
      <c r="F135" s="15" t="str">
        <f>IF(COUNTIFS(Master_PIC!$A$8:$A$73,$B135)=1,IF(VLOOKUP($B135,Master_PIC!$A$8:$G$73,6,FALSE)="","",VLOOKUP($B135,Master_PIC!$A$8:$G$73,6,FALSE)),"")</f>
        <v/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8"/>
      <c r="Y135" s="5"/>
      <c r="Z135" s="5"/>
      <c r="AA135" s="9"/>
      <c r="AB135" s="5"/>
      <c r="AC135" s="5"/>
      <c r="AD135" s="9"/>
      <c r="AE135" s="5"/>
      <c r="AF135" s="7" t="str">
        <f t="shared" si="7"/>
        <v/>
      </c>
      <c r="AG135" s="7" t="str">
        <f t="shared" si="8"/>
        <v/>
      </c>
      <c r="AH135" s="7" t="str">
        <f t="shared" si="9"/>
        <v/>
      </c>
      <c r="AI135" s="7" t="str">
        <f t="shared" si="10"/>
        <v/>
      </c>
      <c r="AJ135" s="7" t="str">
        <f t="shared" si="11"/>
        <v/>
      </c>
      <c r="AK135" s="7" t="str">
        <f t="shared" si="12"/>
        <v/>
      </c>
      <c r="AL135" s="10" t="str">
        <f t="shared" si="13"/>
        <v/>
      </c>
      <c r="AM135" s="15" t="str">
        <f>IF(OR($A135&lt;&gt;"",$B135&lt;&gt;""),IF(OR($A135="",$B135=""),"Isi tanggal dan ID PIC",IF(NOT(ISNUMBER($A135)),"Tanggal harus berupa tanggal Excel",IF(COUNTIFS(Master_PIC!$A$8:$A$73,$B135)&lt;&gt;1,"ID PIC tidak unik/terdaftar",IF(VLOOKUP($B135,Master_PIC!$A$8:$G$73,3,FALSE)&lt;&gt;"Sales","Jabatan tidak sesuai sheet",IF(OR($C135="",$D135="",$E135="",$F135=""),"Lengkapi master PIC",IF(COUNTIFS($A$8:$A$507,$A135,$B$8:$B$507,$B135)&gt;1,"Laporan ganda",IF(COUNTIFS(G135:P135,"Tidak Berlaku")&gt;0,"N/A hanya untuk kegiatan bersyarat",IF(SUM(AG135,AH135,AI135,AJ135,AK135)&lt;&gt;14,"Status kegiatan tidak valid",IF(AK135&gt;0,"Lengkapi status kegiatan",IF(AND(AJ135&gt;0,U135=""),"Isi alasan Tidak Berlaku",IF(AND(SUM(AH135,AI135)&gt;0,OR(U135="",V135="",W135="",X135="")),"Isi kendala dan tindak lanjut",IF(AND(Z135&lt;&gt;"Draft",Z135&lt;&gt;"Dikirim"),"Isi status laporan yang valid",IF(AND(AB135&lt;&gt;"",AB135&lt;&gt;"Belum Diperiksa",AB135&lt;&gt;"Disetujui",AB135&lt;&gt;"Perlu Perbaikan"),"Hasil review tidak valid",IF(AND(Z135="Dikirim",OR(Y135="",AA135="")),"Isi bukti dan waktu kirim",IF(AND(AB135="Disetujui",OR(Z135&lt;&gt;"Dikirim",AC135="",AD135="")),"Lengkapi pemeriksaan",IF(AND(AB135="Perlu Perbaikan",OR(AE135="",AC135="",AD135="")),"Isi pemeriksa dan catatan perbaikan","OK")))))))))))))))),"")</f>
        <v/>
      </c>
    </row>
    <row r="136" spans="1:39" ht="24.95" customHeight="1">
      <c r="A136" s="8"/>
      <c r="B136" s="6"/>
      <c r="C136" s="15" t="str">
        <f>IF(COUNTIFS(Master_PIC!$A$8:$A$73,$B136)=1,IF(VLOOKUP($B136,Master_PIC!$A$8:$G$73,2,FALSE)="","",VLOOKUP($B136,Master_PIC!$A$8:$G$73,2,FALSE)),"")</f>
        <v/>
      </c>
      <c r="D136" s="15" t="str">
        <f>IF(COUNTIFS(Master_PIC!$A$8:$A$73,$B136)=1,IF(VLOOKUP($B136,Master_PIC!$A$8:$G$73,4,FALSE)="","",VLOOKUP($B136,Master_PIC!$A$8:$G$73,4,FALSE)),"")</f>
        <v/>
      </c>
      <c r="E136" s="15" t="str">
        <f>IF(COUNTIFS(Master_PIC!$A$8:$A$73,$B136)=1,IF(VLOOKUP($B136,Master_PIC!$A$8:$G$73,5,FALSE)="","",VLOOKUP($B136,Master_PIC!$A$8:$G$73,5,FALSE)),"")</f>
        <v/>
      </c>
      <c r="F136" s="15" t="str">
        <f>IF(COUNTIFS(Master_PIC!$A$8:$A$73,$B136)=1,IF(VLOOKUP($B136,Master_PIC!$A$8:$G$73,6,FALSE)="","",VLOOKUP($B136,Master_PIC!$A$8:$G$73,6,FALSE)),"")</f>
        <v/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8"/>
      <c r="Y136" s="5"/>
      <c r="Z136" s="5"/>
      <c r="AA136" s="9"/>
      <c r="AB136" s="5"/>
      <c r="AC136" s="5"/>
      <c r="AD136" s="9"/>
      <c r="AE136" s="5"/>
      <c r="AF136" s="7" t="str">
        <f t="shared" ref="AF136:AF199" si="14">IF(OR($A136&lt;&gt;"",$B136&lt;&gt;""),14-AJ136,"")</f>
        <v/>
      </c>
      <c r="AG136" s="7" t="str">
        <f t="shared" ref="AG136:AG199" si="15">IF(OR($A136&lt;&gt;"",$B136&lt;&gt;""),COUNTIFS(G136:T136,"Selesai"),"")</f>
        <v/>
      </c>
      <c r="AH136" s="7" t="str">
        <f t="shared" ref="AH136:AH199" si="16">IF(OR($A136&lt;&gt;"",$B136&lt;&gt;""),COUNTIFS(G136:T136,"Proses"),"")</f>
        <v/>
      </c>
      <c r="AI136" s="7" t="str">
        <f t="shared" ref="AI136:AI199" si="17">IF(OR($A136&lt;&gt;"",$B136&lt;&gt;""),COUNTIFS(G136:T136,"Belum"),"")</f>
        <v/>
      </c>
      <c r="AJ136" s="7" t="str">
        <f t="shared" ref="AJ136:AJ199" si="18">IF(OR($A136&lt;&gt;"",$B136&lt;&gt;""),COUNTIFS(G136:T136,"Tidak Berlaku"),"")</f>
        <v/>
      </c>
      <c r="AK136" s="7" t="str">
        <f t="shared" ref="AK136:AK199" si="19">IF(OR($A136&lt;&gt;"",$B136&lt;&gt;""),COUNTBLANK(G136:T136),"")</f>
        <v/>
      </c>
      <c r="AL136" s="10" t="str">
        <f t="shared" ref="AL136:AL199" si="20">IF(OR($A136&lt;&gt;"",$B136&lt;&gt;""),IF(AF136=0,"n.a.",AG136/AF136),"")</f>
        <v/>
      </c>
      <c r="AM136" s="15" t="str">
        <f>IF(OR($A136&lt;&gt;"",$B136&lt;&gt;""),IF(OR($A136="",$B136=""),"Isi tanggal dan ID PIC",IF(NOT(ISNUMBER($A136)),"Tanggal harus berupa tanggal Excel",IF(COUNTIFS(Master_PIC!$A$8:$A$73,$B136)&lt;&gt;1,"ID PIC tidak unik/terdaftar",IF(VLOOKUP($B136,Master_PIC!$A$8:$G$73,3,FALSE)&lt;&gt;"Sales","Jabatan tidak sesuai sheet",IF(OR($C136="",$D136="",$E136="",$F136=""),"Lengkapi master PIC",IF(COUNTIFS($A$8:$A$507,$A136,$B$8:$B$507,$B136)&gt;1,"Laporan ganda",IF(COUNTIFS(G136:P136,"Tidak Berlaku")&gt;0,"N/A hanya untuk kegiatan bersyarat",IF(SUM(AG136,AH136,AI136,AJ136,AK136)&lt;&gt;14,"Status kegiatan tidak valid",IF(AK136&gt;0,"Lengkapi status kegiatan",IF(AND(AJ136&gt;0,U136=""),"Isi alasan Tidak Berlaku",IF(AND(SUM(AH136,AI136)&gt;0,OR(U136="",V136="",W136="",X136="")),"Isi kendala dan tindak lanjut",IF(AND(Z136&lt;&gt;"Draft",Z136&lt;&gt;"Dikirim"),"Isi status laporan yang valid",IF(AND(AB136&lt;&gt;"",AB136&lt;&gt;"Belum Diperiksa",AB136&lt;&gt;"Disetujui",AB136&lt;&gt;"Perlu Perbaikan"),"Hasil review tidak valid",IF(AND(Z136="Dikirim",OR(Y136="",AA136="")),"Isi bukti dan waktu kirim",IF(AND(AB136="Disetujui",OR(Z136&lt;&gt;"Dikirim",AC136="",AD136="")),"Lengkapi pemeriksaan",IF(AND(AB136="Perlu Perbaikan",OR(AE136="",AC136="",AD136="")),"Isi pemeriksa dan catatan perbaikan","OK")))))))))))))))),"")</f>
        <v/>
      </c>
    </row>
    <row r="137" spans="1:39" ht="24.95" customHeight="1">
      <c r="A137" s="8"/>
      <c r="B137" s="6"/>
      <c r="C137" s="15" t="str">
        <f>IF(COUNTIFS(Master_PIC!$A$8:$A$73,$B137)=1,IF(VLOOKUP($B137,Master_PIC!$A$8:$G$73,2,FALSE)="","",VLOOKUP($B137,Master_PIC!$A$8:$G$73,2,FALSE)),"")</f>
        <v/>
      </c>
      <c r="D137" s="15" t="str">
        <f>IF(COUNTIFS(Master_PIC!$A$8:$A$73,$B137)=1,IF(VLOOKUP($B137,Master_PIC!$A$8:$G$73,4,FALSE)="","",VLOOKUP($B137,Master_PIC!$A$8:$G$73,4,FALSE)),"")</f>
        <v/>
      </c>
      <c r="E137" s="15" t="str">
        <f>IF(COUNTIFS(Master_PIC!$A$8:$A$73,$B137)=1,IF(VLOOKUP($B137,Master_PIC!$A$8:$G$73,5,FALSE)="","",VLOOKUP($B137,Master_PIC!$A$8:$G$73,5,FALSE)),"")</f>
        <v/>
      </c>
      <c r="F137" s="15" t="str">
        <f>IF(COUNTIFS(Master_PIC!$A$8:$A$73,$B137)=1,IF(VLOOKUP($B137,Master_PIC!$A$8:$G$73,6,FALSE)="","",VLOOKUP($B137,Master_PIC!$A$8:$G$73,6,FALSE)),"")</f>
        <v/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8"/>
      <c r="Y137" s="5"/>
      <c r="Z137" s="5"/>
      <c r="AA137" s="9"/>
      <c r="AB137" s="5"/>
      <c r="AC137" s="5"/>
      <c r="AD137" s="9"/>
      <c r="AE137" s="5"/>
      <c r="AF137" s="7" t="str">
        <f t="shared" si="14"/>
        <v/>
      </c>
      <c r="AG137" s="7" t="str">
        <f t="shared" si="15"/>
        <v/>
      </c>
      <c r="AH137" s="7" t="str">
        <f t="shared" si="16"/>
        <v/>
      </c>
      <c r="AI137" s="7" t="str">
        <f t="shared" si="17"/>
        <v/>
      </c>
      <c r="AJ137" s="7" t="str">
        <f t="shared" si="18"/>
        <v/>
      </c>
      <c r="AK137" s="7" t="str">
        <f t="shared" si="19"/>
        <v/>
      </c>
      <c r="AL137" s="10" t="str">
        <f t="shared" si="20"/>
        <v/>
      </c>
      <c r="AM137" s="15" t="str">
        <f>IF(OR($A137&lt;&gt;"",$B137&lt;&gt;""),IF(OR($A137="",$B137=""),"Isi tanggal dan ID PIC",IF(NOT(ISNUMBER($A137)),"Tanggal harus berupa tanggal Excel",IF(COUNTIFS(Master_PIC!$A$8:$A$73,$B137)&lt;&gt;1,"ID PIC tidak unik/terdaftar",IF(VLOOKUP($B137,Master_PIC!$A$8:$G$73,3,FALSE)&lt;&gt;"Sales","Jabatan tidak sesuai sheet",IF(OR($C137="",$D137="",$E137="",$F137=""),"Lengkapi master PIC",IF(COUNTIFS($A$8:$A$507,$A137,$B$8:$B$507,$B137)&gt;1,"Laporan ganda",IF(COUNTIFS(G137:P137,"Tidak Berlaku")&gt;0,"N/A hanya untuk kegiatan bersyarat",IF(SUM(AG137,AH137,AI137,AJ137,AK137)&lt;&gt;14,"Status kegiatan tidak valid",IF(AK137&gt;0,"Lengkapi status kegiatan",IF(AND(AJ137&gt;0,U137=""),"Isi alasan Tidak Berlaku",IF(AND(SUM(AH137,AI137)&gt;0,OR(U137="",V137="",W137="",X137="")),"Isi kendala dan tindak lanjut",IF(AND(Z137&lt;&gt;"Draft",Z137&lt;&gt;"Dikirim"),"Isi status laporan yang valid",IF(AND(AB137&lt;&gt;"",AB137&lt;&gt;"Belum Diperiksa",AB137&lt;&gt;"Disetujui",AB137&lt;&gt;"Perlu Perbaikan"),"Hasil review tidak valid",IF(AND(Z137="Dikirim",OR(Y137="",AA137="")),"Isi bukti dan waktu kirim",IF(AND(AB137="Disetujui",OR(Z137&lt;&gt;"Dikirim",AC137="",AD137="")),"Lengkapi pemeriksaan",IF(AND(AB137="Perlu Perbaikan",OR(AE137="",AC137="",AD137="")),"Isi pemeriksa dan catatan perbaikan","OK")))))))))))))))),"")</f>
        <v/>
      </c>
    </row>
    <row r="138" spans="1:39" ht="24.95" customHeight="1">
      <c r="A138" s="8"/>
      <c r="B138" s="6"/>
      <c r="C138" s="15" t="str">
        <f>IF(COUNTIFS(Master_PIC!$A$8:$A$73,$B138)=1,IF(VLOOKUP($B138,Master_PIC!$A$8:$G$73,2,FALSE)="","",VLOOKUP($B138,Master_PIC!$A$8:$G$73,2,FALSE)),"")</f>
        <v/>
      </c>
      <c r="D138" s="15" t="str">
        <f>IF(COUNTIFS(Master_PIC!$A$8:$A$73,$B138)=1,IF(VLOOKUP($B138,Master_PIC!$A$8:$G$73,4,FALSE)="","",VLOOKUP($B138,Master_PIC!$A$8:$G$73,4,FALSE)),"")</f>
        <v/>
      </c>
      <c r="E138" s="15" t="str">
        <f>IF(COUNTIFS(Master_PIC!$A$8:$A$73,$B138)=1,IF(VLOOKUP($B138,Master_PIC!$A$8:$G$73,5,FALSE)="","",VLOOKUP($B138,Master_PIC!$A$8:$G$73,5,FALSE)),"")</f>
        <v/>
      </c>
      <c r="F138" s="15" t="str">
        <f>IF(COUNTIFS(Master_PIC!$A$8:$A$73,$B138)=1,IF(VLOOKUP($B138,Master_PIC!$A$8:$G$73,6,FALSE)="","",VLOOKUP($B138,Master_PIC!$A$8:$G$73,6,FALSE)),"")</f>
        <v/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8"/>
      <c r="Y138" s="5"/>
      <c r="Z138" s="5"/>
      <c r="AA138" s="9"/>
      <c r="AB138" s="5"/>
      <c r="AC138" s="5"/>
      <c r="AD138" s="9"/>
      <c r="AE138" s="5"/>
      <c r="AF138" s="7" t="str">
        <f t="shared" si="14"/>
        <v/>
      </c>
      <c r="AG138" s="7" t="str">
        <f t="shared" si="15"/>
        <v/>
      </c>
      <c r="AH138" s="7" t="str">
        <f t="shared" si="16"/>
        <v/>
      </c>
      <c r="AI138" s="7" t="str">
        <f t="shared" si="17"/>
        <v/>
      </c>
      <c r="AJ138" s="7" t="str">
        <f t="shared" si="18"/>
        <v/>
      </c>
      <c r="AK138" s="7" t="str">
        <f t="shared" si="19"/>
        <v/>
      </c>
      <c r="AL138" s="10" t="str">
        <f t="shared" si="20"/>
        <v/>
      </c>
      <c r="AM138" s="15" t="str">
        <f>IF(OR($A138&lt;&gt;"",$B138&lt;&gt;""),IF(OR($A138="",$B138=""),"Isi tanggal dan ID PIC",IF(NOT(ISNUMBER($A138)),"Tanggal harus berupa tanggal Excel",IF(COUNTIFS(Master_PIC!$A$8:$A$73,$B138)&lt;&gt;1,"ID PIC tidak unik/terdaftar",IF(VLOOKUP($B138,Master_PIC!$A$8:$G$73,3,FALSE)&lt;&gt;"Sales","Jabatan tidak sesuai sheet",IF(OR($C138="",$D138="",$E138="",$F138=""),"Lengkapi master PIC",IF(COUNTIFS($A$8:$A$507,$A138,$B$8:$B$507,$B138)&gt;1,"Laporan ganda",IF(COUNTIFS(G138:P138,"Tidak Berlaku")&gt;0,"N/A hanya untuk kegiatan bersyarat",IF(SUM(AG138,AH138,AI138,AJ138,AK138)&lt;&gt;14,"Status kegiatan tidak valid",IF(AK138&gt;0,"Lengkapi status kegiatan",IF(AND(AJ138&gt;0,U138=""),"Isi alasan Tidak Berlaku",IF(AND(SUM(AH138,AI138)&gt;0,OR(U138="",V138="",W138="",X138="")),"Isi kendala dan tindak lanjut",IF(AND(Z138&lt;&gt;"Draft",Z138&lt;&gt;"Dikirim"),"Isi status laporan yang valid",IF(AND(AB138&lt;&gt;"",AB138&lt;&gt;"Belum Diperiksa",AB138&lt;&gt;"Disetujui",AB138&lt;&gt;"Perlu Perbaikan"),"Hasil review tidak valid",IF(AND(Z138="Dikirim",OR(Y138="",AA138="")),"Isi bukti dan waktu kirim",IF(AND(AB138="Disetujui",OR(Z138&lt;&gt;"Dikirim",AC138="",AD138="")),"Lengkapi pemeriksaan",IF(AND(AB138="Perlu Perbaikan",OR(AE138="",AC138="",AD138="")),"Isi pemeriksa dan catatan perbaikan","OK")))))))))))))))),"")</f>
        <v/>
      </c>
    </row>
    <row r="139" spans="1:39" ht="24.95" customHeight="1">
      <c r="A139" s="8"/>
      <c r="B139" s="6"/>
      <c r="C139" s="15" t="str">
        <f>IF(COUNTIFS(Master_PIC!$A$8:$A$73,$B139)=1,IF(VLOOKUP($B139,Master_PIC!$A$8:$G$73,2,FALSE)="","",VLOOKUP($B139,Master_PIC!$A$8:$G$73,2,FALSE)),"")</f>
        <v/>
      </c>
      <c r="D139" s="15" t="str">
        <f>IF(COUNTIFS(Master_PIC!$A$8:$A$73,$B139)=1,IF(VLOOKUP($B139,Master_PIC!$A$8:$G$73,4,FALSE)="","",VLOOKUP($B139,Master_PIC!$A$8:$G$73,4,FALSE)),"")</f>
        <v/>
      </c>
      <c r="E139" s="15" t="str">
        <f>IF(COUNTIFS(Master_PIC!$A$8:$A$73,$B139)=1,IF(VLOOKUP($B139,Master_PIC!$A$8:$G$73,5,FALSE)="","",VLOOKUP($B139,Master_PIC!$A$8:$G$73,5,FALSE)),"")</f>
        <v/>
      </c>
      <c r="F139" s="15" t="str">
        <f>IF(COUNTIFS(Master_PIC!$A$8:$A$73,$B139)=1,IF(VLOOKUP($B139,Master_PIC!$A$8:$G$73,6,FALSE)="","",VLOOKUP($B139,Master_PIC!$A$8:$G$73,6,FALSE)),"")</f>
        <v/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8"/>
      <c r="Y139" s="5"/>
      <c r="Z139" s="5"/>
      <c r="AA139" s="9"/>
      <c r="AB139" s="5"/>
      <c r="AC139" s="5"/>
      <c r="AD139" s="9"/>
      <c r="AE139" s="5"/>
      <c r="AF139" s="7" t="str">
        <f t="shared" si="14"/>
        <v/>
      </c>
      <c r="AG139" s="7" t="str">
        <f t="shared" si="15"/>
        <v/>
      </c>
      <c r="AH139" s="7" t="str">
        <f t="shared" si="16"/>
        <v/>
      </c>
      <c r="AI139" s="7" t="str">
        <f t="shared" si="17"/>
        <v/>
      </c>
      <c r="AJ139" s="7" t="str">
        <f t="shared" si="18"/>
        <v/>
      </c>
      <c r="AK139" s="7" t="str">
        <f t="shared" si="19"/>
        <v/>
      </c>
      <c r="AL139" s="10" t="str">
        <f t="shared" si="20"/>
        <v/>
      </c>
      <c r="AM139" s="15" t="str">
        <f>IF(OR($A139&lt;&gt;"",$B139&lt;&gt;""),IF(OR($A139="",$B139=""),"Isi tanggal dan ID PIC",IF(NOT(ISNUMBER($A139)),"Tanggal harus berupa tanggal Excel",IF(COUNTIFS(Master_PIC!$A$8:$A$73,$B139)&lt;&gt;1,"ID PIC tidak unik/terdaftar",IF(VLOOKUP($B139,Master_PIC!$A$8:$G$73,3,FALSE)&lt;&gt;"Sales","Jabatan tidak sesuai sheet",IF(OR($C139="",$D139="",$E139="",$F139=""),"Lengkapi master PIC",IF(COUNTIFS($A$8:$A$507,$A139,$B$8:$B$507,$B139)&gt;1,"Laporan ganda",IF(COUNTIFS(G139:P139,"Tidak Berlaku")&gt;0,"N/A hanya untuk kegiatan bersyarat",IF(SUM(AG139,AH139,AI139,AJ139,AK139)&lt;&gt;14,"Status kegiatan tidak valid",IF(AK139&gt;0,"Lengkapi status kegiatan",IF(AND(AJ139&gt;0,U139=""),"Isi alasan Tidak Berlaku",IF(AND(SUM(AH139,AI139)&gt;0,OR(U139="",V139="",W139="",X139="")),"Isi kendala dan tindak lanjut",IF(AND(Z139&lt;&gt;"Draft",Z139&lt;&gt;"Dikirim"),"Isi status laporan yang valid",IF(AND(AB139&lt;&gt;"",AB139&lt;&gt;"Belum Diperiksa",AB139&lt;&gt;"Disetujui",AB139&lt;&gt;"Perlu Perbaikan"),"Hasil review tidak valid",IF(AND(Z139="Dikirim",OR(Y139="",AA139="")),"Isi bukti dan waktu kirim",IF(AND(AB139="Disetujui",OR(Z139&lt;&gt;"Dikirim",AC139="",AD139="")),"Lengkapi pemeriksaan",IF(AND(AB139="Perlu Perbaikan",OR(AE139="",AC139="",AD139="")),"Isi pemeriksa dan catatan perbaikan","OK")))))))))))))))),"")</f>
        <v/>
      </c>
    </row>
    <row r="140" spans="1:39" ht="24.95" customHeight="1">
      <c r="A140" s="8"/>
      <c r="B140" s="6"/>
      <c r="C140" s="15" t="str">
        <f>IF(COUNTIFS(Master_PIC!$A$8:$A$73,$B140)=1,IF(VLOOKUP($B140,Master_PIC!$A$8:$G$73,2,FALSE)="","",VLOOKUP($B140,Master_PIC!$A$8:$G$73,2,FALSE)),"")</f>
        <v/>
      </c>
      <c r="D140" s="15" t="str">
        <f>IF(COUNTIFS(Master_PIC!$A$8:$A$73,$B140)=1,IF(VLOOKUP($B140,Master_PIC!$A$8:$G$73,4,FALSE)="","",VLOOKUP($B140,Master_PIC!$A$8:$G$73,4,FALSE)),"")</f>
        <v/>
      </c>
      <c r="E140" s="15" t="str">
        <f>IF(COUNTIFS(Master_PIC!$A$8:$A$73,$B140)=1,IF(VLOOKUP($B140,Master_PIC!$A$8:$G$73,5,FALSE)="","",VLOOKUP($B140,Master_PIC!$A$8:$G$73,5,FALSE)),"")</f>
        <v/>
      </c>
      <c r="F140" s="15" t="str">
        <f>IF(COUNTIFS(Master_PIC!$A$8:$A$73,$B140)=1,IF(VLOOKUP($B140,Master_PIC!$A$8:$G$73,6,FALSE)="","",VLOOKUP($B140,Master_PIC!$A$8:$G$73,6,FALSE)),"")</f>
        <v/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8"/>
      <c r="Y140" s="5"/>
      <c r="Z140" s="5"/>
      <c r="AA140" s="9"/>
      <c r="AB140" s="5"/>
      <c r="AC140" s="5"/>
      <c r="AD140" s="9"/>
      <c r="AE140" s="5"/>
      <c r="AF140" s="7" t="str">
        <f t="shared" si="14"/>
        <v/>
      </c>
      <c r="AG140" s="7" t="str">
        <f t="shared" si="15"/>
        <v/>
      </c>
      <c r="AH140" s="7" t="str">
        <f t="shared" si="16"/>
        <v/>
      </c>
      <c r="AI140" s="7" t="str">
        <f t="shared" si="17"/>
        <v/>
      </c>
      <c r="AJ140" s="7" t="str">
        <f t="shared" si="18"/>
        <v/>
      </c>
      <c r="AK140" s="7" t="str">
        <f t="shared" si="19"/>
        <v/>
      </c>
      <c r="AL140" s="10" t="str">
        <f t="shared" si="20"/>
        <v/>
      </c>
      <c r="AM140" s="15" t="str">
        <f>IF(OR($A140&lt;&gt;"",$B140&lt;&gt;""),IF(OR($A140="",$B140=""),"Isi tanggal dan ID PIC",IF(NOT(ISNUMBER($A140)),"Tanggal harus berupa tanggal Excel",IF(COUNTIFS(Master_PIC!$A$8:$A$73,$B140)&lt;&gt;1,"ID PIC tidak unik/terdaftar",IF(VLOOKUP($B140,Master_PIC!$A$8:$G$73,3,FALSE)&lt;&gt;"Sales","Jabatan tidak sesuai sheet",IF(OR($C140="",$D140="",$E140="",$F140=""),"Lengkapi master PIC",IF(COUNTIFS($A$8:$A$507,$A140,$B$8:$B$507,$B140)&gt;1,"Laporan ganda",IF(COUNTIFS(G140:P140,"Tidak Berlaku")&gt;0,"N/A hanya untuk kegiatan bersyarat",IF(SUM(AG140,AH140,AI140,AJ140,AK140)&lt;&gt;14,"Status kegiatan tidak valid",IF(AK140&gt;0,"Lengkapi status kegiatan",IF(AND(AJ140&gt;0,U140=""),"Isi alasan Tidak Berlaku",IF(AND(SUM(AH140,AI140)&gt;0,OR(U140="",V140="",W140="",X140="")),"Isi kendala dan tindak lanjut",IF(AND(Z140&lt;&gt;"Draft",Z140&lt;&gt;"Dikirim"),"Isi status laporan yang valid",IF(AND(AB140&lt;&gt;"",AB140&lt;&gt;"Belum Diperiksa",AB140&lt;&gt;"Disetujui",AB140&lt;&gt;"Perlu Perbaikan"),"Hasil review tidak valid",IF(AND(Z140="Dikirim",OR(Y140="",AA140="")),"Isi bukti dan waktu kirim",IF(AND(AB140="Disetujui",OR(Z140&lt;&gt;"Dikirim",AC140="",AD140="")),"Lengkapi pemeriksaan",IF(AND(AB140="Perlu Perbaikan",OR(AE140="",AC140="",AD140="")),"Isi pemeriksa dan catatan perbaikan","OK")))))))))))))))),"")</f>
        <v/>
      </c>
    </row>
    <row r="141" spans="1:39" ht="24.95" customHeight="1">
      <c r="A141" s="8"/>
      <c r="B141" s="6"/>
      <c r="C141" s="15" t="str">
        <f>IF(COUNTIFS(Master_PIC!$A$8:$A$73,$B141)=1,IF(VLOOKUP($B141,Master_PIC!$A$8:$G$73,2,FALSE)="","",VLOOKUP($B141,Master_PIC!$A$8:$G$73,2,FALSE)),"")</f>
        <v/>
      </c>
      <c r="D141" s="15" t="str">
        <f>IF(COUNTIFS(Master_PIC!$A$8:$A$73,$B141)=1,IF(VLOOKUP($B141,Master_PIC!$A$8:$G$73,4,FALSE)="","",VLOOKUP($B141,Master_PIC!$A$8:$G$73,4,FALSE)),"")</f>
        <v/>
      </c>
      <c r="E141" s="15" t="str">
        <f>IF(COUNTIFS(Master_PIC!$A$8:$A$73,$B141)=1,IF(VLOOKUP($B141,Master_PIC!$A$8:$G$73,5,FALSE)="","",VLOOKUP($B141,Master_PIC!$A$8:$G$73,5,FALSE)),"")</f>
        <v/>
      </c>
      <c r="F141" s="15" t="str">
        <f>IF(COUNTIFS(Master_PIC!$A$8:$A$73,$B141)=1,IF(VLOOKUP($B141,Master_PIC!$A$8:$G$73,6,FALSE)="","",VLOOKUP($B141,Master_PIC!$A$8:$G$73,6,FALSE)),"")</f>
        <v/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8"/>
      <c r="Y141" s="5"/>
      <c r="Z141" s="5"/>
      <c r="AA141" s="9"/>
      <c r="AB141" s="5"/>
      <c r="AC141" s="5"/>
      <c r="AD141" s="9"/>
      <c r="AE141" s="5"/>
      <c r="AF141" s="7" t="str">
        <f t="shared" si="14"/>
        <v/>
      </c>
      <c r="AG141" s="7" t="str">
        <f t="shared" si="15"/>
        <v/>
      </c>
      <c r="AH141" s="7" t="str">
        <f t="shared" si="16"/>
        <v/>
      </c>
      <c r="AI141" s="7" t="str">
        <f t="shared" si="17"/>
        <v/>
      </c>
      <c r="AJ141" s="7" t="str">
        <f t="shared" si="18"/>
        <v/>
      </c>
      <c r="AK141" s="7" t="str">
        <f t="shared" si="19"/>
        <v/>
      </c>
      <c r="AL141" s="10" t="str">
        <f t="shared" si="20"/>
        <v/>
      </c>
      <c r="AM141" s="15" t="str">
        <f>IF(OR($A141&lt;&gt;"",$B141&lt;&gt;""),IF(OR($A141="",$B141=""),"Isi tanggal dan ID PIC",IF(NOT(ISNUMBER($A141)),"Tanggal harus berupa tanggal Excel",IF(COUNTIFS(Master_PIC!$A$8:$A$73,$B141)&lt;&gt;1,"ID PIC tidak unik/terdaftar",IF(VLOOKUP($B141,Master_PIC!$A$8:$G$73,3,FALSE)&lt;&gt;"Sales","Jabatan tidak sesuai sheet",IF(OR($C141="",$D141="",$E141="",$F141=""),"Lengkapi master PIC",IF(COUNTIFS($A$8:$A$507,$A141,$B$8:$B$507,$B141)&gt;1,"Laporan ganda",IF(COUNTIFS(G141:P141,"Tidak Berlaku")&gt;0,"N/A hanya untuk kegiatan bersyarat",IF(SUM(AG141,AH141,AI141,AJ141,AK141)&lt;&gt;14,"Status kegiatan tidak valid",IF(AK141&gt;0,"Lengkapi status kegiatan",IF(AND(AJ141&gt;0,U141=""),"Isi alasan Tidak Berlaku",IF(AND(SUM(AH141,AI141)&gt;0,OR(U141="",V141="",W141="",X141="")),"Isi kendala dan tindak lanjut",IF(AND(Z141&lt;&gt;"Draft",Z141&lt;&gt;"Dikirim"),"Isi status laporan yang valid",IF(AND(AB141&lt;&gt;"",AB141&lt;&gt;"Belum Diperiksa",AB141&lt;&gt;"Disetujui",AB141&lt;&gt;"Perlu Perbaikan"),"Hasil review tidak valid",IF(AND(Z141="Dikirim",OR(Y141="",AA141="")),"Isi bukti dan waktu kirim",IF(AND(AB141="Disetujui",OR(Z141&lt;&gt;"Dikirim",AC141="",AD141="")),"Lengkapi pemeriksaan",IF(AND(AB141="Perlu Perbaikan",OR(AE141="",AC141="",AD141="")),"Isi pemeriksa dan catatan perbaikan","OK")))))))))))))))),"")</f>
        <v/>
      </c>
    </row>
    <row r="142" spans="1:39" ht="24.95" customHeight="1">
      <c r="A142" s="8"/>
      <c r="B142" s="6"/>
      <c r="C142" s="15" t="str">
        <f>IF(COUNTIFS(Master_PIC!$A$8:$A$73,$B142)=1,IF(VLOOKUP($B142,Master_PIC!$A$8:$G$73,2,FALSE)="","",VLOOKUP($B142,Master_PIC!$A$8:$G$73,2,FALSE)),"")</f>
        <v/>
      </c>
      <c r="D142" s="15" t="str">
        <f>IF(COUNTIFS(Master_PIC!$A$8:$A$73,$B142)=1,IF(VLOOKUP($B142,Master_PIC!$A$8:$G$73,4,FALSE)="","",VLOOKUP($B142,Master_PIC!$A$8:$G$73,4,FALSE)),"")</f>
        <v/>
      </c>
      <c r="E142" s="15" t="str">
        <f>IF(COUNTIFS(Master_PIC!$A$8:$A$73,$B142)=1,IF(VLOOKUP($B142,Master_PIC!$A$8:$G$73,5,FALSE)="","",VLOOKUP($B142,Master_PIC!$A$8:$G$73,5,FALSE)),"")</f>
        <v/>
      </c>
      <c r="F142" s="15" t="str">
        <f>IF(COUNTIFS(Master_PIC!$A$8:$A$73,$B142)=1,IF(VLOOKUP($B142,Master_PIC!$A$8:$G$73,6,FALSE)="","",VLOOKUP($B142,Master_PIC!$A$8:$G$73,6,FALSE)),"")</f>
        <v/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8"/>
      <c r="Y142" s="5"/>
      <c r="Z142" s="5"/>
      <c r="AA142" s="9"/>
      <c r="AB142" s="5"/>
      <c r="AC142" s="5"/>
      <c r="AD142" s="9"/>
      <c r="AE142" s="5"/>
      <c r="AF142" s="7" t="str">
        <f t="shared" si="14"/>
        <v/>
      </c>
      <c r="AG142" s="7" t="str">
        <f t="shared" si="15"/>
        <v/>
      </c>
      <c r="AH142" s="7" t="str">
        <f t="shared" si="16"/>
        <v/>
      </c>
      <c r="AI142" s="7" t="str">
        <f t="shared" si="17"/>
        <v/>
      </c>
      <c r="AJ142" s="7" t="str">
        <f t="shared" si="18"/>
        <v/>
      </c>
      <c r="AK142" s="7" t="str">
        <f t="shared" si="19"/>
        <v/>
      </c>
      <c r="AL142" s="10" t="str">
        <f t="shared" si="20"/>
        <v/>
      </c>
      <c r="AM142" s="15" t="str">
        <f>IF(OR($A142&lt;&gt;"",$B142&lt;&gt;""),IF(OR($A142="",$B142=""),"Isi tanggal dan ID PIC",IF(NOT(ISNUMBER($A142)),"Tanggal harus berupa tanggal Excel",IF(COUNTIFS(Master_PIC!$A$8:$A$73,$B142)&lt;&gt;1,"ID PIC tidak unik/terdaftar",IF(VLOOKUP($B142,Master_PIC!$A$8:$G$73,3,FALSE)&lt;&gt;"Sales","Jabatan tidak sesuai sheet",IF(OR($C142="",$D142="",$E142="",$F142=""),"Lengkapi master PIC",IF(COUNTIFS($A$8:$A$507,$A142,$B$8:$B$507,$B142)&gt;1,"Laporan ganda",IF(COUNTIFS(G142:P142,"Tidak Berlaku")&gt;0,"N/A hanya untuk kegiatan bersyarat",IF(SUM(AG142,AH142,AI142,AJ142,AK142)&lt;&gt;14,"Status kegiatan tidak valid",IF(AK142&gt;0,"Lengkapi status kegiatan",IF(AND(AJ142&gt;0,U142=""),"Isi alasan Tidak Berlaku",IF(AND(SUM(AH142,AI142)&gt;0,OR(U142="",V142="",W142="",X142="")),"Isi kendala dan tindak lanjut",IF(AND(Z142&lt;&gt;"Draft",Z142&lt;&gt;"Dikirim"),"Isi status laporan yang valid",IF(AND(AB142&lt;&gt;"",AB142&lt;&gt;"Belum Diperiksa",AB142&lt;&gt;"Disetujui",AB142&lt;&gt;"Perlu Perbaikan"),"Hasil review tidak valid",IF(AND(Z142="Dikirim",OR(Y142="",AA142="")),"Isi bukti dan waktu kirim",IF(AND(AB142="Disetujui",OR(Z142&lt;&gt;"Dikirim",AC142="",AD142="")),"Lengkapi pemeriksaan",IF(AND(AB142="Perlu Perbaikan",OR(AE142="",AC142="",AD142="")),"Isi pemeriksa dan catatan perbaikan","OK")))))))))))))))),"")</f>
        <v/>
      </c>
    </row>
    <row r="143" spans="1:39" ht="24.95" customHeight="1">
      <c r="A143" s="8"/>
      <c r="B143" s="6"/>
      <c r="C143" s="15" t="str">
        <f>IF(COUNTIFS(Master_PIC!$A$8:$A$73,$B143)=1,IF(VLOOKUP($B143,Master_PIC!$A$8:$G$73,2,FALSE)="","",VLOOKUP($B143,Master_PIC!$A$8:$G$73,2,FALSE)),"")</f>
        <v/>
      </c>
      <c r="D143" s="15" t="str">
        <f>IF(COUNTIFS(Master_PIC!$A$8:$A$73,$B143)=1,IF(VLOOKUP($B143,Master_PIC!$A$8:$G$73,4,FALSE)="","",VLOOKUP($B143,Master_PIC!$A$8:$G$73,4,FALSE)),"")</f>
        <v/>
      </c>
      <c r="E143" s="15" t="str">
        <f>IF(COUNTIFS(Master_PIC!$A$8:$A$73,$B143)=1,IF(VLOOKUP($B143,Master_PIC!$A$8:$G$73,5,FALSE)="","",VLOOKUP($B143,Master_PIC!$A$8:$G$73,5,FALSE)),"")</f>
        <v/>
      </c>
      <c r="F143" s="15" t="str">
        <f>IF(COUNTIFS(Master_PIC!$A$8:$A$73,$B143)=1,IF(VLOOKUP($B143,Master_PIC!$A$8:$G$73,6,FALSE)="","",VLOOKUP($B143,Master_PIC!$A$8:$G$73,6,FALSE)),"")</f>
        <v/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8"/>
      <c r="Y143" s="5"/>
      <c r="Z143" s="5"/>
      <c r="AA143" s="9"/>
      <c r="AB143" s="5"/>
      <c r="AC143" s="5"/>
      <c r="AD143" s="9"/>
      <c r="AE143" s="5"/>
      <c r="AF143" s="7" t="str">
        <f t="shared" si="14"/>
        <v/>
      </c>
      <c r="AG143" s="7" t="str">
        <f t="shared" si="15"/>
        <v/>
      </c>
      <c r="AH143" s="7" t="str">
        <f t="shared" si="16"/>
        <v/>
      </c>
      <c r="AI143" s="7" t="str">
        <f t="shared" si="17"/>
        <v/>
      </c>
      <c r="AJ143" s="7" t="str">
        <f t="shared" si="18"/>
        <v/>
      </c>
      <c r="AK143" s="7" t="str">
        <f t="shared" si="19"/>
        <v/>
      </c>
      <c r="AL143" s="10" t="str">
        <f t="shared" si="20"/>
        <v/>
      </c>
      <c r="AM143" s="15" t="str">
        <f>IF(OR($A143&lt;&gt;"",$B143&lt;&gt;""),IF(OR($A143="",$B143=""),"Isi tanggal dan ID PIC",IF(NOT(ISNUMBER($A143)),"Tanggal harus berupa tanggal Excel",IF(COUNTIFS(Master_PIC!$A$8:$A$73,$B143)&lt;&gt;1,"ID PIC tidak unik/terdaftar",IF(VLOOKUP($B143,Master_PIC!$A$8:$G$73,3,FALSE)&lt;&gt;"Sales","Jabatan tidak sesuai sheet",IF(OR($C143="",$D143="",$E143="",$F143=""),"Lengkapi master PIC",IF(COUNTIFS($A$8:$A$507,$A143,$B$8:$B$507,$B143)&gt;1,"Laporan ganda",IF(COUNTIFS(G143:P143,"Tidak Berlaku")&gt;0,"N/A hanya untuk kegiatan bersyarat",IF(SUM(AG143,AH143,AI143,AJ143,AK143)&lt;&gt;14,"Status kegiatan tidak valid",IF(AK143&gt;0,"Lengkapi status kegiatan",IF(AND(AJ143&gt;0,U143=""),"Isi alasan Tidak Berlaku",IF(AND(SUM(AH143,AI143)&gt;0,OR(U143="",V143="",W143="",X143="")),"Isi kendala dan tindak lanjut",IF(AND(Z143&lt;&gt;"Draft",Z143&lt;&gt;"Dikirim"),"Isi status laporan yang valid",IF(AND(AB143&lt;&gt;"",AB143&lt;&gt;"Belum Diperiksa",AB143&lt;&gt;"Disetujui",AB143&lt;&gt;"Perlu Perbaikan"),"Hasil review tidak valid",IF(AND(Z143="Dikirim",OR(Y143="",AA143="")),"Isi bukti dan waktu kirim",IF(AND(AB143="Disetujui",OR(Z143&lt;&gt;"Dikirim",AC143="",AD143="")),"Lengkapi pemeriksaan",IF(AND(AB143="Perlu Perbaikan",OR(AE143="",AC143="",AD143="")),"Isi pemeriksa dan catatan perbaikan","OK")))))))))))))))),"")</f>
        <v/>
      </c>
    </row>
    <row r="144" spans="1:39" ht="24.95" customHeight="1">
      <c r="A144" s="8"/>
      <c r="B144" s="6"/>
      <c r="C144" s="15" t="str">
        <f>IF(COUNTIFS(Master_PIC!$A$8:$A$73,$B144)=1,IF(VLOOKUP($B144,Master_PIC!$A$8:$G$73,2,FALSE)="","",VLOOKUP($B144,Master_PIC!$A$8:$G$73,2,FALSE)),"")</f>
        <v/>
      </c>
      <c r="D144" s="15" t="str">
        <f>IF(COUNTIFS(Master_PIC!$A$8:$A$73,$B144)=1,IF(VLOOKUP($B144,Master_PIC!$A$8:$G$73,4,FALSE)="","",VLOOKUP($B144,Master_PIC!$A$8:$G$73,4,FALSE)),"")</f>
        <v/>
      </c>
      <c r="E144" s="15" t="str">
        <f>IF(COUNTIFS(Master_PIC!$A$8:$A$73,$B144)=1,IF(VLOOKUP($B144,Master_PIC!$A$8:$G$73,5,FALSE)="","",VLOOKUP($B144,Master_PIC!$A$8:$G$73,5,FALSE)),"")</f>
        <v/>
      </c>
      <c r="F144" s="15" t="str">
        <f>IF(COUNTIFS(Master_PIC!$A$8:$A$73,$B144)=1,IF(VLOOKUP($B144,Master_PIC!$A$8:$G$73,6,FALSE)="","",VLOOKUP($B144,Master_PIC!$A$8:$G$73,6,FALSE)),"")</f>
        <v/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8"/>
      <c r="Y144" s="5"/>
      <c r="Z144" s="5"/>
      <c r="AA144" s="9"/>
      <c r="AB144" s="5"/>
      <c r="AC144" s="5"/>
      <c r="AD144" s="9"/>
      <c r="AE144" s="5"/>
      <c r="AF144" s="7" t="str">
        <f t="shared" si="14"/>
        <v/>
      </c>
      <c r="AG144" s="7" t="str">
        <f t="shared" si="15"/>
        <v/>
      </c>
      <c r="AH144" s="7" t="str">
        <f t="shared" si="16"/>
        <v/>
      </c>
      <c r="AI144" s="7" t="str">
        <f t="shared" si="17"/>
        <v/>
      </c>
      <c r="AJ144" s="7" t="str">
        <f t="shared" si="18"/>
        <v/>
      </c>
      <c r="AK144" s="7" t="str">
        <f t="shared" si="19"/>
        <v/>
      </c>
      <c r="AL144" s="10" t="str">
        <f t="shared" si="20"/>
        <v/>
      </c>
      <c r="AM144" s="15" t="str">
        <f>IF(OR($A144&lt;&gt;"",$B144&lt;&gt;""),IF(OR($A144="",$B144=""),"Isi tanggal dan ID PIC",IF(NOT(ISNUMBER($A144)),"Tanggal harus berupa tanggal Excel",IF(COUNTIFS(Master_PIC!$A$8:$A$73,$B144)&lt;&gt;1,"ID PIC tidak unik/terdaftar",IF(VLOOKUP($B144,Master_PIC!$A$8:$G$73,3,FALSE)&lt;&gt;"Sales","Jabatan tidak sesuai sheet",IF(OR($C144="",$D144="",$E144="",$F144=""),"Lengkapi master PIC",IF(COUNTIFS($A$8:$A$507,$A144,$B$8:$B$507,$B144)&gt;1,"Laporan ganda",IF(COUNTIFS(G144:P144,"Tidak Berlaku")&gt;0,"N/A hanya untuk kegiatan bersyarat",IF(SUM(AG144,AH144,AI144,AJ144,AK144)&lt;&gt;14,"Status kegiatan tidak valid",IF(AK144&gt;0,"Lengkapi status kegiatan",IF(AND(AJ144&gt;0,U144=""),"Isi alasan Tidak Berlaku",IF(AND(SUM(AH144,AI144)&gt;0,OR(U144="",V144="",W144="",X144="")),"Isi kendala dan tindak lanjut",IF(AND(Z144&lt;&gt;"Draft",Z144&lt;&gt;"Dikirim"),"Isi status laporan yang valid",IF(AND(AB144&lt;&gt;"",AB144&lt;&gt;"Belum Diperiksa",AB144&lt;&gt;"Disetujui",AB144&lt;&gt;"Perlu Perbaikan"),"Hasil review tidak valid",IF(AND(Z144="Dikirim",OR(Y144="",AA144="")),"Isi bukti dan waktu kirim",IF(AND(AB144="Disetujui",OR(Z144&lt;&gt;"Dikirim",AC144="",AD144="")),"Lengkapi pemeriksaan",IF(AND(AB144="Perlu Perbaikan",OR(AE144="",AC144="",AD144="")),"Isi pemeriksa dan catatan perbaikan","OK")))))))))))))))),"")</f>
        <v/>
      </c>
    </row>
    <row r="145" spans="1:39" ht="24.95" customHeight="1">
      <c r="A145" s="8"/>
      <c r="B145" s="6"/>
      <c r="C145" s="15" t="str">
        <f>IF(COUNTIFS(Master_PIC!$A$8:$A$73,$B145)=1,IF(VLOOKUP($B145,Master_PIC!$A$8:$G$73,2,FALSE)="","",VLOOKUP($B145,Master_PIC!$A$8:$G$73,2,FALSE)),"")</f>
        <v/>
      </c>
      <c r="D145" s="15" t="str">
        <f>IF(COUNTIFS(Master_PIC!$A$8:$A$73,$B145)=1,IF(VLOOKUP($B145,Master_PIC!$A$8:$G$73,4,FALSE)="","",VLOOKUP($B145,Master_PIC!$A$8:$G$73,4,FALSE)),"")</f>
        <v/>
      </c>
      <c r="E145" s="15" t="str">
        <f>IF(COUNTIFS(Master_PIC!$A$8:$A$73,$B145)=1,IF(VLOOKUP($B145,Master_PIC!$A$8:$G$73,5,FALSE)="","",VLOOKUP($B145,Master_PIC!$A$8:$G$73,5,FALSE)),"")</f>
        <v/>
      </c>
      <c r="F145" s="15" t="str">
        <f>IF(COUNTIFS(Master_PIC!$A$8:$A$73,$B145)=1,IF(VLOOKUP($B145,Master_PIC!$A$8:$G$73,6,FALSE)="","",VLOOKUP($B145,Master_PIC!$A$8:$G$73,6,FALSE)),"")</f>
        <v/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8"/>
      <c r="Y145" s="5"/>
      <c r="Z145" s="5"/>
      <c r="AA145" s="9"/>
      <c r="AB145" s="5"/>
      <c r="AC145" s="5"/>
      <c r="AD145" s="9"/>
      <c r="AE145" s="5"/>
      <c r="AF145" s="7" t="str">
        <f t="shared" si="14"/>
        <v/>
      </c>
      <c r="AG145" s="7" t="str">
        <f t="shared" si="15"/>
        <v/>
      </c>
      <c r="AH145" s="7" t="str">
        <f t="shared" si="16"/>
        <v/>
      </c>
      <c r="AI145" s="7" t="str">
        <f t="shared" si="17"/>
        <v/>
      </c>
      <c r="AJ145" s="7" t="str">
        <f t="shared" si="18"/>
        <v/>
      </c>
      <c r="AK145" s="7" t="str">
        <f t="shared" si="19"/>
        <v/>
      </c>
      <c r="AL145" s="10" t="str">
        <f t="shared" si="20"/>
        <v/>
      </c>
      <c r="AM145" s="15" t="str">
        <f>IF(OR($A145&lt;&gt;"",$B145&lt;&gt;""),IF(OR($A145="",$B145=""),"Isi tanggal dan ID PIC",IF(NOT(ISNUMBER($A145)),"Tanggal harus berupa tanggal Excel",IF(COUNTIFS(Master_PIC!$A$8:$A$73,$B145)&lt;&gt;1,"ID PIC tidak unik/terdaftar",IF(VLOOKUP($B145,Master_PIC!$A$8:$G$73,3,FALSE)&lt;&gt;"Sales","Jabatan tidak sesuai sheet",IF(OR($C145="",$D145="",$E145="",$F145=""),"Lengkapi master PIC",IF(COUNTIFS($A$8:$A$507,$A145,$B$8:$B$507,$B145)&gt;1,"Laporan ganda",IF(COUNTIFS(G145:P145,"Tidak Berlaku")&gt;0,"N/A hanya untuk kegiatan bersyarat",IF(SUM(AG145,AH145,AI145,AJ145,AK145)&lt;&gt;14,"Status kegiatan tidak valid",IF(AK145&gt;0,"Lengkapi status kegiatan",IF(AND(AJ145&gt;0,U145=""),"Isi alasan Tidak Berlaku",IF(AND(SUM(AH145,AI145)&gt;0,OR(U145="",V145="",W145="",X145="")),"Isi kendala dan tindak lanjut",IF(AND(Z145&lt;&gt;"Draft",Z145&lt;&gt;"Dikirim"),"Isi status laporan yang valid",IF(AND(AB145&lt;&gt;"",AB145&lt;&gt;"Belum Diperiksa",AB145&lt;&gt;"Disetujui",AB145&lt;&gt;"Perlu Perbaikan"),"Hasil review tidak valid",IF(AND(Z145="Dikirim",OR(Y145="",AA145="")),"Isi bukti dan waktu kirim",IF(AND(AB145="Disetujui",OR(Z145&lt;&gt;"Dikirim",AC145="",AD145="")),"Lengkapi pemeriksaan",IF(AND(AB145="Perlu Perbaikan",OR(AE145="",AC145="",AD145="")),"Isi pemeriksa dan catatan perbaikan","OK")))))))))))))))),"")</f>
        <v/>
      </c>
    </row>
    <row r="146" spans="1:39" ht="24.95" customHeight="1">
      <c r="A146" s="8"/>
      <c r="B146" s="6"/>
      <c r="C146" s="15" t="str">
        <f>IF(COUNTIFS(Master_PIC!$A$8:$A$73,$B146)=1,IF(VLOOKUP($B146,Master_PIC!$A$8:$G$73,2,FALSE)="","",VLOOKUP($B146,Master_PIC!$A$8:$G$73,2,FALSE)),"")</f>
        <v/>
      </c>
      <c r="D146" s="15" t="str">
        <f>IF(COUNTIFS(Master_PIC!$A$8:$A$73,$B146)=1,IF(VLOOKUP($B146,Master_PIC!$A$8:$G$73,4,FALSE)="","",VLOOKUP($B146,Master_PIC!$A$8:$G$73,4,FALSE)),"")</f>
        <v/>
      </c>
      <c r="E146" s="15" t="str">
        <f>IF(COUNTIFS(Master_PIC!$A$8:$A$73,$B146)=1,IF(VLOOKUP($B146,Master_PIC!$A$8:$G$73,5,FALSE)="","",VLOOKUP($B146,Master_PIC!$A$8:$G$73,5,FALSE)),"")</f>
        <v/>
      </c>
      <c r="F146" s="15" t="str">
        <f>IF(COUNTIFS(Master_PIC!$A$8:$A$73,$B146)=1,IF(VLOOKUP($B146,Master_PIC!$A$8:$G$73,6,FALSE)="","",VLOOKUP($B146,Master_PIC!$A$8:$G$73,6,FALSE)),"")</f>
        <v/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8"/>
      <c r="Y146" s="5"/>
      <c r="Z146" s="5"/>
      <c r="AA146" s="9"/>
      <c r="AB146" s="5"/>
      <c r="AC146" s="5"/>
      <c r="AD146" s="9"/>
      <c r="AE146" s="5"/>
      <c r="AF146" s="7" t="str">
        <f t="shared" si="14"/>
        <v/>
      </c>
      <c r="AG146" s="7" t="str">
        <f t="shared" si="15"/>
        <v/>
      </c>
      <c r="AH146" s="7" t="str">
        <f t="shared" si="16"/>
        <v/>
      </c>
      <c r="AI146" s="7" t="str">
        <f t="shared" si="17"/>
        <v/>
      </c>
      <c r="AJ146" s="7" t="str">
        <f t="shared" si="18"/>
        <v/>
      </c>
      <c r="AK146" s="7" t="str">
        <f t="shared" si="19"/>
        <v/>
      </c>
      <c r="AL146" s="10" t="str">
        <f t="shared" si="20"/>
        <v/>
      </c>
      <c r="AM146" s="15" t="str">
        <f>IF(OR($A146&lt;&gt;"",$B146&lt;&gt;""),IF(OR($A146="",$B146=""),"Isi tanggal dan ID PIC",IF(NOT(ISNUMBER($A146)),"Tanggal harus berupa tanggal Excel",IF(COUNTIFS(Master_PIC!$A$8:$A$73,$B146)&lt;&gt;1,"ID PIC tidak unik/terdaftar",IF(VLOOKUP($B146,Master_PIC!$A$8:$G$73,3,FALSE)&lt;&gt;"Sales","Jabatan tidak sesuai sheet",IF(OR($C146="",$D146="",$E146="",$F146=""),"Lengkapi master PIC",IF(COUNTIFS($A$8:$A$507,$A146,$B$8:$B$507,$B146)&gt;1,"Laporan ganda",IF(COUNTIFS(G146:P146,"Tidak Berlaku")&gt;0,"N/A hanya untuk kegiatan bersyarat",IF(SUM(AG146,AH146,AI146,AJ146,AK146)&lt;&gt;14,"Status kegiatan tidak valid",IF(AK146&gt;0,"Lengkapi status kegiatan",IF(AND(AJ146&gt;0,U146=""),"Isi alasan Tidak Berlaku",IF(AND(SUM(AH146,AI146)&gt;0,OR(U146="",V146="",W146="",X146="")),"Isi kendala dan tindak lanjut",IF(AND(Z146&lt;&gt;"Draft",Z146&lt;&gt;"Dikirim"),"Isi status laporan yang valid",IF(AND(AB146&lt;&gt;"",AB146&lt;&gt;"Belum Diperiksa",AB146&lt;&gt;"Disetujui",AB146&lt;&gt;"Perlu Perbaikan"),"Hasil review tidak valid",IF(AND(Z146="Dikirim",OR(Y146="",AA146="")),"Isi bukti dan waktu kirim",IF(AND(AB146="Disetujui",OR(Z146&lt;&gt;"Dikirim",AC146="",AD146="")),"Lengkapi pemeriksaan",IF(AND(AB146="Perlu Perbaikan",OR(AE146="",AC146="",AD146="")),"Isi pemeriksa dan catatan perbaikan","OK")))))))))))))))),"")</f>
        <v/>
      </c>
    </row>
    <row r="147" spans="1:39" ht="24.95" customHeight="1">
      <c r="A147" s="8"/>
      <c r="B147" s="6"/>
      <c r="C147" s="15" t="str">
        <f>IF(COUNTIFS(Master_PIC!$A$8:$A$73,$B147)=1,IF(VLOOKUP($B147,Master_PIC!$A$8:$G$73,2,FALSE)="","",VLOOKUP($B147,Master_PIC!$A$8:$G$73,2,FALSE)),"")</f>
        <v/>
      </c>
      <c r="D147" s="15" t="str">
        <f>IF(COUNTIFS(Master_PIC!$A$8:$A$73,$B147)=1,IF(VLOOKUP($B147,Master_PIC!$A$8:$G$73,4,FALSE)="","",VLOOKUP($B147,Master_PIC!$A$8:$G$73,4,FALSE)),"")</f>
        <v/>
      </c>
      <c r="E147" s="15" t="str">
        <f>IF(COUNTIFS(Master_PIC!$A$8:$A$73,$B147)=1,IF(VLOOKUP($B147,Master_PIC!$A$8:$G$73,5,FALSE)="","",VLOOKUP($B147,Master_PIC!$A$8:$G$73,5,FALSE)),"")</f>
        <v/>
      </c>
      <c r="F147" s="15" t="str">
        <f>IF(COUNTIFS(Master_PIC!$A$8:$A$73,$B147)=1,IF(VLOOKUP($B147,Master_PIC!$A$8:$G$73,6,FALSE)="","",VLOOKUP($B147,Master_PIC!$A$8:$G$73,6,FALSE)),"")</f>
        <v/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8"/>
      <c r="Y147" s="5"/>
      <c r="Z147" s="5"/>
      <c r="AA147" s="9"/>
      <c r="AB147" s="5"/>
      <c r="AC147" s="5"/>
      <c r="AD147" s="9"/>
      <c r="AE147" s="5"/>
      <c r="AF147" s="7" t="str">
        <f t="shared" si="14"/>
        <v/>
      </c>
      <c r="AG147" s="7" t="str">
        <f t="shared" si="15"/>
        <v/>
      </c>
      <c r="AH147" s="7" t="str">
        <f t="shared" si="16"/>
        <v/>
      </c>
      <c r="AI147" s="7" t="str">
        <f t="shared" si="17"/>
        <v/>
      </c>
      <c r="AJ147" s="7" t="str">
        <f t="shared" si="18"/>
        <v/>
      </c>
      <c r="AK147" s="7" t="str">
        <f t="shared" si="19"/>
        <v/>
      </c>
      <c r="AL147" s="10" t="str">
        <f t="shared" si="20"/>
        <v/>
      </c>
      <c r="AM147" s="15" t="str">
        <f>IF(OR($A147&lt;&gt;"",$B147&lt;&gt;""),IF(OR($A147="",$B147=""),"Isi tanggal dan ID PIC",IF(NOT(ISNUMBER($A147)),"Tanggal harus berupa tanggal Excel",IF(COUNTIFS(Master_PIC!$A$8:$A$73,$B147)&lt;&gt;1,"ID PIC tidak unik/terdaftar",IF(VLOOKUP($B147,Master_PIC!$A$8:$G$73,3,FALSE)&lt;&gt;"Sales","Jabatan tidak sesuai sheet",IF(OR($C147="",$D147="",$E147="",$F147=""),"Lengkapi master PIC",IF(COUNTIFS($A$8:$A$507,$A147,$B$8:$B$507,$B147)&gt;1,"Laporan ganda",IF(COUNTIFS(G147:P147,"Tidak Berlaku")&gt;0,"N/A hanya untuk kegiatan bersyarat",IF(SUM(AG147,AH147,AI147,AJ147,AK147)&lt;&gt;14,"Status kegiatan tidak valid",IF(AK147&gt;0,"Lengkapi status kegiatan",IF(AND(AJ147&gt;0,U147=""),"Isi alasan Tidak Berlaku",IF(AND(SUM(AH147,AI147)&gt;0,OR(U147="",V147="",W147="",X147="")),"Isi kendala dan tindak lanjut",IF(AND(Z147&lt;&gt;"Draft",Z147&lt;&gt;"Dikirim"),"Isi status laporan yang valid",IF(AND(AB147&lt;&gt;"",AB147&lt;&gt;"Belum Diperiksa",AB147&lt;&gt;"Disetujui",AB147&lt;&gt;"Perlu Perbaikan"),"Hasil review tidak valid",IF(AND(Z147="Dikirim",OR(Y147="",AA147="")),"Isi bukti dan waktu kirim",IF(AND(AB147="Disetujui",OR(Z147&lt;&gt;"Dikirim",AC147="",AD147="")),"Lengkapi pemeriksaan",IF(AND(AB147="Perlu Perbaikan",OR(AE147="",AC147="",AD147="")),"Isi pemeriksa dan catatan perbaikan","OK")))))))))))))))),"")</f>
        <v/>
      </c>
    </row>
    <row r="148" spans="1:39" ht="24.95" customHeight="1">
      <c r="A148" s="8"/>
      <c r="B148" s="6"/>
      <c r="C148" s="15" t="str">
        <f>IF(COUNTIFS(Master_PIC!$A$8:$A$73,$B148)=1,IF(VLOOKUP($B148,Master_PIC!$A$8:$G$73,2,FALSE)="","",VLOOKUP($B148,Master_PIC!$A$8:$G$73,2,FALSE)),"")</f>
        <v/>
      </c>
      <c r="D148" s="15" t="str">
        <f>IF(COUNTIFS(Master_PIC!$A$8:$A$73,$B148)=1,IF(VLOOKUP($B148,Master_PIC!$A$8:$G$73,4,FALSE)="","",VLOOKUP($B148,Master_PIC!$A$8:$G$73,4,FALSE)),"")</f>
        <v/>
      </c>
      <c r="E148" s="15" t="str">
        <f>IF(COUNTIFS(Master_PIC!$A$8:$A$73,$B148)=1,IF(VLOOKUP($B148,Master_PIC!$A$8:$G$73,5,FALSE)="","",VLOOKUP($B148,Master_PIC!$A$8:$G$73,5,FALSE)),"")</f>
        <v/>
      </c>
      <c r="F148" s="15" t="str">
        <f>IF(COUNTIFS(Master_PIC!$A$8:$A$73,$B148)=1,IF(VLOOKUP($B148,Master_PIC!$A$8:$G$73,6,FALSE)="","",VLOOKUP($B148,Master_PIC!$A$8:$G$73,6,FALSE)),"")</f>
        <v/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8"/>
      <c r="Y148" s="5"/>
      <c r="Z148" s="5"/>
      <c r="AA148" s="9"/>
      <c r="AB148" s="5"/>
      <c r="AC148" s="5"/>
      <c r="AD148" s="9"/>
      <c r="AE148" s="5"/>
      <c r="AF148" s="7" t="str">
        <f t="shared" si="14"/>
        <v/>
      </c>
      <c r="AG148" s="7" t="str">
        <f t="shared" si="15"/>
        <v/>
      </c>
      <c r="AH148" s="7" t="str">
        <f t="shared" si="16"/>
        <v/>
      </c>
      <c r="AI148" s="7" t="str">
        <f t="shared" si="17"/>
        <v/>
      </c>
      <c r="AJ148" s="7" t="str">
        <f t="shared" si="18"/>
        <v/>
      </c>
      <c r="AK148" s="7" t="str">
        <f t="shared" si="19"/>
        <v/>
      </c>
      <c r="AL148" s="10" t="str">
        <f t="shared" si="20"/>
        <v/>
      </c>
      <c r="AM148" s="15" t="str">
        <f>IF(OR($A148&lt;&gt;"",$B148&lt;&gt;""),IF(OR($A148="",$B148=""),"Isi tanggal dan ID PIC",IF(NOT(ISNUMBER($A148)),"Tanggal harus berupa tanggal Excel",IF(COUNTIFS(Master_PIC!$A$8:$A$73,$B148)&lt;&gt;1,"ID PIC tidak unik/terdaftar",IF(VLOOKUP($B148,Master_PIC!$A$8:$G$73,3,FALSE)&lt;&gt;"Sales","Jabatan tidak sesuai sheet",IF(OR($C148="",$D148="",$E148="",$F148=""),"Lengkapi master PIC",IF(COUNTIFS($A$8:$A$507,$A148,$B$8:$B$507,$B148)&gt;1,"Laporan ganda",IF(COUNTIFS(G148:P148,"Tidak Berlaku")&gt;0,"N/A hanya untuk kegiatan bersyarat",IF(SUM(AG148,AH148,AI148,AJ148,AK148)&lt;&gt;14,"Status kegiatan tidak valid",IF(AK148&gt;0,"Lengkapi status kegiatan",IF(AND(AJ148&gt;0,U148=""),"Isi alasan Tidak Berlaku",IF(AND(SUM(AH148,AI148)&gt;0,OR(U148="",V148="",W148="",X148="")),"Isi kendala dan tindak lanjut",IF(AND(Z148&lt;&gt;"Draft",Z148&lt;&gt;"Dikirim"),"Isi status laporan yang valid",IF(AND(AB148&lt;&gt;"",AB148&lt;&gt;"Belum Diperiksa",AB148&lt;&gt;"Disetujui",AB148&lt;&gt;"Perlu Perbaikan"),"Hasil review tidak valid",IF(AND(Z148="Dikirim",OR(Y148="",AA148="")),"Isi bukti dan waktu kirim",IF(AND(AB148="Disetujui",OR(Z148&lt;&gt;"Dikirim",AC148="",AD148="")),"Lengkapi pemeriksaan",IF(AND(AB148="Perlu Perbaikan",OR(AE148="",AC148="",AD148="")),"Isi pemeriksa dan catatan perbaikan","OK")))))))))))))))),"")</f>
        <v/>
      </c>
    </row>
    <row r="149" spans="1:39" ht="24.95" customHeight="1">
      <c r="A149" s="8"/>
      <c r="B149" s="6"/>
      <c r="C149" s="15" t="str">
        <f>IF(COUNTIFS(Master_PIC!$A$8:$A$73,$B149)=1,IF(VLOOKUP($B149,Master_PIC!$A$8:$G$73,2,FALSE)="","",VLOOKUP($B149,Master_PIC!$A$8:$G$73,2,FALSE)),"")</f>
        <v/>
      </c>
      <c r="D149" s="15" t="str">
        <f>IF(COUNTIFS(Master_PIC!$A$8:$A$73,$B149)=1,IF(VLOOKUP($B149,Master_PIC!$A$8:$G$73,4,FALSE)="","",VLOOKUP($B149,Master_PIC!$A$8:$G$73,4,FALSE)),"")</f>
        <v/>
      </c>
      <c r="E149" s="15" t="str">
        <f>IF(COUNTIFS(Master_PIC!$A$8:$A$73,$B149)=1,IF(VLOOKUP($B149,Master_PIC!$A$8:$G$73,5,FALSE)="","",VLOOKUP($B149,Master_PIC!$A$8:$G$73,5,FALSE)),"")</f>
        <v/>
      </c>
      <c r="F149" s="15" t="str">
        <f>IF(COUNTIFS(Master_PIC!$A$8:$A$73,$B149)=1,IF(VLOOKUP($B149,Master_PIC!$A$8:$G$73,6,FALSE)="","",VLOOKUP($B149,Master_PIC!$A$8:$G$73,6,FALSE)),"")</f>
        <v/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8"/>
      <c r="Y149" s="5"/>
      <c r="Z149" s="5"/>
      <c r="AA149" s="9"/>
      <c r="AB149" s="5"/>
      <c r="AC149" s="5"/>
      <c r="AD149" s="9"/>
      <c r="AE149" s="5"/>
      <c r="AF149" s="7" t="str">
        <f t="shared" si="14"/>
        <v/>
      </c>
      <c r="AG149" s="7" t="str">
        <f t="shared" si="15"/>
        <v/>
      </c>
      <c r="AH149" s="7" t="str">
        <f t="shared" si="16"/>
        <v/>
      </c>
      <c r="AI149" s="7" t="str">
        <f t="shared" si="17"/>
        <v/>
      </c>
      <c r="AJ149" s="7" t="str">
        <f t="shared" si="18"/>
        <v/>
      </c>
      <c r="AK149" s="7" t="str">
        <f t="shared" si="19"/>
        <v/>
      </c>
      <c r="AL149" s="10" t="str">
        <f t="shared" si="20"/>
        <v/>
      </c>
      <c r="AM149" s="15" t="str">
        <f>IF(OR($A149&lt;&gt;"",$B149&lt;&gt;""),IF(OR($A149="",$B149=""),"Isi tanggal dan ID PIC",IF(NOT(ISNUMBER($A149)),"Tanggal harus berupa tanggal Excel",IF(COUNTIFS(Master_PIC!$A$8:$A$73,$B149)&lt;&gt;1,"ID PIC tidak unik/terdaftar",IF(VLOOKUP($B149,Master_PIC!$A$8:$G$73,3,FALSE)&lt;&gt;"Sales","Jabatan tidak sesuai sheet",IF(OR($C149="",$D149="",$E149="",$F149=""),"Lengkapi master PIC",IF(COUNTIFS($A$8:$A$507,$A149,$B$8:$B$507,$B149)&gt;1,"Laporan ganda",IF(COUNTIFS(G149:P149,"Tidak Berlaku")&gt;0,"N/A hanya untuk kegiatan bersyarat",IF(SUM(AG149,AH149,AI149,AJ149,AK149)&lt;&gt;14,"Status kegiatan tidak valid",IF(AK149&gt;0,"Lengkapi status kegiatan",IF(AND(AJ149&gt;0,U149=""),"Isi alasan Tidak Berlaku",IF(AND(SUM(AH149,AI149)&gt;0,OR(U149="",V149="",W149="",X149="")),"Isi kendala dan tindak lanjut",IF(AND(Z149&lt;&gt;"Draft",Z149&lt;&gt;"Dikirim"),"Isi status laporan yang valid",IF(AND(AB149&lt;&gt;"",AB149&lt;&gt;"Belum Diperiksa",AB149&lt;&gt;"Disetujui",AB149&lt;&gt;"Perlu Perbaikan"),"Hasil review tidak valid",IF(AND(Z149="Dikirim",OR(Y149="",AA149="")),"Isi bukti dan waktu kirim",IF(AND(AB149="Disetujui",OR(Z149&lt;&gt;"Dikirim",AC149="",AD149="")),"Lengkapi pemeriksaan",IF(AND(AB149="Perlu Perbaikan",OR(AE149="",AC149="",AD149="")),"Isi pemeriksa dan catatan perbaikan","OK")))))))))))))))),"")</f>
        <v/>
      </c>
    </row>
    <row r="150" spans="1:39" ht="24.95" customHeight="1">
      <c r="A150" s="8"/>
      <c r="B150" s="6"/>
      <c r="C150" s="15" t="str">
        <f>IF(COUNTIFS(Master_PIC!$A$8:$A$73,$B150)=1,IF(VLOOKUP($B150,Master_PIC!$A$8:$G$73,2,FALSE)="","",VLOOKUP($B150,Master_PIC!$A$8:$G$73,2,FALSE)),"")</f>
        <v/>
      </c>
      <c r="D150" s="15" t="str">
        <f>IF(COUNTIFS(Master_PIC!$A$8:$A$73,$B150)=1,IF(VLOOKUP($B150,Master_PIC!$A$8:$G$73,4,FALSE)="","",VLOOKUP($B150,Master_PIC!$A$8:$G$73,4,FALSE)),"")</f>
        <v/>
      </c>
      <c r="E150" s="15" t="str">
        <f>IF(COUNTIFS(Master_PIC!$A$8:$A$73,$B150)=1,IF(VLOOKUP($B150,Master_PIC!$A$8:$G$73,5,FALSE)="","",VLOOKUP($B150,Master_PIC!$A$8:$G$73,5,FALSE)),"")</f>
        <v/>
      </c>
      <c r="F150" s="15" t="str">
        <f>IF(COUNTIFS(Master_PIC!$A$8:$A$73,$B150)=1,IF(VLOOKUP($B150,Master_PIC!$A$8:$G$73,6,FALSE)="","",VLOOKUP($B150,Master_PIC!$A$8:$G$73,6,FALSE)),"")</f>
        <v/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8"/>
      <c r="Y150" s="5"/>
      <c r="Z150" s="5"/>
      <c r="AA150" s="9"/>
      <c r="AB150" s="5"/>
      <c r="AC150" s="5"/>
      <c r="AD150" s="9"/>
      <c r="AE150" s="5"/>
      <c r="AF150" s="7" t="str">
        <f t="shared" si="14"/>
        <v/>
      </c>
      <c r="AG150" s="7" t="str">
        <f t="shared" si="15"/>
        <v/>
      </c>
      <c r="AH150" s="7" t="str">
        <f t="shared" si="16"/>
        <v/>
      </c>
      <c r="AI150" s="7" t="str">
        <f t="shared" si="17"/>
        <v/>
      </c>
      <c r="AJ150" s="7" t="str">
        <f t="shared" si="18"/>
        <v/>
      </c>
      <c r="AK150" s="7" t="str">
        <f t="shared" si="19"/>
        <v/>
      </c>
      <c r="AL150" s="10" t="str">
        <f t="shared" si="20"/>
        <v/>
      </c>
      <c r="AM150" s="15" t="str">
        <f>IF(OR($A150&lt;&gt;"",$B150&lt;&gt;""),IF(OR($A150="",$B150=""),"Isi tanggal dan ID PIC",IF(NOT(ISNUMBER($A150)),"Tanggal harus berupa tanggal Excel",IF(COUNTIFS(Master_PIC!$A$8:$A$73,$B150)&lt;&gt;1,"ID PIC tidak unik/terdaftar",IF(VLOOKUP($B150,Master_PIC!$A$8:$G$73,3,FALSE)&lt;&gt;"Sales","Jabatan tidak sesuai sheet",IF(OR($C150="",$D150="",$E150="",$F150=""),"Lengkapi master PIC",IF(COUNTIFS($A$8:$A$507,$A150,$B$8:$B$507,$B150)&gt;1,"Laporan ganda",IF(COUNTIFS(G150:P150,"Tidak Berlaku")&gt;0,"N/A hanya untuk kegiatan bersyarat",IF(SUM(AG150,AH150,AI150,AJ150,AK150)&lt;&gt;14,"Status kegiatan tidak valid",IF(AK150&gt;0,"Lengkapi status kegiatan",IF(AND(AJ150&gt;0,U150=""),"Isi alasan Tidak Berlaku",IF(AND(SUM(AH150,AI150)&gt;0,OR(U150="",V150="",W150="",X150="")),"Isi kendala dan tindak lanjut",IF(AND(Z150&lt;&gt;"Draft",Z150&lt;&gt;"Dikirim"),"Isi status laporan yang valid",IF(AND(AB150&lt;&gt;"",AB150&lt;&gt;"Belum Diperiksa",AB150&lt;&gt;"Disetujui",AB150&lt;&gt;"Perlu Perbaikan"),"Hasil review tidak valid",IF(AND(Z150="Dikirim",OR(Y150="",AA150="")),"Isi bukti dan waktu kirim",IF(AND(AB150="Disetujui",OR(Z150&lt;&gt;"Dikirim",AC150="",AD150="")),"Lengkapi pemeriksaan",IF(AND(AB150="Perlu Perbaikan",OR(AE150="",AC150="",AD150="")),"Isi pemeriksa dan catatan perbaikan","OK")))))))))))))))),"")</f>
        <v/>
      </c>
    </row>
    <row r="151" spans="1:39" ht="24.95" customHeight="1">
      <c r="A151" s="8"/>
      <c r="B151" s="6"/>
      <c r="C151" s="15" t="str">
        <f>IF(COUNTIFS(Master_PIC!$A$8:$A$73,$B151)=1,IF(VLOOKUP($B151,Master_PIC!$A$8:$G$73,2,FALSE)="","",VLOOKUP($B151,Master_PIC!$A$8:$G$73,2,FALSE)),"")</f>
        <v/>
      </c>
      <c r="D151" s="15" t="str">
        <f>IF(COUNTIFS(Master_PIC!$A$8:$A$73,$B151)=1,IF(VLOOKUP($B151,Master_PIC!$A$8:$G$73,4,FALSE)="","",VLOOKUP($B151,Master_PIC!$A$8:$G$73,4,FALSE)),"")</f>
        <v/>
      </c>
      <c r="E151" s="15" t="str">
        <f>IF(COUNTIFS(Master_PIC!$A$8:$A$73,$B151)=1,IF(VLOOKUP($B151,Master_PIC!$A$8:$G$73,5,FALSE)="","",VLOOKUP($B151,Master_PIC!$A$8:$G$73,5,FALSE)),"")</f>
        <v/>
      </c>
      <c r="F151" s="15" t="str">
        <f>IF(COUNTIFS(Master_PIC!$A$8:$A$73,$B151)=1,IF(VLOOKUP($B151,Master_PIC!$A$8:$G$73,6,FALSE)="","",VLOOKUP($B151,Master_PIC!$A$8:$G$73,6,FALSE)),"")</f>
        <v/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8"/>
      <c r="Y151" s="5"/>
      <c r="Z151" s="5"/>
      <c r="AA151" s="9"/>
      <c r="AB151" s="5"/>
      <c r="AC151" s="5"/>
      <c r="AD151" s="9"/>
      <c r="AE151" s="5"/>
      <c r="AF151" s="7" t="str">
        <f t="shared" si="14"/>
        <v/>
      </c>
      <c r="AG151" s="7" t="str">
        <f t="shared" si="15"/>
        <v/>
      </c>
      <c r="AH151" s="7" t="str">
        <f t="shared" si="16"/>
        <v/>
      </c>
      <c r="AI151" s="7" t="str">
        <f t="shared" si="17"/>
        <v/>
      </c>
      <c r="AJ151" s="7" t="str">
        <f t="shared" si="18"/>
        <v/>
      </c>
      <c r="AK151" s="7" t="str">
        <f t="shared" si="19"/>
        <v/>
      </c>
      <c r="AL151" s="10" t="str">
        <f t="shared" si="20"/>
        <v/>
      </c>
      <c r="AM151" s="15" t="str">
        <f>IF(OR($A151&lt;&gt;"",$B151&lt;&gt;""),IF(OR($A151="",$B151=""),"Isi tanggal dan ID PIC",IF(NOT(ISNUMBER($A151)),"Tanggal harus berupa tanggal Excel",IF(COUNTIFS(Master_PIC!$A$8:$A$73,$B151)&lt;&gt;1,"ID PIC tidak unik/terdaftar",IF(VLOOKUP($B151,Master_PIC!$A$8:$G$73,3,FALSE)&lt;&gt;"Sales","Jabatan tidak sesuai sheet",IF(OR($C151="",$D151="",$E151="",$F151=""),"Lengkapi master PIC",IF(COUNTIFS($A$8:$A$507,$A151,$B$8:$B$507,$B151)&gt;1,"Laporan ganda",IF(COUNTIFS(G151:P151,"Tidak Berlaku")&gt;0,"N/A hanya untuk kegiatan bersyarat",IF(SUM(AG151,AH151,AI151,AJ151,AK151)&lt;&gt;14,"Status kegiatan tidak valid",IF(AK151&gt;0,"Lengkapi status kegiatan",IF(AND(AJ151&gt;0,U151=""),"Isi alasan Tidak Berlaku",IF(AND(SUM(AH151,AI151)&gt;0,OR(U151="",V151="",W151="",X151="")),"Isi kendala dan tindak lanjut",IF(AND(Z151&lt;&gt;"Draft",Z151&lt;&gt;"Dikirim"),"Isi status laporan yang valid",IF(AND(AB151&lt;&gt;"",AB151&lt;&gt;"Belum Diperiksa",AB151&lt;&gt;"Disetujui",AB151&lt;&gt;"Perlu Perbaikan"),"Hasil review tidak valid",IF(AND(Z151="Dikirim",OR(Y151="",AA151="")),"Isi bukti dan waktu kirim",IF(AND(AB151="Disetujui",OR(Z151&lt;&gt;"Dikirim",AC151="",AD151="")),"Lengkapi pemeriksaan",IF(AND(AB151="Perlu Perbaikan",OR(AE151="",AC151="",AD151="")),"Isi pemeriksa dan catatan perbaikan","OK")))))))))))))))),"")</f>
        <v/>
      </c>
    </row>
    <row r="152" spans="1:39" ht="24.95" customHeight="1">
      <c r="A152" s="8"/>
      <c r="B152" s="6"/>
      <c r="C152" s="15" t="str">
        <f>IF(COUNTIFS(Master_PIC!$A$8:$A$73,$B152)=1,IF(VLOOKUP($B152,Master_PIC!$A$8:$G$73,2,FALSE)="","",VLOOKUP($B152,Master_PIC!$A$8:$G$73,2,FALSE)),"")</f>
        <v/>
      </c>
      <c r="D152" s="15" t="str">
        <f>IF(COUNTIFS(Master_PIC!$A$8:$A$73,$B152)=1,IF(VLOOKUP($B152,Master_PIC!$A$8:$G$73,4,FALSE)="","",VLOOKUP($B152,Master_PIC!$A$8:$G$73,4,FALSE)),"")</f>
        <v/>
      </c>
      <c r="E152" s="15" t="str">
        <f>IF(COUNTIFS(Master_PIC!$A$8:$A$73,$B152)=1,IF(VLOOKUP($B152,Master_PIC!$A$8:$G$73,5,FALSE)="","",VLOOKUP($B152,Master_PIC!$A$8:$G$73,5,FALSE)),"")</f>
        <v/>
      </c>
      <c r="F152" s="15" t="str">
        <f>IF(COUNTIFS(Master_PIC!$A$8:$A$73,$B152)=1,IF(VLOOKUP($B152,Master_PIC!$A$8:$G$73,6,FALSE)="","",VLOOKUP($B152,Master_PIC!$A$8:$G$73,6,FALSE)),"")</f>
        <v/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8"/>
      <c r="Y152" s="5"/>
      <c r="Z152" s="5"/>
      <c r="AA152" s="9"/>
      <c r="AB152" s="5"/>
      <c r="AC152" s="5"/>
      <c r="AD152" s="9"/>
      <c r="AE152" s="5"/>
      <c r="AF152" s="7" t="str">
        <f t="shared" si="14"/>
        <v/>
      </c>
      <c r="AG152" s="7" t="str">
        <f t="shared" si="15"/>
        <v/>
      </c>
      <c r="AH152" s="7" t="str">
        <f t="shared" si="16"/>
        <v/>
      </c>
      <c r="AI152" s="7" t="str">
        <f t="shared" si="17"/>
        <v/>
      </c>
      <c r="AJ152" s="7" t="str">
        <f t="shared" si="18"/>
        <v/>
      </c>
      <c r="AK152" s="7" t="str">
        <f t="shared" si="19"/>
        <v/>
      </c>
      <c r="AL152" s="10" t="str">
        <f t="shared" si="20"/>
        <v/>
      </c>
      <c r="AM152" s="15" t="str">
        <f>IF(OR($A152&lt;&gt;"",$B152&lt;&gt;""),IF(OR($A152="",$B152=""),"Isi tanggal dan ID PIC",IF(NOT(ISNUMBER($A152)),"Tanggal harus berupa tanggal Excel",IF(COUNTIFS(Master_PIC!$A$8:$A$73,$B152)&lt;&gt;1,"ID PIC tidak unik/terdaftar",IF(VLOOKUP($B152,Master_PIC!$A$8:$G$73,3,FALSE)&lt;&gt;"Sales","Jabatan tidak sesuai sheet",IF(OR($C152="",$D152="",$E152="",$F152=""),"Lengkapi master PIC",IF(COUNTIFS($A$8:$A$507,$A152,$B$8:$B$507,$B152)&gt;1,"Laporan ganda",IF(COUNTIFS(G152:P152,"Tidak Berlaku")&gt;0,"N/A hanya untuk kegiatan bersyarat",IF(SUM(AG152,AH152,AI152,AJ152,AK152)&lt;&gt;14,"Status kegiatan tidak valid",IF(AK152&gt;0,"Lengkapi status kegiatan",IF(AND(AJ152&gt;0,U152=""),"Isi alasan Tidak Berlaku",IF(AND(SUM(AH152,AI152)&gt;0,OR(U152="",V152="",W152="",X152="")),"Isi kendala dan tindak lanjut",IF(AND(Z152&lt;&gt;"Draft",Z152&lt;&gt;"Dikirim"),"Isi status laporan yang valid",IF(AND(AB152&lt;&gt;"",AB152&lt;&gt;"Belum Diperiksa",AB152&lt;&gt;"Disetujui",AB152&lt;&gt;"Perlu Perbaikan"),"Hasil review tidak valid",IF(AND(Z152="Dikirim",OR(Y152="",AA152="")),"Isi bukti dan waktu kirim",IF(AND(AB152="Disetujui",OR(Z152&lt;&gt;"Dikirim",AC152="",AD152="")),"Lengkapi pemeriksaan",IF(AND(AB152="Perlu Perbaikan",OR(AE152="",AC152="",AD152="")),"Isi pemeriksa dan catatan perbaikan","OK")))))))))))))))),"")</f>
        <v/>
      </c>
    </row>
    <row r="153" spans="1:39" ht="24.95" customHeight="1">
      <c r="A153" s="8"/>
      <c r="B153" s="6"/>
      <c r="C153" s="15" t="str">
        <f>IF(COUNTIFS(Master_PIC!$A$8:$A$73,$B153)=1,IF(VLOOKUP($B153,Master_PIC!$A$8:$G$73,2,FALSE)="","",VLOOKUP($B153,Master_PIC!$A$8:$G$73,2,FALSE)),"")</f>
        <v/>
      </c>
      <c r="D153" s="15" t="str">
        <f>IF(COUNTIFS(Master_PIC!$A$8:$A$73,$B153)=1,IF(VLOOKUP($B153,Master_PIC!$A$8:$G$73,4,FALSE)="","",VLOOKUP($B153,Master_PIC!$A$8:$G$73,4,FALSE)),"")</f>
        <v/>
      </c>
      <c r="E153" s="15" t="str">
        <f>IF(COUNTIFS(Master_PIC!$A$8:$A$73,$B153)=1,IF(VLOOKUP($B153,Master_PIC!$A$8:$G$73,5,FALSE)="","",VLOOKUP($B153,Master_PIC!$A$8:$G$73,5,FALSE)),"")</f>
        <v/>
      </c>
      <c r="F153" s="15" t="str">
        <f>IF(COUNTIFS(Master_PIC!$A$8:$A$73,$B153)=1,IF(VLOOKUP($B153,Master_PIC!$A$8:$G$73,6,FALSE)="","",VLOOKUP($B153,Master_PIC!$A$8:$G$73,6,FALSE)),"")</f>
        <v/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8"/>
      <c r="Y153" s="5"/>
      <c r="Z153" s="5"/>
      <c r="AA153" s="9"/>
      <c r="AB153" s="5"/>
      <c r="AC153" s="5"/>
      <c r="AD153" s="9"/>
      <c r="AE153" s="5"/>
      <c r="AF153" s="7" t="str">
        <f t="shared" si="14"/>
        <v/>
      </c>
      <c r="AG153" s="7" t="str">
        <f t="shared" si="15"/>
        <v/>
      </c>
      <c r="AH153" s="7" t="str">
        <f t="shared" si="16"/>
        <v/>
      </c>
      <c r="AI153" s="7" t="str">
        <f t="shared" si="17"/>
        <v/>
      </c>
      <c r="AJ153" s="7" t="str">
        <f t="shared" si="18"/>
        <v/>
      </c>
      <c r="AK153" s="7" t="str">
        <f t="shared" si="19"/>
        <v/>
      </c>
      <c r="AL153" s="10" t="str">
        <f t="shared" si="20"/>
        <v/>
      </c>
      <c r="AM153" s="15" t="str">
        <f>IF(OR($A153&lt;&gt;"",$B153&lt;&gt;""),IF(OR($A153="",$B153=""),"Isi tanggal dan ID PIC",IF(NOT(ISNUMBER($A153)),"Tanggal harus berupa tanggal Excel",IF(COUNTIFS(Master_PIC!$A$8:$A$73,$B153)&lt;&gt;1,"ID PIC tidak unik/terdaftar",IF(VLOOKUP($B153,Master_PIC!$A$8:$G$73,3,FALSE)&lt;&gt;"Sales","Jabatan tidak sesuai sheet",IF(OR($C153="",$D153="",$E153="",$F153=""),"Lengkapi master PIC",IF(COUNTIFS($A$8:$A$507,$A153,$B$8:$B$507,$B153)&gt;1,"Laporan ganda",IF(COUNTIFS(G153:P153,"Tidak Berlaku")&gt;0,"N/A hanya untuk kegiatan bersyarat",IF(SUM(AG153,AH153,AI153,AJ153,AK153)&lt;&gt;14,"Status kegiatan tidak valid",IF(AK153&gt;0,"Lengkapi status kegiatan",IF(AND(AJ153&gt;0,U153=""),"Isi alasan Tidak Berlaku",IF(AND(SUM(AH153,AI153)&gt;0,OR(U153="",V153="",W153="",X153="")),"Isi kendala dan tindak lanjut",IF(AND(Z153&lt;&gt;"Draft",Z153&lt;&gt;"Dikirim"),"Isi status laporan yang valid",IF(AND(AB153&lt;&gt;"",AB153&lt;&gt;"Belum Diperiksa",AB153&lt;&gt;"Disetujui",AB153&lt;&gt;"Perlu Perbaikan"),"Hasil review tidak valid",IF(AND(Z153="Dikirim",OR(Y153="",AA153="")),"Isi bukti dan waktu kirim",IF(AND(AB153="Disetujui",OR(Z153&lt;&gt;"Dikirim",AC153="",AD153="")),"Lengkapi pemeriksaan",IF(AND(AB153="Perlu Perbaikan",OR(AE153="",AC153="",AD153="")),"Isi pemeriksa dan catatan perbaikan","OK")))))))))))))))),"")</f>
        <v/>
      </c>
    </row>
    <row r="154" spans="1:39" ht="24.95" customHeight="1">
      <c r="A154" s="8"/>
      <c r="B154" s="6"/>
      <c r="C154" s="15" t="str">
        <f>IF(COUNTIFS(Master_PIC!$A$8:$A$73,$B154)=1,IF(VLOOKUP($B154,Master_PIC!$A$8:$G$73,2,FALSE)="","",VLOOKUP($B154,Master_PIC!$A$8:$G$73,2,FALSE)),"")</f>
        <v/>
      </c>
      <c r="D154" s="15" t="str">
        <f>IF(COUNTIFS(Master_PIC!$A$8:$A$73,$B154)=1,IF(VLOOKUP($B154,Master_PIC!$A$8:$G$73,4,FALSE)="","",VLOOKUP($B154,Master_PIC!$A$8:$G$73,4,FALSE)),"")</f>
        <v/>
      </c>
      <c r="E154" s="15" t="str">
        <f>IF(COUNTIFS(Master_PIC!$A$8:$A$73,$B154)=1,IF(VLOOKUP($B154,Master_PIC!$A$8:$G$73,5,FALSE)="","",VLOOKUP($B154,Master_PIC!$A$8:$G$73,5,FALSE)),"")</f>
        <v/>
      </c>
      <c r="F154" s="15" t="str">
        <f>IF(COUNTIFS(Master_PIC!$A$8:$A$73,$B154)=1,IF(VLOOKUP($B154,Master_PIC!$A$8:$G$73,6,FALSE)="","",VLOOKUP($B154,Master_PIC!$A$8:$G$73,6,FALSE)),"")</f>
        <v/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8"/>
      <c r="Y154" s="5"/>
      <c r="Z154" s="5"/>
      <c r="AA154" s="9"/>
      <c r="AB154" s="5"/>
      <c r="AC154" s="5"/>
      <c r="AD154" s="9"/>
      <c r="AE154" s="5"/>
      <c r="AF154" s="7" t="str">
        <f t="shared" si="14"/>
        <v/>
      </c>
      <c r="AG154" s="7" t="str">
        <f t="shared" si="15"/>
        <v/>
      </c>
      <c r="AH154" s="7" t="str">
        <f t="shared" si="16"/>
        <v/>
      </c>
      <c r="AI154" s="7" t="str">
        <f t="shared" si="17"/>
        <v/>
      </c>
      <c r="AJ154" s="7" t="str">
        <f t="shared" si="18"/>
        <v/>
      </c>
      <c r="AK154" s="7" t="str">
        <f t="shared" si="19"/>
        <v/>
      </c>
      <c r="AL154" s="10" t="str">
        <f t="shared" si="20"/>
        <v/>
      </c>
      <c r="AM154" s="15" t="str">
        <f>IF(OR($A154&lt;&gt;"",$B154&lt;&gt;""),IF(OR($A154="",$B154=""),"Isi tanggal dan ID PIC",IF(NOT(ISNUMBER($A154)),"Tanggal harus berupa tanggal Excel",IF(COUNTIFS(Master_PIC!$A$8:$A$73,$B154)&lt;&gt;1,"ID PIC tidak unik/terdaftar",IF(VLOOKUP($B154,Master_PIC!$A$8:$G$73,3,FALSE)&lt;&gt;"Sales","Jabatan tidak sesuai sheet",IF(OR($C154="",$D154="",$E154="",$F154=""),"Lengkapi master PIC",IF(COUNTIFS($A$8:$A$507,$A154,$B$8:$B$507,$B154)&gt;1,"Laporan ganda",IF(COUNTIFS(G154:P154,"Tidak Berlaku")&gt;0,"N/A hanya untuk kegiatan bersyarat",IF(SUM(AG154,AH154,AI154,AJ154,AK154)&lt;&gt;14,"Status kegiatan tidak valid",IF(AK154&gt;0,"Lengkapi status kegiatan",IF(AND(AJ154&gt;0,U154=""),"Isi alasan Tidak Berlaku",IF(AND(SUM(AH154,AI154)&gt;0,OR(U154="",V154="",W154="",X154="")),"Isi kendala dan tindak lanjut",IF(AND(Z154&lt;&gt;"Draft",Z154&lt;&gt;"Dikirim"),"Isi status laporan yang valid",IF(AND(AB154&lt;&gt;"",AB154&lt;&gt;"Belum Diperiksa",AB154&lt;&gt;"Disetujui",AB154&lt;&gt;"Perlu Perbaikan"),"Hasil review tidak valid",IF(AND(Z154="Dikirim",OR(Y154="",AA154="")),"Isi bukti dan waktu kirim",IF(AND(AB154="Disetujui",OR(Z154&lt;&gt;"Dikirim",AC154="",AD154="")),"Lengkapi pemeriksaan",IF(AND(AB154="Perlu Perbaikan",OR(AE154="",AC154="",AD154="")),"Isi pemeriksa dan catatan perbaikan","OK")))))))))))))))),"")</f>
        <v/>
      </c>
    </row>
    <row r="155" spans="1:39" ht="24.95" customHeight="1">
      <c r="A155" s="8"/>
      <c r="B155" s="6"/>
      <c r="C155" s="15" t="str">
        <f>IF(COUNTIFS(Master_PIC!$A$8:$A$73,$B155)=1,IF(VLOOKUP($B155,Master_PIC!$A$8:$G$73,2,FALSE)="","",VLOOKUP($B155,Master_PIC!$A$8:$G$73,2,FALSE)),"")</f>
        <v/>
      </c>
      <c r="D155" s="15" t="str">
        <f>IF(COUNTIFS(Master_PIC!$A$8:$A$73,$B155)=1,IF(VLOOKUP($B155,Master_PIC!$A$8:$G$73,4,FALSE)="","",VLOOKUP($B155,Master_PIC!$A$8:$G$73,4,FALSE)),"")</f>
        <v/>
      </c>
      <c r="E155" s="15" t="str">
        <f>IF(COUNTIFS(Master_PIC!$A$8:$A$73,$B155)=1,IF(VLOOKUP($B155,Master_PIC!$A$8:$G$73,5,FALSE)="","",VLOOKUP($B155,Master_PIC!$A$8:$G$73,5,FALSE)),"")</f>
        <v/>
      </c>
      <c r="F155" s="15" t="str">
        <f>IF(COUNTIFS(Master_PIC!$A$8:$A$73,$B155)=1,IF(VLOOKUP($B155,Master_PIC!$A$8:$G$73,6,FALSE)="","",VLOOKUP($B155,Master_PIC!$A$8:$G$73,6,FALSE)),"")</f>
        <v/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8"/>
      <c r="Y155" s="5"/>
      <c r="Z155" s="5"/>
      <c r="AA155" s="9"/>
      <c r="AB155" s="5"/>
      <c r="AC155" s="5"/>
      <c r="AD155" s="9"/>
      <c r="AE155" s="5"/>
      <c r="AF155" s="7" t="str">
        <f t="shared" si="14"/>
        <v/>
      </c>
      <c r="AG155" s="7" t="str">
        <f t="shared" si="15"/>
        <v/>
      </c>
      <c r="AH155" s="7" t="str">
        <f t="shared" si="16"/>
        <v/>
      </c>
      <c r="AI155" s="7" t="str">
        <f t="shared" si="17"/>
        <v/>
      </c>
      <c r="AJ155" s="7" t="str">
        <f t="shared" si="18"/>
        <v/>
      </c>
      <c r="AK155" s="7" t="str">
        <f t="shared" si="19"/>
        <v/>
      </c>
      <c r="AL155" s="10" t="str">
        <f t="shared" si="20"/>
        <v/>
      </c>
      <c r="AM155" s="15" t="str">
        <f>IF(OR($A155&lt;&gt;"",$B155&lt;&gt;""),IF(OR($A155="",$B155=""),"Isi tanggal dan ID PIC",IF(NOT(ISNUMBER($A155)),"Tanggal harus berupa tanggal Excel",IF(COUNTIFS(Master_PIC!$A$8:$A$73,$B155)&lt;&gt;1,"ID PIC tidak unik/terdaftar",IF(VLOOKUP($B155,Master_PIC!$A$8:$G$73,3,FALSE)&lt;&gt;"Sales","Jabatan tidak sesuai sheet",IF(OR($C155="",$D155="",$E155="",$F155=""),"Lengkapi master PIC",IF(COUNTIFS($A$8:$A$507,$A155,$B$8:$B$507,$B155)&gt;1,"Laporan ganda",IF(COUNTIFS(G155:P155,"Tidak Berlaku")&gt;0,"N/A hanya untuk kegiatan bersyarat",IF(SUM(AG155,AH155,AI155,AJ155,AK155)&lt;&gt;14,"Status kegiatan tidak valid",IF(AK155&gt;0,"Lengkapi status kegiatan",IF(AND(AJ155&gt;0,U155=""),"Isi alasan Tidak Berlaku",IF(AND(SUM(AH155,AI155)&gt;0,OR(U155="",V155="",W155="",X155="")),"Isi kendala dan tindak lanjut",IF(AND(Z155&lt;&gt;"Draft",Z155&lt;&gt;"Dikirim"),"Isi status laporan yang valid",IF(AND(AB155&lt;&gt;"",AB155&lt;&gt;"Belum Diperiksa",AB155&lt;&gt;"Disetujui",AB155&lt;&gt;"Perlu Perbaikan"),"Hasil review tidak valid",IF(AND(Z155="Dikirim",OR(Y155="",AA155="")),"Isi bukti dan waktu kirim",IF(AND(AB155="Disetujui",OR(Z155&lt;&gt;"Dikirim",AC155="",AD155="")),"Lengkapi pemeriksaan",IF(AND(AB155="Perlu Perbaikan",OR(AE155="",AC155="",AD155="")),"Isi pemeriksa dan catatan perbaikan","OK")))))))))))))))),"")</f>
        <v/>
      </c>
    </row>
    <row r="156" spans="1:39" ht="24.95" customHeight="1">
      <c r="A156" s="8"/>
      <c r="B156" s="6"/>
      <c r="C156" s="15" t="str">
        <f>IF(COUNTIFS(Master_PIC!$A$8:$A$73,$B156)=1,IF(VLOOKUP($B156,Master_PIC!$A$8:$G$73,2,FALSE)="","",VLOOKUP($B156,Master_PIC!$A$8:$G$73,2,FALSE)),"")</f>
        <v/>
      </c>
      <c r="D156" s="15" t="str">
        <f>IF(COUNTIFS(Master_PIC!$A$8:$A$73,$B156)=1,IF(VLOOKUP($B156,Master_PIC!$A$8:$G$73,4,FALSE)="","",VLOOKUP($B156,Master_PIC!$A$8:$G$73,4,FALSE)),"")</f>
        <v/>
      </c>
      <c r="E156" s="15" t="str">
        <f>IF(COUNTIFS(Master_PIC!$A$8:$A$73,$B156)=1,IF(VLOOKUP($B156,Master_PIC!$A$8:$G$73,5,FALSE)="","",VLOOKUP($B156,Master_PIC!$A$8:$G$73,5,FALSE)),"")</f>
        <v/>
      </c>
      <c r="F156" s="15" t="str">
        <f>IF(COUNTIFS(Master_PIC!$A$8:$A$73,$B156)=1,IF(VLOOKUP($B156,Master_PIC!$A$8:$G$73,6,FALSE)="","",VLOOKUP($B156,Master_PIC!$A$8:$G$73,6,FALSE)),"")</f>
        <v/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8"/>
      <c r="Y156" s="5"/>
      <c r="Z156" s="5"/>
      <c r="AA156" s="9"/>
      <c r="AB156" s="5"/>
      <c r="AC156" s="5"/>
      <c r="AD156" s="9"/>
      <c r="AE156" s="5"/>
      <c r="AF156" s="7" t="str">
        <f t="shared" si="14"/>
        <v/>
      </c>
      <c r="AG156" s="7" t="str">
        <f t="shared" si="15"/>
        <v/>
      </c>
      <c r="AH156" s="7" t="str">
        <f t="shared" si="16"/>
        <v/>
      </c>
      <c r="AI156" s="7" t="str">
        <f t="shared" si="17"/>
        <v/>
      </c>
      <c r="AJ156" s="7" t="str">
        <f t="shared" si="18"/>
        <v/>
      </c>
      <c r="AK156" s="7" t="str">
        <f t="shared" si="19"/>
        <v/>
      </c>
      <c r="AL156" s="10" t="str">
        <f t="shared" si="20"/>
        <v/>
      </c>
      <c r="AM156" s="15" t="str">
        <f>IF(OR($A156&lt;&gt;"",$B156&lt;&gt;""),IF(OR($A156="",$B156=""),"Isi tanggal dan ID PIC",IF(NOT(ISNUMBER($A156)),"Tanggal harus berupa tanggal Excel",IF(COUNTIFS(Master_PIC!$A$8:$A$73,$B156)&lt;&gt;1,"ID PIC tidak unik/terdaftar",IF(VLOOKUP($B156,Master_PIC!$A$8:$G$73,3,FALSE)&lt;&gt;"Sales","Jabatan tidak sesuai sheet",IF(OR($C156="",$D156="",$E156="",$F156=""),"Lengkapi master PIC",IF(COUNTIFS($A$8:$A$507,$A156,$B$8:$B$507,$B156)&gt;1,"Laporan ganda",IF(COUNTIFS(G156:P156,"Tidak Berlaku")&gt;0,"N/A hanya untuk kegiatan bersyarat",IF(SUM(AG156,AH156,AI156,AJ156,AK156)&lt;&gt;14,"Status kegiatan tidak valid",IF(AK156&gt;0,"Lengkapi status kegiatan",IF(AND(AJ156&gt;0,U156=""),"Isi alasan Tidak Berlaku",IF(AND(SUM(AH156,AI156)&gt;0,OR(U156="",V156="",W156="",X156="")),"Isi kendala dan tindak lanjut",IF(AND(Z156&lt;&gt;"Draft",Z156&lt;&gt;"Dikirim"),"Isi status laporan yang valid",IF(AND(AB156&lt;&gt;"",AB156&lt;&gt;"Belum Diperiksa",AB156&lt;&gt;"Disetujui",AB156&lt;&gt;"Perlu Perbaikan"),"Hasil review tidak valid",IF(AND(Z156="Dikirim",OR(Y156="",AA156="")),"Isi bukti dan waktu kirim",IF(AND(AB156="Disetujui",OR(Z156&lt;&gt;"Dikirim",AC156="",AD156="")),"Lengkapi pemeriksaan",IF(AND(AB156="Perlu Perbaikan",OR(AE156="",AC156="",AD156="")),"Isi pemeriksa dan catatan perbaikan","OK")))))))))))))))),"")</f>
        <v/>
      </c>
    </row>
    <row r="157" spans="1:39" ht="24.95" customHeight="1">
      <c r="A157" s="8"/>
      <c r="B157" s="6"/>
      <c r="C157" s="15" t="str">
        <f>IF(COUNTIFS(Master_PIC!$A$8:$A$73,$B157)=1,IF(VLOOKUP($B157,Master_PIC!$A$8:$G$73,2,FALSE)="","",VLOOKUP($B157,Master_PIC!$A$8:$G$73,2,FALSE)),"")</f>
        <v/>
      </c>
      <c r="D157" s="15" t="str">
        <f>IF(COUNTIFS(Master_PIC!$A$8:$A$73,$B157)=1,IF(VLOOKUP($B157,Master_PIC!$A$8:$G$73,4,FALSE)="","",VLOOKUP($B157,Master_PIC!$A$8:$G$73,4,FALSE)),"")</f>
        <v/>
      </c>
      <c r="E157" s="15" t="str">
        <f>IF(COUNTIFS(Master_PIC!$A$8:$A$73,$B157)=1,IF(VLOOKUP($B157,Master_PIC!$A$8:$G$73,5,FALSE)="","",VLOOKUP($B157,Master_PIC!$A$8:$G$73,5,FALSE)),"")</f>
        <v/>
      </c>
      <c r="F157" s="15" t="str">
        <f>IF(COUNTIFS(Master_PIC!$A$8:$A$73,$B157)=1,IF(VLOOKUP($B157,Master_PIC!$A$8:$G$73,6,FALSE)="","",VLOOKUP($B157,Master_PIC!$A$8:$G$73,6,FALSE)),"")</f>
        <v/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8"/>
      <c r="Y157" s="5"/>
      <c r="Z157" s="5"/>
      <c r="AA157" s="9"/>
      <c r="AB157" s="5"/>
      <c r="AC157" s="5"/>
      <c r="AD157" s="9"/>
      <c r="AE157" s="5"/>
      <c r="AF157" s="7" t="str">
        <f t="shared" si="14"/>
        <v/>
      </c>
      <c r="AG157" s="7" t="str">
        <f t="shared" si="15"/>
        <v/>
      </c>
      <c r="AH157" s="7" t="str">
        <f t="shared" si="16"/>
        <v/>
      </c>
      <c r="AI157" s="7" t="str">
        <f t="shared" si="17"/>
        <v/>
      </c>
      <c r="AJ157" s="7" t="str">
        <f t="shared" si="18"/>
        <v/>
      </c>
      <c r="AK157" s="7" t="str">
        <f t="shared" si="19"/>
        <v/>
      </c>
      <c r="AL157" s="10" t="str">
        <f t="shared" si="20"/>
        <v/>
      </c>
      <c r="AM157" s="15" t="str">
        <f>IF(OR($A157&lt;&gt;"",$B157&lt;&gt;""),IF(OR($A157="",$B157=""),"Isi tanggal dan ID PIC",IF(NOT(ISNUMBER($A157)),"Tanggal harus berupa tanggal Excel",IF(COUNTIFS(Master_PIC!$A$8:$A$73,$B157)&lt;&gt;1,"ID PIC tidak unik/terdaftar",IF(VLOOKUP($B157,Master_PIC!$A$8:$G$73,3,FALSE)&lt;&gt;"Sales","Jabatan tidak sesuai sheet",IF(OR($C157="",$D157="",$E157="",$F157=""),"Lengkapi master PIC",IF(COUNTIFS($A$8:$A$507,$A157,$B$8:$B$507,$B157)&gt;1,"Laporan ganda",IF(COUNTIFS(G157:P157,"Tidak Berlaku")&gt;0,"N/A hanya untuk kegiatan bersyarat",IF(SUM(AG157,AH157,AI157,AJ157,AK157)&lt;&gt;14,"Status kegiatan tidak valid",IF(AK157&gt;0,"Lengkapi status kegiatan",IF(AND(AJ157&gt;0,U157=""),"Isi alasan Tidak Berlaku",IF(AND(SUM(AH157,AI157)&gt;0,OR(U157="",V157="",W157="",X157="")),"Isi kendala dan tindak lanjut",IF(AND(Z157&lt;&gt;"Draft",Z157&lt;&gt;"Dikirim"),"Isi status laporan yang valid",IF(AND(AB157&lt;&gt;"",AB157&lt;&gt;"Belum Diperiksa",AB157&lt;&gt;"Disetujui",AB157&lt;&gt;"Perlu Perbaikan"),"Hasil review tidak valid",IF(AND(Z157="Dikirim",OR(Y157="",AA157="")),"Isi bukti dan waktu kirim",IF(AND(AB157="Disetujui",OR(Z157&lt;&gt;"Dikirim",AC157="",AD157="")),"Lengkapi pemeriksaan",IF(AND(AB157="Perlu Perbaikan",OR(AE157="",AC157="",AD157="")),"Isi pemeriksa dan catatan perbaikan","OK")))))))))))))))),"")</f>
        <v/>
      </c>
    </row>
    <row r="158" spans="1:39" ht="24.95" customHeight="1">
      <c r="A158" s="8"/>
      <c r="B158" s="6"/>
      <c r="C158" s="15" t="str">
        <f>IF(COUNTIFS(Master_PIC!$A$8:$A$73,$B158)=1,IF(VLOOKUP($B158,Master_PIC!$A$8:$G$73,2,FALSE)="","",VLOOKUP($B158,Master_PIC!$A$8:$G$73,2,FALSE)),"")</f>
        <v/>
      </c>
      <c r="D158" s="15" t="str">
        <f>IF(COUNTIFS(Master_PIC!$A$8:$A$73,$B158)=1,IF(VLOOKUP($B158,Master_PIC!$A$8:$G$73,4,FALSE)="","",VLOOKUP($B158,Master_PIC!$A$8:$G$73,4,FALSE)),"")</f>
        <v/>
      </c>
      <c r="E158" s="15" t="str">
        <f>IF(COUNTIFS(Master_PIC!$A$8:$A$73,$B158)=1,IF(VLOOKUP($B158,Master_PIC!$A$8:$G$73,5,FALSE)="","",VLOOKUP($B158,Master_PIC!$A$8:$G$73,5,FALSE)),"")</f>
        <v/>
      </c>
      <c r="F158" s="15" t="str">
        <f>IF(COUNTIFS(Master_PIC!$A$8:$A$73,$B158)=1,IF(VLOOKUP($B158,Master_PIC!$A$8:$G$73,6,FALSE)="","",VLOOKUP($B158,Master_PIC!$A$8:$G$73,6,FALSE)),"")</f>
        <v/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8"/>
      <c r="Y158" s="5"/>
      <c r="Z158" s="5"/>
      <c r="AA158" s="9"/>
      <c r="AB158" s="5"/>
      <c r="AC158" s="5"/>
      <c r="AD158" s="9"/>
      <c r="AE158" s="5"/>
      <c r="AF158" s="7" t="str">
        <f t="shared" si="14"/>
        <v/>
      </c>
      <c r="AG158" s="7" t="str">
        <f t="shared" si="15"/>
        <v/>
      </c>
      <c r="AH158" s="7" t="str">
        <f t="shared" si="16"/>
        <v/>
      </c>
      <c r="AI158" s="7" t="str">
        <f t="shared" si="17"/>
        <v/>
      </c>
      <c r="AJ158" s="7" t="str">
        <f t="shared" si="18"/>
        <v/>
      </c>
      <c r="AK158" s="7" t="str">
        <f t="shared" si="19"/>
        <v/>
      </c>
      <c r="AL158" s="10" t="str">
        <f t="shared" si="20"/>
        <v/>
      </c>
      <c r="AM158" s="15" t="str">
        <f>IF(OR($A158&lt;&gt;"",$B158&lt;&gt;""),IF(OR($A158="",$B158=""),"Isi tanggal dan ID PIC",IF(NOT(ISNUMBER($A158)),"Tanggal harus berupa tanggal Excel",IF(COUNTIFS(Master_PIC!$A$8:$A$73,$B158)&lt;&gt;1,"ID PIC tidak unik/terdaftar",IF(VLOOKUP($B158,Master_PIC!$A$8:$G$73,3,FALSE)&lt;&gt;"Sales","Jabatan tidak sesuai sheet",IF(OR($C158="",$D158="",$E158="",$F158=""),"Lengkapi master PIC",IF(COUNTIFS($A$8:$A$507,$A158,$B$8:$B$507,$B158)&gt;1,"Laporan ganda",IF(COUNTIFS(G158:P158,"Tidak Berlaku")&gt;0,"N/A hanya untuk kegiatan bersyarat",IF(SUM(AG158,AH158,AI158,AJ158,AK158)&lt;&gt;14,"Status kegiatan tidak valid",IF(AK158&gt;0,"Lengkapi status kegiatan",IF(AND(AJ158&gt;0,U158=""),"Isi alasan Tidak Berlaku",IF(AND(SUM(AH158,AI158)&gt;0,OR(U158="",V158="",W158="",X158="")),"Isi kendala dan tindak lanjut",IF(AND(Z158&lt;&gt;"Draft",Z158&lt;&gt;"Dikirim"),"Isi status laporan yang valid",IF(AND(AB158&lt;&gt;"",AB158&lt;&gt;"Belum Diperiksa",AB158&lt;&gt;"Disetujui",AB158&lt;&gt;"Perlu Perbaikan"),"Hasil review tidak valid",IF(AND(Z158="Dikirim",OR(Y158="",AA158="")),"Isi bukti dan waktu kirim",IF(AND(AB158="Disetujui",OR(Z158&lt;&gt;"Dikirim",AC158="",AD158="")),"Lengkapi pemeriksaan",IF(AND(AB158="Perlu Perbaikan",OR(AE158="",AC158="",AD158="")),"Isi pemeriksa dan catatan perbaikan","OK")))))))))))))))),"")</f>
        <v/>
      </c>
    </row>
    <row r="159" spans="1:39" ht="24.95" customHeight="1">
      <c r="A159" s="8"/>
      <c r="B159" s="6"/>
      <c r="C159" s="15" t="str">
        <f>IF(COUNTIFS(Master_PIC!$A$8:$A$73,$B159)=1,IF(VLOOKUP($B159,Master_PIC!$A$8:$G$73,2,FALSE)="","",VLOOKUP($B159,Master_PIC!$A$8:$G$73,2,FALSE)),"")</f>
        <v/>
      </c>
      <c r="D159" s="15" t="str">
        <f>IF(COUNTIFS(Master_PIC!$A$8:$A$73,$B159)=1,IF(VLOOKUP($B159,Master_PIC!$A$8:$G$73,4,FALSE)="","",VLOOKUP($B159,Master_PIC!$A$8:$G$73,4,FALSE)),"")</f>
        <v/>
      </c>
      <c r="E159" s="15" t="str">
        <f>IF(COUNTIFS(Master_PIC!$A$8:$A$73,$B159)=1,IF(VLOOKUP($B159,Master_PIC!$A$8:$G$73,5,FALSE)="","",VLOOKUP($B159,Master_PIC!$A$8:$G$73,5,FALSE)),"")</f>
        <v/>
      </c>
      <c r="F159" s="15" t="str">
        <f>IF(COUNTIFS(Master_PIC!$A$8:$A$73,$B159)=1,IF(VLOOKUP($B159,Master_PIC!$A$8:$G$73,6,FALSE)="","",VLOOKUP($B159,Master_PIC!$A$8:$G$73,6,FALSE)),"")</f>
        <v/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8"/>
      <c r="Y159" s="5"/>
      <c r="Z159" s="5"/>
      <c r="AA159" s="9"/>
      <c r="AB159" s="5"/>
      <c r="AC159" s="5"/>
      <c r="AD159" s="9"/>
      <c r="AE159" s="5"/>
      <c r="AF159" s="7" t="str">
        <f t="shared" si="14"/>
        <v/>
      </c>
      <c r="AG159" s="7" t="str">
        <f t="shared" si="15"/>
        <v/>
      </c>
      <c r="AH159" s="7" t="str">
        <f t="shared" si="16"/>
        <v/>
      </c>
      <c r="AI159" s="7" t="str">
        <f t="shared" si="17"/>
        <v/>
      </c>
      <c r="AJ159" s="7" t="str">
        <f t="shared" si="18"/>
        <v/>
      </c>
      <c r="AK159" s="7" t="str">
        <f t="shared" si="19"/>
        <v/>
      </c>
      <c r="AL159" s="10" t="str">
        <f t="shared" si="20"/>
        <v/>
      </c>
      <c r="AM159" s="15" t="str">
        <f>IF(OR($A159&lt;&gt;"",$B159&lt;&gt;""),IF(OR($A159="",$B159=""),"Isi tanggal dan ID PIC",IF(NOT(ISNUMBER($A159)),"Tanggal harus berupa tanggal Excel",IF(COUNTIFS(Master_PIC!$A$8:$A$73,$B159)&lt;&gt;1,"ID PIC tidak unik/terdaftar",IF(VLOOKUP($B159,Master_PIC!$A$8:$G$73,3,FALSE)&lt;&gt;"Sales","Jabatan tidak sesuai sheet",IF(OR($C159="",$D159="",$E159="",$F159=""),"Lengkapi master PIC",IF(COUNTIFS($A$8:$A$507,$A159,$B$8:$B$507,$B159)&gt;1,"Laporan ganda",IF(COUNTIFS(G159:P159,"Tidak Berlaku")&gt;0,"N/A hanya untuk kegiatan bersyarat",IF(SUM(AG159,AH159,AI159,AJ159,AK159)&lt;&gt;14,"Status kegiatan tidak valid",IF(AK159&gt;0,"Lengkapi status kegiatan",IF(AND(AJ159&gt;0,U159=""),"Isi alasan Tidak Berlaku",IF(AND(SUM(AH159,AI159)&gt;0,OR(U159="",V159="",W159="",X159="")),"Isi kendala dan tindak lanjut",IF(AND(Z159&lt;&gt;"Draft",Z159&lt;&gt;"Dikirim"),"Isi status laporan yang valid",IF(AND(AB159&lt;&gt;"",AB159&lt;&gt;"Belum Diperiksa",AB159&lt;&gt;"Disetujui",AB159&lt;&gt;"Perlu Perbaikan"),"Hasil review tidak valid",IF(AND(Z159="Dikirim",OR(Y159="",AA159="")),"Isi bukti dan waktu kirim",IF(AND(AB159="Disetujui",OR(Z159&lt;&gt;"Dikirim",AC159="",AD159="")),"Lengkapi pemeriksaan",IF(AND(AB159="Perlu Perbaikan",OR(AE159="",AC159="",AD159="")),"Isi pemeriksa dan catatan perbaikan","OK")))))))))))))))),"")</f>
        <v/>
      </c>
    </row>
    <row r="160" spans="1:39" ht="24.95" customHeight="1">
      <c r="A160" s="8"/>
      <c r="B160" s="6"/>
      <c r="C160" s="15" t="str">
        <f>IF(COUNTIFS(Master_PIC!$A$8:$A$73,$B160)=1,IF(VLOOKUP($B160,Master_PIC!$A$8:$G$73,2,FALSE)="","",VLOOKUP($B160,Master_PIC!$A$8:$G$73,2,FALSE)),"")</f>
        <v/>
      </c>
      <c r="D160" s="15" t="str">
        <f>IF(COUNTIFS(Master_PIC!$A$8:$A$73,$B160)=1,IF(VLOOKUP($B160,Master_PIC!$A$8:$G$73,4,FALSE)="","",VLOOKUP($B160,Master_PIC!$A$8:$G$73,4,FALSE)),"")</f>
        <v/>
      </c>
      <c r="E160" s="15" t="str">
        <f>IF(COUNTIFS(Master_PIC!$A$8:$A$73,$B160)=1,IF(VLOOKUP($B160,Master_PIC!$A$8:$G$73,5,FALSE)="","",VLOOKUP($B160,Master_PIC!$A$8:$G$73,5,FALSE)),"")</f>
        <v/>
      </c>
      <c r="F160" s="15" t="str">
        <f>IF(COUNTIFS(Master_PIC!$A$8:$A$73,$B160)=1,IF(VLOOKUP($B160,Master_PIC!$A$8:$G$73,6,FALSE)="","",VLOOKUP($B160,Master_PIC!$A$8:$G$73,6,FALSE)),"")</f>
        <v/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8"/>
      <c r="Y160" s="5"/>
      <c r="Z160" s="5"/>
      <c r="AA160" s="9"/>
      <c r="AB160" s="5"/>
      <c r="AC160" s="5"/>
      <c r="AD160" s="9"/>
      <c r="AE160" s="5"/>
      <c r="AF160" s="7" t="str">
        <f t="shared" si="14"/>
        <v/>
      </c>
      <c r="AG160" s="7" t="str">
        <f t="shared" si="15"/>
        <v/>
      </c>
      <c r="AH160" s="7" t="str">
        <f t="shared" si="16"/>
        <v/>
      </c>
      <c r="AI160" s="7" t="str">
        <f t="shared" si="17"/>
        <v/>
      </c>
      <c r="AJ160" s="7" t="str">
        <f t="shared" si="18"/>
        <v/>
      </c>
      <c r="AK160" s="7" t="str">
        <f t="shared" si="19"/>
        <v/>
      </c>
      <c r="AL160" s="10" t="str">
        <f t="shared" si="20"/>
        <v/>
      </c>
      <c r="AM160" s="15" t="str">
        <f>IF(OR($A160&lt;&gt;"",$B160&lt;&gt;""),IF(OR($A160="",$B160=""),"Isi tanggal dan ID PIC",IF(NOT(ISNUMBER($A160)),"Tanggal harus berupa tanggal Excel",IF(COUNTIFS(Master_PIC!$A$8:$A$73,$B160)&lt;&gt;1,"ID PIC tidak unik/terdaftar",IF(VLOOKUP($B160,Master_PIC!$A$8:$G$73,3,FALSE)&lt;&gt;"Sales","Jabatan tidak sesuai sheet",IF(OR($C160="",$D160="",$E160="",$F160=""),"Lengkapi master PIC",IF(COUNTIFS($A$8:$A$507,$A160,$B$8:$B$507,$B160)&gt;1,"Laporan ganda",IF(COUNTIFS(G160:P160,"Tidak Berlaku")&gt;0,"N/A hanya untuk kegiatan bersyarat",IF(SUM(AG160,AH160,AI160,AJ160,AK160)&lt;&gt;14,"Status kegiatan tidak valid",IF(AK160&gt;0,"Lengkapi status kegiatan",IF(AND(AJ160&gt;0,U160=""),"Isi alasan Tidak Berlaku",IF(AND(SUM(AH160,AI160)&gt;0,OR(U160="",V160="",W160="",X160="")),"Isi kendala dan tindak lanjut",IF(AND(Z160&lt;&gt;"Draft",Z160&lt;&gt;"Dikirim"),"Isi status laporan yang valid",IF(AND(AB160&lt;&gt;"",AB160&lt;&gt;"Belum Diperiksa",AB160&lt;&gt;"Disetujui",AB160&lt;&gt;"Perlu Perbaikan"),"Hasil review tidak valid",IF(AND(Z160="Dikirim",OR(Y160="",AA160="")),"Isi bukti dan waktu kirim",IF(AND(AB160="Disetujui",OR(Z160&lt;&gt;"Dikirim",AC160="",AD160="")),"Lengkapi pemeriksaan",IF(AND(AB160="Perlu Perbaikan",OR(AE160="",AC160="",AD160="")),"Isi pemeriksa dan catatan perbaikan","OK")))))))))))))))),"")</f>
        <v/>
      </c>
    </row>
    <row r="161" spans="1:39" ht="24.95" customHeight="1">
      <c r="A161" s="8"/>
      <c r="B161" s="6"/>
      <c r="C161" s="15" t="str">
        <f>IF(COUNTIFS(Master_PIC!$A$8:$A$73,$B161)=1,IF(VLOOKUP($B161,Master_PIC!$A$8:$G$73,2,FALSE)="","",VLOOKUP($B161,Master_PIC!$A$8:$G$73,2,FALSE)),"")</f>
        <v/>
      </c>
      <c r="D161" s="15" t="str">
        <f>IF(COUNTIFS(Master_PIC!$A$8:$A$73,$B161)=1,IF(VLOOKUP($B161,Master_PIC!$A$8:$G$73,4,FALSE)="","",VLOOKUP($B161,Master_PIC!$A$8:$G$73,4,FALSE)),"")</f>
        <v/>
      </c>
      <c r="E161" s="15" t="str">
        <f>IF(COUNTIFS(Master_PIC!$A$8:$A$73,$B161)=1,IF(VLOOKUP($B161,Master_PIC!$A$8:$G$73,5,FALSE)="","",VLOOKUP($B161,Master_PIC!$A$8:$G$73,5,FALSE)),"")</f>
        <v/>
      </c>
      <c r="F161" s="15" t="str">
        <f>IF(COUNTIFS(Master_PIC!$A$8:$A$73,$B161)=1,IF(VLOOKUP($B161,Master_PIC!$A$8:$G$73,6,FALSE)="","",VLOOKUP($B161,Master_PIC!$A$8:$G$73,6,FALSE)),"")</f>
        <v/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8"/>
      <c r="Y161" s="5"/>
      <c r="Z161" s="5"/>
      <c r="AA161" s="9"/>
      <c r="AB161" s="5"/>
      <c r="AC161" s="5"/>
      <c r="AD161" s="9"/>
      <c r="AE161" s="5"/>
      <c r="AF161" s="7" t="str">
        <f t="shared" si="14"/>
        <v/>
      </c>
      <c r="AG161" s="7" t="str">
        <f t="shared" si="15"/>
        <v/>
      </c>
      <c r="AH161" s="7" t="str">
        <f t="shared" si="16"/>
        <v/>
      </c>
      <c r="AI161" s="7" t="str">
        <f t="shared" si="17"/>
        <v/>
      </c>
      <c r="AJ161" s="7" t="str">
        <f t="shared" si="18"/>
        <v/>
      </c>
      <c r="AK161" s="7" t="str">
        <f t="shared" si="19"/>
        <v/>
      </c>
      <c r="AL161" s="10" t="str">
        <f t="shared" si="20"/>
        <v/>
      </c>
      <c r="AM161" s="15" t="str">
        <f>IF(OR($A161&lt;&gt;"",$B161&lt;&gt;""),IF(OR($A161="",$B161=""),"Isi tanggal dan ID PIC",IF(NOT(ISNUMBER($A161)),"Tanggal harus berupa tanggal Excel",IF(COUNTIFS(Master_PIC!$A$8:$A$73,$B161)&lt;&gt;1,"ID PIC tidak unik/terdaftar",IF(VLOOKUP($B161,Master_PIC!$A$8:$G$73,3,FALSE)&lt;&gt;"Sales","Jabatan tidak sesuai sheet",IF(OR($C161="",$D161="",$E161="",$F161=""),"Lengkapi master PIC",IF(COUNTIFS($A$8:$A$507,$A161,$B$8:$B$507,$B161)&gt;1,"Laporan ganda",IF(COUNTIFS(G161:P161,"Tidak Berlaku")&gt;0,"N/A hanya untuk kegiatan bersyarat",IF(SUM(AG161,AH161,AI161,AJ161,AK161)&lt;&gt;14,"Status kegiatan tidak valid",IF(AK161&gt;0,"Lengkapi status kegiatan",IF(AND(AJ161&gt;0,U161=""),"Isi alasan Tidak Berlaku",IF(AND(SUM(AH161,AI161)&gt;0,OR(U161="",V161="",W161="",X161="")),"Isi kendala dan tindak lanjut",IF(AND(Z161&lt;&gt;"Draft",Z161&lt;&gt;"Dikirim"),"Isi status laporan yang valid",IF(AND(AB161&lt;&gt;"",AB161&lt;&gt;"Belum Diperiksa",AB161&lt;&gt;"Disetujui",AB161&lt;&gt;"Perlu Perbaikan"),"Hasil review tidak valid",IF(AND(Z161="Dikirim",OR(Y161="",AA161="")),"Isi bukti dan waktu kirim",IF(AND(AB161="Disetujui",OR(Z161&lt;&gt;"Dikirim",AC161="",AD161="")),"Lengkapi pemeriksaan",IF(AND(AB161="Perlu Perbaikan",OR(AE161="",AC161="",AD161="")),"Isi pemeriksa dan catatan perbaikan","OK")))))))))))))))),"")</f>
        <v/>
      </c>
    </row>
    <row r="162" spans="1:39" ht="24.95" customHeight="1">
      <c r="A162" s="8"/>
      <c r="B162" s="6"/>
      <c r="C162" s="15" t="str">
        <f>IF(COUNTIFS(Master_PIC!$A$8:$A$73,$B162)=1,IF(VLOOKUP($B162,Master_PIC!$A$8:$G$73,2,FALSE)="","",VLOOKUP($B162,Master_PIC!$A$8:$G$73,2,FALSE)),"")</f>
        <v/>
      </c>
      <c r="D162" s="15" t="str">
        <f>IF(COUNTIFS(Master_PIC!$A$8:$A$73,$B162)=1,IF(VLOOKUP($B162,Master_PIC!$A$8:$G$73,4,FALSE)="","",VLOOKUP($B162,Master_PIC!$A$8:$G$73,4,FALSE)),"")</f>
        <v/>
      </c>
      <c r="E162" s="15" t="str">
        <f>IF(COUNTIFS(Master_PIC!$A$8:$A$73,$B162)=1,IF(VLOOKUP($B162,Master_PIC!$A$8:$G$73,5,FALSE)="","",VLOOKUP($B162,Master_PIC!$A$8:$G$73,5,FALSE)),"")</f>
        <v/>
      </c>
      <c r="F162" s="15" t="str">
        <f>IF(COUNTIFS(Master_PIC!$A$8:$A$73,$B162)=1,IF(VLOOKUP($B162,Master_PIC!$A$8:$G$73,6,FALSE)="","",VLOOKUP($B162,Master_PIC!$A$8:$G$73,6,FALSE)),"")</f>
        <v/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8"/>
      <c r="Y162" s="5"/>
      <c r="Z162" s="5"/>
      <c r="AA162" s="9"/>
      <c r="AB162" s="5"/>
      <c r="AC162" s="5"/>
      <c r="AD162" s="9"/>
      <c r="AE162" s="5"/>
      <c r="AF162" s="7" t="str">
        <f t="shared" si="14"/>
        <v/>
      </c>
      <c r="AG162" s="7" t="str">
        <f t="shared" si="15"/>
        <v/>
      </c>
      <c r="AH162" s="7" t="str">
        <f t="shared" si="16"/>
        <v/>
      </c>
      <c r="AI162" s="7" t="str">
        <f t="shared" si="17"/>
        <v/>
      </c>
      <c r="AJ162" s="7" t="str">
        <f t="shared" si="18"/>
        <v/>
      </c>
      <c r="AK162" s="7" t="str">
        <f t="shared" si="19"/>
        <v/>
      </c>
      <c r="AL162" s="10" t="str">
        <f t="shared" si="20"/>
        <v/>
      </c>
      <c r="AM162" s="15" t="str">
        <f>IF(OR($A162&lt;&gt;"",$B162&lt;&gt;""),IF(OR($A162="",$B162=""),"Isi tanggal dan ID PIC",IF(NOT(ISNUMBER($A162)),"Tanggal harus berupa tanggal Excel",IF(COUNTIFS(Master_PIC!$A$8:$A$73,$B162)&lt;&gt;1,"ID PIC tidak unik/terdaftar",IF(VLOOKUP($B162,Master_PIC!$A$8:$G$73,3,FALSE)&lt;&gt;"Sales","Jabatan tidak sesuai sheet",IF(OR($C162="",$D162="",$E162="",$F162=""),"Lengkapi master PIC",IF(COUNTIFS($A$8:$A$507,$A162,$B$8:$B$507,$B162)&gt;1,"Laporan ganda",IF(COUNTIFS(G162:P162,"Tidak Berlaku")&gt;0,"N/A hanya untuk kegiatan bersyarat",IF(SUM(AG162,AH162,AI162,AJ162,AK162)&lt;&gt;14,"Status kegiatan tidak valid",IF(AK162&gt;0,"Lengkapi status kegiatan",IF(AND(AJ162&gt;0,U162=""),"Isi alasan Tidak Berlaku",IF(AND(SUM(AH162,AI162)&gt;0,OR(U162="",V162="",W162="",X162="")),"Isi kendala dan tindak lanjut",IF(AND(Z162&lt;&gt;"Draft",Z162&lt;&gt;"Dikirim"),"Isi status laporan yang valid",IF(AND(AB162&lt;&gt;"",AB162&lt;&gt;"Belum Diperiksa",AB162&lt;&gt;"Disetujui",AB162&lt;&gt;"Perlu Perbaikan"),"Hasil review tidak valid",IF(AND(Z162="Dikirim",OR(Y162="",AA162="")),"Isi bukti dan waktu kirim",IF(AND(AB162="Disetujui",OR(Z162&lt;&gt;"Dikirim",AC162="",AD162="")),"Lengkapi pemeriksaan",IF(AND(AB162="Perlu Perbaikan",OR(AE162="",AC162="",AD162="")),"Isi pemeriksa dan catatan perbaikan","OK")))))))))))))))),"")</f>
        <v/>
      </c>
    </row>
    <row r="163" spans="1:39" ht="24.95" customHeight="1">
      <c r="A163" s="8"/>
      <c r="B163" s="6"/>
      <c r="C163" s="15" t="str">
        <f>IF(COUNTIFS(Master_PIC!$A$8:$A$73,$B163)=1,IF(VLOOKUP($B163,Master_PIC!$A$8:$G$73,2,FALSE)="","",VLOOKUP($B163,Master_PIC!$A$8:$G$73,2,FALSE)),"")</f>
        <v/>
      </c>
      <c r="D163" s="15" t="str">
        <f>IF(COUNTIFS(Master_PIC!$A$8:$A$73,$B163)=1,IF(VLOOKUP($B163,Master_PIC!$A$8:$G$73,4,FALSE)="","",VLOOKUP($B163,Master_PIC!$A$8:$G$73,4,FALSE)),"")</f>
        <v/>
      </c>
      <c r="E163" s="15" t="str">
        <f>IF(COUNTIFS(Master_PIC!$A$8:$A$73,$B163)=1,IF(VLOOKUP($B163,Master_PIC!$A$8:$G$73,5,FALSE)="","",VLOOKUP($B163,Master_PIC!$A$8:$G$73,5,FALSE)),"")</f>
        <v/>
      </c>
      <c r="F163" s="15" t="str">
        <f>IF(COUNTIFS(Master_PIC!$A$8:$A$73,$B163)=1,IF(VLOOKUP($B163,Master_PIC!$A$8:$G$73,6,FALSE)="","",VLOOKUP($B163,Master_PIC!$A$8:$G$73,6,FALSE)),"")</f>
        <v/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8"/>
      <c r="Y163" s="5"/>
      <c r="Z163" s="5"/>
      <c r="AA163" s="9"/>
      <c r="AB163" s="5"/>
      <c r="AC163" s="5"/>
      <c r="AD163" s="9"/>
      <c r="AE163" s="5"/>
      <c r="AF163" s="7" t="str">
        <f t="shared" si="14"/>
        <v/>
      </c>
      <c r="AG163" s="7" t="str">
        <f t="shared" si="15"/>
        <v/>
      </c>
      <c r="AH163" s="7" t="str">
        <f t="shared" si="16"/>
        <v/>
      </c>
      <c r="AI163" s="7" t="str">
        <f t="shared" si="17"/>
        <v/>
      </c>
      <c r="AJ163" s="7" t="str">
        <f t="shared" si="18"/>
        <v/>
      </c>
      <c r="AK163" s="7" t="str">
        <f t="shared" si="19"/>
        <v/>
      </c>
      <c r="AL163" s="10" t="str">
        <f t="shared" si="20"/>
        <v/>
      </c>
      <c r="AM163" s="15" t="str">
        <f>IF(OR($A163&lt;&gt;"",$B163&lt;&gt;""),IF(OR($A163="",$B163=""),"Isi tanggal dan ID PIC",IF(NOT(ISNUMBER($A163)),"Tanggal harus berupa tanggal Excel",IF(COUNTIFS(Master_PIC!$A$8:$A$73,$B163)&lt;&gt;1,"ID PIC tidak unik/terdaftar",IF(VLOOKUP($B163,Master_PIC!$A$8:$G$73,3,FALSE)&lt;&gt;"Sales","Jabatan tidak sesuai sheet",IF(OR($C163="",$D163="",$E163="",$F163=""),"Lengkapi master PIC",IF(COUNTIFS($A$8:$A$507,$A163,$B$8:$B$507,$B163)&gt;1,"Laporan ganda",IF(COUNTIFS(G163:P163,"Tidak Berlaku")&gt;0,"N/A hanya untuk kegiatan bersyarat",IF(SUM(AG163,AH163,AI163,AJ163,AK163)&lt;&gt;14,"Status kegiatan tidak valid",IF(AK163&gt;0,"Lengkapi status kegiatan",IF(AND(AJ163&gt;0,U163=""),"Isi alasan Tidak Berlaku",IF(AND(SUM(AH163,AI163)&gt;0,OR(U163="",V163="",W163="",X163="")),"Isi kendala dan tindak lanjut",IF(AND(Z163&lt;&gt;"Draft",Z163&lt;&gt;"Dikirim"),"Isi status laporan yang valid",IF(AND(AB163&lt;&gt;"",AB163&lt;&gt;"Belum Diperiksa",AB163&lt;&gt;"Disetujui",AB163&lt;&gt;"Perlu Perbaikan"),"Hasil review tidak valid",IF(AND(Z163="Dikirim",OR(Y163="",AA163="")),"Isi bukti dan waktu kirim",IF(AND(AB163="Disetujui",OR(Z163&lt;&gt;"Dikirim",AC163="",AD163="")),"Lengkapi pemeriksaan",IF(AND(AB163="Perlu Perbaikan",OR(AE163="",AC163="",AD163="")),"Isi pemeriksa dan catatan perbaikan","OK")))))))))))))))),"")</f>
        <v/>
      </c>
    </row>
    <row r="164" spans="1:39" ht="24.95" customHeight="1">
      <c r="A164" s="8"/>
      <c r="B164" s="6"/>
      <c r="C164" s="15" t="str">
        <f>IF(COUNTIFS(Master_PIC!$A$8:$A$73,$B164)=1,IF(VLOOKUP($B164,Master_PIC!$A$8:$G$73,2,FALSE)="","",VLOOKUP($B164,Master_PIC!$A$8:$G$73,2,FALSE)),"")</f>
        <v/>
      </c>
      <c r="D164" s="15" t="str">
        <f>IF(COUNTIFS(Master_PIC!$A$8:$A$73,$B164)=1,IF(VLOOKUP($B164,Master_PIC!$A$8:$G$73,4,FALSE)="","",VLOOKUP($B164,Master_PIC!$A$8:$G$73,4,FALSE)),"")</f>
        <v/>
      </c>
      <c r="E164" s="15" t="str">
        <f>IF(COUNTIFS(Master_PIC!$A$8:$A$73,$B164)=1,IF(VLOOKUP($B164,Master_PIC!$A$8:$G$73,5,FALSE)="","",VLOOKUP($B164,Master_PIC!$A$8:$G$73,5,FALSE)),"")</f>
        <v/>
      </c>
      <c r="F164" s="15" t="str">
        <f>IF(COUNTIFS(Master_PIC!$A$8:$A$73,$B164)=1,IF(VLOOKUP($B164,Master_PIC!$A$8:$G$73,6,FALSE)="","",VLOOKUP($B164,Master_PIC!$A$8:$G$73,6,FALSE)),"")</f>
        <v/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8"/>
      <c r="Y164" s="5"/>
      <c r="Z164" s="5"/>
      <c r="AA164" s="9"/>
      <c r="AB164" s="5"/>
      <c r="AC164" s="5"/>
      <c r="AD164" s="9"/>
      <c r="AE164" s="5"/>
      <c r="AF164" s="7" t="str">
        <f t="shared" si="14"/>
        <v/>
      </c>
      <c r="AG164" s="7" t="str">
        <f t="shared" si="15"/>
        <v/>
      </c>
      <c r="AH164" s="7" t="str">
        <f t="shared" si="16"/>
        <v/>
      </c>
      <c r="AI164" s="7" t="str">
        <f t="shared" si="17"/>
        <v/>
      </c>
      <c r="AJ164" s="7" t="str">
        <f t="shared" si="18"/>
        <v/>
      </c>
      <c r="AK164" s="7" t="str">
        <f t="shared" si="19"/>
        <v/>
      </c>
      <c r="AL164" s="10" t="str">
        <f t="shared" si="20"/>
        <v/>
      </c>
      <c r="AM164" s="15" t="str">
        <f>IF(OR($A164&lt;&gt;"",$B164&lt;&gt;""),IF(OR($A164="",$B164=""),"Isi tanggal dan ID PIC",IF(NOT(ISNUMBER($A164)),"Tanggal harus berupa tanggal Excel",IF(COUNTIFS(Master_PIC!$A$8:$A$73,$B164)&lt;&gt;1,"ID PIC tidak unik/terdaftar",IF(VLOOKUP($B164,Master_PIC!$A$8:$G$73,3,FALSE)&lt;&gt;"Sales","Jabatan tidak sesuai sheet",IF(OR($C164="",$D164="",$E164="",$F164=""),"Lengkapi master PIC",IF(COUNTIFS($A$8:$A$507,$A164,$B$8:$B$507,$B164)&gt;1,"Laporan ganda",IF(COUNTIFS(G164:P164,"Tidak Berlaku")&gt;0,"N/A hanya untuk kegiatan bersyarat",IF(SUM(AG164,AH164,AI164,AJ164,AK164)&lt;&gt;14,"Status kegiatan tidak valid",IF(AK164&gt;0,"Lengkapi status kegiatan",IF(AND(AJ164&gt;0,U164=""),"Isi alasan Tidak Berlaku",IF(AND(SUM(AH164,AI164)&gt;0,OR(U164="",V164="",W164="",X164="")),"Isi kendala dan tindak lanjut",IF(AND(Z164&lt;&gt;"Draft",Z164&lt;&gt;"Dikirim"),"Isi status laporan yang valid",IF(AND(AB164&lt;&gt;"",AB164&lt;&gt;"Belum Diperiksa",AB164&lt;&gt;"Disetujui",AB164&lt;&gt;"Perlu Perbaikan"),"Hasil review tidak valid",IF(AND(Z164="Dikirim",OR(Y164="",AA164="")),"Isi bukti dan waktu kirim",IF(AND(AB164="Disetujui",OR(Z164&lt;&gt;"Dikirim",AC164="",AD164="")),"Lengkapi pemeriksaan",IF(AND(AB164="Perlu Perbaikan",OR(AE164="",AC164="",AD164="")),"Isi pemeriksa dan catatan perbaikan","OK")))))))))))))))),"")</f>
        <v/>
      </c>
    </row>
    <row r="165" spans="1:39" ht="24.95" customHeight="1">
      <c r="A165" s="8"/>
      <c r="B165" s="6"/>
      <c r="C165" s="15" t="str">
        <f>IF(COUNTIFS(Master_PIC!$A$8:$A$73,$B165)=1,IF(VLOOKUP($B165,Master_PIC!$A$8:$G$73,2,FALSE)="","",VLOOKUP($B165,Master_PIC!$A$8:$G$73,2,FALSE)),"")</f>
        <v/>
      </c>
      <c r="D165" s="15" t="str">
        <f>IF(COUNTIFS(Master_PIC!$A$8:$A$73,$B165)=1,IF(VLOOKUP($B165,Master_PIC!$A$8:$G$73,4,FALSE)="","",VLOOKUP($B165,Master_PIC!$A$8:$G$73,4,FALSE)),"")</f>
        <v/>
      </c>
      <c r="E165" s="15" t="str">
        <f>IF(COUNTIFS(Master_PIC!$A$8:$A$73,$B165)=1,IF(VLOOKUP($B165,Master_PIC!$A$8:$G$73,5,FALSE)="","",VLOOKUP($B165,Master_PIC!$A$8:$G$73,5,FALSE)),"")</f>
        <v/>
      </c>
      <c r="F165" s="15" t="str">
        <f>IF(COUNTIFS(Master_PIC!$A$8:$A$73,$B165)=1,IF(VLOOKUP($B165,Master_PIC!$A$8:$G$73,6,FALSE)="","",VLOOKUP($B165,Master_PIC!$A$8:$G$73,6,FALSE)),"")</f>
        <v/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8"/>
      <c r="Y165" s="5"/>
      <c r="Z165" s="5"/>
      <c r="AA165" s="9"/>
      <c r="AB165" s="5"/>
      <c r="AC165" s="5"/>
      <c r="AD165" s="9"/>
      <c r="AE165" s="5"/>
      <c r="AF165" s="7" t="str">
        <f t="shared" si="14"/>
        <v/>
      </c>
      <c r="AG165" s="7" t="str">
        <f t="shared" si="15"/>
        <v/>
      </c>
      <c r="AH165" s="7" t="str">
        <f t="shared" si="16"/>
        <v/>
      </c>
      <c r="AI165" s="7" t="str">
        <f t="shared" si="17"/>
        <v/>
      </c>
      <c r="AJ165" s="7" t="str">
        <f t="shared" si="18"/>
        <v/>
      </c>
      <c r="AK165" s="7" t="str">
        <f t="shared" si="19"/>
        <v/>
      </c>
      <c r="AL165" s="10" t="str">
        <f t="shared" si="20"/>
        <v/>
      </c>
      <c r="AM165" s="15" t="str">
        <f>IF(OR($A165&lt;&gt;"",$B165&lt;&gt;""),IF(OR($A165="",$B165=""),"Isi tanggal dan ID PIC",IF(NOT(ISNUMBER($A165)),"Tanggal harus berupa tanggal Excel",IF(COUNTIFS(Master_PIC!$A$8:$A$73,$B165)&lt;&gt;1,"ID PIC tidak unik/terdaftar",IF(VLOOKUP($B165,Master_PIC!$A$8:$G$73,3,FALSE)&lt;&gt;"Sales","Jabatan tidak sesuai sheet",IF(OR($C165="",$D165="",$E165="",$F165=""),"Lengkapi master PIC",IF(COUNTIFS($A$8:$A$507,$A165,$B$8:$B$507,$B165)&gt;1,"Laporan ganda",IF(COUNTIFS(G165:P165,"Tidak Berlaku")&gt;0,"N/A hanya untuk kegiatan bersyarat",IF(SUM(AG165,AH165,AI165,AJ165,AK165)&lt;&gt;14,"Status kegiatan tidak valid",IF(AK165&gt;0,"Lengkapi status kegiatan",IF(AND(AJ165&gt;0,U165=""),"Isi alasan Tidak Berlaku",IF(AND(SUM(AH165,AI165)&gt;0,OR(U165="",V165="",W165="",X165="")),"Isi kendala dan tindak lanjut",IF(AND(Z165&lt;&gt;"Draft",Z165&lt;&gt;"Dikirim"),"Isi status laporan yang valid",IF(AND(AB165&lt;&gt;"",AB165&lt;&gt;"Belum Diperiksa",AB165&lt;&gt;"Disetujui",AB165&lt;&gt;"Perlu Perbaikan"),"Hasil review tidak valid",IF(AND(Z165="Dikirim",OR(Y165="",AA165="")),"Isi bukti dan waktu kirim",IF(AND(AB165="Disetujui",OR(Z165&lt;&gt;"Dikirim",AC165="",AD165="")),"Lengkapi pemeriksaan",IF(AND(AB165="Perlu Perbaikan",OR(AE165="",AC165="",AD165="")),"Isi pemeriksa dan catatan perbaikan","OK")))))))))))))))),"")</f>
        <v/>
      </c>
    </row>
    <row r="166" spans="1:39" ht="24.95" customHeight="1">
      <c r="A166" s="8"/>
      <c r="B166" s="6"/>
      <c r="C166" s="15" t="str">
        <f>IF(COUNTIFS(Master_PIC!$A$8:$A$73,$B166)=1,IF(VLOOKUP($B166,Master_PIC!$A$8:$G$73,2,FALSE)="","",VLOOKUP($B166,Master_PIC!$A$8:$G$73,2,FALSE)),"")</f>
        <v/>
      </c>
      <c r="D166" s="15" t="str">
        <f>IF(COUNTIFS(Master_PIC!$A$8:$A$73,$B166)=1,IF(VLOOKUP($B166,Master_PIC!$A$8:$G$73,4,FALSE)="","",VLOOKUP($B166,Master_PIC!$A$8:$G$73,4,FALSE)),"")</f>
        <v/>
      </c>
      <c r="E166" s="15" t="str">
        <f>IF(COUNTIFS(Master_PIC!$A$8:$A$73,$B166)=1,IF(VLOOKUP($B166,Master_PIC!$A$8:$G$73,5,FALSE)="","",VLOOKUP($B166,Master_PIC!$A$8:$G$73,5,FALSE)),"")</f>
        <v/>
      </c>
      <c r="F166" s="15" t="str">
        <f>IF(COUNTIFS(Master_PIC!$A$8:$A$73,$B166)=1,IF(VLOOKUP($B166,Master_PIC!$A$8:$G$73,6,FALSE)="","",VLOOKUP($B166,Master_PIC!$A$8:$G$73,6,FALSE)),"")</f>
        <v/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8"/>
      <c r="Y166" s="5"/>
      <c r="Z166" s="5"/>
      <c r="AA166" s="9"/>
      <c r="AB166" s="5"/>
      <c r="AC166" s="5"/>
      <c r="AD166" s="9"/>
      <c r="AE166" s="5"/>
      <c r="AF166" s="7" t="str">
        <f t="shared" si="14"/>
        <v/>
      </c>
      <c r="AG166" s="7" t="str">
        <f t="shared" si="15"/>
        <v/>
      </c>
      <c r="AH166" s="7" t="str">
        <f t="shared" si="16"/>
        <v/>
      </c>
      <c r="AI166" s="7" t="str">
        <f t="shared" si="17"/>
        <v/>
      </c>
      <c r="AJ166" s="7" t="str">
        <f t="shared" si="18"/>
        <v/>
      </c>
      <c r="AK166" s="7" t="str">
        <f t="shared" si="19"/>
        <v/>
      </c>
      <c r="AL166" s="10" t="str">
        <f t="shared" si="20"/>
        <v/>
      </c>
      <c r="AM166" s="15" t="str">
        <f>IF(OR($A166&lt;&gt;"",$B166&lt;&gt;""),IF(OR($A166="",$B166=""),"Isi tanggal dan ID PIC",IF(NOT(ISNUMBER($A166)),"Tanggal harus berupa tanggal Excel",IF(COUNTIFS(Master_PIC!$A$8:$A$73,$B166)&lt;&gt;1,"ID PIC tidak unik/terdaftar",IF(VLOOKUP($B166,Master_PIC!$A$8:$G$73,3,FALSE)&lt;&gt;"Sales","Jabatan tidak sesuai sheet",IF(OR($C166="",$D166="",$E166="",$F166=""),"Lengkapi master PIC",IF(COUNTIFS($A$8:$A$507,$A166,$B$8:$B$507,$B166)&gt;1,"Laporan ganda",IF(COUNTIFS(G166:P166,"Tidak Berlaku")&gt;0,"N/A hanya untuk kegiatan bersyarat",IF(SUM(AG166,AH166,AI166,AJ166,AK166)&lt;&gt;14,"Status kegiatan tidak valid",IF(AK166&gt;0,"Lengkapi status kegiatan",IF(AND(AJ166&gt;0,U166=""),"Isi alasan Tidak Berlaku",IF(AND(SUM(AH166,AI166)&gt;0,OR(U166="",V166="",W166="",X166="")),"Isi kendala dan tindak lanjut",IF(AND(Z166&lt;&gt;"Draft",Z166&lt;&gt;"Dikirim"),"Isi status laporan yang valid",IF(AND(AB166&lt;&gt;"",AB166&lt;&gt;"Belum Diperiksa",AB166&lt;&gt;"Disetujui",AB166&lt;&gt;"Perlu Perbaikan"),"Hasil review tidak valid",IF(AND(Z166="Dikirim",OR(Y166="",AA166="")),"Isi bukti dan waktu kirim",IF(AND(AB166="Disetujui",OR(Z166&lt;&gt;"Dikirim",AC166="",AD166="")),"Lengkapi pemeriksaan",IF(AND(AB166="Perlu Perbaikan",OR(AE166="",AC166="",AD166="")),"Isi pemeriksa dan catatan perbaikan","OK")))))))))))))))),"")</f>
        <v/>
      </c>
    </row>
    <row r="167" spans="1:39" ht="24.95" customHeight="1">
      <c r="A167" s="8"/>
      <c r="B167" s="6"/>
      <c r="C167" s="15" t="str">
        <f>IF(COUNTIFS(Master_PIC!$A$8:$A$73,$B167)=1,IF(VLOOKUP($B167,Master_PIC!$A$8:$G$73,2,FALSE)="","",VLOOKUP($B167,Master_PIC!$A$8:$G$73,2,FALSE)),"")</f>
        <v/>
      </c>
      <c r="D167" s="15" t="str">
        <f>IF(COUNTIFS(Master_PIC!$A$8:$A$73,$B167)=1,IF(VLOOKUP($B167,Master_PIC!$A$8:$G$73,4,FALSE)="","",VLOOKUP($B167,Master_PIC!$A$8:$G$73,4,FALSE)),"")</f>
        <v/>
      </c>
      <c r="E167" s="15" t="str">
        <f>IF(COUNTIFS(Master_PIC!$A$8:$A$73,$B167)=1,IF(VLOOKUP($B167,Master_PIC!$A$8:$G$73,5,FALSE)="","",VLOOKUP($B167,Master_PIC!$A$8:$G$73,5,FALSE)),"")</f>
        <v/>
      </c>
      <c r="F167" s="15" t="str">
        <f>IF(COUNTIFS(Master_PIC!$A$8:$A$73,$B167)=1,IF(VLOOKUP($B167,Master_PIC!$A$8:$G$73,6,FALSE)="","",VLOOKUP($B167,Master_PIC!$A$8:$G$73,6,FALSE)),"")</f>
        <v/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8"/>
      <c r="Y167" s="5"/>
      <c r="Z167" s="5"/>
      <c r="AA167" s="9"/>
      <c r="AB167" s="5"/>
      <c r="AC167" s="5"/>
      <c r="AD167" s="9"/>
      <c r="AE167" s="5"/>
      <c r="AF167" s="7" t="str">
        <f t="shared" si="14"/>
        <v/>
      </c>
      <c r="AG167" s="7" t="str">
        <f t="shared" si="15"/>
        <v/>
      </c>
      <c r="AH167" s="7" t="str">
        <f t="shared" si="16"/>
        <v/>
      </c>
      <c r="AI167" s="7" t="str">
        <f t="shared" si="17"/>
        <v/>
      </c>
      <c r="AJ167" s="7" t="str">
        <f t="shared" si="18"/>
        <v/>
      </c>
      <c r="AK167" s="7" t="str">
        <f t="shared" si="19"/>
        <v/>
      </c>
      <c r="AL167" s="10" t="str">
        <f t="shared" si="20"/>
        <v/>
      </c>
      <c r="AM167" s="15" t="str">
        <f>IF(OR($A167&lt;&gt;"",$B167&lt;&gt;""),IF(OR($A167="",$B167=""),"Isi tanggal dan ID PIC",IF(NOT(ISNUMBER($A167)),"Tanggal harus berupa tanggal Excel",IF(COUNTIFS(Master_PIC!$A$8:$A$73,$B167)&lt;&gt;1,"ID PIC tidak unik/terdaftar",IF(VLOOKUP($B167,Master_PIC!$A$8:$G$73,3,FALSE)&lt;&gt;"Sales","Jabatan tidak sesuai sheet",IF(OR($C167="",$D167="",$E167="",$F167=""),"Lengkapi master PIC",IF(COUNTIFS($A$8:$A$507,$A167,$B$8:$B$507,$B167)&gt;1,"Laporan ganda",IF(COUNTIFS(G167:P167,"Tidak Berlaku")&gt;0,"N/A hanya untuk kegiatan bersyarat",IF(SUM(AG167,AH167,AI167,AJ167,AK167)&lt;&gt;14,"Status kegiatan tidak valid",IF(AK167&gt;0,"Lengkapi status kegiatan",IF(AND(AJ167&gt;0,U167=""),"Isi alasan Tidak Berlaku",IF(AND(SUM(AH167,AI167)&gt;0,OR(U167="",V167="",W167="",X167="")),"Isi kendala dan tindak lanjut",IF(AND(Z167&lt;&gt;"Draft",Z167&lt;&gt;"Dikirim"),"Isi status laporan yang valid",IF(AND(AB167&lt;&gt;"",AB167&lt;&gt;"Belum Diperiksa",AB167&lt;&gt;"Disetujui",AB167&lt;&gt;"Perlu Perbaikan"),"Hasil review tidak valid",IF(AND(Z167="Dikirim",OR(Y167="",AA167="")),"Isi bukti dan waktu kirim",IF(AND(AB167="Disetujui",OR(Z167&lt;&gt;"Dikirim",AC167="",AD167="")),"Lengkapi pemeriksaan",IF(AND(AB167="Perlu Perbaikan",OR(AE167="",AC167="",AD167="")),"Isi pemeriksa dan catatan perbaikan","OK")))))))))))))))),"")</f>
        <v/>
      </c>
    </row>
    <row r="168" spans="1:39" ht="24.95" customHeight="1">
      <c r="A168" s="8"/>
      <c r="B168" s="6"/>
      <c r="C168" s="15" t="str">
        <f>IF(COUNTIFS(Master_PIC!$A$8:$A$73,$B168)=1,IF(VLOOKUP($B168,Master_PIC!$A$8:$G$73,2,FALSE)="","",VLOOKUP($B168,Master_PIC!$A$8:$G$73,2,FALSE)),"")</f>
        <v/>
      </c>
      <c r="D168" s="15" t="str">
        <f>IF(COUNTIFS(Master_PIC!$A$8:$A$73,$B168)=1,IF(VLOOKUP($B168,Master_PIC!$A$8:$G$73,4,FALSE)="","",VLOOKUP($B168,Master_PIC!$A$8:$G$73,4,FALSE)),"")</f>
        <v/>
      </c>
      <c r="E168" s="15" t="str">
        <f>IF(COUNTIFS(Master_PIC!$A$8:$A$73,$B168)=1,IF(VLOOKUP($B168,Master_PIC!$A$8:$G$73,5,FALSE)="","",VLOOKUP($B168,Master_PIC!$A$8:$G$73,5,FALSE)),"")</f>
        <v/>
      </c>
      <c r="F168" s="15" t="str">
        <f>IF(COUNTIFS(Master_PIC!$A$8:$A$73,$B168)=1,IF(VLOOKUP($B168,Master_PIC!$A$8:$G$73,6,FALSE)="","",VLOOKUP($B168,Master_PIC!$A$8:$G$73,6,FALSE)),"")</f>
        <v/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8"/>
      <c r="Y168" s="5"/>
      <c r="Z168" s="5"/>
      <c r="AA168" s="9"/>
      <c r="AB168" s="5"/>
      <c r="AC168" s="5"/>
      <c r="AD168" s="9"/>
      <c r="AE168" s="5"/>
      <c r="AF168" s="7" t="str">
        <f t="shared" si="14"/>
        <v/>
      </c>
      <c r="AG168" s="7" t="str">
        <f t="shared" si="15"/>
        <v/>
      </c>
      <c r="AH168" s="7" t="str">
        <f t="shared" si="16"/>
        <v/>
      </c>
      <c r="AI168" s="7" t="str">
        <f t="shared" si="17"/>
        <v/>
      </c>
      <c r="AJ168" s="7" t="str">
        <f t="shared" si="18"/>
        <v/>
      </c>
      <c r="AK168" s="7" t="str">
        <f t="shared" si="19"/>
        <v/>
      </c>
      <c r="AL168" s="10" t="str">
        <f t="shared" si="20"/>
        <v/>
      </c>
      <c r="AM168" s="15" t="str">
        <f>IF(OR($A168&lt;&gt;"",$B168&lt;&gt;""),IF(OR($A168="",$B168=""),"Isi tanggal dan ID PIC",IF(NOT(ISNUMBER($A168)),"Tanggal harus berupa tanggal Excel",IF(COUNTIFS(Master_PIC!$A$8:$A$73,$B168)&lt;&gt;1,"ID PIC tidak unik/terdaftar",IF(VLOOKUP($B168,Master_PIC!$A$8:$G$73,3,FALSE)&lt;&gt;"Sales","Jabatan tidak sesuai sheet",IF(OR($C168="",$D168="",$E168="",$F168=""),"Lengkapi master PIC",IF(COUNTIFS($A$8:$A$507,$A168,$B$8:$B$507,$B168)&gt;1,"Laporan ganda",IF(COUNTIFS(G168:P168,"Tidak Berlaku")&gt;0,"N/A hanya untuk kegiatan bersyarat",IF(SUM(AG168,AH168,AI168,AJ168,AK168)&lt;&gt;14,"Status kegiatan tidak valid",IF(AK168&gt;0,"Lengkapi status kegiatan",IF(AND(AJ168&gt;0,U168=""),"Isi alasan Tidak Berlaku",IF(AND(SUM(AH168,AI168)&gt;0,OR(U168="",V168="",W168="",X168="")),"Isi kendala dan tindak lanjut",IF(AND(Z168&lt;&gt;"Draft",Z168&lt;&gt;"Dikirim"),"Isi status laporan yang valid",IF(AND(AB168&lt;&gt;"",AB168&lt;&gt;"Belum Diperiksa",AB168&lt;&gt;"Disetujui",AB168&lt;&gt;"Perlu Perbaikan"),"Hasil review tidak valid",IF(AND(Z168="Dikirim",OR(Y168="",AA168="")),"Isi bukti dan waktu kirim",IF(AND(AB168="Disetujui",OR(Z168&lt;&gt;"Dikirim",AC168="",AD168="")),"Lengkapi pemeriksaan",IF(AND(AB168="Perlu Perbaikan",OR(AE168="",AC168="",AD168="")),"Isi pemeriksa dan catatan perbaikan","OK")))))))))))))))),"")</f>
        <v/>
      </c>
    </row>
    <row r="169" spans="1:39" ht="24.95" customHeight="1">
      <c r="A169" s="8"/>
      <c r="B169" s="6"/>
      <c r="C169" s="15" t="str">
        <f>IF(COUNTIFS(Master_PIC!$A$8:$A$73,$B169)=1,IF(VLOOKUP($B169,Master_PIC!$A$8:$G$73,2,FALSE)="","",VLOOKUP($B169,Master_PIC!$A$8:$G$73,2,FALSE)),"")</f>
        <v/>
      </c>
      <c r="D169" s="15" t="str">
        <f>IF(COUNTIFS(Master_PIC!$A$8:$A$73,$B169)=1,IF(VLOOKUP($B169,Master_PIC!$A$8:$G$73,4,FALSE)="","",VLOOKUP($B169,Master_PIC!$A$8:$G$73,4,FALSE)),"")</f>
        <v/>
      </c>
      <c r="E169" s="15" t="str">
        <f>IF(COUNTIFS(Master_PIC!$A$8:$A$73,$B169)=1,IF(VLOOKUP($B169,Master_PIC!$A$8:$G$73,5,FALSE)="","",VLOOKUP($B169,Master_PIC!$A$8:$G$73,5,FALSE)),"")</f>
        <v/>
      </c>
      <c r="F169" s="15" t="str">
        <f>IF(COUNTIFS(Master_PIC!$A$8:$A$73,$B169)=1,IF(VLOOKUP($B169,Master_PIC!$A$8:$G$73,6,FALSE)="","",VLOOKUP($B169,Master_PIC!$A$8:$G$73,6,FALSE)),"")</f>
        <v/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8"/>
      <c r="Y169" s="5"/>
      <c r="Z169" s="5"/>
      <c r="AA169" s="9"/>
      <c r="AB169" s="5"/>
      <c r="AC169" s="5"/>
      <c r="AD169" s="9"/>
      <c r="AE169" s="5"/>
      <c r="AF169" s="7" t="str">
        <f t="shared" si="14"/>
        <v/>
      </c>
      <c r="AG169" s="7" t="str">
        <f t="shared" si="15"/>
        <v/>
      </c>
      <c r="AH169" s="7" t="str">
        <f t="shared" si="16"/>
        <v/>
      </c>
      <c r="AI169" s="7" t="str">
        <f t="shared" si="17"/>
        <v/>
      </c>
      <c r="AJ169" s="7" t="str">
        <f t="shared" si="18"/>
        <v/>
      </c>
      <c r="AK169" s="7" t="str">
        <f t="shared" si="19"/>
        <v/>
      </c>
      <c r="AL169" s="10" t="str">
        <f t="shared" si="20"/>
        <v/>
      </c>
      <c r="AM169" s="15" t="str">
        <f>IF(OR($A169&lt;&gt;"",$B169&lt;&gt;""),IF(OR($A169="",$B169=""),"Isi tanggal dan ID PIC",IF(NOT(ISNUMBER($A169)),"Tanggal harus berupa tanggal Excel",IF(COUNTIFS(Master_PIC!$A$8:$A$73,$B169)&lt;&gt;1,"ID PIC tidak unik/terdaftar",IF(VLOOKUP($B169,Master_PIC!$A$8:$G$73,3,FALSE)&lt;&gt;"Sales","Jabatan tidak sesuai sheet",IF(OR($C169="",$D169="",$E169="",$F169=""),"Lengkapi master PIC",IF(COUNTIFS($A$8:$A$507,$A169,$B$8:$B$507,$B169)&gt;1,"Laporan ganda",IF(COUNTIFS(G169:P169,"Tidak Berlaku")&gt;0,"N/A hanya untuk kegiatan bersyarat",IF(SUM(AG169,AH169,AI169,AJ169,AK169)&lt;&gt;14,"Status kegiatan tidak valid",IF(AK169&gt;0,"Lengkapi status kegiatan",IF(AND(AJ169&gt;0,U169=""),"Isi alasan Tidak Berlaku",IF(AND(SUM(AH169,AI169)&gt;0,OR(U169="",V169="",W169="",X169="")),"Isi kendala dan tindak lanjut",IF(AND(Z169&lt;&gt;"Draft",Z169&lt;&gt;"Dikirim"),"Isi status laporan yang valid",IF(AND(AB169&lt;&gt;"",AB169&lt;&gt;"Belum Diperiksa",AB169&lt;&gt;"Disetujui",AB169&lt;&gt;"Perlu Perbaikan"),"Hasil review tidak valid",IF(AND(Z169="Dikirim",OR(Y169="",AA169="")),"Isi bukti dan waktu kirim",IF(AND(AB169="Disetujui",OR(Z169&lt;&gt;"Dikirim",AC169="",AD169="")),"Lengkapi pemeriksaan",IF(AND(AB169="Perlu Perbaikan",OR(AE169="",AC169="",AD169="")),"Isi pemeriksa dan catatan perbaikan","OK")))))))))))))))),"")</f>
        <v/>
      </c>
    </row>
    <row r="170" spans="1:39" ht="24.95" customHeight="1">
      <c r="A170" s="8"/>
      <c r="B170" s="6"/>
      <c r="C170" s="15" t="str">
        <f>IF(COUNTIFS(Master_PIC!$A$8:$A$73,$B170)=1,IF(VLOOKUP($B170,Master_PIC!$A$8:$G$73,2,FALSE)="","",VLOOKUP($B170,Master_PIC!$A$8:$G$73,2,FALSE)),"")</f>
        <v/>
      </c>
      <c r="D170" s="15" t="str">
        <f>IF(COUNTIFS(Master_PIC!$A$8:$A$73,$B170)=1,IF(VLOOKUP($B170,Master_PIC!$A$8:$G$73,4,FALSE)="","",VLOOKUP($B170,Master_PIC!$A$8:$G$73,4,FALSE)),"")</f>
        <v/>
      </c>
      <c r="E170" s="15" t="str">
        <f>IF(COUNTIFS(Master_PIC!$A$8:$A$73,$B170)=1,IF(VLOOKUP($B170,Master_PIC!$A$8:$G$73,5,FALSE)="","",VLOOKUP($B170,Master_PIC!$A$8:$G$73,5,FALSE)),"")</f>
        <v/>
      </c>
      <c r="F170" s="15" t="str">
        <f>IF(COUNTIFS(Master_PIC!$A$8:$A$73,$B170)=1,IF(VLOOKUP($B170,Master_PIC!$A$8:$G$73,6,FALSE)="","",VLOOKUP($B170,Master_PIC!$A$8:$G$73,6,FALSE)),"")</f>
        <v/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8"/>
      <c r="Y170" s="5"/>
      <c r="Z170" s="5"/>
      <c r="AA170" s="9"/>
      <c r="AB170" s="5"/>
      <c r="AC170" s="5"/>
      <c r="AD170" s="9"/>
      <c r="AE170" s="5"/>
      <c r="AF170" s="7" t="str">
        <f t="shared" si="14"/>
        <v/>
      </c>
      <c r="AG170" s="7" t="str">
        <f t="shared" si="15"/>
        <v/>
      </c>
      <c r="AH170" s="7" t="str">
        <f t="shared" si="16"/>
        <v/>
      </c>
      <c r="AI170" s="7" t="str">
        <f t="shared" si="17"/>
        <v/>
      </c>
      <c r="AJ170" s="7" t="str">
        <f t="shared" si="18"/>
        <v/>
      </c>
      <c r="AK170" s="7" t="str">
        <f t="shared" si="19"/>
        <v/>
      </c>
      <c r="AL170" s="10" t="str">
        <f t="shared" si="20"/>
        <v/>
      </c>
      <c r="AM170" s="15" t="str">
        <f>IF(OR($A170&lt;&gt;"",$B170&lt;&gt;""),IF(OR($A170="",$B170=""),"Isi tanggal dan ID PIC",IF(NOT(ISNUMBER($A170)),"Tanggal harus berupa tanggal Excel",IF(COUNTIFS(Master_PIC!$A$8:$A$73,$B170)&lt;&gt;1,"ID PIC tidak unik/terdaftar",IF(VLOOKUP($B170,Master_PIC!$A$8:$G$73,3,FALSE)&lt;&gt;"Sales","Jabatan tidak sesuai sheet",IF(OR($C170="",$D170="",$E170="",$F170=""),"Lengkapi master PIC",IF(COUNTIFS($A$8:$A$507,$A170,$B$8:$B$507,$B170)&gt;1,"Laporan ganda",IF(COUNTIFS(G170:P170,"Tidak Berlaku")&gt;0,"N/A hanya untuk kegiatan bersyarat",IF(SUM(AG170,AH170,AI170,AJ170,AK170)&lt;&gt;14,"Status kegiatan tidak valid",IF(AK170&gt;0,"Lengkapi status kegiatan",IF(AND(AJ170&gt;0,U170=""),"Isi alasan Tidak Berlaku",IF(AND(SUM(AH170,AI170)&gt;0,OR(U170="",V170="",W170="",X170="")),"Isi kendala dan tindak lanjut",IF(AND(Z170&lt;&gt;"Draft",Z170&lt;&gt;"Dikirim"),"Isi status laporan yang valid",IF(AND(AB170&lt;&gt;"",AB170&lt;&gt;"Belum Diperiksa",AB170&lt;&gt;"Disetujui",AB170&lt;&gt;"Perlu Perbaikan"),"Hasil review tidak valid",IF(AND(Z170="Dikirim",OR(Y170="",AA170="")),"Isi bukti dan waktu kirim",IF(AND(AB170="Disetujui",OR(Z170&lt;&gt;"Dikirim",AC170="",AD170="")),"Lengkapi pemeriksaan",IF(AND(AB170="Perlu Perbaikan",OR(AE170="",AC170="",AD170="")),"Isi pemeriksa dan catatan perbaikan","OK")))))))))))))))),"")</f>
        <v/>
      </c>
    </row>
    <row r="171" spans="1:39" ht="24.95" customHeight="1">
      <c r="A171" s="8"/>
      <c r="B171" s="6"/>
      <c r="C171" s="15" t="str">
        <f>IF(COUNTIFS(Master_PIC!$A$8:$A$73,$B171)=1,IF(VLOOKUP($B171,Master_PIC!$A$8:$G$73,2,FALSE)="","",VLOOKUP($B171,Master_PIC!$A$8:$G$73,2,FALSE)),"")</f>
        <v/>
      </c>
      <c r="D171" s="15" t="str">
        <f>IF(COUNTIFS(Master_PIC!$A$8:$A$73,$B171)=1,IF(VLOOKUP($B171,Master_PIC!$A$8:$G$73,4,FALSE)="","",VLOOKUP($B171,Master_PIC!$A$8:$G$73,4,FALSE)),"")</f>
        <v/>
      </c>
      <c r="E171" s="15" t="str">
        <f>IF(COUNTIFS(Master_PIC!$A$8:$A$73,$B171)=1,IF(VLOOKUP($B171,Master_PIC!$A$8:$G$73,5,FALSE)="","",VLOOKUP($B171,Master_PIC!$A$8:$G$73,5,FALSE)),"")</f>
        <v/>
      </c>
      <c r="F171" s="15" t="str">
        <f>IF(COUNTIFS(Master_PIC!$A$8:$A$73,$B171)=1,IF(VLOOKUP($B171,Master_PIC!$A$8:$G$73,6,FALSE)="","",VLOOKUP($B171,Master_PIC!$A$8:$G$73,6,FALSE)),"")</f>
        <v/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8"/>
      <c r="Y171" s="5"/>
      <c r="Z171" s="5"/>
      <c r="AA171" s="9"/>
      <c r="AB171" s="5"/>
      <c r="AC171" s="5"/>
      <c r="AD171" s="9"/>
      <c r="AE171" s="5"/>
      <c r="AF171" s="7" t="str">
        <f t="shared" si="14"/>
        <v/>
      </c>
      <c r="AG171" s="7" t="str">
        <f t="shared" si="15"/>
        <v/>
      </c>
      <c r="AH171" s="7" t="str">
        <f t="shared" si="16"/>
        <v/>
      </c>
      <c r="AI171" s="7" t="str">
        <f t="shared" si="17"/>
        <v/>
      </c>
      <c r="AJ171" s="7" t="str">
        <f t="shared" si="18"/>
        <v/>
      </c>
      <c r="AK171" s="7" t="str">
        <f t="shared" si="19"/>
        <v/>
      </c>
      <c r="AL171" s="10" t="str">
        <f t="shared" si="20"/>
        <v/>
      </c>
      <c r="AM171" s="15" t="str">
        <f>IF(OR($A171&lt;&gt;"",$B171&lt;&gt;""),IF(OR($A171="",$B171=""),"Isi tanggal dan ID PIC",IF(NOT(ISNUMBER($A171)),"Tanggal harus berupa tanggal Excel",IF(COUNTIFS(Master_PIC!$A$8:$A$73,$B171)&lt;&gt;1,"ID PIC tidak unik/terdaftar",IF(VLOOKUP($B171,Master_PIC!$A$8:$G$73,3,FALSE)&lt;&gt;"Sales","Jabatan tidak sesuai sheet",IF(OR($C171="",$D171="",$E171="",$F171=""),"Lengkapi master PIC",IF(COUNTIFS($A$8:$A$507,$A171,$B$8:$B$507,$B171)&gt;1,"Laporan ganda",IF(COUNTIFS(G171:P171,"Tidak Berlaku")&gt;0,"N/A hanya untuk kegiatan bersyarat",IF(SUM(AG171,AH171,AI171,AJ171,AK171)&lt;&gt;14,"Status kegiatan tidak valid",IF(AK171&gt;0,"Lengkapi status kegiatan",IF(AND(AJ171&gt;0,U171=""),"Isi alasan Tidak Berlaku",IF(AND(SUM(AH171,AI171)&gt;0,OR(U171="",V171="",W171="",X171="")),"Isi kendala dan tindak lanjut",IF(AND(Z171&lt;&gt;"Draft",Z171&lt;&gt;"Dikirim"),"Isi status laporan yang valid",IF(AND(AB171&lt;&gt;"",AB171&lt;&gt;"Belum Diperiksa",AB171&lt;&gt;"Disetujui",AB171&lt;&gt;"Perlu Perbaikan"),"Hasil review tidak valid",IF(AND(Z171="Dikirim",OR(Y171="",AA171="")),"Isi bukti dan waktu kirim",IF(AND(AB171="Disetujui",OR(Z171&lt;&gt;"Dikirim",AC171="",AD171="")),"Lengkapi pemeriksaan",IF(AND(AB171="Perlu Perbaikan",OR(AE171="",AC171="",AD171="")),"Isi pemeriksa dan catatan perbaikan","OK")))))))))))))))),"")</f>
        <v/>
      </c>
    </row>
    <row r="172" spans="1:39" ht="24.95" customHeight="1">
      <c r="A172" s="8"/>
      <c r="B172" s="6"/>
      <c r="C172" s="15" t="str">
        <f>IF(COUNTIFS(Master_PIC!$A$8:$A$73,$B172)=1,IF(VLOOKUP($B172,Master_PIC!$A$8:$G$73,2,FALSE)="","",VLOOKUP($B172,Master_PIC!$A$8:$G$73,2,FALSE)),"")</f>
        <v/>
      </c>
      <c r="D172" s="15" t="str">
        <f>IF(COUNTIFS(Master_PIC!$A$8:$A$73,$B172)=1,IF(VLOOKUP($B172,Master_PIC!$A$8:$G$73,4,FALSE)="","",VLOOKUP($B172,Master_PIC!$A$8:$G$73,4,FALSE)),"")</f>
        <v/>
      </c>
      <c r="E172" s="15" t="str">
        <f>IF(COUNTIFS(Master_PIC!$A$8:$A$73,$B172)=1,IF(VLOOKUP($B172,Master_PIC!$A$8:$G$73,5,FALSE)="","",VLOOKUP($B172,Master_PIC!$A$8:$G$73,5,FALSE)),"")</f>
        <v/>
      </c>
      <c r="F172" s="15" t="str">
        <f>IF(COUNTIFS(Master_PIC!$A$8:$A$73,$B172)=1,IF(VLOOKUP($B172,Master_PIC!$A$8:$G$73,6,FALSE)="","",VLOOKUP($B172,Master_PIC!$A$8:$G$73,6,FALSE)),"")</f>
        <v/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8"/>
      <c r="Y172" s="5"/>
      <c r="Z172" s="5"/>
      <c r="AA172" s="9"/>
      <c r="AB172" s="5"/>
      <c r="AC172" s="5"/>
      <c r="AD172" s="9"/>
      <c r="AE172" s="5"/>
      <c r="AF172" s="7" t="str">
        <f t="shared" si="14"/>
        <v/>
      </c>
      <c r="AG172" s="7" t="str">
        <f t="shared" si="15"/>
        <v/>
      </c>
      <c r="AH172" s="7" t="str">
        <f t="shared" si="16"/>
        <v/>
      </c>
      <c r="AI172" s="7" t="str">
        <f t="shared" si="17"/>
        <v/>
      </c>
      <c r="AJ172" s="7" t="str">
        <f t="shared" si="18"/>
        <v/>
      </c>
      <c r="AK172" s="7" t="str">
        <f t="shared" si="19"/>
        <v/>
      </c>
      <c r="AL172" s="10" t="str">
        <f t="shared" si="20"/>
        <v/>
      </c>
      <c r="AM172" s="15" t="str">
        <f>IF(OR($A172&lt;&gt;"",$B172&lt;&gt;""),IF(OR($A172="",$B172=""),"Isi tanggal dan ID PIC",IF(NOT(ISNUMBER($A172)),"Tanggal harus berupa tanggal Excel",IF(COUNTIFS(Master_PIC!$A$8:$A$73,$B172)&lt;&gt;1,"ID PIC tidak unik/terdaftar",IF(VLOOKUP($B172,Master_PIC!$A$8:$G$73,3,FALSE)&lt;&gt;"Sales","Jabatan tidak sesuai sheet",IF(OR($C172="",$D172="",$E172="",$F172=""),"Lengkapi master PIC",IF(COUNTIFS($A$8:$A$507,$A172,$B$8:$B$507,$B172)&gt;1,"Laporan ganda",IF(COUNTIFS(G172:P172,"Tidak Berlaku")&gt;0,"N/A hanya untuk kegiatan bersyarat",IF(SUM(AG172,AH172,AI172,AJ172,AK172)&lt;&gt;14,"Status kegiatan tidak valid",IF(AK172&gt;0,"Lengkapi status kegiatan",IF(AND(AJ172&gt;0,U172=""),"Isi alasan Tidak Berlaku",IF(AND(SUM(AH172,AI172)&gt;0,OR(U172="",V172="",W172="",X172="")),"Isi kendala dan tindak lanjut",IF(AND(Z172&lt;&gt;"Draft",Z172&lt;&gt;"Dikirim"),"Isi status laporan yang valid",IF(AND(AB172&lt;&gt;"",AB172&lt;&gt;"Belum Diperiksa",AB172&lt;&gt;"Disetujui",AB172&lt;&gt;"Perlu Perbaikan"),"Hasil review tidak valid",IF(AND(Z172="Dikirim",OR(Y172="",AA172="")),"Isi bukti dan waktu kirim",IF(AND(AB172="Disetujui",OR(Z172&lt;&gt;"Dikirim",AC172="",AD172="")),"Lengkapi pemeriksaan",IF(AND(AB172="Perlu Perbaikan",OR(AE172="",AC172="",AD172="")),"Isi pemeriksa dan catatan perbaikan","OK")))))))))))))))),"")</f>
        <v/>
      </c>
    </row>
    <row r="173" spans="1:39" ht="24.95" customHeight="1">
      <c r="A173" s="8"/>
      <c r="B173" s="6"/>
      <c r="C173" s="15" t="str">
        <f>IF(COUNTIFS(Master_PIC!$A$8:$A$73,$B173)=1,IF(VLOOKUP($B173,Master_PIC!$A$8:$G$73,2,FALSE)="","",VLOOKUP($B173,Master_PIC!$A$8:$G$73,2,FALSE)),"")</f>
        <v/>
      </c>
      <c r="D173" s="15" t="str">
        <f>IF(COUNTIFS(Master_PIC!$A$8:$A$73,$B173)=1,IF(VLOOKUP($B173,Master_PIC!$A$8:$G$73,4,FALSE)="","",VLOOKUP($B173,Master_PIC!$A$8:$G$73,4,FALSE)),"")</f>
        <v/>
      </c>
      <c r="E173" s="15" t="str">
        <f>IF(COUNTIFS(Master_PIC!$A$8:$A$73,$B173)=1,IF(VLOOKUP($B173,Master_PIC!$A$8:$G$73,5,FALSE)="","",VLOOKUP($B173,Master_PIC!$A$8:$G$73,5,FALSE)),"")</f>
        <v/>
      </c>
      <c r="F173" s="15" t="str">
        <f>IF(COUNTIFS(Master_PIC!$A$8:$A$73,$B173)=1,IF(VLOOKUP($B173,Master_PIC!$A$8:$G$73,6,FALSE)="","",VLOOKUP($B173,Master_PIC!$A$8:$G$73,6,FALSE)),"")</f>
        <v/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8"/>
      <c r="Y173" s="5"/>
      <c r="Z173" s="5"/>
      <c r="AA173" s="9"/>
      <c r="AB173" s="5"/>
      <c r="AC173" s="5"/>
      <c r="AD173" s="9"/>
      <c r="AE173" s="5"/>
      <c r="AF173" s="7" t="str">
        <f t="shared" si="14"/>
        <v/>
      </c>
      <c r="AG173" s="7" t="str">
        <f t="shared" si="15"/>
        <v/>
      </c>
      <c r="AH173" s="7" t="str">
        <f t="shared" si="16"/>
        <v/>
      </c>
      <c r="AI173" s="7" t="str">
        <f t="shared" si="17"/>
        <v/>
      </c>
      <c r="AJ173" s="7" t="str">
        <f t="shared" si="18"/>
        <v/>
      </c>
      <c r="AK173" s="7" t="str">
        <f t="shared" si="19"/>
        <v/>
      </c>
      <c r="AL173" s="10" t="str">
        <f t="shared" si="20"/>
        <v/>
      </c>
      <c r="AM173" s="15" t="str">
        <f>IF(OR($A173&lt;&gt;"",$B173&lt;&gt;""),IF(OR($A173="",$B173=""),"Isi tanggal dan ID PIC",IF(NOT(ISNUMBER($A173)),"Tanggal harus berupa tanggal Excel",IF(COUNTIFS(Master_PIC!$A$8:$A$73,$B173)&lt;&gt;1,"ID PIC tidak unik/terdaftar",IF(VLOOKUP($B173,Master_PIC!$A$8:$G$73,3,FALSE)&lt;&gt;"Sales","Jabatan tidak sesuai sheet",IF(OR($C173="",$D173="",$E173="",$F173=""),"Lengkapi master PIC",IF(COUNTIFS($A$8:$A$507,$A173,$B$8:$B$507,$B173)&gt;1,"Laporan ganda",IF(COUNTIFS(G173:P173,"Tidak Berlaku")&gt;0,"N/A hanya untuk kegiatan bersyarat",IF(SUM(AG173,AH173,AI173,AJ173,AK173)&lt;&gt;14,"Status kegiatan tidak valid",IF(AK173&gt;0,"Lengkapi status kegiatan",IF(AND(AJ173&gt;0,U173=""),"Isi alasan Tidak Berlaku",IF(AND(SUM(AH173,AI173)&gt;0,OR(U173="",V173="",W173="",X173="")),"Isi kendala dan tindak lanjut",IF(AND(Z173&lt;&gt;"Draft",Z173&lt;&gt;"Dikirim"),"Isi status laporan yang valid",IF(AND(AB173&lt;&gt;"",AB173&lt;&gt;"Belum Diperiksa",AB173&lt;&gt;"Disetujui",AB173&lt;&gt;"Perlu Perbaikan"),"Hasil review tidak valid",IF(AND(Z173="Dikirim",OR(Y173="",AA173="")),"Isi bukti dan waktu kirim",IF(AND(AB173="Disetujui",OR(Z173&lt;&gt;"Dikirim",AC173="",AD173="")),"Lengkapi pemeriksaan",IF(AND(AB173="Perlu Perbaikan",OR(AE173="",AC173="",AD173="")),"Isi pemeriksa dan catatan perbaikan","OK")))))))))))))))),"")</f>
        <v/>
      </c>
    </row>
    <row r="174" spans="1:39" ht="24.95" customHeight="1">
      <c r="A174" s="8"/>
      <c r="B174" s="6"/>
      <c r="C174" s="15" t="str">
        <f>IF(COUNTIFS(Master_PIC!$A$8:$A$73,$B174)=1,IF(VLOOKUP($B174,Master_PIC!$A$8:$G$73,2,FALSE)="","",VLOOKUP($B174,Master_PIC!$A$8:$G$73,2,FALSE)),"")</f>
        <v/>
      </c>
      <c r="D174" s="15" t="str">
        <f>IF(COUNTIFS(Master_PIC!$A$8:$A$73,$B174)=1,IF(VLOOKUP($B174,Master_PIC!$A$8:$G$73,4,FALSE)="","",VLOOKUP($B174,Master_PIC!$A$8:$G$73,4,FALSE)),"")</f>
        <v/>
      </c>
      <c r="E174" s="15" t="str">
        <f>IF(COUNTIFS(Master_PIC!$A$8:$A$73,$B174)=1,IF(VLOOKUP($B174,Master_PIC!$A$8:$G$73,5,FALSE)="","",VLOOKUP($B174,Master_PIC!$A$8:$G$73,5,FALSE)),"")</f>
        <v/>
      </c>
      <c r="F174" s="15" t="str">
        <f>IF(COUNTIFS(Master_PIC!$A$8:$A$73,$B174)=1,IF(VLOOKUP($B174,Master_PIC!$A$8:$G$73,6,FALSE)="","",VLOOKUP($B174,Master_PIC!$A$8:$G$73,6,FALSE)),"")</f>
        <v/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8"/>
      <c r="Y174" s="5"/>
      <c r="Z174" s="5"/>
      <c r="AA174" s="9"/>
      <c r="AB174" s="5"/>
      <c r="AC174" s="5"/>
      <c r="AD174" s="9"/>
      <c r="AE174" s="5"/>
      <c r="AF174" s="7" t="str">
        <f t="shared" si="14"/>
        <v/>
      </c>
      <c r="AG174" s="7" t="str">
        <f t="shared" si="15"/>
        <v/>
      </c>
      <c r="AH174" s="7" t="str">
        <f t="shared" si="16"/>
        <v/>
      </c>
      <c r="AI174" s="7" t="str">
        <f t="shared" si="17"/>
        <v/>
      </c>
      <c r="AJ174" s="7" t="str">
        <f t="shared" si="18"/>
        <v/>
      </c>
      <c r="AK174" s="7" t="str">
        <f t="shared" si="19"/>
        <v/>
      </c>
      <c r="AL174" s="10" t="str">
        <f t="shared" si="20"/>
        <v/>
      </c>
      <c r="AM174" s="15" t="str">
        <f>IF(OR($A174&lt;&gt;"",$B174&lt;&gt;""),IF(OR($A174="",$B174=""),"Isi tanggal dan ID PIC",IF(NOT(ISNUMBER($A174)),"Tanggal harus berupa tanggal Excel",IF(COUNTIFS(Master_PIC!$A$8:$A$73,$B174)&lt;&gt;1,"ID PIC tidak unik/terdaftar",IF(VLOOKUP($B174,Master_PIC!$A$8:$G$73,3,FALSE)&lt;&gt;"Sales","Jabatan tidak sesuai sheet",IF(OR($C174="",$D174="",$E174="",$F174=""),"Lengkapi master PIC",IF(COUNTIFS($A$8:$A$507,$A174,$B$8:$B$507,$B174)&gt;1,"Laporan ganda",IF(COUNTIFS(G174:P174,"Tidak Berlaku")&gt;0,"N/A hanya untuk kegiatan bersyarat",IF(SUM(AG174,AH174,AI174,AJ174,AK174)&lt;&gt;14,"Status kegiatan tidak valid",IF(AK174&gt;0,"Lengkapi status kegiatan",IF(AND(AJ174&gt;0,U174=""),"Isi alasan Tidak Berlaku",IF(AND(SUM(AH174,AI174)&gt;0,OR(U174="",V174="",W174="",X174="")),"Isi kendala dan tindak lanjut",IF(AND(Z174&lt;&gt;"Draft",Z174&lt;&gt;"Dikirim"),"Isi status laporan yang valid",IF(AND(AB174&lt;&gt;"",AB174&lt;&gt;"Belum Diperiksa",AB174&lt;&gt;"Disetujui",AB174&lt;&gt;"Perlu Perbaikan"),"Hasil review tidak valid",IF(AND(Z174="Dikirim",OR(Y174="",AA174="")),"Isi bukti dan waktu kirim",IF(AND(AB174="Disetujui",OR(Z174&lt;&gt;"Dikirim",AC174="",AD174="")),"Lengkapi pemeriksaan",IF(AND(AB174="Perlu Perbaikan",OR(AE174="",AC174="",AD174="")),"Isi pemeriksa dan catatan perbaikan","OK")))))))))))))))),"")</f>
        <v/>
      </c>
    </row>
    <row r="175" spans="1:39" ht="24.95" customHeight="1">
      <c r="A175" s="8"/>
      <c r="B175" s="6"/>
      <c r="C175" s="15" t="str">
        <f>IF(COUNTIFS(Master_PIC!$A$8:$A$73,$B175)=1,IF(VLOOKUP($B175,Master_PIC!$A$8:$G$73,2,FALSE)="","",VLOOKUP($B175,Master_PIC!$A$8:$G$73,2,FALSE)),"")</f>
        <v/>
      </c>
      <c r="D175" s="15" t="str">
        <f>IF(COUNTIFS(Master_PIC!$A$8:$A$73,$B175)=1,IF(VLOOKUP($B175,Master_PIC!$A$8:$G$73,4,FALSE)="","",VLOOKUP($B175,Master_PIC!$A$8:$G$73,4,FALSE)),"")</f>
        <v/>
      </c>
      <c r="E175" s="15" t="str">
        <f>IF(COUNTIFS(Master_PIC!$A$8:$A$73,$B175)=1,IF(VLOOKUP($B175,Master_PIC!$A$8:$G$73,5,FALSE)="","",VLOOKUP($B175,Master_PIC!$A$8:$G$73,5,FALSE)),"")</f>
        <v/>
      </c>
      <c r="F175" s="15" t="str">
        <f>IF(COUNTIFS(Master_PIC!$A$8:$A$73,$B175)=1,IF(VLOOKUP($B175,Master_PIC!$A$8:$G$73,6,FALSE)="","",VLOOKUP($B175,Master_PIC!$A$8:$G$73,6,FALSE)),"")</f>
        <v/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8"/>
      <c r="Y175" s="5"/>
      <c r="Z175" s="5"/>
      <c r="AA175" s="9"/>
      <c r="AB175" s="5"/>
      <c r="AC175" s="5"/>
      <c r="AD175" s="9"/>
      <c r="AE175" s="5"/>
      <c r="AF175" s="7" t="str">
        <f t="shared" si="14"/>
        <v/>
      </c>
      <c r="AG175" s="7" t="str">
        <f t="shared" si="15"/>
        <v/>
      </c>
      <c r="AH175" s="7" t="str">
        <f t="shared" si="16"/>
        <v/>
      </c>
      <c r="AI175" s="7" t="str">
        <f t="shared" si="17"/>
        <v/>
      </c>
      <c r="AJ175" s="7" t="str">
        <f t="shared" si="18"/>
        <v/>
      </c>
      <c r="AK175" s="7" t="str">
        <f t="shared" si="19"/>
        <v/>
      </c>
      <c r="AL175" s="10" t="str">
        <f t="shared" si="20"/>
        <v/>
      </c>
      <c r="AM175" s="15" t="str">
        <f>IF(OR($A175&lt;&gt;"",$B175&lt;&gt;""),IF(OR($A175="",$B175=""),"Isi tanggal dan ID PIC",IF(NOT(ISNUMBER($A175)),"Tanggal harus berupa tanggal Excel",IF(COUNTIFS(Master_PIC!$A$8:$A$73,$B175)&lt;&gt;1,"ID PIC tidak unik/terdaftar",IF(VLOOKUP($B175,Master_PIC!$A$8:$G$73,3,FALSE)&lt;&gt;"Sales","Jabatan tidak sesuai sheet",IF(OR($C175="",$D175="",$E175="",$F175=""),"Lengkapi master PIC",IF(COUNTIFS($A$8:$A$507,$A175,$B$8:$B$507,$B175)&gt;1,"Laporan ganda",IF(COUNTIFS(G175:P175,"Tidak Berlaku")&gt;0,"N/A hanya untuk kegiatan bersyarat",IF(SUM(AG175,AH175,AI175,AJ175,AK175)&lt;&gt;14,"Status kegiatan tidak valid",IF(AK175&gt;0,"Lengkapi status kegiatan",IF(AND(AJ175&gt;0,U175=""),"Isi alasan Tidak Berlaku",IF(AND(SUM(AH175,AI175)&gt;0,OR(U175="",V175="",W175="",X175="")),"Isi kendala dan tindak lanjut",IF(AND(Z175&lt;&gt;"Draft",Z175&lt;&gt;"Dikirim"),"Isi status laporan yang valid",IF(AND(AB175&lt;&gt;"",AB175&lt;&gt;"Belum Diperiksa",AB175&lt;&gt;"Disetujui",AB175&lt;&gt;"Perlu Perbaikan"),"Hasil review tidak valid",IF(AND(Z175="Dikirim",OR(Y175="",AA175="")),"Isi bukti dan waktu kirim",IF(AND(AB175="Disetujui",OR(Z175&lt;&gt;"Dikirim",AC175="",AD175="")),"Lengkapi pemeriksaan",IF(AND(AB175="Perlu Perbaikan",OR(AE175="",AC175="",AD175="")),"Isi pemeriksa dan catatan perbaikan","OK")))))))))))))))),"")</f>
        <v/>
      </c>
    </row>
    <row r="176" spans="1:39" ht="24.95" customHeight="1">
      <c r="A176" s="8"/>
      <c r="B176" s="6"/>
      <c r="C176" s="15" t="str">
        <f>IF(COUNTIFS(Master_PIC!$A$8:$A$73,$B176)=1,IF(VLOOKUP($B176,Master_PIC!$A$8:$G$73,2,FALSE)="","",VLOOKUP($B176,Master_PIC!$A$8:$G$73,2,FALSE)),"")</f>
        <v/>
      </c>
      <c r="D176" s="15" t="str">
        <f>IF(COUNTIFS(Master_PIC!$A$8:$A$73,$B176)=1,IF(VLOOKUP($B176,Master_PIC!$A$8:$G$73,4,FALSE)="","",VLOOKUP($B176,Master_PIC!$A$8:$G$73,4,FALSE)),"")</f>
        <v/>
      </c>
      <c r="E176" s="15" t="str">
        <f>IF(COUNTIFS(Master_PIC!$A$8:$A$73,$B176)=1,IF(VLOOKUP($B176,Master_PIC!$A$8:$G$73,5,FALSE)="","",VLOOKUP($B176,Master_PIC!$A$8:$G$73,5,FALSE)),"")</f>
        <v/>
      </c>
      <c r="F176" s="15" t="str">
        <f>IF(COUNTIFS(Master_PIC!$A$8:$A$73,$B176)=1,IF(VLOOKUP($B176,Master_PIC!$A$8:$G$73,6,FALSE)="","",VLOOKUP($B176,Master_PIC!$A$8:$G$73,6,FALSE)),"")</f>
        <v/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8"/>
      <c r="Y176" s="5"/>
      <c r="Z176" s="5"/>
      <c r="AA176" s="9"/>
      <c r="AB176" s="5"/>
      <c r="AC176" s="5"/>
      <c r="AD176" s="9"/>
      <c r="AE176" s="5"/>
      <c r="AF176" s="7" t="str">
        <f t="shared" si="14"/>
        <v/>
      </c>
      <c r="AG176" s="7" t="str">
        <f t="shared" si="15"/>
        <v/>
      </c>
      <c r="AH176" s="7" t="str">
        <f t="shared" si="16"/>
        <v/>
      </c>
      <c r="AI176" s="7" t="str">
        <f t="shared" si="17"/>
        <v/>
      </c>
      <c r="AJ176" s="7" t="str">
        <f t="shared" si="18"/>
        <v/>
      </c>
      <c r="AK176" s="7" t="str">
        <f t="shared" si="19"/>
        <v/>
      </c>
      <c r="AL176" s="10" t="str">
        <f t="shared" si="20"/>
        <v/>
      </c>
      <c r="AM176" s="15" t="str">
        <f>IF(OR($A176&lt;&gt;"",$B176&lt;&gt;""),IF(OR($A176="",$B176=""),"Isi tanggal dan ID PIC",IF(NOT(ISNUMBER($A176)),"Tanggal harus berupa tanggal Excel",IF(COUNTIFS(Master_PIC!$A$8:$A$73,$B176)&lt;&gt;1,"ID PIC tidak unik/terdaftar",IF(VLOOKUP($B176,Master_PIC!$A$8:$G$73,3,FALSE)&lt;&gt;"Sales","Jabatan tidak sesuai sheet",IF(OR($C176="",$D176="",$E176="",$F176=""),"Lengkapi master PIC",IF(COUNTIFS($A$8:$A$507,$A176,$B$8:$B$507,$B176)&gt;1,"Laporan ganda",IF(COUNTIFS(G176:P176,"Tidak Berlaku")&gt;0,"N/A hanya untuk kegiatan bersyarat",IF(SUM(AG176,AH176,AI176,AJ176,AK176)&lt;&gt;14,"Status kegiatan tidak valid",IF(AK176&gt;0,"Lengkapi status kegiatan",IF(AND(AJ176&gt;0,U176=""),"Isi alasan Tidak Berlaku",IF(AND(SUM(AH176,AI176)&gt;0,OR(U176="",V176="",W176="",X176="")),"Isi kendala dan tindak lanjut",IF(AND(Z176&lt;&gt;"Draft",Z176&lt;&gt;"Dikirim"),"Isi status laporan yang valid",IF(AND(AB176&lt;&gt;"",AB176&lt;&gt;"Belum Diperiksa",AB176&lt;&gt;"Disetujui",AB176&lt;&gt;"Perlu Perbaikan"),"Hasil review tidak valid",IF(AND(Z176="Dikirim",OR(Y176="",AA176="")),"Isi bukti dan waktu kirim",IF(AND(AB176="Disetujui",OR(Z176&lt;&gt;"Dikirim",AC176="",AD176="")),"Lengkapi pemeriksaan",IF(AND(AB176="Perlu Perbaikan",OR(AE176="",AC176="",AD176="")),"Isi pemeriksa dan catatan perbaikan","OK")))))))))))))))),"")</f>
        <v/>
      </c>
    </row>
    <row r="177" spans="1:39" ht="24.95" customHeight="1">
      <c r="A177" s="8"/>
      <c r="B177" s="6"/>
      <c r="C177" s="15" t="str">
        <f>IF(COUNTIFS(Master_PIC!$A$8:$A$73,$B177)=1,IF(VLOOKUP($B177,Master_PIC!$A$8:$G$73,2,FALSE)="","",VLOOKUP($B177,Master_PIC!$A$8:$G$73,2,FALSE)),"")</f>
        <v/>
      </c>
      <c r="D177" s="15" t="str">
        <f>IF(COUNTIFS(Master_PIC!$A$8:$A$73,$B177)=1,IF(VLOOKUP($B177,Master_PIC!$A$8:$G$73,4,FALSE)="","",VLOOKUP($B177,Master_PIC!$A$8:$G$73,4,FALSE)),"")</f>
        <v/>
      </c>
      <c r="E177" s="15" t="str">
        <f>IF(COUNTIFS(Master_PIC!$A$8:$A$73,$B177)=1,IF(VLOOKUP($B177,Master_PIC!$A$8:$G$73,5,FALSE)="","",VLOOKUP($B177,Master_PIC!$A$8:$G$73,5,FALSE)),"")</f>
        <v/>
      </c>
      <c r="F177" s="15" t="str">
        <f>IF(COUNTIFS(Master_PIC!$A$8:$A$73,$B177)=1,IF(VLOOKUP($B177,Master_PIC!$A$8:$G$73,6,FALSE)="","",VLOOKUP($B177,Master_PIC!$A$8:$G$73,6,FALSE)),"")</f>
        <v/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8"/>
      <c r="Y177" s="5"/>
      <c r="Z177" s="5"/>
      <c r="AA177" s="9"/>
      <c r="AB177" s="5"/>
      <c r="AC177" s="5"/>
      <c r="AD177" s="9"/>
      <c r="AE177" s="5"/>
      <c r="AF177" s="7" t="str">
        <f t="shared" si="14"/>
        <v/>
      </c>
      <c r="AG177" s="7" t="str">
        <f t="shared" si="15"/>
        <v/>
      </c>
      <c r="AH177" s="7" t="str">
        <f t="shared" si="16"/>
        <v/>
      </c>
      <c r="AI177" s="7" t="str">
        <f t="shared" si="17"/>
        <v/>
      </c>
      <c r="AJ177" s="7" t="str">
        <f t="shared" si="18"/>
        <v/>
      </c>
      <c r="AK177" s="7" t="str">
        <f t="shared" si="19"/>
        <v/>
      </c>
      <c r="AL177" s="10" t="str">
        <f t="shared" si="20"/>
        <v/>
      </c>
      <c r="AM177" s="15" t="str">
        <f>IF(OR($A177&lt;&gt;"",$B177&lt;&gt;""),IF(OR($A177="",$B177=""),"Isi tanggal dan ID PIC",IF(NOT(ISNUMBER($A177)),"Tanggal harus berupa tanggal Excel",IF(COUNTIFS(Master_PIC!$A$8:$A$73,$B177)&lt;&gt;1,"ID PIC tidak unik/terdaftar",IF(VLOOKUP($B177,Master_PIC!$A$8:$G$73,3,FALSE)&lt;&gt;"Sales","Jabatan tidak sesuai sheet",IF(OR($C177="",$D177="",$E177="",$F177=""),"Lengkapi master PIC",IF(COUNTIFS($A$8:$A$507,$A177,$B$8:$B$507,$B177)&gt;1,"Laporan ganda",IF(COUNTIFS(G177:P177,"Tidak Berlaku")&gt;0,"N/A hanya untuk kegiatan bersyarat",IF(SUM(AG177,AH177,AI177,AJ177,AK177)&lt;&gt;14,"Status kegiatan tidak valid",IF(AK177&gt;0,"Lengkapi status kegiatan",IF(AND(AJ177&gt;0,U177=""),"Isi alasan Tidak Berlaku",IF(AND(SUM(AH177,AI177)&gt;0,OR(U177="",V177="",W177="",X177="")),"Isi kendala dan tindak lanjut",IF(AND(Z177&lt;&gt;"Draft",Z177&lt;&gt;"Dikirim"),"Isi status laporan yang valid",IF(AND(AB177&lt;&gt;"",AB177&lt;&gt;"Belum Diperiksa",AB177&lt;&gt;"Disetujui",AB177&lt;&gt;"Perlu Perbaikan"),"Hasil review tidak valid",IF(AND(Z177="Dikirim",OR(Y177="",AA177="")),"Isi bukti dan waktu kirim",IF(AND(AB177="Disetujui",OR(Z177&lt;&gt;"Dikirim",AC177="",AD177="")),"Lengkapi pemeriksaan",IF(AND(AB177="Perlu Perbaikan",OR(AE177="",AC177="",AD177="")),"Isi pemeriksa dan catatan perbaikan","OK")))))))))))))))),"")</f>
        <v/>
      </c>
    </row>
    <row r="178" spans="1:39" ht="24.95" customHeight="1">
      <c r="A178" s="8"/>
      <c r="B178" s="6"/>
      <c r="C178" s="15" t="str">
        <f>IF(COUNTIFS(Master_PIC!$A$8:$A$73,$B178)=1,IF(VLOOKUP($B178,Master_PIC!$A$8:$G$73,2,FALSE)="","",VLOOKUP($B178,Master_PIC!$A$8:$G$73,2,FALSE)),"")</f>
        <v/>
      </c>
      <c r="D178" s="15" t="str">
        <f>IF(COUNTIFS(Master_PIC!$A$8:$A$73,$B178)=1,IF(VLOOKUP($B178,Master_PIC!$A$8:$G$73,4,FALSE)="","",VLOOKUP($B178,Master_PIC!$A$8:$G$73,4,FALSE)),"")</f>
        <v/>
      </c>
      <c r="E178" s="15" t="str">
        <f>IF(COUNTIFS(Master_PIC!$A$8:$A$73,$B178)=1,IF(VLOOKUP($B178,Master_PIC!$A$8:$G$73,5,FALSE)="","",VLOOKUP($B178,Master_PIC!$A$8:$G$73,5,FALSE)),"")</f>
        <v/>
      </c>
      <c r="F178" s="15" t="str">
        <f>IF(COUNTIFS(Master_PIC!$A$8:$A$73,$B178)=1,IF(VLOOKUP($B178,Master_PIC!$A$8:$G$73,6,FALSE)="","",VLOOKUP($B178,Master_PIC!$A$8:$G$73,6,FALSE)),"")</f>
        <v/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8"/>
      <c r="Y178" s="5"/>
      <c r="Z178" s="5"/>
      <c r="AA178" s="9"/>
      <c r="AB178" s="5"/>
      <c r="AC178" s="5"/>
      <c r="AD178" s="9"/>
      <c r="AE178" s="5"/>
      <c r="AF178" s="7" t="str">
        <f t="shared" si="14"/>
        <v/>
      </c>
      <c r="AG178" s="7" t="str">
        <f t="shared" si="15"/>
        <v/>
      </c>
      <c r="AH178" s="7" t="str">
        <f t="shared" si="16"/>
        <v/>
      </c>
      <c r="AI178" s="7" t="str">
        <f t="shared" si="17"/>
        <v/>
      </c>
      <c r="AJ178" s="7" t="str">
        <f t="shared" si="18"/>
        <v/>
      </c>
      <c r="AK178" s="7" t="str">
        <f t="shared" si="19"/>
        <v/>
      </c>
      <c r="AL178" s="10" t="str">
        <f t="shared" si="20"/>
        <v/>
      </c>
      <c r="AM178" s="15" t="str">
        <f>IF(OR($A178&lt;&gt;"",$B178&lt;&gt;""),IF(OR($A178="",$B178=""),"Isi tanggal dan ID PIC",IF(NOT(ISNUMBER($A178)),"Tanggal harus berupa tanggal Excel",IF(COUNTIFS(Master_PIC!$A$8:$A$73,$B178)&lt;&gt;1,"ID PIC tidak unik/terdaftar",IF(VLOOKUP($B178,Master_PIC!$A$8:$G$73,3,FALSE)&lt;&gt;"Sales","Jabatan tidak sesuai sheet",IF(OR($C178="",$D178="",$E178="",$F178=""),"Lengkapi master PIC",IF(COUNTIFS($A$8:$A$507,$A178,$B$8:$B$507,$B178)&gt;1,"Laporan ganda",IF(COUNTIFS(G178:P178,"Tidak Berlaku")&gt;0,"N/A hanya untuk kegiatan bersyarat",IF(SUM(AG178,AH178,AI178,AJ178,AK178)&lt;&gt;14,"Status kegiatan tidak valid",IF(AK178&gt;0,"Lengkapi status kegiatan",IF(AND(AJ178&gt;0,U178=""),"Isi alasan Tidak Berlaku",IF(AND(SUM(AH178,AI178)&gt;0,OR(U178="",V178="",W178="",X178="")),"Isi kendala dan tindak lanjut",IF(AND(Z178&lt;&gt;"Draft",Z178&lt;&gt;"Dikirim"),"Isi status laporan yang valid",IF(AND(AB178&lt;&gt;"",AB178&lt;&gt;"Belum Diperiksa",AB178&lt;&gt;"Disetujui",AB178&lt;&gt;"Perlu Perbaikan"),"Hasil review tidak valid",IF(AND(Z178="Dikirim",OR(Y178="",AA178="")),"Isi bukti dan waktu kirim",IF(AND(AB178="Disetujui",OR(Z178&lt;&gt;"Dikirim",AC178="",AD178="")),"Lengkapi pemeriksaan",IF(AND(AB178="Perlu Perbaikan",OR(AE178="",AC178="",AD178="")),"Isi pemeriksa dan catatan perbaikan","OK")))))))))))))))),"")</f>
        <v/>
      </c>
    </row>
    <row r="179" spans="1:39" ht="24.95" customHeight="1">
      <c r="A179" s="8"/>
      <c r="B179" s="6"/>
      <c r="C179" s="15" t="str">
        <f>IF(COUNTIFS(Master_PIC!$A$8:$A$73,$B179)=1,IF(VLOOKUP($B179,Master_PIC!$A$8:$G$73,2,FALSE)="","",VLOOKUP($B179,Master_PIC!$A$8:$G$73,2,FALSE)),"")</f>
        <v/>
      </c>
      <c r="D179" s="15" t="str">
        <f>IF(COUNTIFS(Master_PIC!$A$8:$A$73,$B179)=1,IF(VLOOKUP($B179,Master_PIC!$A$8:$G$73,4,FALSE)="","",VLOOKUP($B179,Master_PIC!$A$8:$G$73,4,FALSE)),"")</f>
        <v/>
      </c>
      <c r="E179" s="15" t="str">
        <f>IF(COUNTIFS(Master_PIC!$A$8:$A$73,$B179)=1,IF(VLOOKUP($B179,Master_PIC!$A$8:$G$73,5,FALSE)="","",VLOOKUP($B179,Master_PIC!$A$8:$G$73,5,FALSE)),"")</f>
        <v/>
      </c>
      <c r="F179" s="15" t="str">
        <f>IF(COUNTIFS(Master_PIC!$A$8:$A$73,$B179)=1,IF(VLOOKUP($B179,Master_PIC!$A$8:$G$73,6,FALSE)="","",VLOOKUP($B179,Master_PIC!$A$8:$G$73,6,FALSE)),"")</f>
        <v/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8"/>
      <c r="Y179" s="5"/>
      <c r="Z179" s="5"/>
      <c r="AA179" s="9"/>
      <c r="AB179" s="5"/>
      <c r="AC179" s="5"/>
      <c r="AD179" s="9"/>
      <c r="AE179" s="5"/>
      <c r="AF179" s="7" t="str">
        <f t="shared" si="14"/>
        <v/>
      </c>
      <c r="AG179" s="7" t="str">
        <f t="shared" si="15"/>
        <v/>
      </c>
      <c r="AH179" s="7" t="str">
        <f t="shared" si="16"/>
        <v/>
      </c>
      <c r="AI179" s="7" t="str">
        <f t="shared" si="17"/>
        <v/>
      </c>
      <c r="AJ179" s="7" t="str">
        <f t="shared" si="18"/>
        <v/>
      </c>
      <c r="AK179" s="7" t="str">
        <f t="shared" si="19"/>
        <v/>
      </c>
      <c r="AL179" s="10" t="str">
        <f t="shared" si="20"/>
        <v/>
      </c>
      <c r="AM179" s="15" t="str">
        <f>IF(OR($A179&lt;&gt;"",$B179&lt;&gt;""),IF(OR($A179="",$B179=""),"Isi tanggal dan ID PIC",IF(NOT(ISNUMBER($A179)),"Tanggal harus berupa tanggal Excel",IF(COUNTIFS(Master_PIC!$A$8:$A$73,$B179)&lt;&gt;1,"ID PIC tidak unik/terdaftar",IF(VLOOKUP($B179,Master_PIC!$A$8:$G$73,3,FALSE)&lt;&gt;"Sales","Jabatan tidak sesuai sheet",IF(OR($C179="",$D179="",$E179="",$F179=""),"Lengkapi master PIC",IF(COUNTIFS($A$8:$A$507,$A179,$B$8:$B$507,$B179)&gt;1,"Laporan ganda",IF(COUNTIFS(G179:P179,"Tidak Berlaku")&gt;0,"N/A hanya untuk kegiatan bersyarat",IF(SUM(AG179,AH179,AI179,AJ179,AK179)&lt;&gt;14,"Status kegiatan tidak valid",IF(AK179&gt;0,"Lengkapi status kegiatan",IF(AND(AJ179&gt;0,U179=""),"Isi alasan Tidak Berlaku",IF(AND(SUM(AH179,AI179)&gt;0,OR(U179="",V179="",W179="",X179="")),"Isi kendala dan tindak lanjut",IF(AND(Z179&lt;&gt;"Draft",Z179&lt;&gt;"Dikirim"),"Isi status laporan yang valid",IF(AND(AB179&lt;&gt;"",AB179&lt;&gt;"Belum Diperiksa",AB179&lt;&gt;"Disetujui",AB179&lt;&gt;"Perlu Perbaikan"),"Hasil review tidak valid",IF(AND(Z179="Dikirim",OR(Y179="",AA179="")),"Isi bukti dan waktu kirim",IF(AND(AB179="Disetujui",OR(Z179&lt;&gt;"Dikirim",AC179="",AD179="")),"Lengkapi pemeriksaan",IF(AND(AB179="Perlu Perbaikan",OR(AE179="",AC179="",AD179="")),"Isi pemeriksa dan catatan perbaikan","OK")))))))))))))))),"")</f>
        <v/>
      </c>
    </row>
    <row r="180" spans="1:39" ht="24.95" customHeight="1">
      <c r="A180" s="8"/>
      <c r="B180" s="6"/>
      <c r="C180" s="15" t="str">
        <f>IF(COUNTIFS(Master_PIC!$A$8:$A$73,$B180)=1,IF(VLOOKUP($B180,Master_PIC!$A$8:$G$73,2,FALSE)="","",VLOOKUP($B180,Master_PIC!$A$8:$G$73,2,FALSE)),"")</f>
        <v/>
      </c>
      <c r="D180" s="15" t="str">
        <f>IF(COUNTIFS(Master_PIC!$A$8:$A$73,$B180)=1,IF(VLOOKUP($B180,Master_PIC!$A$8:$G$73,4,FALSE)="","",VLOOKUP($B180,Master_PIC!$A$8:$G$73,4,FALSE)),"")</f>
        <v/>
      </c>
      <c r="E180" s="15" t="str">
        <f>IF(COUNTIFS(Master_PIC!$A$8:$A$73,$B180)=1,IF(VLOOKUP($B180,Master_PIC!$A$8:$G$73,5,FALSE)="","",VLOOKUP($B180,Master_PIC!$A$8:$G$73,5,FALSE)),"")</f>
        <v/>
      </c>
      <c r="F180" s="15" t="str">
        <f>IF(COUNTIFS(Master_PIC!$A$8:$A$73,$B180)=1,IF(VLOOKUP($B180,Master_PIC!$A$8:$G$73,6,FALSE)="","",VLOOKUP($B180,Master_PIC!$A$8:$G$73,6,FALSE)),"")</f>
        <v/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8"/>
      <c r="Y180" s="5"/>
      <c r="Z180" s="5"/>
      <c r="AA180" s="9"/>
      <c r="AB180" s="5"/>
      <c r="AC180" s="5"/>
      <c r="AD180" s="9"/>
      <c r="AE180" s="5"/>
      <c r="AF180" s="7" t="str">
        <f t="shared" si="14"/>
        <v/>
      </c>
      <c r="AG180" s="7" t="str">
        <f t="shared" si="15"/>
        <v/>
      </c>
      <c r="AH180" s="7" t="str">
        <f t="shared" si="16"/>
        <v/>
      </c>
      <c r="AI180" s="7" t="str">
        <f t="shared" si="17"/>
        <v/>
      </c>
      <c r="AJ180" s="7" t="str">
        <f t="shared" si="18"/>
        <v/>
      </c>
      <c r="AK180" s="7" t="str">
        <f t="shared" si="19"/>
        <v/>
      </c>
      <c r="AL180" s="10" t="str">
        <f t="shared" si="20"/>
        <v/>
      </c>
      <c r="AM180" s="15" t="str">
        <f>IF(OR($A180&lt;&gt;"",$B180&lt;&gt;""),IF(OR($A180="",$B180=""),"Isi tanggal dan ID PIC",IF(NOT(ISNUMBER($A180)),"Tanggal harus berupa tanggal Excel",IF(COUNTIFS(Master_PIC!$A$8:$A$73,$B180)&lt;&gt;1,"ID PIC tidak unik/terdaftar",IF(VLOOKUP($B180,Master_PIC!$A$8:$G$73,3,FALSE)&lt;&gt;"Sales","Jabatan tidak sesuai sheet",IF(OR($C180="",$D180="",$E180="",$F180=""),"Lengkapi master PIC",IF(COUNTIFS($A$8:$A$507,$A180,$B$8:$B$507,$B180)&gt;1,"Laporan ganda",IF(COUNTIFS(G180:P180,"Tidak Berlaku")&gt;0,"N/A hanya untuk kegiatan bersyarat",IF(SUM(AG180,AH180,AI180,AJ180,AK180)&lt;&gt;14,"Status kegiatan tidak valid",IF(AK180&gt;0,"Lengkapi status kegiatan",IF(AND(AJ180&gt;0,U180=""),"Isi alasan Tidak Berlaku",IF(AND(SUM(AH180,AI180)&gt;0,OR(U180="",V180="",W180="",X180="")),"Isi kendala dan tindak lanjut",IF(AND(Z180&lt;&gt;"Draft",Z180&lt;&gt;"Dikirim"),"Isi status laporan yang valid",IF(AND(AB180&lt;&gt;"",AB180&lt;&gt;"Belum Diperiksa",AB180&lt;&gt;"Disetujui",AB180&lt;&gt;"Perlu Perbaikan"),"Hasil review tidak valid",IF(AND(Z180="Dikirim",OR(Y180="",AA180="")),"Isi bukti dan waktu kirim",IF(AND(AB180="Disetujui",OR(Z180&lt;&gt;"Dikirim",AC180="",AD180="")),"Lengkapi pemeriksaan",IF(AND(AB180="Perlu Perbaikan",OR(AE180="",AC180="",AD180="")),"Isi pemeriksa dan catatan perbaikan","OK")))))))))))))))),"")</f>
        <v/>
      </c>
    </row>
    <row r="181" spans="1:39" ht="24.95" customHeight="1">
      <c r="A181" s="8"/>
      <c r="B181" s="6"/>
      <c r="C181" s="15" t="str">
        <f>IF(COUNTIFS(Master_PIC!$A$8:$A$73,$B181)=1,IF(VLOOKUP($B181,Master_PIC!$A$8:$G$73,2,FALSE)="","",VLOOKUP($B181,Master_PIC!$A$8:$G$73,2,FALSE)),"")</f>
        <v/>
      </c>
      <c r="D181" s="15" t="str">
        <f>IF(COUNTIFS(Master_PIC!$A$8:$A$73,$B181)=1,IF(VLOOKUP($B181,Master_PIC!$A$8:$G$73,4,FALSE)="","",VLOOKUP($B181,Master_PIC!$A$8:$G$73,4,FALSE)),"")</f>
        <v/>
      </c>
      <c r="E181" s="15" t="str">
        <f>IF(COUNTIFS(Master_PIC!$A$8:$A$73,$B181)=1,IF(VLOOKUP($B181,Master_PIC!$A$8:$G$73,5,FALSE)="","",VLOOKUP($B181,Master_PIC!$A$8:$G$73,5,FALSE)),"")</f>
        <v/>
      </c>
      <c r="F181" s="15" t="str">
        <f>IF(COUNTIFS(Master_PIC!$A$8:$A$73,$B181)=1,IF(VLOOKUP($B181,Master_PIC!$A$8:$G$73,6,FALSE)="","",VLOOKUP($B181,Master_PIC!$A$8:$G$73,6,FALSE)),"")</f>
        <v/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8"/>
      <c r="Y181" s="5"/>
      <c r="Z181" s="5"/>
      <c r="AA181" s="9"/>
      <c r="AB181" s="5"/>
      <c r="AC181" s="5"/>
      <c r="AD181" s="9"/>
      <c r="AE181" s="5"/>
      <c r="AF181" s="7" t="str">
        <f t="shared" si="14"/>
        <v/>
      </c>
      <c r="AG181" s="7" t="str">
        <f t="shared" si="15"/>
        <v/>
      </c>
      <c r="AH181" s="7" t="str">
        <f t="shared" si="16"/>
        <v/>
      </c>
      <c r="AI181" s="7" t="str">
        <f t="shared" si="17"/>
        <v/>
      </c>
      <c r="AJ181" s="7" t="str">
        <f t="shared" si="18"/>
        <v/>
      </c>
      <c r="AK181" s="7" t="str">
        <f t="shared" si="19"/>
        <v/>
      </c>
      <c r="AL181" s="10" t="str">
        <f t="shared" si="20"/>
        <v/>
      </c>
      <c r="AM181" s="15" t="str">
        <f>IF(OR($A181&lt;&gt;"",$B181&lt;&gt;""),IF(OR($A181="",$B181=""),"Isi tanggal dan ID PIC",IF(NOT(ISNUMBER($A181)),"Tanggal harus berupa tanggal Excel",IF(COUNTIFS(Master_PIC!$A$8:$A$73,$B181)&lt;&gt;1,"ID PIC tidak unik/terdaftar",IF(VLOOKUP($B181,Master_PIC!$A$8:$G$73,3,FALSE)&lt;&gt;"Sales","Jabatan tidak sesuai sheet",IF(OR($C181="",$D181="",$E181="",$F181=""),"Lengkapi master PIC",IF(COUNTIFS($A$8:$A$507,$A181,$B$8:$B$507,$B181)&gt;1,"Laporan ganda",IF(COUNTIFS(G181:P181,"Tidak Berlaku")&gt;0,"N/A hanya untuk kegiatan bersyarat",IF(SUM(AG181,AH181,AI181,AJ181,AK181)&lt;&gt;14,"Status kegiatan tidak valid",IF(AK181&gt;0,"Lengkapi status kegiatan",IF(AND(AJ181&gt;0,U181=""),"Isi alasan Tidak Berlaku",IF(AND(SUM(AH181,AI181)&gt;0,OR(U181="",V181="",W181="",X181="")),"Isi kendala dan tindak lanjut",IF(AND(Z181&lt;&gt;"Draft",Z181&lt;&gt;"Dikirim"),"Isi status laporan yang valid",IF(AND(AB181&lt;&gt;"",AB181&lt;&gt;"Belum Diperiksa",AB181&lt;&gt;"Disetujui",AB181&lt;&gt;"Perlu Perbaikan"),"Hasil review tidak valid",IF(AND(Z181="Dikirim",OR(Y181="",AA181="")),"Isi bukti dan waktu kirim",IF(AND(AB181="Disetujui",OR(Z181&lt;&gt;"Dikirim",AC181="",AD181="")),"Lengkapi pemeriksaan",IF(AND(AB181="Perlu Perbaikan",OR(AE181="",AC181="",AD181="")),"Isi pemeriksa dan catatan perbaikan","OK")))))))))))))))),"")</f>
        <v/>
      </c>
    </row>
    <row r="182" spans="1:39" ht="24.95" customHeight="1">
      <c r="A182" s="8"/>
      <c r="B182" s="6"/>
      <c r="C182" s="15" t="str">
        <f>IF(COUNTIFS(Master_PIC!$A$8:$A$73,$B182)=1,IF(VLOOKUP($B182,Master_PIC!$A$8:$G$73,2,FALSE)="","",VLOOKUP($B182,Master_PIC!$A$8:$G$73,2,FALSE)),"")</f>
        <v/>
      </c>
      <c r="D182" s="15" t="str">
        <f>IF(COUNTIFS(Master_PIC!$A$8:$A$73,$B182)=1,IF(VLOOKUP($B182,Master_PIC!$A$8:$G$73,4,FALSE)="","",VLOOKUP($B182,Master_PIC!$A$8:$G$73,4,FALSE)),"")</f>
        <v/>
      </c>
      <c r="E182" s="15" t="str">
        <f>IF(COUNTIFS(Master_PIC!$A$8:$A$73,$B182)=1,IF(VLOOKUP($B182,Master_PIC!$A$8:$G$73,5,FALSE)="","",VLOOKUP($B182,Master_PIC!$A$8:$G$73,5,FALSE)),"")</f>
        <v/>
      </c>
      <c r="F182" s="15" t="str">
        <f>IF(COUNTIFS(Master_PIC!$A$8:$A$73,$B182)=1,IF(VLOOKUP($B182,Master_PIC!$A$8:$G$73,6,FALSE)="","",VLOOKUP($B182,Master_PIC!$A$8:$G$73,6,FALSE)),"")</f>
        <v/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8"/>
      <c r="Y182" s="5"/>
      <c r="Z182" s="5"/>
      <c r="AA182" s="9"/>
      <c r="AB182" s="5"/>
      <c r="AC182" s="5"/>
      <c r="AD182" s="9"/>
      <c r="AE182" s="5"/>
      <c r="AF182" s="7" t="str">
        <f t="shared" si="14"/>
        <v/>
      </c>
      <c r="AG182" s="7" t="str">
        <f t="shared" si="15"/>
        <v/>
      </c>
      <c r="AH182" s="7" t="str">
        <f t="shared" si="16"/>
        <v/>
      </c>
      <c r="AI182" s="7" t="str">
        <f t="shared" si="17"/>
        <v/>
      </c>
      <c r="AJ182" s="7" t="str">
        <f t="shared" si="18"/>
        <v/>
      </c>
      <c r="AK182" s="7" t="str">
        <f t="shared" si="19"/>
        <v/>
      </c>
      <c r="AL182" s="10" t="str">
        <f t="shared" si="20"/>
        <v/>
      </c>
      <c r="AM182" s="15" t="str">
        <f>IF(OR($A182&lt;&gt;"",$B182&lt;&gt;""),IF(OR($A182="",$B182=""),"Isi tanggal dan ID PIC",IF(NOT(ISNUMBER($A182)),"Tanggal harus berupa tanggal Excel",IF(COUNTIFS(Master_PIC!$A$8:$A$73,$B182)&lt;&gt;1,"ID PIC tidak unik/terdaftar",IF(VLOOKUP($B182,Master_PIC!$A$8:$G$73,3,FALSE)&lt;&gt;"Sales","Jabatan tidak sesuai sheet",IF(OR($C182="",$D182="",$E182="",$F182=""),"Lengkapi master PIC",IF(COUNTIFS($A$8:$A$507,$A182,$B$8:$B$507,$B182)&gt;1,"Laporan ganda",IF(COUNTIFS(G182:P182,"Tidak Berlaku")&gt;0,"N/A hanya untuk kegiatan bersyarat",IF(SUM(AG182,AH182,AI182,AJ182,AK182)&lt;&gt;14,"Status kegiatan tidak valid",IF(AK182&gt;0,"Lengkapi status kegiatan",IF(AND(AJ182&gt;0,U182=""),"Isi alasan Tidak Berlaku",IF(AND(SUM(AH182,AI182)&gt;0,OR(U182="",V182="",W182="",X182="")),"Isi kendala dan tindak lanjut",IF(AND(Z182&lt;&gt;"Draft",Z182&lt;&gt;"Dikirim"),"Isi status laporan yang valid",IF(AND(AB182&lt;&gt;"",AB182&lt;&gt;"Belum Diperiksa",AB182&lt;&gt;"Disetujui",AB182&lt;&gt;"Perlu Perbaikan"),"Hasil review tidak valid",IF(AND(Z182="Dikirim",OR(Y182="",AA182="")),"Isi bukti dan waktu kirim",IF(AND(AB182="Disetujui",OR(Z182&lt;&gt;"Dikirim",AC182="",AD182="")),"Lengkapi pemeriksaan",IF(AND(AB182="Perlu Perbaikan",OR(AE182="",AC182="",AD182="")),"Isi pemeriksa dan catatan perbaikan","OK")))))))))))))))),"")</f>
        <v/>
      </c>
    </row>
    <row r="183" spans="1:39" ht="24.95" customHeight="1">
      <c r="A183" s="8"/>
      <c r="B183" s="6"/>
      <c r="C183" s="15" t="str">
        <f>IF(COUNTIFS(Master_PIC!$A$8:$A$73,$B183)=1,IF(VLOOKUP($B183,Master_PIC!$A$8:$G$73,2,FALSE)="","",VLOOKUP($B183,Master_PIC!$A$8:$G$73,2,FALSE)),"")</f>
        <v/>
      </c>
      <c r="D183" s="15" t="str">
        <f>IF(COUNTIFS(Master_PIC!$A$8:$A$73,$B183)=1,IF(VLOOKUP($B183,Master_PIC!$A$8:$G$73,4,FALSE)="","",VLOOKUP($B183,Master_PIC!$A$8:$G$73,4,FALSE)),"")</f>
        <v/>
      </c>
      <c r="E183" s="15" t="str">
        <f>IF(COUNTIFS(Master_PIC!$A$8:$A$73,$B183)=1,IF(VLOOKUP($B183,Master_PIC!$A$8:$G$73,5,FALSE)="","",VLOOKUP($B183,Master_PIC!$A$8:$G$73,5,FALSE)),"")</f>
        <v/>
      </c>
      <c r="F183" s="15" t="str">
        <f>IF(COUNTIFS(Master_PIC!$A$8:$A$73,$B183)=1,IF(VLOOKUP($B183,Master_PIC!$A$8:$G$73,6,FALSE)="","",VLOOKUP($B183,Master_PIC!$A$8:$G$73,6,FALSE)),"")</f>
        <v/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8"/>
      <c r="Y183" s="5"/>
      <c r="Z183" s="5"/>
      <c r="AA183" s="9"/>
      <c r="AB183" s="5"/>
      <c r="AC183" s="5"/>
      <c r="AD183" s="9"/>
      <c r="AE183" s="5"/>
      <c r="AF183" s="7" t="str">
        <f t="shared" si="14"/>
        <v/>
      </c>
      <c r="AG183" s="7" t="str">
        <f t="shared" si="15"/>
        <v/>
      </c>
      <c r="AH183" s="7" t="str">
        <f t="shared" si="16"/>
        <v/>
      </c>
      <c r="AI183" s="7" t="str">
        <f t="shared" si="17"/>
        <v/>
      </c>
      <c r="AJ183" s="7" t="str">
        <f t="shared" si="18"/>
        <v/>
      </c>
      <c r="AK183" s="7" t="str">
        <f t="shared" si="19"/>
        <v/>
      </c>
      <c r="AL183" s="10" t="str">
        <f t="shared" si="20"/>
        <v/>
      </c>
      <c r="AM183" s="15" t="str">
        <f>IF(OR($A183&lt;&gt;"",$B183&lt;&gt;""),IF(OR($A183="",$B183=""),"Isi tanggal dan ID PIC",IF(NOT(ISNUMBER($A183)),"Tanggal harus berupa tanggal Excel",IF(COUNTIFS(Master_PIC!$A$8:$A$73,$B183)&lt;&gt;1,"ID PIC tidak unik/terdaftar",IF(VLOOKUP($B183,Master_PIC!$A$8:$G$73,3,FALSE)&lt;&gt;"Sales","Jabatan tidak sesuai sheet",IF(OR($C183="",$D183="",$E183="",$F183=""),"Lengkapi master PIC",IF(COUNTIFS($A$8:$A$507,$A183,$B$8:$B$507,$B183)&gt;1,"Laporan ganda",IF(COUNTIFS(G183:P183,"Tidak Berlaku")&gt;0,"N/A hanya untuk kegiatan bersyarat",IF(SUM(AG183,AH183,AI183,AJ183,AK183)&lt;&gt;14,"Status kegiatan tidak valid",IF(AK183&gt;0,"Lengkapi status kegiatan",IF(AND(AJ183&gt;0,U183=""),"Isi alasan Tidak Berlaku",IF(AND(SUM(AH183,AI183)&gt;0,OR(U183="",V183="",W183="",X183="")),"Isi kendala dan tindak lanjut",IF(AND(Z183&lt;&gt;"Draft",Z183&lt;&gt;"Dikirim"),"Isi status laporan yang valid",IF(AND(AB183&lt;&gt;"",AB183&lt;&gt;"Belum Diperiksa",AB183&lt;&gt;"Disetujui",AB183&lt;&gt;"Perlu Perbaikan"),"Hasil review tidak valid",IF(AND(Z183="Dikirim",OR(Y183="",AA183="")),"Isi bukti dan waktu kirim",IF(AND(AB183="Disetujui",OR(Z183&lt;&gt;"Dikirim",AC183="",AD183="")),"Lengkapi pemeriksaan",IF(AND(AB183="Perlu Perbaikan",OR(AE183="",AC183="",AD183="")),"Isi pemeriksa dan catatan perbaikan","OK")))))))))))))))),"")</f>
        <v/>
      </c>
    </row>
    <row r="184" spans="1:39" ht="24.95" customHeight="1">
      <c r="A184" s="8"/>
      <c r="B184" s="6"/>
      <c r="C184" s="15" t="str">
        <f>IF(COUNTIFS(Master_PIC!$A$8:$A$73,$B184)=1,IF(VLOOKUP($B184,Master_PIC!$A$8:$G$73,2,FALSE)="","",VLOOKUP($B184,Master_PIC!$A$8:$G$73,2,FALSE)),"")</f>
        <v/>
      </c>
      <c r="D184" s="15" t="str">
        <f>IF(COUNTIFS(Master_PIC!$A$8:$A$73,$B184)=1,IF(VLOOKUP($B184,Master_PIC!$A$8:$G$73,4,FALSE)="","",VLOOKUP($B184,Master_PIC!$A$8:$G$73,4,FALSE)),"")</f>
        <v/>
      </c>
      <c r="E184" s="15" t="str">
        <f>IF(COUNTIFS(Master_PIC!$A$8:$A$73,$B184)=1,IF(VLOOKUP($B184,Master_PIC!$A$8:$G$73,5,FALSE)="","",VLOOKUP($B184,Master_PIC!$A$8:$G$73,5,FALSE)),"")</f>
        <v/>
      </c>
      <c r="F184" s="15" t="str">
        <f>IF(COUNTIFS(Master_PIC!$A$8:$A$73,$B184)=1,IF(VLOOKUP($B184,Master_PIC!$A$8:$G$73,6,FALSE)="","",VLOOKUP($B184,Master_PIC!$A$8:$G$73,6,FALSE)),"")</f>
        <v/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8"/>
      <c r="Y184" s="5"/>
      <c r="Z184" s="5"/>
      <c r="AA184" s="9"/>
      <c r="AB184" s="5"/>
      <c r="AC184" s="5"/>
      <c r="AD184" s="9"/>
      <c r="AE184" s="5"/>
      <c r="AF184" s="7" t="str">
        <f t="shared" si="14"/>
        <v/>
      </c>
      <c r="AG184" s="7" t="str">
        <f t="shared" si="15"/>
        <v/>
      </c>
      <c r="AH184" s="7" t="str">
        <f t="shared" si="16"/>
        <v/>
      </c>
      <c r="AI184" s="7" t="str">
        <f t="shared" si="17"/>
        <v/>
      </c>
      <c r="AJ184" s="7" t="str">
        <f t="shared" si="18"/>
        <v/>
      </c>
      <c r="AK184" s="7" t="str">
        <f t="shared" si="19"/>
        <v/>
      </c>
      <c r="AL184" s="10" t="str">
        <f t="shared" si="20"/>
        <v/>
      </c>
      <c r="AM184" s="15" t="str">
        <f>IF(OR($A184&lt;&gt;"",$B184&lt;&gt;""),IF(OR($A184="",$B184=""),"Isi tanggal dan ID PIC",IF(NOT(ISNUMBER($A184)),"Tanggal harus berupa tanggal Excel",IF(COUNTIFS(Master_PIC!$A$8:$A$73,$B184)&lt;&gt;1,"ID PIC tidak unik/terdaftar",IF(VLOOKUP($B184,Master_PIC!$A$8:$G$73,3,FALSE)&lt;&gt;"Sales","Jabatan tidak sesuai sheet",IF(OR($C184="",$D184="",$E184="",$F184=""),"Lengkapi master PIC",IF(COUNTIFS($A$8:$A$507,$A184,$B$8:$B$507,$B184)&gt;1,"Laporan ganda",IF(COUNTIFS(G184:P184,"Tidak Berlaku")&gt;0,"N/A hanya untuk kegiatan bersyarat",IF(SUM(AG184,AH184,AI184,AJ184,AK184)&lt;&gt;14,"Status kegiatan tidak valid",IF(AK184&gt;0,"Lengkapi status kegiatan",IF(AND(AJ184&gt;0,U184=""),"Isi alasan Tidak Berlaku",IF(AND(SUM(AH184,AI184)&gt;0,OR(U184="",V184="",W184="",X184="")),"Isi kendala dan tindak lanjut",IF(AND(Z184&lt;&gt;"Draft",Z184&lt;&gt;"Dikirim"),"Isi status laporan yang valid",IF(AND(AB184&lt;&gt;"",AB184&lt;&gt;"Belum Diperiksa",AB184&lt;&gt;"Disetujui",AB184&lt;&gt;"Perlu Perbaikan"),"Hasil review tidak valid",IF(AND(Z184="Dikirim",OR(Y184="",AA184="")),"Isi bukti dan waktu kirim",IF(AND(AB184="Disetujui",OR(Z184&lt;&gt;"Dikirim",AC184="",AD184="")),"Lengkapi pemeriksaan",IF(AND(AB184="Perlu Perbaikan",OR(AE184="",AC184="",AD184="")),"Isi pemeriksa dan catatan perbaikan","OK")))))))))))))))),"")</f>
        <v/>
      </c>
    </row>
    <row r="185" spans="1:39" ht="24.95" customHeight="1">
      <c r="A185" s="8"/>
      <c r="B185" s="6"/>
      <c r="C185" s="15" t="str">
        <f>IF(COUNTIFS(Master_PIC!$A$8:$A$73,$B185)=1,IF(VLOOKUP($B185,Master_PIC!$A$8:$G$73,2,FALSE)="","",VLOOKUP($B185,Master_PIC!$A$8:$G$73,2,FALSE)),"")</f>
        <v/>
      </c>
      <c r="D185" s="15" t="str">
        <f>IF(COUNTIFS(Master_PIC!$A$8:$A$73,$B185)=1,IF(VLOOKUP($B185,Master_PIC!$A$8:$G$73,4,FALSE)="","",VLOOKUP($B185,Master_PIC!$A$8:$G$73,4,FALSE)),"")</f>
        <v/>
      </c>
      <c r="E185" s="15" t="str">
        <f>IF(COUNTIFS(Master_PIC!$A$8:$A$73,$B185)=1,IF(VLOOKUP($B185,Master_PIC!$A$8:$G$73,5,FALSE)="","",VLOOKUP($B185,Master_PIC!$A$8:$G$73,5,FALSE)),"")</f>
        <v/>
      </c>
      <c r="F185" s="15" t="str">
        <f>IF(COUNTIFS(Master_PIC!$A$8:$A$73,$B185)=1,IF(VLOOKUP($B185,Master_PIC!$A$8:$G$73,6,FALSE)="","",VLOOKUP($B185,Master_PIC!$A$8:$G$73,6,FALSE)),"")</f>
        <v/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8"/>
      <c r="Y185" s="5"/>
      <c r="Z185" s="5"/>
      <c r="AA185" s="9"/>
      <c r="AB185" s="5"/>
      <c r="AC185" s="5"/>
      <c r="AD185" s="9"/>
      <c r="AE185" s="5"/>
      <c r="AF185" s="7" t="str">
        <f t="shared" si="14"/>
        <v/>
      </c>
      <c r="AG185" s="7" t="str">
        <f t="shared" si="15"/>
        <v/>
      </c>
      <c r="AH185" s="7" t="str">
        <f t="shared" si="16"/>
        <v/>
      </c>
      <c r="AI185" s="7" t="str">
        <f t="shared" si="17"/>
        <v/>
      </c>
      <c r="AJ185" s="7" t="str">
        <f t="shared" si="18"/>
        <v/>
      </c>
      <c r="AK185" s="7" t="str">
        <f t="shared" si="19"/>
        <v/>
      </c>
      <c r="AL185" s="10" t="str">
        <f t="shared" si="20"/>
        <v/>
      </c>
      <c r="AM185" s="15" t="str">
        <f>IF(OR($A185&lt;&gt;"",$B185&lt;&gt;""),IF(OR($A185="",$B185=""),"Isi tanggal dan ID PIC",IF(NOT(ISNUMBER($A185)),"Tanggal harus berupa tanggal Excel",IF(COUNTIFS(Master_PIC!$A$8:$A$73,$B185)&lt;&gt;1,"ID PIC tidak unik/terdaftar",IF(VLOOKUP($B185,Master_PIC!$A$8:$G$73,3,FALSE)&lt;&gt;"Sales","Jabatan tidak sesuai sheet",IF(OR($C185="",$D185="",$E185="",$F185=""),"Lengkapi master PIC",IF(COUNTIFS($A$8:$A$507,$A185,$B$8:$B$507,$B185)&gt;1,"Laporan ganda",IF(COUNTIFS(G185:P185,"Tidak Berlaku")&gt;0,"N/A hanya untuk kegiatan bersyarat",IF(SUM(AG185,AH185,AI185,AJ185,AK185)&lt;&gt;14,"Status kegiatan tidak valid",IF(AK185&gt;0,"Lengkapi status kegiatan",IF(AND(AJ185&gt;0,U185=""),"Isi alasan Tidak Berlaku",IF(AND(SUM(AH185,AI185)&gt;0,OR(U185="",V185="",W185="",X185="")),"Isi kendala dan tindak lanjut",IF(AND(Z185&lt;&gt;"Draft",Z185&lt;&gt;"Dikirim"),"Isi status laporan yang valid",IF(AND(AB185&lt;&gt;"",AB185&lt;&gt;"Belum Diperiksa",AB185&lt;&gt;"Disetujui",AB185&lt;&gt;"Perlu Perbaikan"),"Hasil review tidak valid",IF(AND(Z185="Dikirim",OR(Y185="",AA185="")),"Isi bukti dan waktu kirim",IF(AND(AB185="Disetujui",OR(Z185&lt;&gt;"Dikirim",AC185="",AD185="")),"Lengkapi pemeriksaan",IF(AND(AB185="Perlu Perbaikan",OR(AE185="",AC185="",AD185="")),"Isi pemeriksa dan catatan perbaikan","OK")))))))))))))))),"")</f>
        <v/>
      </c>
    </row>
    <row r="186" spans="1:39" ht="24.95" customHeight="1">
      <c r="A186" s="8"/>
      <c r="B186" s="6"/>
      <c r="C186" s="15" t="str">
        <f>IF(COUNTIFS(Master_PIC!$A$8:$A$73,$B186)=1,IF(VLOOKUP($B186,Master_PIC!$A$8:$G$73,2,FALSE)="","",VLOOKUP($B186,Master_PIC!$A$8:$G$73,2,FALSE)),"")</f>
        <v/>
      </c>
      <c r="D186" s="15" t="str">
        <f>IF(COUNTIFS(Master_PIC!$A$8:$A$73,$B186)=1,IF(VLOOKUP($B186,Master_PIC!$A$8:$G$73,4,FALSE)="","",VLOOKUP($B186,Master_PIC!$A$8:$G$73,4,FALSE)),"")</f>
        <v/>
      </c>
      <c r="E186" s="15" t="str">
        <f>IF(COUNTIFS(Master_PIC!$A$8:$A$73,$B186)=1,IF(VLOOKUP($B186,Master_PIC!$A$8:$G$73,5,FALSE)="","",VLOOKUP($B186,Master_PIC!$A$8:$G$73,5,FALSE)),"")</f>
        <v/>
      </c>
      <c r="F186" s="15" t="str">
        <f>IF(COUNTIFS(Master_PIC!$A$8:$A$73,$B186)=1,IF(VLOOKUP($B186,Master_PIC!$A$8:$G$73,6,FALSE)="","",VLOOKUP($B186,Master_PIC!$A$8:$G$73,6,FALSE)),"")</f>
        <v/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8"/>
      <c r="Y186" s="5"/>
      <c r="Z186" s="5"/>
      <c r="AA186" s="9"/>
      <c r="AB186" s="5"/>
      <c r="AC186" s="5"/>
      <c r="AD186" s="9"/>
      <c r="AE186" s="5"/>
      <c r="AF186" s="7" t="str">
        <f t="shared" si="14"/>
        <v/>
      </c>
      <c r="AG186" s="7" t="str">
        <f t="shared" si="15"/>
        <v/>
      </c>
      <c r="AH186" s="7" t="str">
        <f t="shared" si="16"/>
        <v/>
      </c>
      <c r="AI186" s="7" t="str">
        <f t="shared" si="17"/>
        <v/>
      </c>
      <c r="AJ186" s="7" t="str">
        <f t="shared" si="18"/>
        <v/>
      </c>
      <c r="AK186" s="7" t="str">
        <f t="shared" si="19"/>
        <v/>
      </c>
      <c r="AL186" s="10" t="str">
        <f t="shared" si="20"/>
        <v/>
      </c>
      <c r="AM186" s="15" t="str">
        <f>IF(OR($A186&lt;&gt;"",$B186&lt;&gt;""),IF(OR($A186="",$B186=""),"Isi tanggal dan ID PIC",IF(NOT(ISNUMBER($A186)),"Tanggal harus berupa tanggal Excel",IF(COUNTIFS(Master_PIC!$A$8:$A$73,$B186)&lt;&gt;1,"ID PIC tidak unik/terdaftar",IF(VLOOKUP($B186,Master_PIC!$A$8:$G$73,3,FALSE)&lt;&gt;"Sales","Jabatan tidak sesuai sheet",IF(OR($C186="",$D186="",$E186="",$F186=""),"Lengkapi master PIC",IF(COUNTIFS($A$8:$A$507,$A186,$B$8:$B$507,$B186)&gt;1,"Laporan ganda",IF(COUNTIFS(G186:P186,"Tidak Berlaku")&gt;0,"N/A hanya untuk kegiatan bersyarat",IF(SUM(AG186,AH186,AI186,AJ186,AK186)&lt;&gt;14,"Status kegiatan tidak valid",IF(AK186&gt;0,"Lengkapi status kegiatan",IF(AND(AJ186&gt;0,U186=""),"Isi alasan Tidak Berlaku",IF(AND(SUM(AH186,AI186)&gt;0,OR(U186="",V186="",W186="",X186="")),"Isi kendala dan tindak lanjut",IF(AND(Z186&lt;&gt;"Draft",Z186&lt;&gt;"Dikirim"),"Isi status laporan yang valid",IF(AND(AB186&lt;&gt;"",AB186&lt;&gt;"Belum Diperiksa",AB186&lt;&gt;"Disetujui",AB186&lt;&gt;"Perlu Perbaikan"),"Hasil review tidak valid",IF(AND(Z186="Dikirim",OR(Y186="",AA186="")),"Isi bukti dan waktu kirim",IF(AND(AB186="Disetujui",OR(Z186&lt;&gt;"Dikirim",AC186="",AD186="")),"Lengkapi pemeriksaan",IF(AND(AB186="Perlu Perbaikan",OR(AE186="",AC186="",AD186="")),"Isi pemeriksa dan catatan perbaikan","OK")))))))))))))))),"")</f>
        <v/>
      </c>
    </row>
    <row r="187" spans="1:39" ht="24.95" customHeight="1">
      <c r="A187" s="8"/>
      <c r="B187" s="6"/>
      <c r="C187" s="15" t="str">
        <f>IF(COUNTIFS(Master_PIC!$A$8:$A$73,$B187)=1,IF(VLOOKUP($B187,Master_PIC!$A$8:$G$73,2,FALSE)="","",VLOOKUP($B187,Master_PIC!$A$8:$G$73,2,FALSE)),"")</f>
        <v/>
      </c>
      <c r="D187" s="15" t="str">
        <f>IF(COUNTIFS(Master_PIC!$A$8:$A$73,$B187)=1,IF(VLOOKUP($B187,Master_PIC!$A$8:$G$73,4,FALSE)="","",VLOOKUP($B187,Master_PIC!$A$8:$G$73,4,FALSE)),"")</f>
        <v/>
      </c>
      <c r="E187" s="15" t="str">
        <f>IF(COUNTIFS(Master_PIC!$A$8:$A$73,$B187)=1,IF(VLOOKUP($B187,Master_PIC!$A$8:$G$73,5,FALSE)="","",VLOOKUP($B187,Master_PIC!$A$8:$G$73,5,FALSE)),"")</f>
        <v/>
      </c>
      <c r="F187" s="15" t="str">
        <f>IF(COUNTIFS(Master_PIC!$A$8:$A$73,$B187)=1,IF(VLOOKUP($B187,Master_PIC!$A$8:$G$73,6,FALSE)="","",VLOOKUP($B187,Master_PIC!$A$8:$G$73,6,FALSE)),"")</f>
        <v/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8"/>
      <c r="Y187" s="5"/>
      <c r="Z187" s="5"/>
      <c r="AA187" s="9"/>
      <c r="AB187" s="5"/>
      <c r="AC187" s="5"/>
      <c r="AD187" s="9"/>
      <c r="AE187" s="5"/>
      <c r="AF187" s="7" t="str">
        <f t="shared" si="14"/>
        <v/>
      </c>
      <c r="AG187" s="7" t="str">
        <f t="shared" si="15"/>
        <v/>
      </c>
      <c r="AH187" s="7" t="str">
        <f t="shared" si="16"/>
        <v/>
      </c>
      <c r="AI187" s="7" t="str">
        <f t="shared" si="17"/>
        <v/>
      </c>
      <c r="AJ187" s="7" t="str">
        <f t="shared" si="18"/>
        <v/>
      </c>
      <c r="AK187" s="7" t="str">
        <f t="shared" si="19"/>
        <v/>
      </c>
      <c r="AL187" s="10" t="str">
        <f t="shared" si="20"/>
        <v/>
      </c>
      <c r="AM187" s="15" t="str">
        <f>IF(OR($A187&lt;&gt;"",$B187&lt;&gt;""),IF(OR($A187="",$B187=""),"Isi tanggal dan ID PIC",IF(NOT(ISNUMBER($A187)),"Tanggal harus berupa tanggal Excel",IF(COUNTIFS(Master_PIC!$A$8:$A$73,$B187)&lt;&gt;1,"ID PIC tidak unik/terdaftar",IF(VLOOKUP($B187,Master_PIC!$A$8:$G$73,3,FALSE)&lt;&gt;"Sales","Jabatan tidak sesuai sheet",IF(OR($C187="",$D187="",$E187="",$F187=""),"Lengkapi master PIC",IF(COUNTIFS($A$8:$A$507,$A187,$B$8:$B$507,$B187)&gt;1,"Laporan ganda",IF(COUNTIFS(G187:P187,"Tidak Berlaku")&gt;0,"N/A hanya untuk kegiatan bersyarat",IF(SUM(AG187,AH187,AI187,AJ187,AK187)&lt;&gt;14,"Status kegiatan tidak valid",IF(AK187&gt;0,"Lengkapi status kegiatan",IF(AND(AJ187&gt;0,U187=""),"Isi alasan Tidak Berlaku",IF(AND(SUM(AH187,AI187)&gt;0,OR(U187="",V187="",W187="",X187="")),"Isi kendala dan tindak lanjut",IF(AND(Z187&lt;&gt;"Draft",Z187&lt;&gt;"Dikirim"),"Isi status laporan yang valid",IF(AND(AB187&lt;&gt;"",AB187&lt;&gt;"Belum Diperiksa",AB187&lt;&gt;"Disetujui",AB187&lt;&gt;"Perlu Perbaikan"),"Hasil review tidak valid",IF(AND(Z187="Dikirim",OR(Y187="",AA187="")),"Isi bukti dan waktu kirim",IF(AND(AB187="Disetujui",OR(Z187&lt;&gt;"Dikirim",AC187="",AD187="")),"Lengkapi pemeriksaan",IF(AND(AB187="Perlu Perbaikan",OR(AE187="",AC187="",AD187="")),"Isi pemeriksa dan catatan perbaikan","OK")))))))))))))))),"")</f>
        <v/>
      </c>
    </row>
    <row r="188" spans="1:39" ht="24.95" customHeight="1">
      <c r="A188" s="8"/>
      <c r="B188" s="6"/>
      <c r="C188" s="15" t="str">
        <f>IF(COUNTIFS(Master_PIC!$A$8:$A$73,$B188)=1,IF(VLOOKUP($B188,Master_PIC!$A$8:$G$73,2,FALSE)="","",VLOOKUP($B188,Master_PIC!$A$8:$G$73,2,FALSE)),"")</f>
        <v/>
      </c>
      <c r="D188" s="15" t="str">
        <f>IF(COUNTIFS(Master_PIC!$A$8:$A$73,$B188)=1,IF(VLOOKUP($B188,Master_PIC!$A$8:$G$73,4,FALSE)="","",VLOOKUP($B188,Master_PIC!$A$8:$G$73,4,FALSE)),"")</f>
        <v/>
      </c>
      <c r="E188" s="15" t="str">
        <f>IF(COUNTIFS(Master_PIC!$A$8:$A$73,$B188)=1,IF(VLOOKUP($B188,Master_PIC!$A$8:$G$73,5,FALSE)="","",VLOOKUP($B188,Master_PIC!$A$8:$G$73,5,FALSE)),"")</f>
        <v/>
      </c>
      <c r="F188" s="15" t="str">
        <f>IF(COUNTIFS(Master_PIC!$A$8:$A$73,$B188)=1,IF(VLOOKUP($B188,Master_PIC!$A$8:$G$73,6,FALSE)="","",VLOOKUP($B188,Master_PIC!$A$8:$G$73,6,FALSE)),"")</f>
        <v/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8"/>
      <c r="Y188" s="5"/>
      <c r="Z188" s="5"/>
      <c r="AA188" s="9"/>
      <c r="AB188" s="5"/>
      <c r="AC188" s="5"/>
      <c r="AD188" s="9"/>
      <c r="AE188" s="5"/>
      <c r="AF188" s="7" t="str">
        <f t="shared" si="14"/>
        <v/>
      </c>
      <c r="AG188" s="7" t="str">
        <f t="shared" si="15"/>
        <v/>
      </c>
      <c r="AH188" s="7" t="str">
        <f t="shared" si="16"/>
        <v/>
      </c>
      <c r="AI188" s="7" t="str">
        <f t="shared" si="17"/>
        <v/>
      </c>
      <c r="AJ188" s="7" t="str">
        <f t="shared" si="18"/>
        <v/>
      </c>
      <c r="AK188" s="7" t="str">
        <f t="shared" si="19"/>
        <v/>
      </c>
      <c r="AL188" s="10" t="str">
        <f t="shared" si="20"/>
        <v/>
      </c>
      <c r="AM188" s="15" t="str">
        <f>IF(OR($A188&lt;&gt;"",$B188&lt;&gt;""),IF(OR($A188="",$B188=""),"Isi tanggal dan ID PIC",IF(NOT(ISNUMBER($A188)),"Tanggal harus berupa tanggal Excel",IF(COUNTIFS(Master_PIC!$A$8:$A$73,$B188)&lt;&gt;1,"ID PIC tidak unik/terdaftar",IF(VLOOKUP($B188,Master_PIC!$A$8:$G$73,3,FALSE)&lt;&gt;"Sales","Jabatan tidak sesuai sheet",IF(OR($C188="",$D188="",$E188="",$F188=""),"Lengkapi master PIC",IF(COUNTIFS($A$8:$A$507,$A188,$B$8:$B$507,$B188)&gt;1,"Laporan ganda",IF(COUNTIFS(G188:P188,"Tidak Berlaku")&gt;0,"N/A hanya untuk kegiatan bersyarat",IF(SUM(AG188,AH188,AI188,AJ188,AK188)&lt;&gt;14,"Status kegiatan tidak valid",IF(AK188&gt;0,"Lengkapi status kegiatan",IF(AND(AJ188&gt;0,U188=""),"Isi alasan Tidak Berlaku",IF(AND(SUM(AH188,AI188)&gt;0,OR(U188="",V188="",W188="",X188="")),"Isi kendala dan tindak lanjut",IF(AND(Z188&lt;&gt;"Draft",Z188&lt;&gt;"Dikirim"),"Isi status laporan yang valid",IF(AND(AB188&lt;&gt;"",AB188&lt;&gt;"Belum Diperiksa",AB188&lt;&gt;"Disetujui",AB188&lt;&gt;"Perlu Perbaikan"),"Hasil review tidak valid",IF(AND(Z188="Dikirim",OR(Y188="",AA188="")),"Isi bukti dan waktu kirim",IF(AND(AB188="Disetujui",OR(Z188&lt;&gt;"Dikirim",AC188="",AD188="")),"Lengkapi pemeriksaan",IF(AND(AB188="Perlu Perbaikan",OR(AE188="",AC188="",AD188="")),"Isi pemeriksa dan catatan perbaikan","OK")))))))))))))))),"")</f>
        <v/>
      </c>
    </row>
    <row r="189" spans="1:39" ht="24.95" customHeight="1">
      <c r="A189" s="8"/>
      <c r="B189" s="6"/>
      <c r="C189" s="15" t="str">
        <f>IF(COUNTIFS(Master_PIC!$A$8:$A$73,$B189)=1,IF(VLOOKUP($B189,Master_PIC!$A$8:$G$73,2,FALSE)="","",VLOOKUP($B189,Master_PIC!$A$8:$G$73,2,FALSE)),"")</f>
        <v/>
      </c>
      <c r="D189" s="15" t="str">
        <f>IF(COUNTIFS(Master_PIC!$A$8:$A$73,$B189)=1,IF(VLOOKUP($B189,Master_PIC!$A$8:$G$73,4,FALSE)="","",VLOOKUP($B189,Master_PIC!$A$8:$G$73,4,FALSE)),"")</f>
        <v/>
      </c>
      <c r="E189" s="15" t="str">
        <f>IF(COUNTIFS(Master_PIC!$A$8:$A$73,$B189)=1,IF(VLOOKUP($B189,Master_PIC!$A$8:$G$73,5,FALSE)="","",VLOOKUP($B189,Master_PIC!$A$8:$G$73,5,FALSE)),"")</f>
        <v/>
      </c>
      <c r="F189" s="15" t="str">
        <f>IF(COUNTIFS(Master_PIC!$A$8:$A$73,$B189)=1,IF(VLOOKUP($B189,Master_PIC!$A$8:$G$73,6,FALSE)="","",VLOOKUP($B189,Master_PIC!$A$8:$G$73,6,FALSE)),"")</f>
        <v/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8"/>
      <c r="Y189" s="5"/>
      <c r="Z189" s="5"/>
      <c r="AA189" s="9"/>
      <c r="AB189" s="5"/>
      <c r="AC189" s="5"/>
      <c r="AD189" s="9"/>
      <c r="AE189" s="5"/>
      <c r="AF189" s="7" t="str">
        <f t="shared" si="14"/>
        <v/>
      </c>
      <c r="AG189" s="7" t="str">
        <f t="shared" si="15"/>
        <v/>
      </c>
      <c r="AH189" s="7" t="str">
        <f t="shared" si="16"/>
        <v/>
      </c>
      <c r="AI189" s="7" t="str">
        <f t="shared" si="17"/>
        <v/>
      </c>
      <c r="AJ189" s="7" t="str">
        <f t="shared" si="18"/>
        <v/>
      </c>
      <c r="AK189" s="7" t="str">
        <f t="shared" si="19"/>
        <v/>
      </c>
      <c r="AL189" s="10" t="str">
        <f t="shared" si="20"/>
        <v/>
      </c>
      <c r="AM189" s="15" t="str">
        <f>IF(OR($A189&lt;&gt;"",$B189&lt;&gt;""),IF(OR($A189="",$B189=""),"Isi tanggal dan ID PIC",IF(NOT(ISNUMBER($A189)),"Tanggal harus berupa tanggal Excel",IF(COUNTIFS(Master_PIC!$A$8:$A$73,$B189)&lt;&gt;1,"ID PIC tidak unik/terdaftar",IF(VLOOKUP($B189,Master_PIC!$A$8:$G$73,3,FALSE)&lt;&gt;"Sales","Jabatan tidak sesuai sheet",IF(OR($C189="",$D189="",$E189="",$F189=""),"Lengkapi master PIC",IF(COUNTIFS($A$8:$A$507,$A189,$B$8:$B$507,$B189)&gt;1,"Laporan ganda",IF(COUNTIFS(G189:P189,"Tidak Berlaku")&gt;0,"N/A hanya untuk kegiatan bersyarat",IF(SUM(AG189,AH189,AI189,AJ189,AK189)&lt;&gt;14,"Status kegiatan tidak valid",IF(AK189&gt;0,"Lengkapi status kegiatan",IF(AND(AJ189&gt;0,U189=""),"Isi alasan Tidak Berlaku",IF(AND(SUM(AH189,AI189)&gt;0,OR(U189="",V189="",W189="",X189="")),"Isi kendala dan tindak lanjut",IF(AND(Z189&lt;&gt;"Draft",Z189&lt;&gt;"Dikirim"),"Isi status laporan yang valid",IF(AND(AB189&lt;&gt;"",AB189&lt;&gt;"Belum Diperiksa",AB189&lt;&gt;"Disetujui",AB189&lt;&gt;"Perlu Perbaikan"),"Hasil review tidak valid",IF(AND(Z189="Dikirim",OR(Y189="",AA189="")),"Isi bukti dan waktu kirim",IF(AND(AB189="Disetujui",OR(Z189&lt;&gt;"Dikirim",AC189="",AD189="")),"Lengkapi pemeriksaan",IF(AND(AB189="Perlu Perbaikan",OR(AE189="",AC189="",AD189="")),"Isi pemeriksa dan catatan perbaikan","OK")))))))))))))))),"")</f>
        <v/>
      </c>
    </row>
    <row r="190" spans="1:39" ht="24.95" customHeight="1">
      <c r="A190" s="8"/>
      <c r="B190" s="6"/>
      <c r="C190" s="15" t="str">
        <f>IF(COUNTIFS(Master_PIC!$A$8:$A$73,$B190)=1,IF(VLOOKUP($B190,Master_PIC!$A$8:$G$73,2,FALSE)="","",VLOOKUP($B190,Master_PIC!$A$8:$G$73,2,FALSE)),"")</f>
        <v/>
      </c>
      <c r="D190" s="15" t="str">
        <f>IF(COUNTIFS(Master_PIC!$A$8:$A$73,$B190)=1,IF(VLOOKUP($B190,Master_PIC!$A$8:$G$73,4,FALSE)="","",VLOOKUP($B190,Master_PIC!$A$8:$G$73,4,FALSE)),"")</f>
        <v/>
      </c>
      <c r="E190" s="15" t="str">
        <f>IF(COUNTIFS(Master_PIC!$A$8:$A$73,$B190)=1,IF(VLOOKUP($B190,Master_PIC!$A$8:$G$73,5,FALSE)="","",VLOOKUP($B190,Master_PIC!$A$8:$G$73,5,FALSE)),"")</f>
        <v/>
      </c>
      <c r="F190" s="15" t="str">
        <f>IF(COUNTIFS(Master_PIC!$A$8:$A$73,$B190)=1,IF(VLOOKUP($B190,Master_PIC!$A$8:$G$73,6,FALSE)="","",VLOOKUP($B190,Master_PIC!$A$8:$G$73,6,FALSE)),"")</f>
        <v/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8"/>
      <c r="Y190" s="5"/>
      <c r="Z190" s="5"/>
      <c r="AA190" s="9"/>
      <c r="AB190" s="5"/>
      <c r="AC190" s="5"/>
      <c r="AD190" s="9"/>
      <c r="AE190" s="5"/>
      <c r="AF190" s="7" t="str">
        <f t="shared" si="14"/>
        <v/>
      </c>
      <c r="AG190" s="7" t="str">
        <f t="shared" si="15"/>
        <v/>
      </c>
      <c r="AH190" s="7" t="str">
        <f t="shared" si="16"/>
        <v/>
      </c>
      <c r="AI190" s="7" t="str">
        <f t="shared" si="17"/>
        <v/>
      </c>
      <c r="AJ190" s="7" t="str">
        <f t="shared" si="18"/>
        <v/>
      </c>
      <c r="AK190" s="7" t="str">
        <f t="shared" si="19"/>
        <v/>
      </c>
      <c r="AL190" s="10" t="str">
        <f t="shared" si="20"/>
        <v/>
      </c>
      <c r="AM190" s="15" t="str">
        <f>IF(OR($A190&lt;&gt;"",$B190&lt;&gt;""),IF(OR($A190="",$B190=""),"Isi tanggal dan ID PIC",IF(NOT(ISNUMBER($A190)),"Tanggal harus berupa tanggal Excel",IF(COUNTIFS(Master_PIC!$A$8:$A$73,$B190)&lt;&gt;1,"ID PIC tidak unik/terdaftar",IF(VLOOKUP($B190,Master_PIC!$A$8:$G$73,3,FALSE)&lt;&gt;"Sales","Jabatan tidak sesuai sheet",IF(OR($C190="",$D190="",$E190="",$F190=""),"Lengkapi master PIC",IF(COUNTIFS($A$8:$A$507,$A190,$B$8:$B$507,$B190)&gt;1,"Laporan ganda",IF(COUNTIFS(G190:P190,"Tidak Berlaku")&gt;0,"N/A hanya untuk kegiatan bersyarat",IF(SUM(AG190,AH190,AI190,AJ190,AK190)&lt;&gt;14,"Status kegiatan tidak valid",IF(AK190&gt;0,"Lengkapi status kegiatan",IF(AND(AJ190&gt;0,U190=""),"Isi alasan Tidak Berlaku",IF(AND(SUM(AH190,AI190)&gt;0,OR(U190="",V190="",W190="",X190="")),"Isi kendala dan tindak lanjut",IF(AND(Z190&lt;&gt;"Draft",Z190&lt;&gt;"Dikirim"),"Isi status laporan yang valid",IF(AND(AB190&lt;&gt;"",AB190&lt;&gt;"Belum Diperiksa",AB190&lt;&gt;"Disetujui",AB190&lt;&gt;"Perlu Perbaikan"),"Hasil review tidak valid",IF(AND(Z190="Dikirim",OR(Y190="",AA190="")),"Isi bukti dan waktu kirim",IF(AND(AB190="Disetujui",OR(Z190&lt;&gt;"Dikirim",AC190="",AD190="")),"Lengkapi pemeriksaan",IF(AND(AB190="Perlu Perbaikan",OR(AE190="",AC190="",AD190="")),"Isi pemeriksa dan catatan perbaikan","OK")))))))))))))))),"")</f>
        <v/>
      </c>
    </row>
    <row r="191" spans="1:39" ht="24.95" customHeight="1">
      <c r="A191" s="8"/>
      <c r="B191" s="6"/>
      <c r="C191" s="15" t="str">
        <f>IF(COUNTIFS(Master_PIC!$A$8:$A$73,$B191)=1,IF(VLOOKUP($B191,Master_PIC!$A$8:$G$73,2,FALSE)="","",VLOOKUP($B191,Master_PIC!$A$8:$G$73,2,FALSE)),"")</f>
        <v/>
      </c>
      <c r="D191" s="15" t="str">
        <f>IF(COUNTIFS(Master_PIC!$A$8:$A$73,$B191)=1,IF(VLOOKUP($B191,Master_PIC!$A$8:$G$73,4,FALSE)="","",VLOOKUP($B191,Master_PIC!$A$8:$G$73,4,FALSE)),"")</f>
        <v/>
      </c>
      <c r="E191" s="15" t="str">
        <f>IF(COUNTIFS(Master_PIC!$A$8:$A$73,$B191)=1,IF(VLOOKUP($B191,Master_PIC!$A$8:$G$73,5,FALSE)="","",VLOOKUP($B191,Master_PIC!$A$8:$G$73,5,FALSE)),"")</f>
        <v/>
      </c>
      <c r="F191" s="15" t="str">
        <f>IF(COUNTIFS(Master_PIC!$A$8:$A$73,$B191)=1,IF(VLOOKUP($B191,Master_PIC!$A$8:$G$73,6,FALSE)="","",VLOOKUP($B191,Master_PIC!$A$8:$G$73,6,FALSE)),"")</f>
        <v/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8"/>
      <c r="Y191" s="5"/>
      <c r="Z191" s="5"/>
      <c r="AA191" s="9"/>
      <c r="AB191" s="5"/>
      <c r="AC191" s="5"/>
      <c r="AD191" s="9"/>
      <c r="AE191" s="5"/>
      <c r="AF191" s="7" t="str">
        <f t="shared" si="14"/>
        <v/>
      </c>
      <c r="AG191" s="7" t="str">
        <f t="shared" si="15"/>
        <v/>
      </c>
      <c r="AH191" s="7" t="str">
        <f t="shared" si="16"/>
        <v/>
      </c>
      <c r="AI191" s="7" t="str">
        <f t="shared" si="17"/>
        <v/>
      </c>
      <c r="AJ191" s="7" t="str">
        <f t="shared" si="18"/>
        <v/>
      </c>
      <c r="AK191" s="7" t="str">
        <f t="shared" si="19"/>
        <v/>
      </c>
      <c r="AL191" s="10" t="str">
        <f t="shared" si="20"/>
        <v/>
      </c>
      <c r="AM191" s="15" t="str">
        <f>IF(OR($A191&lt;&gt;"",$B191&lt;&gt;""),IF(OR($A191="",$B191=""),"Isi tanggal dan ID PIC",IF(NOT(ISNUMBER($A191)),"Tanggal harus berupa tanggal Excel",IF(COUNTIFS(Master_PIC!$A$8:$A$73,$B191)&lt;&gt;1,"ID PIC tidak unik/terdaftar",IF(VLOOKUP($B191,Master_PIC!$A$8:$G$73,3,FALSE)&lt;&gt;"Sales","Jabatan tidak sesuai sheet",IF(OR($C191="",$D191="",$E191="",$F191=""),"Lengkapi master PIC",IF(COUNTIFS($A$8:$A$507,$A191,$B$8:$B$507,$B191)&gt;1,"Laporan ganda",IF(COUNTIFS(G191:P191,"Tidak Berlaku")&gt;0,"N/A hanya untuk kegiatan bersyarat",IF(SUM(AG191,AH191,AI191,AJ191,AK191)&lt;&gt;14,"Status kegiatan tidak valid",IF(AK191&gt;0,"Lengkapi status kegiatan",IF(AND(AJ191&gt;0,U191=""),"Isi alasan Tidak Berlaku",IF(AND(SUM(AH191,AI191)&gt;0,OR(U191="",V191="",W191="",X191="")),"Isi kendala dan tindak lanjut",IF(AND(Z191&lt;&gt;"Draft",Z191&lt;&gt;"Dikirim"),"Isi status laporan yang valid",IF(AND(AB191&lt;&gt;"",AB191&lt;&gt;"Belum Diperiksa",AB191&lt;&gt;"Disetujui",AB191&lt;&gt;"Perlu Perbaikan"),"Hasil review tidak valid",IF(AND(Z191="Dikirim",OR(Y191="",AA191="")),"Isi bukti dan waktu kirim",IF(AND(AB191="Disetujui",OR(Z191&lt;&gt;"Dikirim",AC191="",AD191="")),"Lengkapi pemeriksaan",IF(AND(AB191="Perlu Perbaikan",OR(AE191="",AC191="",AD191="")),"Isi pemeriksa dan catatan perbaikan","OK")))))))))))))))),"")</f>
        <v/>
      </c>
    </row>
    <row r="192" spans="1:39" ht="24.95" customHeight="1">
      <c r="A192" s="8"/>
      <c r="B192" s="6"/>
      <c r="C192" s="15" t="str">
        <f>IF(COUNTIFS(Master_PIC!$A$8:$A$73,$B192)=1,IF(VLOOKUP($B192,Master_PIC!$A$8:$G$73,2,FALSE)="","",VLOOKUP($B192,Master_PIC!$A$8:$G$73,2,FALSE)),"")</f>
        <v/>
      </c>
      <c r="D192" s="15" t="str">
        <f>IF(COUNTIFS(Master_PIC!$A$8:$A$73,$B192)=1,IF(VLOOKUP($B192,Master_PIC!$A$8:$G$73,4,FALSE)="","",VLOOKUP($B192,Master_PIC!$A$8:$G$73,4,FALSE)),"")</f>
        <v/>
      </c>
      <c r="E192" s="15" t="str">
        <f>IF(COUNTIFS(Master_PIC!$A$8:$A$73,$B192)=1,IF(VLOOKUP($B192,Master_PIC!$A$8:$G$73,5,FALSE)="","",VLOOKUP($B192,Master_PIC!$A$8:$G$73,5,FALSE)),"")</f>
        <v/>
      </c>
      <c r="F192" s="15" t="str">
        <f>IF(COUNTIFS(Master_PIC!$A$8:$A$73,$B192)=1,IF(VLOOKUP($B192,Master_PIC!$A$8:$G$73,6,FALSE)="","",VLOOKUP($B192,Master_PIC!$A$8:$G$73,6,FALSE)),"")</f>
        <v/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8"/>
      <c r="Y192" s="5"/>
      <c r="Z192" s="5"/>
      <c r="AA192" s="9"/>
      <c r="AB192" s="5"/>
      <c r="AC192" s="5"/>
      <c r="AD192" s="9"/>
      <c r="AE192" s="5"/>
      <c r="AF192" s="7" t="str">
        <f t="shared" si="14"/>
        <v/>
      </c>
      <c r="AG192" s="7" t="str">
        <f t="shared" si="15"/>
        <v/>
      </c>
      <c r="AH192" s="7" t="str">
        <f t="shared" si="16"/>
        <v/>
      </c>
      <c r="AI192" s="7" t="str">
        <f t="shared" si="17"/>
        <v/>
      </c>
      <c r="AJ192" s="7" t="str">
        <f t="shared" si="18"/>
        <v/>
      </c>
      <c r="AK192" s="7" t="str">
        <f t="shared" si="19"/>
        <v/>
      </c>
      <c r="AL192" s="10" t="str">
        <f t="shared" si="20"/>
        <v/>
      </c>
      <c r="AM192" s="15" t="str">
        <f>IF(OR($A192&lt;&gt;"",$B192&lt;&gt;""),IF(OR($A192="",$B192=""),"Isi tanggal dan ID PIC",IF(NOT(ISNUMBER($A192)),"Tanggal harus berupa tanggal Excel",IF(COUNTIFS(Master_PIC!$A$8:$A$73,$B192)&lt;&gt;1,"ID PIC tidak unik/terdaftar",IF(VLOOKUP($B192,Master_PIC!$A$8:$G$73,3,FALSE)&lt;&gt;"Sales","Jabatan tidak sesuai sheet",IF(OR($C192="",$D192="",$E192="",$F192=""),"Lengkapi master PIC",IF(COUNTIFS($A$8:$A$507,$A192,$B$8:$B$507,$B192)&gt;1,"Laporan ganda",IF(COUNTIFS(G192:P192,"Tidak Berlaku")&gt;0,"N/A hanya untuk kegiatan bersyarat",IF(SUM(AG192,AH192,AI192,AJ192,AK192)&lt;&gt;14,"Status kegiatan tidak valid",IF(AK192&gt;0,"Lengkapi status kegiatan",IF(AND(AJ192&gt;0,U192=""),"Isi alasan Tidak Berlaku",IF(AND(SUM(AH192,AI192)&gt;0,OR(U192="",V192="",W192="",X192="")),"Isi kendala dan tindak lanjut",IF(AND(Z192&lt;&gt;"Draft",Z192&lt;&gt;"Dikirim"),"Isi status laporan yang valid",IF(AND(AB192&lt;&gt;"",AB192&lt;&gt;"Belum Diperiksa",AB192&lt;&gt;"Disetujui",AB192&lt;&gt;"Perlu Perbaikan"),"Hasil review tidak valid",IF(AND(Z192="Dikirim",OR(Y192="",AA192="")),"Isi bukti dan waktu kirim",IF(AND(AB192="Disetujui",OR(Z192&lt;&gt;"Dikirim",AC192="",AD192="")),"Lengkapi pemeriksaan",IF(AND(AB192="Perlu Perbaikan",OR(AE192="",AC192="",AD192="")),"Isi pemeriksa dan catatan perbaikan","OK")))))))))))))))),"")</f>
        <v/>
      </c>
    </row>
    <row r="193" spans="1:39" ht="24.95" customHeight="1">
      <c r="A193" s="8"/>
      <c r="B193" s="6"/>
      <c r="C193" s="15" t="str">
        <f>IF(COUNTIFS(Master_PIC!$A$8:$A$73,$B193)=1,IF(VLOOKUP($B193,Master_PIC!$A$8:$G$73,2,FALSE)="","",VLOOKUP($B193,Master_PIC!$A$8:$G$73,2,FALSE)),"")</f>
        <v/>
      </c>
      <c r="D193" s="15" t="str">
        <f>IF(COUNTIFS(Master_PIC!$A$8:$A$73,$B193)=1,IF(VLOOKUP($B193,Master_PIC!$A$8:$G$73,4,FALSE)="","",VLOOKUP($B193,Master_PIC!$A$8:$G$73,4,FALSE)),"")</f>
        <v/>
      </c>
      <c r="E193" s="15" t="str">
        <f>IF(COUNTIFS(Master_PIC!$A$8:$A$73,$B193)=1,IF(VLOOKUP($B193,Master_PIC!$A$8:$G$73,5,FALSE)="","",VLOOKUP($B193,Master_PIC!$A$8:$G$73,5,FALSE)),"")</f>
        <v/>
      </c>
      <c r="F193" s="15" t="str">
        <f>IF(COUNTIFS(Master_PIC!$A$8:$A$73,$B193)=1,IF(VLOOKUP($B193,Master_PIC!$A$8:$G$73,6,FALSE)="","",VLOOKUP($B193,Master_PIC!$A$8:$G$73,6,FALSE)),"")</f>
        <v/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8"/>
      <c r="Y193" s="5"/>
      <c r="Z193" s="5"/>
      <c r="AA193" s="9"/>
      <c r="AB193" s="5"/>
      <c r="AC193" s="5"/>
      <c r="AD193" s="9"/>
      <c r="AE193" s="5"/>
      <c r="AF193" s="7" t="str">
        <f t="shared" si="14"/>
        <v/>
      </c>
      <c r="AG193" s="7" t="str">
        <f t="shared" si="15"/>
        <v/>
      </c>
      <c r="AH193" s="7" t="str">
        <f t="shared" si="16"/>
        <v/>
      </c>
      <c r="AI193" s="7" t="str">
        <f t="shared" si="17"/>
        <v/>
      </c>
      <c r="AJ193" s="7" t="str">
        <f t="shared" si="18"/>
        <v/>
      </c>
      <c r="AK193" s="7" t="str">
        <f t="shared" si="19"/>
        <v/>
      </c>
      <c r="AL193" s="10" t="str">
        <f t="shared" si="20"/>
        <v/>
      </c>
      <c r="AM193" s="15" t="str">
        <f>IF(OR($A193&lt;&gt;"",$B193&lt;&gt;""),IF(OR($A193="",$B193=""),"Isi tanggal dan ID PIC",IF(NOT(ISNUMBER($A193)),"Tanggal harus berupa tanggal Excel",IF(COUNTIFS(Master_PIC!$A$8:$A$73,$B193)&lt;&gt;1,"ID PIC tidak unik/terdaftar",IF(VLOOKUP($B193,Master_PIC!$A$8:$G$73,3,FALSE)&lt;&gt;"Sales","Jabatan tidak sesuai sheet",IF(OR($C193="",$D193="",$E193="",$F193=""),"Lengkapi master PIC",IF(COUNTIFS($A$8:$A$507,$A193,$B$8:$B$507,$B193)&gt;1,"Laporan ganda",IF(COUNTIFS(G193:P193,"Tidak Berlaku")&gt;0,"N/A hanya untuk kegiatan bersyarat",IF(SUM(AG193,AH193,AI193,AJ193,AK193)&lt;&gt;14,"Status kegiatan tidak valid",IF(AK193&gt;0,"Lengkapi status kegiatan",IF(AND(AJ193&gt;0,U193=""),"Isi alasan Tidak Berlaku",IF(AND(SUM(AH193,AI193)&gt;0,OR(U193="",V193="",W193="",X193="")),"Isi kendala dan tindak lanjut",IF(AND(Z193&lt;&gt;"Draft",Z193&lt;&gt;"Dikirim"),"Isi status laporan yang valid",IF(AND(AB193&lt;&gt;"",AB193&lt;&gt;"Belum Diperiksa",AB193&lt;&gt;"Disetujui",AB193&lt;&gt;"Perlu Perbaikan"),"Hasil review tidak valid",IF(AND(Z193="Dikirim",OR(Y193="",AA193="")),"Isi bukti dan waktu kirim",IF(AND(AB193="Disetujui",OR(Z193&lt;&gt;"Dikirim",AC193="",AD193="")),"Lengkapi pemeriksaan",IF(AND(AB193="Perlu Perbaikan",OR(AE193="",AC193="",AD193="")),"Isi pemeriksa dan catatan perbaikan","OK")))))))))))))))),"")</f>
        <v/>
      </c>
    </row>
    <row r="194" spans="1:39" ht="24.95" customHeight="1">
      <c r="A194" s="8"/>
      <c r="B194" s="6"/>
      <c r="C194" s="15" t="str">
        <f>IF(COUNTIFS(Master_PIC!$A$8:$A$73,$B194)=1,IF(VLOOKUP($B194,Master_PIC!$A$8:$G$73,2,FALSE)="","",VLOOKUP($B194,Master_PIC!$A$8:$G$73,2,FALSE)),"")</f>
        <v/>
      </c>
      <c r="D194" s="15" t="str">
        <f>IF(COUNTIFS(Master_PIC!$A$8:$A$73,$B194)=1,IF(VLOOKUP($B194,Master_PIC!$A$8:$G$73,4,FALSE)="","",VLOOKUP($B194,Master_PIC!$A$8:$G$73,4,FALSE)),"")</f>
        <v/>
      </c>
      <c r="E194" s="15" t="str">
        <f>IF(COUNTIFS(Master_PIC!$A$8:$A$73,$B194)=1,IF(VLOOKUP($B194,Master_PIC!$A$8:$G$73,5,FALSE)="","",VLOOKUP($B194,Master_PIC!$A$8:$G$73,5,FALSE)),"")</f>
        <v/>
      </c>
      <c r="F194" s="15" t="str">
        <f>IF(COUNTIFS(Master_PIC!$A$8:$A$73,$B194)=1,IF(VLOOKUP($B194,Master_PIC!$A$8:$G$73,6,FALSE)="","",VLOOKUP($B194,Master_PIC!$A$8:$G$73,6,FALSE)),"")</f>
        <v/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8"/>
      <c r="Y194" s="5"/>
      <c r="Z194" s="5"/>
      <c r="AA194" s="9"/>
      <c r="AB194" s="5"/>
      <c r="AC194" s="5"/>
      <c r="AD194" s="9"/>
      <c r="AE194" s="5"/>
      <c r="AF194" s="7" t="str">
        <f t="shared" si="14"/>
        <v/>
      </c>
      <c r="AG194" s="7" t="str">
        <f t="shared" si="15"/>
        <v/>
      </c>
      <c r="AH194" s="7" t="str">
        <f t="shared" si="16"/>
        <v/>
      </c>
      <c r="AI194" s="7" t="str">
        <f t="shared" si="17"/>
        <v/>
      </c>
      <c r="AJ194" s="7" t="str">
        <f t="shared" si="18"/>
        <v/>
      </c>
      <c r="AK194" s="7" t="str">
        <f t="shared" si="19"/>
        <v/>
      </c>
      <c r="AL194" s="10" t="str">
        <f t="shared" si="20"/>
        <v/>
      </c>
      <c r="AM194" s="15" t="str">
        <f>IF(OR($A194&lt;&gt;"",$B194&lt;&gt;""),IF(OR($A194="",$B194=""),"Isi tanggal dan ID PIC",IF(NOT(ISNUMBER($A194)),"Tanggal harus berupa tanggal Excel",IF(COUNTIFS(Master_PIC!$A$8:$A$73,$B194)&lt;&gt;1,"ID PIC tidak unik/terdaftar",IF(VLOOKUP($B194,Master_PIC!$A$8:$G$73,3,FALSE)&lt;&gt;"Sales","Jabatan tidak sesuai sheet",IF(OR($C194="",$D194="",$E194="",$F194=""),"Lengkapi master PIC",IF(COUNTIFS($A$8:$A$507,$A194,$B$8:$B$507,$B194)&gt;1,"Laporan ganda",IF(COUNTIFS(G194:P194,"Tidak Berlaku")&gt;0,"N/A hanya untuk kegiatan bersyarat",IF(SUM(AG194,AH194,AI194,AJ194,AK194)&lt;&gt;14,"Status kegiatan tidak valid",IF(AK194&gt;0,"Lengkapi status kegiatan",IF(AND(AJ194&gt;0,U194=""),"Isi alasan Tidak Berlaku",IF(AND(SUM(AH194,AI194)&gt;0,OR(U194="",V194="",W194="",X194="")),"Isi kendala dan tindak lanjut",IF(AND(Z194&lt;&gt;"Draft",Z194&lt;&gt;"Dikirim"),"Isi status laporan yang valid",IF(AND(AB194&lt;&gt;"",AB194&lt;&gt;"Belum Diperiksa",AB194&lt;&gt;"Disetujui",AB194&lt;&gt;"Perlu Perbaikan"),"Hasil review tidak valid",IF(AND(Z194="Dikirim",OR(Y194="",AA194="")),"Isi bukti dan waktu kirim",IF(AND(AB194="Disetujui",OR(Z194&lt;&gt;"Dikirim",AC194="",AD194="")),"Lengkapi pemeriksaan",IF(AND(AB194="Perlu Perbaikan",OR(AE194="",AC194="",AD194="")),"Isi pemeriksa dan catatan perbaikan","OK")))))))))))))))),"")</f>
        <v/>
      </c>
    </row>
    <row r="195" spans="1:39" ht="24.95" customHeight="1">
      <c r="A195" s="8"/>
      <c r="B195" s="6"/>
      <c r="C195" s="15" t="str">
        <f>IF(COUNTIFS(Master_PIC!$A$8:$A$73,$B195)=1,IF(VLOOKUP($B195,Master_PIC!$A$8:$G$73,2,FALSE)="","",VLOOKUP($B195,Master_PIC!$A$8:$G$73,2,FALSE)),"")</f>
        <v/>
      </c>
      <c r="D195" s="15" t="str">
        <f>IF(COUNTIFS(Master_PIC!$A$8:$A$73,$B195)=1,IF(VLOOKUP($B195,Master_PIC!$A$8:$G$73,4,FALSE)="","",VLOOKUP($B195,Master_PIC!$A$8:$G$73,4,FALSE)),"")</f>
        <v/>
      </c>
      <c r="E195" s="15" t="str">
        <f>IF(COUNTIFS(Master_PIC!$A$8:$A$73,$B195)=1,IF(VLOOKUP($B195,Master_PIC!$A$8:$G$73,5,FALSE)="","",VLOOKUP($B195,Master_PIC!$A$8:$G$73,5,FALSE)),"")</f>
        <v/>
      </c>
      <c r="F195" s="15" t="str">
        <f>IF(COUNTIFS(Master_PIC!$A$8:$A$73,$B195)=1,IF(VLOOKUP($B195,Master_PIC!$A$8:$G$73,6,FALSE)="","",VLOOKUP($B195,Master_PIC!$A$8:$G$73,6,FALSE)),"")</f>
        <v/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8"/>
      <c r="Y195" s="5"/>
      <c r="Z195" s="5"/>
      <c r="AA195" s="9"/>
      <c r="AB195" s="5"/>
      <c r="AC195" s="5"/>
      <c r="AD195" s="9"/>
      <c r="AE195" s="5"/>
      <c r="AF195" s="7" t="str">
        <f t="shared" si="14"/>
        <v/>
      </c>
      <c r="AG195" s="7" t="str">
        <f t="shared" si="15"/>
        <v/>
      </c>
      <c r="AH195" s="7" t="str">
        <f t="shared" si="16"/>
        <v/>
      </c>
      <c r="AI195" s="7" t="str">
        <f t="shared" si="17"/>
        <v/>
      </c>
      <c r="AJ195" s="7" t="str">
        <f t="shared" si="18"/>
        <v/>
      </c>
      <c r="AK195" s="7" t="str">
        <f t="shared" si="19"/>
        <v/>
      </c>
      <c r="AL195" s="10" t="str">
        <f t="shared" si="20"/>
        <v/>
      </c>
      <c r="AM195" s="15" t="str">
        <f>IF(OR($A195&lt;&gt;"",$B195&lt;&gt;""),IF(OR($A195="",$B195=""),"Isi tanggal dan ID PIC",IF(NOT(ISNUMBER($A195)),"Tanggal harus berupa tanggal Excel",IF(COUNTIFS(Master_PIC!$A$8:$A$73,$B195)&lt;&gt;1,"ID PIC tidak unik/terdaftar",IF(VLOOKUP($B195,Master_PIC!$A$8:$G$73,3,FALSE)&lt;&gt;"Sales","Jabatan tidak sesuai sheet",IF(OR($C195="",$D195="",$E195="",$F195=""),"Lengkapi master PIC",IF(COUNTIFS($A$8:$A$507,$A195,$B$8:$B$507,$B195)&gt;1,"Laporan ganda",IF(COUNTIFS(G195:P195,"Tidak Berlaku")&gt;0,"N/A hanya untuk kegiatan bersyarat",IF(SUM(AG195,AH195,AI195,AJ195,AK195)&lt;&gt;14,"Status kegiatan tidak valid",IF(AK195&gt;0,"Lengkapi status kegiatan",IF(AND(AJ195&gt;0,U195=""),"Isi alasan Tidak Berlaku",IF(AND(SUM(AH195,AI195)&gt;0,OR(U195="",V195="",W195="",X195="")),"Isi kendala dan tindak lanjut",IF(AND(Z195&lt;&gt;"Draft",Z195&lt;&gt;"Dikirim"),"Isi status laporan yang valid",IF(AND(AB195&lt;&gt;"",AB195&lt;&gt;"Belum Diperiksa",AB195&lt;&gt;"Disetujui",AB195&lt;&gt;"Perlu Perbaikan"),"Hasil review tidak valid",IF(AND(Z195="Dikirim",OR(Y195="",AA195="")),"Isi bukti dan waktu kirim",IF(AND(AB195="Disetujui",OR(Z195&lt;&gt;"Dikirim",AC195="",AD195="")),"Lengkapi pemeriksaan",IF(AND(AB195="Perlu Perbaikan",OR(AE195="",AC195="",AD195="")),"Isi pemeriksa dan catatan perbaikan","OK")))))))))))))))),"")</f>
        <v/>
      </c>
    </row>
    <row r="196" spans="1:39" ht="24.95" customHeight="1">
      <c r="A196" s="8"/>
      <c r="B196" s="6"/>
      <c r="C196" s="15" t="str">
        <f>IF(COUNTIFS(Master_PIC!$A$8:$A$73,$B196)=1,IF(VLOOKUP($B196,Master_PIC!$A$8:$G$73,2,FALSE)="","",VLOOKUP($B196,Master_PIC!$A$8:$G$73,2,FALSE)),"")</f>
        <v/>
      </c>
      <c r="D196" s="15" t="str">
        <f>IF(COUNTIFS(Master_PIC!$A$8:$A$73,$B196)=1,IF(VLOOKUP($B196,Master_PIC!$A$8:$G$73,4,FALSE)="","",VLOOKUP($B196,Master_PIC!$A$8:$G$73,4,FALSE)),"")</f>
        <v/>
      </c>
      <c r="E196" s="15" t="str">
        <f>IF(COUNTIFS(Master_PIC!$A$8:$A$73,$B196)=1,IF(VLOOKUP($B196,Master_PIC!$A$8:$G$73,5,FALSE)="","",VLOOKUP($B196,Master_PIC!$A$8:$G$73,5,FALSE)),"")</f>
        <v/>
      </c>
      <c r="F196" s="15" t="str">
        <f>IF(COUNTIFS(Master_PIC!$A$8:$A$73,$B196)=1,IF(VLOOKUP($B196,Master_PIC!$A$8:$G$73,6,FALSE)="","",VLOOKUP($B196,Master_PIC!$A$8:$G$73,6,FALSE)),"")</f>
        <v/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8"/>
      <c r="Y196" s="5"/>
      <c r="Z196" s="5"/>
      <c r="AA196" s="9"/>
      <c r="AB196" s="5"/>
      <c r="AC196" s="5"/>
      <c r="AD196" s="9"/>
      <c r="AE196" s="5"/>
      <c r="AF196" s="7" t="str">
        <f t="shared" si="14"/>
        <v/>
      </c>
      <c r="AG196" s="7" t="str">
        <f t="shared" si="15"/>
        <v/>
      </c>
      <c r="AH196" s="7" t="str">
        <f t="shared" si="16"/>
        <v/>
      </c>
      <c r="AI196" s="7" t="str">
        <f t="shared" si="17"/>
        <v/>
      </c>
      <c r="AJ196" s="7" t="str">
        <f t="shared" si="18"/>
        <v/>
      </c>
      <c r="AK196" s="7" t="str">
        <f t="shared" si="19"/>
        <v/>
      </c>
      <c r="AL196" s="10" t="str">
        <f t="shared" si="20"/>
        <v/>
      </c>
      <c r="AM196" s="15" t="str">
        <f>IF(OR($A196&lt;&gt;"",$B196&lt;&gt;""),IF(OR($A196="",$B196=""),"Isi tanggal dan ID PIC",IF(NOT(ISNUMBER($A196)),"Tanggal harus berupa tanggal Excel",IF(COUNTIFS(Master_PIC!$A$8:$A$73,$B196)&lt;&gt;1,"ID PIC tidak unik/terdaftar",IF(VLOOKUP($B196,Master_PIC!$A$8:$G$73,3,FALSE)&lt;&gt;"Sales","Jabatan tidak sesuai sheet",IF(OR($C196="",$D196="",$E196="",$F196=""),"Lengkapi master PIC",IF(COUNTIFS($A$8:$A$507,$A196,$B$8:$B$507,$B196)&gt;1,"Laporan ganda",IF(COUNTIFS(G196:P196,"Tidak Berlaku")&gt;0,"N/A hanya untuk kegiatan bersyarat",IF(SUM(AG196,AH196,AI196,AJ196,AK196)&lt;&gt;14,"Status kegiatan tidak valid",IF(AK196&gt;0,"Lengkapi status kegiatan",IF(AND(AJ196&gt;0,U196=""),"Isi alasan Tidak Berlaku",IF(AND(SUM(AH196,AI196)&gt;0,OR(U196="",V196="",W196="",X196="")),"Isi kendala dan tindak lanjut",IF(AND(Z196&lt;&gt;"Draft",Z196&lt;&gt;"Dikirim"),"Isi status laporan yang valid",IF(AND(AB196&lt;&gt;"",AB196&lt;&gt;"Belum Diperiksa",AB196&lt;&gt;"Disetujui",AB196&lt;&gt;"Perlu Perbaikan"),"Hasil review tidak valid",IF(AND(Z196="Dikirim",OR(Y196="",AA196="")),"Isi bukti dan waktu kirim",IF(AND(AB196="Disetujui",OR(Z196&lt;&gt;"Dikirim",AC196="",AD196="")),"Lengkapi pemeriksaan",IF(AND(AB196="Perlu Perbaikan",OR(AE196="",AC196="",AD196="")),"Isi pemeriksa dan catatan perbaikan","OK")))))))))))))))),"")</f>
        <v/>
      </c>
    </row>
    <row r="197" spans="1:39" ht="24.95" customHeight="1">
      <c r="A197" s="8"/>
      <c r="B197" s="6"/>
      <c r="C197" s="15" t="str">
        <f>IF(COUNTIFS(Master_PIC!$A$8:$A$73,$B197)=1,IF(VLOOKUP($B197,Master_PIC!$A$8:$G$73,2,FALSE)="","",VLOOKUP($B197,Master_PIC!$A$8:$G$73,2,FALSE)),"")</f>
        <v/>
      </c>
      <c r="D197" s="15" t="str">
        <f>IF(COUNTIFS(Master_PIC!$A$8:$A$73,$B197)=1,IF(VLOOKUP($B197,Master_PIC!$A$8:$G$73,4,FALSE)="","",VLOOKUP($B197,Master_PIC!$A$8:$G$73,4,FALSE)),"")</f>
        <v/>
      </c>
      <c r="E197" s="15" t="str">
        <f>IF(COUNTIFS(Master_PIC!$A$8:$A$73,$B197)=1,IF(VLOOKUP($B197,Master_PIC!$A$8:$G$73,5,FALSE)="","",VLOOKUP($B197,Master_PIC!$A$8:$G$73,5,FALSE)),"")</f>
        <v/>
      </c>
      <c r="F197" s="15" t="str">
        <f>IF(COUNTIFS(Master_PIC!$A$8:$A$73,$B197)=1,IF(VLOOKUP($B197,Master_PIC!$A$8:$G$73,6,FALSE)="","",VLOOKUP($B197,Master_PIC!$A$8:$G$73,6,FALSE)),"")</f>
        <v/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8"/>
      <c r="Y197" s="5"/>
      <c r="Z197" s="5"/>
      <c r="AA197" s="9"/>
      <c r="AB197" s="5"/>
      <c r="AC197" s="5"/>
      <c r="AD197" s="9"/>
      <c r="AE197" s="5"/>
      <c r="AF197" s="7" t="str">
        <f t="shared" si="14"/>
        <v/>
      </c>
      <c r="AG197" s="7" t="str">
        <f t="shared" si="15"/>
        <v/>
      </c>
      <c r="AH197" s="7" t="str">
        <f t="shared" si="16"/>
        <v/>
      </c>
      <c r="AI197" s="7" t="str">
        <f t="shared" si="17"/>
        <v/>
      </c>
      <c r="AJ197" s="7" t="str">
        <f t="shared" si="18"/>
        <v/>
      </c>
      <c r="AK197" s="7" t="str">
        <f t="shared" si="19"/>
        <v/>
      </c>
      <c r="AL197" s="10" t="str">
        <f t="shared" si="20"/>
        <v/>
      </c>
      <c r="AM197" s="15" t="str">
        <f>IF(OR($A197&lt;&gt;"",$B197&lt;&gt;""),IF(OR($A197="",$B197=""),"Isi tanggal dan ID PIC",IF(NOT(ISNUMBER($A197)),"Tanggal harus berupa tanggal Excel",IF(COUNTIFS(Master_PIC!$A$8:$A$73,$B197)&lt;&gt;1,"ID PIC tidak unik/terdaftar",IF(VLOOKUP($B197,Master_PIC!$A$8:$G$73,3,FALSE)&lt;&gt;"Sales","Jabatan tidak sesuai sheet",IF(OR($C197="",$D197="",$E197="",$F197=""),"Lengkapi master PIC",IF(COUNTIFS($A$8:$A$507,$A197,$B$8:$B$507,$B197)&gt;1,"Laporan ganda",IF(COUNTIFS(G197:P197,"Tidak Berlaku")&gt;0,"N/A hanya untuk kegiatan bersyarat",IF(SUM(AG197,AH197,AI197,AJ197,AK197)&lt;&gt;14,"Status kegiatan tidak valid",IF(AK197&gt;0,"Lengkapi status kegiatan",IF(AND(AJ197&gt;0,U197=""),"Isi alasan Tidak Berlaku",IF(AND(SUM(AH197,AI197)&gt;0,OR(U197="",V197="",W197="",X197="")),"Isi kendala dan tindak lanjut",IF(AND(Z197&lt;&gt;"Draft",Z197&lt;&gt;"Dikirim"),"Isi status laporan yang valid",IF(AND(AB197&lt;&gt;"",AB197&lt;&gt;"Belum Diperiksa",AB197&lt;&gt;"Disetujui",AB197&lt;&gt;"Perlu Perbaikan"),"Hasil review tidak valid",IF(AND(Z197="Dikirim",OR(Y197="",AA197="")),"Isi bukti dan waktu kirim",IF(AND(AB197="Disetujui",OR(Z197&lt;&gt;"Dikirim",AC197="",AD197="")),"Lengkapi pemeriksaan",IF(AND(AB197="Perlu Perbaikan",OR(AE197="",AC197="",AD197="")),"Isi pemeriksa dan catatan perbaikan","OK")))))))))))))))),"")</f>
        <v/>
      </c>
    </row>
    <row r="198" spans="1:39" ht="24.95" customHeight="1">
      <c r="A198" s="8"/>
      <c r="B198" s="6"/>
      <c r="C198" s="15" t="str">
        <f>IF(COUNTIFS(Master_PIC!$A$8:$A$73,$B198)=1,IF(VLOOKUP($B198,Master_PIC!$A$8:$G$73,2,FALSE)="","",VLOOKUP($B198,Master_PIC!$A$8:$G$73,2,FALSE)),"")</f>
        <v/>
      </c>
      <c r="D198" s="15" t="str">
        <f>IF(COUNTIFS(Master_PIC!$A$8:$A$73,$B198)=1,IF(VLOOKUP($B198,Master_PIC!$A$8:$G$73,4,FALSE)="","",VLOOKUP($B198,Master_PIC!$A$8:$G$73,4,FALSE)),"")</f>
        <v/>
      </c>
      <c r="E198" s="15" t="str">
        <f>IF(COUNTIFS(Master_PIC!$A$8:$A$73,$B198)=1,IF(VLOOKUP($B198,Master_PIC!$A$8:$G$73,5,FALSE)="","",VLOOKUP($B198,Master_PIC!$A$8:$G$73,5,FALSE)),"")</f>
        <v/>
      </c>
      <c r="F198" s="15" t="str">
        <f>IF(COUNTIFS(Master_PIC!$A$8:$A$73,$B198)=1,IF(VLOOKUP($B198,Master_PIC!$A$8:$G$73,6,FALSE)="","",VLOOKUP($B198,Master_PIC!$A$8:$G$73,6,FALSE)),"")</f>
        <v/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8"/>
      <c r="Y198" s="5"/>
      <c r="Z198" s="5"/>
      <c r="AA198" s="9"/>
      <c r="AB198" s="5"/>
      <c r="AC198" s="5"/>
      <c r="AD198" s="9"/>
      <c r="AE198" s="5"/>
      <c r="AF198" s="7" t="str">
        <f t="shared" si="14"/>
        <v/>
      </c>
      <c r="AG198" s="7" t="str">
        <f t="shared" si="15"/>
        <v/>
      </c>
      <c r="AH198" s="7" t="str">
        <f t="shared" si="16"/>
        <v/>
      </c>
      <c r="AI198" s="7" t="str">
        <f t="shared" si="17"/>
        <v/>
      </c>
      <c r="AJ198" s="7" t="str">
        <f t="shared" si="18"/>
        <v/>
      </c>
      <c r="AK198" s="7" t="str">
        <f t="shared" si="19"/>
        <v/>
      </c>
      <c r="AL198" s="10" t="str">
        <f t="shared" si="20"/>
        <v/>
      </c>
      <c r="AM198" s="15" t="str">
        <f>IF(OR($A198&lt;&gt;"",$B198&lt;&gt;""),IF(OR($A198="",$B198=""),"Isi tanggal dan ID PIC",IF(NOT(ISNUMBER($A198)),"Tanggal harus berupa tanggal Excel",IF(COUNTIFS(Master_PIC!$A$8:$A$73,$B198)&lt;&gt;1,"ID PIC tidak unik/terdaftar",IF(VLOOKUP($B198,Master_PIC!$A$8:$G$73,3,FALSE)&lt;&gt;"Sales","Jabatan tidak sesuai sheet",IF(OR($C198="",$D198="",$E198="",$F198=""),"Lengkapi master PIC",IF(COUNTIFS($A$8:$A$507,$A198,$B$8:$B$507,$B198)&gt;1,"Laporan ganda",IF(COUNTIFS(G198:P198,"Tidak Berlaku")&gt;0,"N/A hanya untuk kegiatan bersyarat",IF(SUM(AG198,AH198,AI198,AJ198,AK198)&lt;&gt;14,"Status kegiatan tidak valid",IF(AK198&gt;0,"Lengkapi status kegiatan",IF(AND(AJ198&gt;0,U198=""),"Isi alasan Tidak Berlaku",IF(AND(SUM(AH198,AI198)&gt;0,OR(U198="",V198="",W198="",X198="")),"Isi kendala dan tindak lanjut",IF(AND(Z198&lt;&gt;"Draft",Z198&lt;&gt;"Dikirim"),"Isi status laporan yang valid",IF(AND(AB198&lt;&gt;"",AB198&lt;&gt;"Belum Diperiksa",AB198&lt;&gt;"Disetujui",AB198&lt;&gt;"Perlu Perbaikan"),"Hasil review tidak valid",IF(AND(Z198="Dikirim",OR(Y198="",AA198="")),"Isi bukti dan waktu kirim",IF(AND(AB198="Disetujui",OR(Z198&lt;&gt;"Dikirim",AC198="",AD198="")),"Lengkapi pemeriksaan",IF(AND(AB198="Perlu Perbaikan",OR(AE198="",AC198="",AD198="")),"Isi pemeriksa dan catatan perbaikan","OK")))))))))))))))),"")</f>
        <v/>
      </c>
    </row>
    <row r="199" spans="1:39" ht="24.95" customHeight="1">
      <c r="A199" s="8"/>
      <c r="B199" s="6"/>
      <c r="C199" s="15" t="str">
        <f>IF(COUNTIFS(Master_PIC!$A$8:$A$73,$B199)=1,IF(VLOOKUP($B199,Master_PIC!$A$8:$G$73,2,FALSE)="","",VLOOKUP($B199,Master_PIC!$A$8:$G$73,2,FALSE)),"")</f>
        <v/>
      </c>
      <c r="D199" s="15" t="str">
        <f>IF(COUNTIFS(Master_PIC!$A$8:$A$73,$B199)=1,IF(VLOOKUP($B199,Master_PIC!$A$8:$G$73,4,FALSE)="","",VLOOKUP($B199,Master_PIC!$A$8:$G$73,4,FALSE)),"")</f>
        <v/>
      </c>
      <c r="E199" s="15" t="str">
        <f>IF(COUNTIFS(Master_PIC!$A$8:$A$73,$B199)=1,IF(VLOOKUP($B199,Master_PIC!$A$8:$G$73,5,FALSE)="","",VLOOKUP($B199,Master_PIC!$A$8:$G$73,5,FALSE)),"")</f>
        <v/>
      </c>
      <c r="F199" s="15" t="str">
        <f>IF(COUNTIFS(Master_PIC!$A$8:$A$73,$B199)=1,IF(VLOOKUP($B199,Master_PIC!$A$8:$G$73,6,FALSE)="","",VLOOKUP($B199,Master_PIC!$A$8:$G$73,6,FALSE)),"")</f>
        <v/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8"/>
      <c r="Y199" s="5"/>
      <c r="Z199" s="5"/>
      <c r="AA199" s="9"/>
      <c r="AB199" s="5"/>
      <c r="AC199" s="5"/>
      <c r="AD199" s="9"/>
      <c r="AE199" s="5"/>
      <c r="AF199" s="7" t="str">
        <f t="shared" si="14"/>
        <v/>
      </c>
      <c r="AG199" s="7" t="str">
        <f t="shared" si="15"/>
        <v/>
      </c>
      <c r="AH199" s="7" t="str">
        <f t="shared" si="16"/>
        <v/>
      </c>
      <c r="AI199" s="7" t="str">
        <f t="shared" si="17"/>
        <v/>
      </c>
      <c r="AJ199" s="7" t="str">
        <f t="shared" si="18"/>
        <v/>
      </c>
      <c r="AK199" s="7" t="str">
        <f t="shared" si="19"/>
        <v/>
      </c>
      <c r="AL199" s="10" t="str">
        <f t="shared" si="20"/>
        <v/>
      </c>
      <c r="AM199" s="15" t="str">
        <f>IF(OR($A199&lt;&gt;"",$B199&lt;&gt;""),IF(OR($A199="",$B199=""),"Isi tanggal dan ID PIC",IF(NOT(ISNUMBER($A199)),"Tanggal harus berupa tanggal Excel",IF(COUNTIFS(Master_PIC!$A$8:$A$73,$B199)&lt;&gt;1,"ID PIC tidak unik/terdaftar",IF(VLOOKUP($B199,Master_PIC!$A$8:$G$73,3,FALSE)&lt;&gt;"Sales","Jabatan tidak sesuai sheet",IF(OR($C199="",$D199="",$E199="",$F199=""),"Lengkapi master PIC",IF(COUNTIFS($A$8:$A$507,$A199,$B$8:$B$507,$B199)&gt;1,"Laporan ganda",IF(COUNTIFS(G199:P199,"Tidak Berlaku")&gt;0,"N/A hanya untuk kegiatan bersyarat",IF(SUM(AG199,AH199,AI199,AJ199,AK199)&lt;&gt;14,"Status kegiatan tidak valid",IF(AK199&gt;0,"Lengkapi status kegiatan",IF(AND(AJ199&gt;0,U199=""),"Isi alasan Tidak Berlaku",IF(AND(SUM(AH199,AI199)&gt;0,OR(U199="",V199="",W199="",X199="")),"Isi kendala dan tindak lanjut",IF(AND(Z199&lt;&gt;"Draft",Z199&lt;&gt;"Dikirim"),"Isi status laporan yang valid",IF(AND(AB199&lt;&gt;"",AB199&lt;&gt;"Belum Diperiksa",AB199&lt;&gt;"Disetujui",AB199&lt;&gt;"Perlu Perbaikan"),"Hasil review tidak valid",IF(AND(Z199="Dikirim",OR(Y199="",AA199="")),"Isi bukti dan waktu kirim",IF(AND(AB199="Disetujui",OR(Z199&lt;&gt;"Dikirim",AC199="",AD199="")),"Lengkapi pemeriksaan",IF(AND(AB199="Perlu Perbaikan",OR(AE199="",AC199="",AD199="")),"Isi pemeriksa dan catatan perbaikan","OK")))))))))))))))),"")</f>
        <v/>
      </c>
    </row>
    <row r="200" spans="1:39" ht="24.95" customHeight="1">
      <c r="A200" s="8"/>
      <c r="B200" s="6"/>
      <c r="C200" s="15" t="str">
        <f>IF(COUNTIFS(Master_PIC!$A$8:$A$73,$B200)=1,IF(VLOOKUP($B200,Master_PIC!$A$8:$G$73,2,FALSE)="","",VLOOKUP($B200,Master_PIC!$A$8:$G$73,2,FALSE)),"")</f>
        <v/>
      </c>
      <c r="D200" s="15" t="str">
        <f>IF(COUNTIFS(Master_PIC!$A$8:$A$73,$B200)=1,IF(VLOOKUP($B200,Master_PIC!$A$8:$G$73,4,FALSE)="","",VLOOKUP($B200,Master_PIC!$A$8:$G$73,4,FALSE)),"")</f>
        <v/>
      </c>
      <c r="E200" s="15" t="str">
        <f>IF(COUNTIFS(Master_PIC!$A$8:$A$73,$B200)=1,IF(VLOOKUP($B200,Master_PIC!$A$8:$G$73,5,FALSE)="","",VLOOKUP($B200,Master_PIC!$A$8:$G$73,5,FALSE)),"")</f>
        <v/>
      </c>
      <c r="F200" s="15" t="str">
        <f>IF(COUNTIFS(Master_PIC!$A$8:$A$73,$B200)=1,IF(VLOOKUP($B200,Master_PIC!$A$8:$G$73,6,FALSE)="","",VLOOKUP($B200,Master_PIC!$A$8:$G$73,6,FALSE)),"")</f>
        <v/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8"/>
      <c r="Y200" s="5"/>
      <c r="Z200" s="5"/>
      <c r="AA200" s="9"/>
      <c r="AB200" s="5"/>
      <c r="AC200" s="5"/>
      <c r="AD200" s="9"/>
      <c r="AE200" s="5"/>
      <c r="AF200" s="7" t="str">
        <f t="shared" ref="AF200:AF263" si="21">IF(OR($A200&lt;&gt;"",$B200&lt;&gt;""),14-AJ200,"")</f>
        <v/>
      </c>
      <c r="AG200" s="7" t="str">
        <f t="shared" ref="AG200:AG263" si="22">IF(OR($A200&lt;&gt;"",$B200&lt;&gt;""),COUNTIFS(G200:T200,"Selesai"),"")</f>
        <v/>
      </c>
      <c r="AH200" s="7" t="str">
        <f t="shared" ref="AH200:AH263" si="23">IF(OR($A200&lt;&gt;"",$B200&lt;&gt;""),COUNTIFS(G200:T200,"Proses"),"")</f>
        <v/>
      </c>
      <c r="AI200" s="7" t="str">
        <f t="shared" ref="AI200:AI263" si="24">IF(OR($A200&lt;&gt;"",$B200&lt;&gt;""),COUNTIFS(G200:T200,"Belum"),"")</f>
        <v/>
      </c>
      <c r="AJ200" s="7" t="str">
        <f t="shared" ref="AJ200:AJ263" si="25">IF(OR($A200&lt;&gt;"",$B200&lt;&gt;""),COUNTIFS(G200:T200,"Tidak Berlaku"),"")</f>
        <v/>
      </c>
      <c r="AK200" s="7" t="str">
        <f t="shared" ref="AK200:AK263" si="26">IF(OR($A200&lt;&gt;"",$B200&lt;&gt;""),COUNTBLANK(G200:T200),"")</f>
        <v/>
      </c>
      <c r="AL200" s="10" t="str">
        <f t="shared" ref="AL200:AL263" si="27">IF(OR($A200&lt;&gt;"",$B200&lt;&gt;""),IF(AF200=0,"n.a.",AG200/AF200),"")</f>
        <v/>
      </c>
      <c r="AM200" s="15" t="str">
        <f>IF(OR($A200&lt;&gt;"",$B200&lt;&gt;""),IF(OR($A200="",$B200=""),"Isi tanggal dan ID PIC",IF(NOT(ISNUMBER($A200)),"Tanggal harus berupa tanggal Excel",IF(COUNTIFS(Master_PIC!$A$8:$A$73,$B200)&lt;&gt;1,"ID PIC tidak unik/terdaftar",IF(VLOOKUP($B200,Master_PIC!$A$8:$G$73,3,FALSE)&lt;&gt;"Sales","Jabatan tidak sesuai sheet",IF(OR($C200="",$D200="",$E200="",$F200=""),"Lengkapi master PIC",IF(COUNTIFS($A$8:$A$507,$A200,$B$8:$B$507,$B200)&gt;1,"Laporan ganda",IF(COUNTIFS(G200:P200,"Tidak Berlaku")&gt;0,"N/A hanya untuk kegiatan bersyarat",IF(SUM(AG200,AH200,AI200,AJ200,AK200)&lt;&gt;14,"Status kegiatan tidak valid",IF(AK200&gt;0,"Lengkapi status kegiatan",IF(AND(AJ200&gt;0,U200=""),"Isi alasan Tidak Berlaku",IF(AND(SUM(AH200,AI200)&gt;0,OR(U200="",V200="",W200="",X200="")),"Isi kendala dan tindak lanjut",IF(AND(Z200&lt;&gt;"Draft",Z200&lt;&gt;"Dikirim"),"Isi status laporan yang valid",IF(AND(AB200&lt;&gt;"",AB200&lt;&gt;"Belum Diperiksa",AB200&lt;&gt;"Disetujui",AB200&lt;&gt;"Perlu Perbaikan"),"Hasil review tidak valid",IF(AND(Z200="Dikirim",OR(Y200="",AA200="")),"Isi bukti dan waktu kirim",IF(AND(AB200="Disetujui",OR(Z200&lt;&gt;"Dikirim",AC200="",AD200="")),"Lengkapi pemeriksaan",IF(AND(AB200="Perlu Perbaikan",OR(AE200="",AC200="",AD200="")),"Isi pemeriksa dan catatan perbaikan","OK")))))))))))))))),"")</f>
        <v/>
      </c>
    </row>
    <row r="201" spans="1:39" ht="24.95" customHeight="1">
      <c r="A201" s="8"/>
      <c r="B201" s="6"/>
      <c r="C201" s="15" t="str">
        <f>IF(COUNTIFS(Master_PIC!$A$8:$A$73,$B201)=1,IF(VLOOKUP($B201,Master_PIC!$A$8:$G$73,2,FALSE)="","",VLOOKUP($B201,Master_PIC!$A$8:$G$73,2,FALSE)),"")</f>
        <v/>
      </c>
      <c r="D201" s="15" t="str">
        <f>IF(COUNTIFS(Master_PIC!$A$8:$A$73,$B201)=1,IF(VLOOKUP($B201,Master_PIC!$A$8:$G$73,4,FALSE)="","",VLOOKUP($B201,Master_PIC!$A$8:$G$73,4,FALSE)),"")</f>
        <v/>
      </c>
      <c r="E201" s="15" t="str">
        <f>IF(COUNTIFS(Master_PIC!$A$8:$A$73,$B201)=1,IF(VLOOKUP($B201,Master_PIC!$A$8:$G$73,5,FALSE)="","",VLOOKUP($B201,Master_PIC!$A$8:$G$73,5,FALSE)),"")</f>
        <v/>
      </c>
      <c r="F201" s="15" t="str">
        <f>IF(COUNTIFS(Master_PIC!$A$8:$A$73,$B201)=1,IF(VLOOKUP($B201,Master_PIC!$A$8:$G$73,6,FALSE)="","",VLOOKUP($B201,Master_PIC!$A$8:$G$73,6,FALSE)),"")</f>
        <v/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8"/>
      <c r="Y201" s="5"/>
      <c r="Z201" s="5"/>
      <c r="AA201" s="9"/>
      <c r="AB201" s="5"/>
      <c r="AC201" s="5"/>
      <c r="AD201" s="9"/>
      <c r="AE201" s="5"/>
      <c r="AF201" s="7" t="str">
        <f t="shared" si="21"/>
        <v/>
      </c>
      <c r="AG201" s="7" t="str">
        <f t="shared" si="22"/>
        <v/>
      </c>
      <c r="AH201" s="7" t="str">
        <f t="shared" si="23"/>
        <v/>
      </c>
      <c r="AI201" s="7" t="str">
        <f t="shared" si="24"/>
        <v/>
      </c>
      <c r="AJ201" s="7" t="str">
        <f t="shared" si="25"/>
        <v/>
      </c>
      <c r="AK201" s="7" t="str">
        <f t="shared" si="26"/>
        <v/>
      </c>
      <c r="AL201" s="10" t="str">
        <f t="shared" si="27"/>
        <v/>
      </c>
      <c r="AM201" s="15" t="str">
        <f>IF(OR($A201&lt;&gt;"",$B201&lt;&gt;""),IF(OR($A201="",$B201=""),"Isi tanggal dan ID PIC",IF(NOT(ISNUMBER($A201)),"Tanggal harus berupa tanggal Excel",IF(COUNTIFS(Master_PIC!$A$8:$A$73,$B201)&lt;&gt;1,"ID PIC tidak unik/terdaftar",IF(VLOOKUP($B201,Master_PIC!$A$8:$G$73,3,FALSE)&lt;&gt;"Sales","Jabatan tidak sesuai sheet",IF(OR($C201="",$D201="",$E201="",$F201=""),"Lengkapi master PIC",IF(COUNTIFS($A$8:$A$507,$A201,$B$8:$B$507,$B201)&gt;1,"Laporan ganda",IF(COUNTIFS(G201:P201,"Tidak Berlaku")&gt;0,"N/A hanya untuk kegiatan bersyarat",IF(SUM(AG201,AH201,AI201,AJ201,AK201)&lt;&gt;14,"Status kegiatan tidak valid",IF(AK201&gt;0,"Lengkapi status kegiatan",IF(AND(AJ201&gt;0,U201=""),"Isi alasan Tidak Berlaku",IF(AND(SUM(AH201,AI201)&gt;0,OR(U201="",V201="",W201="",X201="")),"Isi kendala dan tindak lanjut",IF(AND(Z201&lt;&gt;"Draft",Z201&lt;&gt;"Dikirim"),"Isi status laporan yang valid",IF(AND(AB201&lt;&gt;"",AB201&lt;&gt;"Belum Diperiksa",AB201&lt;&gt;"Disetujui",AB201&lt;&gt;"Perlu Perbaikan"),"Hasil review tidak valid",IF(AND(Z201="Dikirim",OR(Y201="",AA201="")),"Isi bukti dan waktu kirim",IF(AND(AB201="Disetujui",OR(Z201&lt;&gt;"Dikirim",AC201="",AD201="")),"Lengkapi pemeriksaan",IF(AND(AB201="Perlu Perbaikan",OR(AE201="",AC201="",AD201="")),"Isi pemeriksa dan catatan perbaikan","OK")))))))))))))))),"")</f>
        <v/>
      </c>
    </row>
    <row r="202" spans="1:39" ht="24.95" customHeight="1">
      <c r="A202" s="8"/>
      <c r="B202" s="6"/>
      <c r="C202" s="15" t="str">
        <f>IF(COUNTIFS(Master_PIC!$A$8:$A$73,$B202)=1,IF(VLOOKUP($B202,Master_PIC!$A$8:$G$73,2,FALSE)="","",VLOOKUP($B202,Master_PIC!$A$8:$G$73,2,FALSE)),"")</f>
        <v/>
      </c>
      <c r="D202" s="15" t="str">
        <f>IF(COUNTIFS(Master_PIC!$A$8:$A$73,$B202)=1,IF(VLOOKUP($B202,Master_PIC!$A$8:$G$73,4,FALSE)="","",VLOOKUP($B202,Master_PIC!$A$8:$G$73,4,FALSE)),"")</f>
        <v/>
      </c>
      <c r="E202" s="15" t="str">
        <f>IF(COUNTIFS(Master_PIC!$A$8:$A$73,$B202)=1,IF(VLOOKUP($B202,Master_PIC!$A$8:$G$73,5,FALSE)="","",VLOOKUP($B202,Master_PIC!$A$8:$G$73,5,FALSE)),"")</f>
        <v/>
      </c>
      <c r="F202" s="15" t="str">
        <f>IF(COUNTIFS(Master_PIC!$A$8:$A$73,$B202)=1,IF(VLOOKUP($B202,Master_PIC!$A$8:$G$73,6,FALSE)="","",VLOOKUP($B202,Master_PIC!$A$8:$G$73,6,FALSE)),"")</f>
        <v/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8"/>
      <c r="Y202" s="5"/>
      <c r="Z202" s="5"/>
      <c r="AA202" s="9"/>
      <c r="AB202" s="5"/>
      <c r="AC202" s="5"/>
      <c r="AD202" s="9"/>
      <c r="AE202" s="5"/>
      <c r="AF202" s="7" t="str">
        <f t="shared" si="21"/>
        <v/>
      </c>
      <c r="AG202" s="7" t="str">
        <f t="shared" si="22"/>
        <v/>
      </c>
      <c r="AH202" s="7" t="str">
        <f t="shared" si="23"/>
        <v/>
      </c>
      <c r="AI202" s="7" t="str">
        <f t="shared" si="24"/>
        <v/>
      </c>
      <c r="AJ202" s="7" t="str">
        <f t="shared" si="25"/>
        <v/>
      </c>
      <c r="AK202" s="7" t="str">
        <f t="shared" si="26"/>
        <v/>
      </c>
      <c r="AL202" s="10" t="str">
        <f t="shared" si="27"/>
        <v/>
      </c>
      <c r="AM202" s="15" t="str">
        <f>IF(OR($A202&lt;&gt;"",$B202&lt;&gt;""),IF(OR($A202="",$B202=""),"Isi tanggal dan ID PIC",IF(NOT(ISNUMBER($A202)),"Tanggal harus berupa tanggal Excel",IF(COUNTIFS(Master_PIC!$A$8:$A$73,$B202)&lt;&gt;1,"ID PIC tidak unik/terdaftar",IF(VLOOKUP($B202,Master_PIC!$A$8:$G$73,3,FALSE)&lt;&gt;"Sales","Jabatan tidak sesuai sheet",IF(OR($C202="",$D202="",$E202="",$F202=""),"Lengkapi master PIC",IF(COUNTIFS($A$8:$A$507,$A202,$B$8:$B$507,$B202)&gt;1,"Laporan ganda",IF(COUNTIFS(G202:P202,"Tidak Berlaku")&gt;0,"N/A hanya untuk kegiatan bersyarat",IF(SUM(AG202,AH202,AI202,AJ202,AK202)&lt;&gt;14,"Status kegiatan tidak valid",IF(AK202&gt;0,"Lengkapi status kegiatan",IF(AND(AJ202&gt;0,U202=""),"Isi alasan Tidak Berlaku",IF(AND(SUM(AH202,AI202)&gt;0,OR(U202="",V202="",W202="",X202="")),"Isi kendala dan tindak lanjut",IF(AND(Z202&lt;&gt;"Draft",Z202&lt;&gt;"Dikirim"),"Isi status laporan yang valid",IF(AND(AB202&lt;&gt;"",AB202&lt;&gt;"Belum Diperiksa",AB202&lt;&gt;"Disetujui",AB202&lt;&gt;"Perlu Perbaikan"),"Hasil review tidak valid",IF(AND(Z202="Dikirim",OR(Y202="",AA202="")),"Isi bukti dan waktu kirim",IF(AND(AB202="Disetujui",OR(Z202&lt;&gt;"Dikirim",AC202="",AD202="")),"Lengkapi pemeriksaan",IF(AND(AB202="Perlu Perbaikan",OR(AE202="",AC202="",AD202="")),"Isi pemeriksa dan catatan perbaikan","OK")))))))))))))))),"")</f>
        <v/>
      </c>
    </row>
    <row r="203" spans="1:39" ht="24.95" customHeight="1">
      <c r="A203" s="8"/>
      <c r="B203" s="6"/>
      <c r="C203" s="15" t="str">
        <f>IF(COUNTIFS(Master_PIC!$A$8:$A$73,$B203)=1,IF(VLOOKUP($B203,Master_PIC!$A$8:$G$73,2,FALSE)="","",VLOOKUP($B203,Master_PIC!$A$8:$G$73,2,FALSE)),"")</f>
        <v/>
      </c>
      <c r="D203" s="15" t="str">
        <f>IF(COUNTIFS(Master_PIC!$A$8:$A$73,$B203)=1,IF(VLOOKUP($B203,Master_PIC!$A$8:$G$73,4,FALSE)="","",VLOOKUP($B203,Master_PIC!$A$8:$G$73,4,FALSE)),"")</f>
        <v/>
      </c>
      <c r="E203" s="15" t="str">
        <f>IF(COUNTIFS(Master_PIC!$A$8:$A$73,$B203)=1,IF(VLOOKUP($B203,Master_PIC!$A$8:$G$73,5,FALSE)="","",VLOOKUP($B203,Master_PIC!$A$8:$G$73,5,FALSE)),"")</f>
        <v/>
      </c>
      <c r="F203" s="15" t="str">
        <f>IF(COUNTIFS(Master_PIC!$A$8:$A$73,$B203)=1,IF(VLOOKUP($B203,Master_PIC!$A$8:$G$73,6,FALSE)="","",VLOOKUP($B203,Master_PIC!$A$8:$G$73,6,FALSE)),"")</f>
        <v/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8"/>
      <c r="Y203" s="5"/>
      <c r="Z203" s="5"/>
      <c r="AA203" s="9"/>
      <c r="AB203" s="5"/>
      <c r="AC203" s="5"/>
      <c r="AD203" s="9"/>
      <c r="AE203" s="5"/>
      <c r="AF203" s="7" t="str">
        <f t="shared" si="21"/>
        <v/>
      </c>
      <c r="AG203" s="7" t="str">
        <f t="shared" si="22"/>
        <v/>
      </c>
      <c r="AH203" s="7" t="str">
        <f t="shared" si="23"/>
        <v/>
      </c>
      <c r="AI203" s="7" t="str">
        <f t="shared" si="24"/>
        <v/>
      </c>
      <c r="AJ203" s="7" t="str">
        <f t="shared" si="25"/>
        <v/>
      </c>
      <c r="AK203" s="7" t="str">
        <f t="shared" si="26"/>
        <v/>
      </c>
      <c r="AL203" s="10" t="str">
        <f t="shared" si="27"/>
        <v/>
      </c>
      <c r="AM203" s="15" t="str">
        <f>IF(OR($A203&lt;&gt;"",$B203&lt;&gt;""),IF(OR($A203="",$B203=""),"Isi tanggal dan ID PIC",IF(NOT(ISNUMBER($A203)),"Tanggal harus berupa tanggal Excel",IF(COUNTIFS(Master_PIC!$A$8:$A$73,$B203)&lt;&gt;1,"ID PIC tidak unik/terdaftar",IF(VLOOKUP($B203,Master_PIC!$A$8:$G$73,3,FALSE)&lt;&gt;"Sales","Jabatan tidak sesuai sheet",IF(OR($C203="",$D203="",$E203="",$F203=""),"Lengkapi master PIC",IF(COUNTIFS($A$8:$A$507,$A203,$B$8:$B$507,$B203)&gt;1,"Laporan ganda",IF(COUNTIFS(G203:P203,"Tidak Berlaku")&gt;0,"N/A hanya untuk kegiatan bersyarat",IF(SUM(AG203,AH203,AI203,AJ203,AK203)&lt;&gt;14,"Status kegiatan tidak valid",IF(AK203&gt;0,"Lengkapi status kegiatan",IF(AND(AJ203&gt;0,U203=""),"Isi alasan Tidak Berlaku",IF(AND(SUM(AH203,AI203)&gt;0,OR(U203="",V203="",W203="",X203="")),"Isi kendala dan tindak lanjut",IF(AND(Z203&lt;&gt;"Draft",Z203&lt;&gt;"Dikirim"),"Isi status laporan yang valid",IF(AND(AB203&lt;&gt;"",AB203&lt;&gt;"Belum Diperiksa",AB203&lt;&gt;"Disetujui",AB203&lt;&gt;"Perlu Perbaikan"),"Hasil review tidak valid",IF(AND(Z203="Dikirim",OR(Y203="",AA203="")),"Isi bukti dan waktu kirim",IF(AND(AB203="Disetujui",OR(Z203&lt;&gt;"Dikirim",AC203="",AD203="")),"Lengkapi pemeriksaan",IF(AND(AB203="Perlu Perbaikan",OR(AE203="",AC203="",AD203="")),"Isi pemeriksa dan catatan perbaikan","OK")))))))))))))))),"")</f>
        <v/>
      </c>
    </row>
    <row r="204" spans="1:39" ht="24.95" customHeight="1">
      <c r="A204" s="8"/>
      <c r="B204" s="6"/>
      <c r="C204" s="15" t="str">
        <f>IF(COUNTIFS(Master_PIC!$A$8:$A$73,$B204)=1,IF(VLOOKUP($B204,Master_PIC!$A$8:$G$73,2,FALSE)="","",VLOOKUP($B204,Master_PIC!$A$8:$G$73,2,FALSE)),"")</f>
        <v/>
      </c>
      <c r="D204" s="15" t="str">
        <f>IF(COUNTIFS(Master_PIC!$A$8:$A$73,$B204)=1,IF(VLOOKUP($B204,Master_PIC!$A$8:$G$73,4,FALSE)="","",VLOOKUP($B204,Master_PIC!$A$8:$G$73,4,FALSE)),"")</f>
        <v/>
      </c>
      <c r="E204" s="15" t="str">
        <f>IF(COUNTIFS(Master_PIC!$A$8:$A$73,$B204)=1,IF(VLOOKUP($B204,Master_PIC!$A$8:$G$73,5,FALSE)="","",VLOOKUP($B204,Master_PIC!$A$8:$G$73,5,FALSE)),"")</f>
        <v/>
      </c>
      <c r="F204" s="15" t="str">
        <f>IF(COUNTIFS(Master_PIC!$A$8:$A$73,$B204)=1,IF(VLOOKUP($B204,Master_PIC!$A$8:$G$73,6,FALSE)="","",VLOOKUP($B204,Master_PIC!$A$8:$G$73,6,FALSE)),"")</f>
        <v/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8"/>
      <c r="Y204" s="5"/>
      <c r="Z204" s="5"/>
      <c r="AA204" s="9"/>
      <c r="AB204" s="5"/>
      <c r="AC204" s="5"/>
      <c r="AD204" s="9"/>
      <c r="AE204" s="5"/>
      <c r="AF204" s="7" t="str">
        <f t="shared" si="21"/>
        <v/>
      </c>
      <c r="AG204" s="7" t="str">
        <f t="shared" si="22"/>
        <v/>
      </c>
      <c r="AH204" s="7" t="str">
        <f t="shared" si="23"/>
        <v/>
      </c>
      <c r="AI204" s="7" t="str">
        <f t="shared" si="24"/>
        <v/>
      </c>
      <c r="AJ204" s="7" t="str">
        <f t="shared" si="25"/>
        <v/>
      </c>
      <c r="AK204" s="7" t="str">
        <f t="shared" si="26"/>
        <v/>
      </c>
      <c r="AL204" s="10" t="str">
        <f t="shared" si="27"/>
        <v/>
      </c>
      <c r="AM204" s="15" t="str">
        <f>IF(OR($A204&lt;&gt;"",$B204&lt;&gt;""),IF(OR($A204="",$B204=""),"Isi tanggal dan ID PIC",IF(NOT(ISNUMBER($A204)),"Tanggal harus berupa tanggal Excel",IF(COUNTIFS(Master_PIC!$A$8:$A$73,$B204)&lt;&gt;1,"ID PIC tidak unik/terdaftar",IF(VLOOKUP($B204,Master_PIC!$A$8:$G$73,3,FALSE)&lt;&gt;"Sales","Jabatan tidak sesuai sheet",IF(OR($C204="",$D204="",$E204="",$F204=""),"Lengkapi master PIC",IF(COUNTIFS($A$8:$A$507,$A204,$B$8:$B$507,$B204)&gt;1,"Laporan ganda",IF(COUNTIFS(G204:P204,"Tidak Berlaku")&gt;0,"N/A hanya untuk kegiatan bersyarat",IF(SUM(AG204,AH204,AI204,AJ204,AK204)&lt;&gt;14,"Status kegiatan tidak valid",IF(AK204&gt;0,"Lengkapi status kegiatan",IF(AND(AJ204&gt;0,U204=""),"Isi alasan Tidak Berlaku",IF(AND(SUM(AH204,AI204)&gt;0,OR(U204="",V204="",W204="",X204="")),"Isi kendala dan tindak lanjut",IF(AND(Z204&lt;&gt;"Draft",Z204&lt;&gt;"Dikirim"),"Isi status laporan yang valid",IF(AND(AB204&lt;&gt;"",AB204&lt;&gt;"Belum Diperiksa",AB204&lt;&gt;"Disetujui",AB204&lt;&gt;"Perlu Perbaikan"),"Hasil review tidak valid",IF(AND(Z204="Dikirim",OR(Y204="",AA204="")),"Isi bukti dan waktu kirim",IF(AND(AB204="Disetujui",OR(Z204&lt;&gt;"Dikirim",AC204="",AD204="")),"Lengkapi pemeriksaan",IF(AND(AB204="Perlu Perbaikan",OR(AE204="",AC204="",AD204="")),"Isi pemeriksa dan catatan perbaikan","OK")))))))))))))))),"")</f>
        <v/>
      </c>
    </row>
    <row r="205" spans="1:39" ht="24.95" customHeight="1">
      <c r="A205" s="8"/>
      <c r="B205" s="6"/>
      <c r="C205" s="15" t="str">
        <f>IF(COUNTIFS(Master_PIC!$A$8:$A$73,$B205)=1,IF(VLOOKUP($B205,Master_PIC!$A$8:$G$73,2,FALSE)="","",VLOOKUP($B205,Master_PIC!$A$8:$G$73,2,FALSE)),"")</f>
        <v/>
      </c>
      <c r="D205" s="15" t="str">
        <f>IF(COUNTIFS(Master_PIC!$A$8:$A$73,$B205)=1,IF(VLOOKUP($B205,Master_PIC!$A$8:$G$73,4,FALSE)="","",VLOOKUP($B205,Master_PIC!$A$8:$G$73,4,FALSE)),"")</f>
        <v/>
      </c>
      <c r="E205" s="15" t="str">
        <f>IF(COUNTIFS(Master_PIC!$A$8:$A$73,$B205)=1,IF(VLOOKUP($B205,Master_PIC!$A$8:$G$73,5,FALSE)="","",VLOOKUP($B205,Master_PIC!$A$8:$G$73,5,FALSE)),"")</f>
        <v/>
      </c>
      <c r="F205" s="15" t="str">
        <f>IF(COUNTIFS(Master_PIC!$A$8:$A$73,$B205)=1,IF(VLOOKUP($B205,Master_PIC!$A$8:$G$73,6,FALSE)="","",VLOOKUP($B205,Master_PIC!$A$8:$G$73,6,FALSE)),"")</f>
        <v/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8"/>
      <c r="Y205" s="5"/>
      <c r="Z205" s="5"/>
      <c r="AA205" s="9"/>
      <c r="AB205" s="5"/>
      <c r="AC205" s="5"/>
      <c r="AD205" s="9"/>
      <c r="AE205" s="5"/>
      <c r="AF205" s="7" t="str">
        <f t="shared" si="21"/>
        <v/>
      </c>
      <c r="AG205" s="7" t="str">
        <f t="shared" si="22"/>
        <v/>
      </c>
      <c r="AH205" s="7" t="str">
        <f t="shared" si="23"/>
        <v/>
      </c>
      <c r="AI205" s="7" t="str">
        <f t="shared" si="24"/>
        <v/>
      </c>
      <c r="AJ205" s="7" t="str">
        <f t="shared" si="25"/>
        <v/>
      </c>
      <c r="AK205" s="7" t="str">
        <f t="shared" si="26"/>
        <v/>
      </c>
      <c r="AL205" s="10" t="str">
        <f t="shared" si="27"/>
        <v/>
      </c>
      <c r="AM205" s="15" t="str">
        <f>IF(OR($A205&lt;&gt;"",$B205&lt;&gt;""),IF(OR($A205="",$B205=""),"Isi tanggal dan ID PIC",IF(NOT(ISNUMBER($A205)),"Tanggal harus berupa tanggal Excel",IF(COUNTIFS(Master_PIC!$A$8:$A$73,$B205)&lt;&gt;1,"ID PIC tidak unik/terdaftar",IF(VLOOKUP($B205,Master_PIC!$A$8:$G$73,3,FALSE)&lt;&gt;"Sales","Jabatan tidak sesuai sheet",IF(OR($C205="",$D205="",$E205="",$F205=""),"Lengkapi master PIC",IF(COUNTIFS($A$8:$A$507,$A205,$B$8:$B$507,$B205)&gt;1,"Laporan ganda",IF(COUNTIFS(G205:P205,"Tidak Berlaku")&gt;0,"N/A hanya untuk kegiatan bersyarat",IF(SUM(AG205,AH205,AI205,AJ205,AK205)&lt;&gt;14,"Status kegiatan tidak valid",IF(AK205&gt;0,"Lengkapi status kegiatan",IF(AND(AJ205&gt;0,U205=""),"Isi alasan Tidak Berlaku",IF(AND(SUM(AH205,AI205)&gt;0,OR(U205="",V205="",W205="",X205="")),"Isi kendala dan tindak lanjut",IF(AND(Z205&lt;&gt;"Draft",Z205&lt;&gt;"Dikirim"),"Isi status laporan yang valid",IF(AND(AB205&lt;&gt;"",AB205&lt;&gt;"Belum Diperiksa",AB205&lt;&gt;"Disetujui",AB205&lt;&gt;"Perlu Perbaikan"),"Hasil review tidak valid",IF(AND(Z205="Dikirim",OR(Y205="",AA205="")),"Isi bukti dan waktu kirim",IF(AND(AB205="Disetujui",OR(Z205&lt;&gt;"Dikirim",AC205="",AD205="")),"Lengkapi pemeriksaan",IF(AND(AB205="Perlu Perbaikan",OR(AE205="",AC205="",AD205="")),"Isi pemeriksa dan catatan perbaikan","OK")))))))))))))))),"")</f>
        <v/>
      </c>
    </row>
    <row r="206" spans="1:39" ht="24.95" customHeight="1">
      <c r="A206" s="8"/>
      <c r="B206" s="6"/>
      <c r="C206" s="15" t="str">
        <f>IF(COUNTIFS(Master_PIC!$A$8:$A$73,$B206)=1,IF(VLOOKUP($B206,Master_PIC!$A$8:$G$73,2,FALSE)="","",VLOOKUP($B206,Master_PIC!$A$8:$G$73,2,FALSE)),"")</f>
        <v/>
      </c>
      <c r="D206" s="15" t="str">
        <f>IF(COUNTIFS(Master_PIC!$A$8:$A$73,$B206)=1,IF(VLOOKUP($B206,Master_PIC!$A$8:$G$73,4,FALSE)="","",VLOOKUP($B206,Master_PIC!$A$8:$G$73,4,FALSE)),"")</f>
        <v/>
      </c>
      <c r="E206" s="15" t="str">
        <f>IF(COUNTIFS(Master_PIC!$A$8:$A$73,$B206)=1,IF(VLOOKUP($B206,Master_PIC!$A$8:$G$73,5,FALSE)="","",VLOOKUP($B206,Master_PIC!$A$8:$G$73,5,FALSE)),"")</f>
        <v/>
      </c>
      <c r="F206" s="15" t="str">
        <f>IF(COUNTIFS(Master_PIC!$A$8:$A$73,$B206)=1,IF(VLOOKUP($B206,Master_PIC!$A$8:$G$73,6,FALSE)="","",VLOOKUP($B206,Master_PIC!$A$8:$G$73,6,FALSE)),"")</f>
        <v/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8"/>
      <c r="Y206" s="5"/>
      <c r="Z206" s="5"/>
      <c r="AA206" s="9"/>
      <c r="AB206" s="5"/>
      <c r="AC206" s="5"/>
      <c r="AD206" s="9"/>
      <c r="AE206" s="5"/>
      <c r="AF206" s="7" t="str">
        <f t="shared" si="21"/>
        <v/>
      </c>
      <c r="AG206" s="7" t="str">
        <f t="shared" si="22"/>
        <v/>
      </c>
      <c r="AH206" s="7" t="str">
        <f t="shared" si="23"/>
        <v/>
      </c>
      <c r="AI206" s="7" t="str">
        <f t="shared" si="24"/>
        <v/>
      </c>
      <c r="AJ206" s="7" t="str">
        <f t="shared" si="25"/>
        <v/>
      </c>
      <c r="AK206" s="7" t="str">
        <f t="shared" si="26"/>
        <v/>
      </c>
      <c r="AL206" s="10" t="str">
        <f t="shared" si="27"/>
        <v/>
      </c>
      <c r="AM206" s="15" t="str">
        <f>IF(OR($A206&lt;&gt;"",$B206&lt;&gt;""),IF(OR($A206="",$B206=""),"Isi tanggal dan ID PIC",IF(NOT(ISNUMBER($A206)),"Tanggal harus berupa tanggal Excel",IF(COUNTIFS(Master_PIC!$A$8:$A$73,$B206)&lt;&gt;1,"ID PIC tidak unik/terdaftar",IF(VLOOKUP($B206,Master_PIC!$A$8:$G$73,3,FALSE)&lt;&gt;"Sales","Jabatan tidak sesuai sheet",IF(OR($C206="",$D206="",$E206="",$F206=""),"Lengkapi master PIC",IF(COUNTIFS($A$8:$A$507,$A206,$B$8:$B$507,$B206)&gt;1,"Laporan ganda",IF(COUNTIFS(G206:P206,"Tidak Berlaku")&gt;0,"N/A hanya untuk kegiatan bersyarat",IF(SUM(AG206,AH206,AI206,AJ206,AK206)&lt;&gt;14,"Status kegiatan tidak valid",IF(AK206&gt;0,"Lengkapi status kegiatan",IF(AND(AJ206&gt;0,U206=""),"Isi alasan Tidak Berlaku",IF(AND(SUM(AH206,AI206)&gt;0,OR(U206="",V206="",W206="",X206="")),"Isi kendala dan tindak lanjut",IF(AND(Z206&lt;&gt;"Draft",Z206&lt;&gt;"Dikirim"),"Isi status laporan yang valid",IF(AND(AB206&lt;&gt;"",AB206&lt;&gt;"Belum Diperiksa",AB206&lt;&gt;"Disetujui",AB206&lt;&gt;"Perlu Perbaikan"),"Hasil review tidak valid",IF(AND(Z206="Dikirim",OR(Y206="",AA206="")),"Isi bukti dan waktu kirim",IF(AND(AB206="Disetujui",OR(Z206&lt;&gt;"Dikirim",AC206="",AD206="")),"Lengkapi pemeriksaan",IF(AND(AB206="Perlu Perbaikan",OR(AE206="",AC206="",AD206="")),"Isi pemeriksa dan catatan perbaikan","OK")))))))))))))))),"")</f>
        <v/>
      </c>
    </row>
    <row r="207" spans="1:39" ht="24.95" customHeight="1">
      <c r="A207" s="8"/>
      <c r="B207" s="6"/>
      <c r="C207" s="15" t="str">
        <f>IF(COUNTIFS(Master_PIC!$A$8:$A$73,$B207)=1,IF(VLOOKUP($B207,Master_PIC!$A$8:$G$73,2,FALSE)="","",VLOOKUP($B207,Master_PIC!$A$8:$G$73,2,FALSE)),"")</f>
        <v/>
      </c>
      <c r="D207" s="15" t="str">
        <f>IF(COUNTIFS(Master_PIC!$A$8:$A$73,$B207)=1,IF(VLOOKUP($B207,Master_PIC!$A$8:$G$73,4,FALSE)="","",VLOOKUP($B207,Master_PIC!$A$8:$G$73,4,FALSE)),"")</f>
        <v/>
      </c>
      <c r="E207" s="15" t="str">
        <f>IF(COUNTIFS(Master_PIC!$A$8:$A$73,$B207)=1,IF(VLOOKUP($B207,Master_PIC!$A$8:$G$73,5,FALSE)="","",VLOOKUP($B207,Master_PIC!$A$8:$G$73,5,FALSE)),"")</f>
        <v/>
      </c>
      <c r="F207" s="15" t="str">
        <f>IF(COUNTIFS(Master_PIC!$A$8:$A$73,$B207)=1,IF(VLOOKUP($B207,Master_PIC!$A$8:$G$73,6,FALSE)="","",VLOOKUP($B207,Master_PIC!$A$8:$G$73,6,FALSE)),"")</f>
        <v/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8"/>
      <c r="Y207" s="5"/>
      <c r="Z207" s="5"/>
      <c r="AA207" s="9"/>
      <c r="AB207" s="5"/>
      <c r="AC207" s="5"/>
      <c r="AD207" s="9"/>
      <c r="AE207" s="5"/>
      <c r="AF207" s="7" t="str">
        <f t="shared" si="21"/>
        <v/>
      </c>
      <c r="AG207" s="7" t="str">
        <f t="shared" si="22"/>
        <v/>
      </c>
      <c r="AH207" s="7" t="str">
        <f t="shared" si="23"/>
        <v/>
      </c>
      <c r="AI207" s="7" t="str">
        <f t="shared" si="24"/>
        <v/>
      </c>
      <c r="AJ207" s="7" t="str">
        <f t="shared" si="25"/>
        <v/>
      </c>
      <c r="AK207" s="7" t="str">
        <f t="shared" si="26"/>
        <v/>
      </c>
      <c r="AL207" s="10" t="str">
        <f t="shared" si="27"/>
        <v/>
      </c>
      <c r="AM207" s="15" t="str">
        <f>IF(OR($A207&lt;&gt;"",$B207&lt;&gt;""),IF(OR($A207="",$B207=""),"Isi tanggal dan ID PIC",IF(NOT(ISNUMBER($A207)),"Tanggal harus berupa tanggal Excel",IF(COUNTIFS(Master_PIC!$A$8:$A$73,$B207)&lt;&gt;1,"ID PIC tidak unik/terdaftar",IF(VLOOKUP($B207,Master_PIC!$A$8:$G$73,3,FALSE)&lt;&gt;"Sales","Jabatan tidak sesuai sheet",IF(OR($C207="",$D207="",$E207="",$F207=""),"Lengkapi master PIC",IF(COUNTIFS($A$8:$A$507,$A207,$B$8:$B$507,$B207)&gt;1,"Laporan ganda",IF(COUNTIFS(G207:P207,"Tidak Berlaku")&gt;0,"N/A hanya untuk kegiatan bersyarat",IF(SUM(AG207,AH207,AI207,AJ207,AK207)&lt;&gt;14,"Status kegiatan tidak valid",IF(AK207&gt;0,"Lengkapi status kegiatan",IF(AND(AJ207&gt;0,U207=""),"Isi alasan Tidak Berlaku",IF(AND(SUM(AH207,AI207)&gt;0,OR(U207="",V207="",W207="",X207="")),"Isi kendala dan tindak lanjut",IF(AND(Z207&lt;&gt;"Draft",Z207&lt;&gt;"Dikirim"),"Isi status laporan yang valid",IF(AND(AB207&lt;&gt;"",AB207&lt;&gt;"Belum Diperiksa",AB207&lt;&gt;"Disetujui",AB207&lt;&gt;"Perlu Perbaikan"),"Hasil review tidak valid",IF(AND(Z207="Dikirim",OR(Y207="",AA207="")),"Isi bukti dan waktu kirim",IF(AND(AB207="Disetujui",OR(Z207&lt;&gt;"Dikirim",AC207="",AD207="")),"Lengkapi pemeriksaan",IF(AND(AB207="Perlu Perbaikan",OR(AE207="",AC207="",AD207="")),"Isi pemeriksa dan catatan perbaikan","OK")))))))))))))))),"")</f>
        <v/>
      </c>
    </row>
    <row r="208" spans="1:39" ht="24.95" customHeight="1">
      <c r="A208" s="8"/>
      <c r="B208" s="6"/>
      <c r="C208" s="15" t="str">
        <f>IF(COUNTIFS(Master_PIC!$A$8:$A$73,$B208)=1,IF(VLOOKUP($B208,Master_PIC!$A$8:$G$73,2,FALSE)="","",VLOOKUP($B208,Master_PIC!$A$8:$G$73,2,FALSE)),"")</f>
        <v/>
      </c>
      <c r="D208" s="15" t="str">
        <f>IF(COUNTIFS(Master_PIC!$A$8:$A$73,$B208)=1,IF(VLOOKUP($B208,Master_PIC!$A$8:$G$73,4,FALSE)="","",VLOOKUP($B208,Master_PIC!$A$8:$G$73,4,FALSE)),"")</f>
        <v/>
      </c>
      <c r="E208" s="15" t="str">
        <f>IF(COUNTIFS(Master_PIC!$A$8:$A$73,$B208)=1,IF(VLOOKUP($B208,Master_PIC!$A$8:$G$73,5,FALSE)="","",VLOOKUP($B208,Master_PIC!$A$8:$G$73,5,FALSE)),"")</f>
        <v/>
      </c>
      <c r="F208" s="15" t="str">
        <f>IF(COUNTIFS(Master_PIC!$A$8:$A$73,$B208)=1,IF(VLOOKUP($B208,Master_PIC!$A$8:$G$73,6,FALSE)="","",VLOOKUP($B208,Master_PIC!$A$8:$G$73,6,FALSE)),"")</f>
        <v/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8"/>
      <c r="Y208" s="5"/>
      <c r="Z208" s="5"/>
      <c r="AA208" s="9"/>
      <c r="AB208" s="5"/>
      <c r="AC208" s="5"/>
      <c r="AD208" s="9"/>
      <c r="AE208" s="5"/>
      <c r="AF208" s="7" t="str">
        <f t="shared" si="21"/>
        <v/>
      </c>
      <c r="AG208" s="7" t="str">
        <f t="shared" si="22"/>
        <v/>
      </c>
      <c r="AH208" s="7" t="str">
        <f t="shared" si="23"/>
        <v/>
      </c>
      <c r="AI208" s="7" t="str">
        <f t="shared" si="24"/>
        <v/>
      </c>
      <c r="AJ208" s="7" t="str">
        <f t="shared" si="25"/>
        <v/>
      </c>
      <c r="AK208" s="7" t="str">
        <f t="shared" si="26"/>
        <v/>
      </c>
      <c r="AL208" s="10" t="str">
        <f t="shared" si="27"/>
        <v/>
      </c>
      <c r="AM208" s="15" t="str">
        <f>IF(OR($A208&lt;&gt;"",$B208&lt;&gt;""),IF(OR($A208="",$B208=""),"Isi tanggal dan ID PIC",IF(NOT(ISNUMBER($A208)),"Tanggal harus berupa tanggal Excel",IF(COUNTIFS(Master_PIC!$A$8:$A$73,$B208)&lt;&gt;1,"ID PIC tidak unik/terdaftar",IF(VLOOKUP($B208,Master_PIC!$A$8:$G$73,3,FALSE)&lt;&gt;"Sales","Jabatan tidak sesuai sheet",IF(OR($C208="",$D208="",$E208="",$F208=""),"Lengkapi master PIC",IF(COUNTIFS($A$8:$A$507,$A208,$B$8:$B$507,$B208)&gt;1,"Laporan ganda",IF(COUNTIFS(G208:P208,"Tidak Berlaku")&gt;0,"N/A hanya untuk kegiatan bersyarat",IF(SUM(AG208,AH208,AI208,AJ208,AK208)&lt;&gt;14,"Status kegiatan tidak valid",IF(AK208&gt;0,"Lengkapi status kegiatan",IF(AND(AJ208&gt;0,U208=""),"Isi alasan Tidak Berlaku",IF(AND(SUM(AH208,AI208)&gt;0,OR(U208="",V208="",W208="",X208="")),"Isi kendala dan tindak lanjut",IF(AND(Z208&lt;&gt;"Draft",Z208&lt;&gt;"Dikirim"),"Isi status laporan yang valid",IF(AND(AB208&lt;&gt;"",AB208&lt;&gt;"Belum Diperiksa",AB208&lt;&gt;"Disetujui",AB208&lt;&gt;"Perlu Perbaikan"),"Hasil review tidak valid",IF(AND(Z208="Dikirim",OR(Y208="",AA208="")),"Isi bukti dan waktu kirim",IF(AND(AB208="Disetujui",OR(Z208&lt;&gt;"Dikirim",AC208="",AD208="")),"Lengkapi pemeriksaan",IF(AND(AB208="Perlu Perbaikan",OR(AE208="",AC208="",AD208="")),"Isi pemeriksa dan catatan perbaikan","OK")))))))))))))))),"")</f>
        <v/>
      </c>
    </row>
    <row r="209" spans="1:39" ht="24.95" customHeight="1">
      <c r="A209" s="8"/>
      <c r="B209" s="6"/>
      <c r="C209" s="15" t="str">
        <f>IF(COUNTIFS(Master_PIC!$A$8:$A$73,$B209)=1,IF(VLOOKUP($B209,Master_PIC!$A$8:$G$73,2,FALSE)="","",VLOOKUP($B209,Master_PIC!$A$8:$G$73,2,FALSE)),"")</f>
        <v/>
      </c>
      <c r="D209" s="15" t="str">
        <f>IF(COUNTIFS(Master_PIC!$A$8:$A$73,$B209)=1,IF(VLOOKUP($B209,Master_PIC!$A$8:$G$73,4,FALSE)="","",VLOOKUP($B209,Master_PIC!$A$8:$G$73,4,FALSE)),"")</f>
        <v/>
      </c>
      <c r="E209" s="15" t="str">
        <f>IF(COUNTIFS(Master_PIC!$A$8:$A$73,$B209)=1,IF(VLOOKUP($B209,Master_PIC!$A$8:$G$73,5,FALSE)="","",VLOOKUP($B209,Master_PIC!$A$8:$G$73,5,FALSE)),"")</f>
        <v/>
      </c>
      <c r="F209" s="15" t="str">
        <f>IF(COUNTIFS(Master_PIC!$A$8:$A$73,$B209)=1,IF(VLOOKUP($B209,Master_PIC!$A$8:$G$73,6,FALSE)="","",VLOOKUP($B209,Master_PIC!$A$8:$G$73,6,FALSE)),"")</f>
        <v/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8"/>
      <c r="Y209" s="5"/>
      <c r="Z209" s="5"/>
      <c r="AA209" s="9"/>
      <c r="AB209" s="5"/>
      <c r="AC209" s="5"/>
      <c r="AD209" s="9"/>
      <c r="AE209" s="5"/>
      <c r="AF209" s="7" t="str">
        <f t="shared" si="21"/>
        <v/>
      </c>
      <c r="AG209" s="7" t="str">
        <f t="shared" si="22"/>
        <v/>
      </c>
      <c r="AH209" s="7" t="str">
        <f t="shared" si="23"/>
        <v/>
      </c>
      <c r="AI209" s="7" t="str">
        <f t="shared" si="24"/>
        <v/>
      </c>
      <c r="AJ209" s="7" t="str">
        <f t="shared" si="25"/>
        <v/>
      </c>
      <c r="AK209" s="7" t="str">
        <f t="shared" si="26"/>
        <v/>
      </c>
      <c r="AL209" s="10" t="str">
        <f t="shared" si="27"/>
        <v/>
      </c>
      <c r="AM209" s="15" t="str">
        <f>IF(OR($A209&lt;&gt;"",$B209&lt;&gt;""),IF(OR($A209="",$B209=""),"Isi tanggal dan ID PIC",IF(NOT(ISNUMBER($A209)),"Tanggal harus berupa tanggal Excel",IF(COUNTIFS(Master_PIC!$A$8:$A$73,$B209)&lt;&gt;1,"ID PIC tidak unik/terdaftar",IF(VLOOKUP($B209,Master_PIC!$A$8:$G$73,3,FALSE)&lt;&gt;"Sales","Jabatan tidak sesuai sheet",IF(OR($C209="",$D209="",$E209="",$F209=""),"Lengkapi master PIC",IF(COUNTIFS($A$8:$A$507,$A209,$B$8:$B$507,$B209)&gt;1,"Laporan ganda",IF(COUNTIFS(G209:P209,"Tidak Berlaku")&gt;0,"N/A hanya untuk kegiatan bersyarat",IF(SUM(AG209,AH209,AI209,AJ209,AK209)&lt;&gt;14,"Status kegiatan tidak valid",IF(AK209&gt;0,"Lengkapi status kegiatan",IF(AND(AJ209&gt;0,U209=""),"Isi alasan Tidak Berlaku",IF(AND(SUM(AH209,AI209)&gt;0,OR(U209="",V209="",W209="",X209="")),"Isi kendala dan tindak lanjut",IF(AND(Z209&lt;&gt;"Draft",Z209&lt;&gt;"Dikirim"),"Isi status laporan yang valid",IF(AND(AB209&lt;&gt;"",AB209&lt;&gt;"Belum Diperiksa",AB209&lt;&gt;"Disetujui",AB209&lt;&gt;"Perlu Perbaikan"),"Hasil review tidak valid",IF(AND(Z209="Dikirim",OR(Y209="",AA209="")),"Isi bukti dan waktu kirim",IF(AND(AB209="Disetujui",OR(Z209&lt;&gt;"Dikirim",AC209="",AD209="")),"Lengkapi pemeriksaan",IF(AND(AB209="Perlu Perbaikan",OR(AE209="",AC209="",AD209="")),"Isi pemeriksa dan catatan perbaikan","OK")))))))))))))))),"")</f>
        <v/>
      </c>
    </row>
    <row r="210" spans="1:39" ht="24.95" customHeight="1">
      <c r="A210" s="8"/>
      <c r="B210" s="6"/>
      <c r="C210" s="15" t="str">
        <f>IF(COUNTIFS(Master_PIC!$A$8:$A$73,$B210)=1,IF(VLOOKUP($B210,Master_PIC!$A$8:$G$73,2,FALSE)="","",VLOOKUP($B210,Master_PIC!$A$8:$G$73,2,FALSE)),"")</f>
        <v/>
      </c>
      <c r="D210" s="15" t="str">
        <f>IF(COUNTIFS(Master_PIC!$A$8:$A$73,$B210)=1,IF(VLOOKUP($B210,Master_PIC!$A$8:$G$73,4,FALSE)="","",VLOOKUP($B210,Master_PIC!$A$8:$G$73,4,FALSE)),"")</f>
        <v/>
      </c>
      <c r="E210" s="15" t="str">
        <f>IF(COUNTIFS(Master_PIC!$A$8:$A$73,$B210)=1,IF(VLOOKUP($B210,Master_PIC!$A$8:$G$73,5,FALSE)="","",VLOOKUP($B210,Master_PIC!$A$8:$G$73,5,FALSE)),"")</f>
        <v/>
      </c>
      <c r="F210" s="15" t="str">
        <f>IF(COUNTIFS(Master_PIC!$A$8:$A$73,$B210)=1,IF(VLOOKUP($B210,Master_PIC!$A$8:$G$73,6,FALSE)="","",VLOOKUP($B210,Master_PIC!$A$8:$G$73,6,FALSE)),"")</f>
        <v/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8"/>
      <c r="Y210" s="5"/>
      <c r="Z210" s="5"/>
      <c r="AA210" s="9"/>
      <c r="AB210" s="5"/>
      <c r="AC210" s="5"/>
      <c r="AD210" s="9"/>
      <c r="AE210" s="5"/>
      <c r="AF210" s="7" t="str">
        <f t="shared" si="21"/>
        <v/>
      </c>
      <c r="AG210" s="7" t="str">
        <f t="shared" si="22"/>
        <v/>
      </c>
      <c r="AH210" s="7" t="str">
        <f t="shared" si="23"/>
        <v/>
      </c>
      <c r="AI210" s="7" t="str">
        <f t="shared" si="24"/>
        <v/>
      </c>
      <c r="AJ210" s="7" t="str">
        <f t="shared" si="25"/>
        <v/>
      </c>
      <c r="AK210" s="7" t="str">
        <f t="shared" si="26"/>
        <v/>
      </c>
      <c r="AL210" s="10" t="str">
        <f t="shared" si="27"/>
        <v/>
      </c>
      <c r="AM210" s="15" t="str">
        <f>IF(OR($A210&lt;&gt;"",$B210&lt;&gt;""),IF(OR($A210="",$B210=""),"Isi tanggal dan ID PIC",IF(NOT(ISNUMBER($A210)),"Tanggal harus berupa tanggal Excel",IF(COUNTIFS(Master_PIC!$A$8:$A$73,$B210)&lt;&gt;1,"ID PIC tidak unik/terdaftar",IF(VLOOKUP($B210,Master_PIC!$A$8:$G$73,3,FALSE)&lt;&gt;"Sales","Jabatan tidak sesuai sheet",IF(OR($C210="",$D210="",$E210="",$F210=""),"Lengkapi master PIC",IF(COUNTIFS($A$8:$A$507,$A210,$B$8:$B$507,$B210)&gt;1,"Laporan ganda",IF(COUNTIFS(G210:P210,"Tidak Berlaku")&gt;0,"N/A hanya untuk kegiatan bersyarat",IF(SUM(AG210,AH210,AI210,AJ210,AK210)&lt;&gt;14,"Status kegiatan tidak valid",IF(AK210&gt;0,"Lengkapi status kegiatan",IF(AND(AJ210&gt;0,U210=""),"Isi alasan Tidak Berlaku",IF(AND(SUM(AH210,AI210)&gt;0,OR(U210="",V210="",W210="",X210="")),"Isi kendala dan tindak lanjut",IF(AND(Z210&lt;&gt;"Draft",Z210&lt;&gt;"Dikirim"),"Isi status laporan yang valid",IF(AND(AB210&lt;&gt;"",AB210&lt;&gt;"Belum Diperiksa",AB210&lt;&gt;"Disetujui",AB210&lt;&gt;"Perlu Perbaikan"),"Hasil review tidak valid",IF(AND(Z210="Dikirim",OR(Y210="",AA210="")),"Isi bukti dan waktu kirim",IF(AND(AB210="Disetujui",OR(Z210&lt;&gt;"Dikirim",AC210="",AD210="")),"Lengkapi pemeriksaan",IF(AND(AB210="Perlu Perbaikan",OR(AE210="",AC210="",AD210="")),"Isi pemeriksa dan catatan perbaikan","OK")))))))))))))))),"")</f>
        <v/>
      </c>
    </row>
    <row r="211" spans="1:39" ht="24.95" customHeight="1">
      <c r="A211" s="8"/>
      <c r="B211" s="6"/>
      <c r="C211" s="15" t="str">
        <f>IF(COUNTIFS(Master_PIC!$A$8:$A$73,$B211)=1,IF(VLOOKUP($B211,Master_PIC!$A$8:$G$73,2,FALSE)="","",VLOOKUP($B211,Master_PIC!$A$8:$G$73,2,FALSE)),"")</f>
        <v/>
      </c>
      <c r="D211" s="15" t="str">
        <f>IF(COUNTIFS(Master_PIC!$A$8:$A$73,$B211)=1,IF(VLOOKUP($B211,Master_PIC!$A$8:$G$73,4,FALSE)="","",VLOOKUP($B211,Master_PIC!$A$8:$G$73,4,FALSE)),"")</f>
        <v/>
      </c>
      <c r="E211" s="15" t="str">
        <f>IF(COUNTIFS(Master_PIC!$A$8:$A$73,$B211)=1,IF(VLOOKUP($B211,Master_PIC!$A$8:$G$73,5,FALSE)="","",VLOOKUP($B211,Master_PIC!$A$8:$G$73,5,FALSE)),"")</f>
        <v/>
      </c>
      <c r="F211" s="15" t="str">
        <f>IF(COUNTIFS(Master_PIC!$A$8:$A$73,$B211)=1,IF(VLOOKUP($B211,Master_PIC!$A$8:$G$73,6,FALSE)="","",VLOOKUP($B211,Master_PIC!$A$8:$G$73,6,FALSE)),"")</f>
        <v/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8"/>
      <c r="Y211" s="5"/>
      <c r="Z211" s="5"/>
      <c r="AA211" s="9"/>
      <c r="AB211" s="5"/>
      <c r="AC211" s="5"/>
      <c r="AD211" s="9"/>
      <c r="AE211" s="5"/>
      <c r="AF211" s="7" t="str">
        <f t="shared" si="21"/>
        <v/>
      </c>
      <c r="AG211" s="7" t="str">
        <f t="shared" si="22"/>
        <v/>
      </c>
      <c r="AH211" s="7" t="str">
        <f t="shared" si="23"/>
        <v/>
      </c>
      <c r="AI211" s="7" t="str">
        <f t="shared" si="24"/>
        <v/>
      </c>
      <c r="AJ211" s="7" t="str">
        <f t="shared" si="25"/>
        <v/>
      </c>
      <c r="AK211" s="7" t="str">
        <f t="shared" si="26"/>
        <v/>
      </c>
      <c r="AL211" s="10" t="str">
        <f t="shared" si="27"/>
        <v/>
      </c>
      <c r="AM211" s="15" t="str">
        <f>IF(OR($A211&lt;&gt;"",$B211&lt;&gt;""),IF(OR($A211="",$B211=""),"Isi tanggal dan ID PIC",IF(NOT(ISNUMBER($A211)),"Tanggal harus berupa tanggal Excel",IF(COUNTIFS(Master_PIC!$A$8:$A$73,$B211)&lt;&gt;1,"ID PIC tidak unik/terdaftar",IF(VLOOKUP($B211,Master_PIC!$A$8:$G$73,3,FALSE)&lt;&gt;"Sales","Jabatan tidak sesuai sheet",IF(OR($C211="",$D211="",$E211="",$F211=""),"Lengkapi master PIC",IF(COUNTIFS($A$8:$A$507,$A211,$B$8:$B$507,$B211)&gt;1,"Laporan ganda",IF(COUNTIFS(G211:P211,"Tidak Berlaku")&gt;0,"N/A hanya untuk kegiatan bersyarat",IF(SUM(AG211,AH211,AI211,AJ211,AK211)&lt;&gt;14,"Status kegiatan tidak valid",IF(AK211&gt;0,"Lengkapi status kegiatan",IF(AND(AJ211&gt;0,U211=""),"Isi alasan Tidak Berlaku",IF(AND(SUM(AH211,AI211)&gt;0,OR(U211="",V211="",W211="",X211="")),"Isi kendala dan tindak lanjut",IF(AND(Z211&lt;&gt;"Draft",Z211&lt;&gt;"Dikirim"),"Isi status laporan yang valid",IF(AND(AB211&lt;&gt;"",AB211&lt;&gt;"Belum Diperiksa",AB211&lt;&gt;"Disetujui",AB211&lt;&gt;"Perlu Perbaikan"),"Hasil review tidak valid",IF(AND(Z211="Dikirim",OR(Y211="",AA211="")),"Isi bukti dan waktu kirim",IF(AND(AB211="Disetujui",OR(Z211&lt;&gt;"Dikirim",AC211="",AD211="")),"Lengkapi pemeriksaan",IF(AND(AB211="Perlu Perbaikan",OR(AE211="",AC211="",AD211="")),"Isi pemeriksa dan catatan perbaikan","OK")))))))))))))))),"")</f>
        <v/>
      </c>
    </row>
    <row r="212" spans="1:39" ht="24.95" customHeight="1">
      <c r="A212" s="8"/>
      <c r="B212" s="6"/>
      <c r="C212" s="15" t="str">
        <f>IF(COUNTIFS(Master_PIC!$A$8:$A$73,$B212)=1,IF(VLOOKUP($B212,Master_PIC!$A$8:$G$73,2,FALSE)="","",VLOOKUP($B212,Master_PIC!$A$8:$G$73,2,FALSE)),"")</f>
        <v/>
      </c>
      <c r="D212" s="15" t="str">
        <f>IF(COUNTIFS(Master_PIC!$A$8:$A$73,$B212)=1,IF(VLOOKUP($B212,Master_PIC!$A$8:$G$73,4,FALSE)="","",VLOOKUP($B212,Master_PIC!$A$8:$G$73,4,FALSE)),"")</f>
        <v/>
      </c>
      <c r="E212" s="15" t="str">
        <f>IF(COUNTIFS(Master_PIC!$A$8:$A$73,$B212)=1,IF(VLOOKUP($B212,Master_PIC!$A$8:$G$73,5,FALSE)="","",VLOOKUP($B212,Master_PIC!$A$8:$G$73,5,FALSE)),"")</f>
        <v/>
      </c>
      <c r="F212" s="15" t="str">
        <f>IF(COUNTIFS(Master_PIC!$A$8:$A$73,$B212)=1,IF(VLOOKUP($B212,Master_PIC!$A$8:$G$73,6,FALSE)="","",VLOOKUP($B212,Master_PIC!$A$8:$G$73,6,FALSE)),"")</f>
        <v/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8"/>
      <c r="Y212" s="5"/>
      <c r="Z212" s="5"/>
      <c r="AA212" s="9"/>
      <c r="AB212" s="5"/>
      <c r="AC212" s="5"/>
      <c r="AD212" s="9"/>
      <c r="AE212" s="5"/>
      <c r="AF212" s="7" t="str">
        <f t="shared" si="21"/>
        <v/>
      </c>
      <c r="AG212" s="7" t="str">
        <f t="shared" si="22"/>
        <v/>
      </c>
      <c r="AH212" s="7" t="str">
        <f t="shared" si="23"/>
        <v/>
      </c>
      <c r="AI212" s="7" t="str">
        <f t="shared" si="24"/>
        <v/>
      </c>
      <c r="AJ212" s="7" t="str">
        <f t="shared" si="25"/>
        <v/>
      </c>
      <c r="AK212" s="7" t="str">
        <f t="shared" si="26"/>
        <v/>
      </c>
      <c r="AL212" s="10" t="str">
        <f t="shared" si="27"/>
        <v/>
      </c>
      <c r="AM212" s="15" t="str">
        <f>IF(OR($A212&lt;&gt;"",$B212&lt;&gt;""),IF(OR($A212="",$B212=""),"Isi tanggal dan ID PIC",IF(NOT(ISNUMBER($A212)),"Tanggal harus berupa tanggal Excel",IF(COUNTIFS(Master_PIC!$A$8:$A$73,$B212)&lt;&gt;1,"ID PIC tidak unik/terdaftar",IF(VLOOKUP($B212,Master_PIC!$A$8:$G$73,3,FALSE)&lt;&gt;"Sales","Jabatan tidak sesuai sheet",IF(OR($C212="",$D212="",$E212="",$F212=""),"Lengkapi master PIC",IF(COUNTIFS($A$8:$A$507,$A212,$B$8:$B$507,$B212)&gt;1,"Laporan ganda",IF(COUNTIFS(G212:P212,"Tidak Berlaku")&gt;0,"N/A hanya untuk kegiatan bersyarat",IF(SUM(AG212,AH212,AI212,AJ212,AK212)&lt;&gt;14,"Status kegiatan tidak valid",IF(AK212&gt;0,"Lengkapi status kegiatan",IF(AND(AJ212&gt;0,U212=""),"Isi alasan Tidak Berlaku",IF(AND(SUM(AH212,AI212)&gt;0,OR(U212="",V212="",W212="",X212="")),"Isi kendala dan tindak lanjut",IF(AND(Z212&lt;&gt;"Draft",Z212&lt;&gt;"Dikirim"),"Isi status laporan yang valid",IF(AND(AB212&lt;&gt;"",AB212&lt;&gt;"Belum Diperiksa",AB212&lt;&gt;"Disetujui",AB212&lt;&gt;"Perlu Perbaikan"),"Hasil review tidak valid",IF(AND(Z212="Dikirim",OR(Y212="",AA212="")),"Isi bukti dan waktu kirim",IF(AND(AB212="Disetujui",OR(Z212&lt;&gt;"Dikirim",AC212="",AD212="")),"Lengkapi pemeriksaan",IF(AND(AB212="Perlu Perbaikan",OR(AE212="",AC212="",AD212="")),"Isi pemeriksa dan catatan perbaikan","OK")))))))))))))))),"")</f>
        <v/>
      </c>
    </row>
    <row r="213" spans="1:39" ht="24.95" customHeight="1">
      <c r="A213" s="8"/>
      <c r="B213" s="6"/>
      <c r="C213" s="15" t="str">
        <f>IF(COUNTIFS(Master_PIC!$A$8:$A$73,$B213)=1,IF(VLOOKUP($B213,Master_PIC!$A$8:$G$73,2,FALSE)="","",VLOOKUP($B213,Master_PIC!$A$8:$G$73,2,FALSE)),"")</f>
        <v/>
      </c>
      <c r="D213" s="15" t="str">
        <f>IF(COUNTIFS(Master_PIC!$A$8:$A$73,$B213)=1,IF(VLOOKUP($B213,Master_PIC!$A$8:$G$73,4,FALSE)="","",VLOOKUP($B213,Master_PIC!$A$8:$G$73,4,FALSE)),"")</f>
        <v/>
      </c>
      <c r="E213" s="15" t="str">
        <f>IF(COUNTIFS(Master_PIC!$A$8:$A$73,$B213)=1,IF(VLOOKUP($B213,Master_PIC!$A$8:$G$73,5,FALSE)="","",VLOOKUP($B213,Master_PIC!$A$8:$G$73,5,FALSE)),"")</f>
        <v/>
      </c>
      <c r="F213" s="15" t="str">
        <f>IF(COUNTIFS(Master_PIC!$A$8:$A$73,$B213)=1,IF(VLOOKUP($B213,Master_PIC!$A$8:$G$73,6,FALSE)="","",VLOOKUP($B213,Master_PIC!$A$8:$G$73,6,FALSE)),"")</f>
        <v/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8"/>
      <c r="Y213" s="5"/>
      <c r="Z213" s="5"/>
      <c r="AA213" s="9"/>
      <c r="AB213" s="5"/>
      <c r="AC213" s="5"/>
      <c r="AD213" s="9"/>
      <c r="AE213" s="5"/>
      <c r="AF213" s="7" t="str">
        <f t="shared" si="21"/>
        <v/>
      </c>
      <c r="AG213" s="7" t="str">
        <f t="shared" si="22"/>
        <v/>
      </c>
      <c r="AH213" s="7" t="str">
        <f t="shared" si="23"/>
        <v/>
      </c>
      <c r="AI213" s="7" t="str">
        <f t="shared" si="24"/>
        <v/>
      </c>
      <c r="AJ213" s="7" t="str">
        <f t="shared" si="25"/>
        <v/>
      </c>
      <c r="AK213" s="7" t="str">
        <f t="shared" si="26"/>
        <v/>
      </c>
      <c r="AL213" s="10" t="str">
        <f t="shared" si="27"/>
        <v/>
      </c>
      <c r="AM213" s="15" t="str">
        <f>IF(OR($A213&lt;&gt;"",$B213&lt;&gt;""),IF(OR($A213="",$B213=""),"Isi tanggal dan ID PIC",IF(NOT(ISNUMBER($A213)),"Tanggal harus berupa tanggal Excel",IF(COUNTIFS(Master_PIC!$A$8:$A$73,$B213)&lt;&gt;1,"ID PIC tidak unik/terdaftar",IF(VLOOKUP($B213,Master_PIC!$A$8:$G$73,3,FALSE)&lt;&gt;"Sales","Jabatan tidak sesuai sheet",IF(OR($C213="",$D213="",$E213="",$F213=""),"Lengkapi master PIC",IF(COUNTIFS($A$8:$A$507,$A213,$B$8:$B$507,$B213)&gt;1,"Laporan ganda",IF(COUNTIFS(G213:P213,"Tidak Berlaku")&gt;0,"N/A hanya untuk kegiatan bersyarat",IF(SUM(AG213,AH213,AI213,AJ213,AK213)&lt;&gt;14,"Status kegiatan tidak valid",IF(AK213&gt;0,"Lengkapi status kegiatan",IF(AND(AJ213&gt;0,U213=""),"Isi alasan Tidak Berlaku",IF(AND(SUM(AH213,AI213)&gt;0,OR(U213="",V213="",W213="",X213="")),"Isi kendala dan tindak lanjut",IF(AND(Z213&lt;&gt;"Draft",Z213&lt;&gt;"Dikirim"),"Isi status laporan yang valid",IF(AND(AB213&lt;&gt;"",AB213&lt;&gt;"Belum Diperiksa",AB213&lt;&gt;"Disetujui",AB213&lt;&gt;"Perlu Perbaikan"),"Hasil review tidak valid",IF(AND(Z213="Dikirim",OR(Y213="",AA213="")),"Isi bukti dan waktu kirim",IF(AND(AB213="Disetujui",OR(Z213&lt;&gt;"Dikirim",AC213="",AD213="")),"Lengkapi pemeriksaan",IF(AND(AB213="Perlu Perbaikan",OR(AE213="",AC213="",AD213="")),"Isi pemeriksa dan catatan perbaikan","OK")))))))))))))))),"")</f>
        <v/>
      </c>
    </row>
    <row r="214" spans="1:39" ht="24.95" customHeight="1">
      <c r="A214" s="8"/>
      <c r="B214" s="6"/>
      <c r="C214" s="15" t="str">
        <f>IF(COUNTIFS(Master_PIC!$A$8:$A$73,$B214)=1,IF(VLOOKUP($B214,Master_PIC!$A$8:$G$73,2,FALSE)="","",VLOOKUP($B214,Master_PIC!$A$8:$G$73,2,FALSE)),"")</f>
        <v/>
      </c>
      <c r="D214" s="15" t="str">
        <f>IF(COUNTIFS(Master_PIC!$A$8:$A$73,$B214)=1,IF(VLOOKUP($B214,Master_PIC!$A$8:$G$73,4,FALSE)="","",VLOOKUP($B214,Master_PIC!$A$8:$G$73,4,FALSE)),"")</f>
        <v/>
      </c>
      <c r="E214" s="15" t="str">
        <f>IF(COUNTIFS(Master_PIC!$A$8:$A$73,$B214)=1,IF(VLOOKUP($B214,Master_PIC!$A$8:$G$73,5,FALSE)="","",VLOOKUP($B214,Master_PIC!$A$8:$G$73,5,FALSE)),"")</f>
        <v/>
      </c>
      <c r="F214" s="15" t="str">
        <f>IF(COUNTIFS(Master_PIC!$A$8:$A$73,$B214)=1,IF(VLOOKUP($B214,Master_PIC!$A$8:$G$73,6,FALSE)="","",VLOOKUP($B214,Master_PIC!$A$8:$G$73,6,FALSE)),"")</f>
        <v/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8"/>
      <c r="Y214" s="5"/>
      <c r="Z214" s="5"/>
      <c r="AA214" s="9"/>
      <c r="AB214" s="5"/>
      <c r="AC214" s="5"/>
      <c r="AD214" s="9"/>
      <c r="AE214" s="5"/>
      <c r="AF214" s="7" t="str">
        <f t="shared" si="21"/>
        <v/>
      </c>
      <c r="AG214" s="7" t="str">
        <f t="shared" si="22"/>
        <v/>
      </c>
      <c r="AH214" s="7" t="str">
        <f t="shared" si="23"/>
        <v/>
      </c>
      <c r="AI214" s="7" t="str">
        <f t="shared" si="24"/>
        <v/>
      </c>
      <c r="AJ214" s="7" t="str">
        <f t="shared" si="25"/>
        <v/>
      </c>
      <c r="AK214" s="7" t="str">
        <f t="shared" si="26"/>
        <v/>
      </c>
      <c r="AL214" s="10" t="str">
        <f t="shared" si="27"/>
        <v/>
      </c>
      <c r="AM214" s="15" t="str">
        <f>IF(OR($A214&lt;&gt;"",$B214&lt;&gt;""),IF(OR($A214="",$B214=""),"Isi tanggal dan ID PIC",IF(NOT(ISNUMBER($A214)),"Tanggal harus berupa tanggal Excel",IF(COUNTIFS(Master_PIC!$A$8:$A$73,$B214)&lt;&gt;1,"ID PIC tidak unik/terdaftar",IF(VLOOKUP($B214,Master_PIC!$A$8:$G$73,3,FALSE)&lt;&gt;"Sales","Jabatan tidak sesuai sheet",IF(OR($C214="",$D214="",$E214="",$F214=""),"Lengkapi master PIC",IF(COUNTIFS($A$8:$A$507,$A214,$B$8:$B$507,$B214)&gt;1,"Laporan ganda",IF(COUNTIFS(G214:P214,"Tidak Berlaku")&gt;0,"N/A hanya untuk kegiatan bersyarat",IF(SUM(AG214,AH214,AI214,AJ214,AK214)&lt;&gt;14,"Status kegiatan tidak valid",IF(AK214&gt;0,"Lengkapi status kegiatan",IF(AND(AJ214&gt;0,U214=""),"Isi alasan Tidak Berlaku",IF(AND(SUM(AH214,AI214)&gt;0,OR(U214="",V214="",W214="",X214="")),"Isi kendala dan tindak lanjut",IF(AND(Z214&lt;&gt;"Draft",Z214&lt;&gt;"Dikirim"),"Isi status laporan yang valid",IF(AND(AB214&lt;&gt;"",AB214&lt;&gt;"Belum Diperiksa",AB214&lt;&gt;"Disetujui",AB214&lt;&gt;"Perlu Perbaikan"),"Hasil review tidak valid",IF(AND(Z214="Dikirim",OR(Y214="",AA214="")),"Isi bukti dan waktu kirim",IF(AND(AB214="Disetujui",OR(Z214&lt;&gt;"Dikirim",AC214="",AD214="")),"Lengkapi pemeriksaan",IF(AND(AB214="Perlu Perbaikan",OR(AE214="",AC214="",AD214="")),"Isi pemeriksa dan catatan perbaikan","OK")))))))))))))))),"")</f>
        <v/>
      </c>
    </row>
    <row r="215" spans="1:39" ht="24.95" customHeight="1">
      <c r="A215" s="8"/>
      <c r="B215" s="6"/>
      <c r="C215" s="15" t="str">
        <f>IF(COUNTIFS(Master_PIC!$A$8:$A$73,$B215)=1,IF(VLOOKUP($B215,Master_PIC!$A$8:$G$73,2,FALSE)="","",VLOOKUP($B215,Master_PIC!$A$8:$G$73,2,FALSE)),"")</f>
        <v/>
      </c>
      <c r="D215" s="15" t="str">
        <f>IF(COUNTIFS(Master_PIC!$A$8:$A$73,$B215)=1,IF(VLOOKUP($B215,Master_PIC!$A$8:$G$73,4,FALSE)="","",VLOOKUP($B215,Master_PIC!$A$8:$G$73,4,FALSE)),"")</f>
        <v/>
      </c>
      <c r="E215" s="15" t="str">
        <f>IF(COUNTIFS(Master_PIC!$A$8:$A$73,$B215)=1,IF(VLOOKUP($B215,Master_PIC!$A$8:$G$73,5,FALSE)="","",VLOOKUP($B215,Master_PIC!$A$8:$G$73,5,FALSE)),"")</f>
        <v/>
      </c>
      <c r="F215" s="15" t="str">
        <f>IF(COUNTIFS(Master_PIC!$A$8:$A$73,$B215)=1,IF(VLOOKUP($B215,Master_PIC!$A$8:$G$73,6,FALSE)="","",VLOOKUP($B215,Master_PIC!$A$8:$G$73,6,FALSE)),"")</f>
        <v/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8"/>
      <c r="Y215" s="5"/>
      <c r="Z215" s="5"/>
      <c r="AA215" s="9"/>
      <c r="AB215" s="5"/>
      <c r="AC215" s="5"/>
      <c r="AD215" s="9"/>
      <c r="AE215" s="5"/>
      <c r="AF215" s="7" t="str">
        <f t="shared" si="21"/>
        <v/>
      </c>
      <c r="AG215" s="7" t="str">
        <f t="shared" si="22"/>
        <v/>
      </c>
      <c r="AH215" s="7" t="str">
        <f t="shared" si="23"/>
        <v/>
      </c>
      <c r="AI215" s="7" t="str">
        <f t="shared" si="24"/>
        <v/>
      </c>
      <c r="AJ215" s="7" t="str">
        <f t="shared" si="25"/>
        <v/>
      </c>
      <c r="AK215" s="7" t="str">
        <f t="shared" si="26"/>
        <v/>
      </c>
      <c r="AL215" s="10" t="str">
        <f t="shared" si="27"/>
        <v/>
      </c>
      <c r="AM215" s="15" t="str">
        <f>IF(OR($A215&lt;&gt;"",$B215&lt;&gt;""),IF(OR($A215="",$B215=""),"Isi tanggal dan ID PIC",IF(NOT(ISNUMBER($A215)),"Tanggal harus berupa tanggal Excel",IF(COUNTIFS(Master_PIC!$A$8:$A$73,$B215)&lt;&gt;1,"ID PIC tidak unik/terdaftar",IF(VLOOKUP($B215,Master_PIC!$A$8:$G$73,3,FALSE)&lt;&gt;"Sales","Jabatan tidak sesuai sheet",IF(OR($C215="",$D215="",$E215="",$F215=""),"Lengkapi master PIC",IF(COUNTIFS($A$8:$A$507,$A215,$B$8:$B$507,$B215)&gt;1,"Laporan ganda",IF(COUNTIFS(G215:P215,"Tidak Berlaku")&gt;0,"N/A hanya untuk kegiatan bersyarat",IF(SUM(AG215,AH215,AI215,AJ215,AK215)&lt;&gt;14,"Status kegiatan tidak valid",IF(AK215&gt;0,"Lengkapi status kegiatan",IF(AND(AJ215&gt;0,U215=""),"Isi alasan Tidak Berlaku",IF(AND(SUM(AH215,AI215)&gt;0,OR(U215="",V215="",W215="",X215="")),"Isi kendala dan tindak lanjut",IF(AND(Z215&lt;&gt;"Draft",Z215&lt;&gt;"Dikirim"),"Isi status laporan yang valid",IF(AND(AB215&lt;&gt;"",AB215&lt;&gt;"Belum Diperiksa",AB215&lt;&gt;"Disetujui",AB215&lt;&gt;"Perlu Perbaikan"),"Hasil review tidak valid",IF(AND(Z215="Dikirim",OR(Y215="",AA215="")),"Isi bukti dan waktu kirim",IF(AND(AB215="Disetujui",OR(Z215&lt;&gt;"Dikirim",AC215="",AD215="")),"Lengkapi pemeriksaan",IF(AND(AB215="Perlu Perbaikan",OR(AE215="",AC215="",AD215="")),"Isi pemeriksa dan catatan perbaikan","OK")))))))))))))))),"")</f>
        <v/>
      </c>
    </row>
    <row r="216" spans="1:39" ht="24.95" customHeight="1">
      <c r="A216" s="8"/>
      <c r="B216" s="6"/>
      <c r="C216" s="15" t="str">
        <f>IF(COUNTIFS(Master_PIC!$A$8:$A$73,$B216)=1,IF(VLOOKUP($B216,Master_PIC!$A$8:$G$73,2,FALSE)="","",VLOOKUP($B216,Master_PIC!$A$8:$G$73,2,FALSE)),"")</f>
        <v/>
      </c>
      <c r="D216" s="15" t="str">
        <f>IF(COUNTIFS(Master_PIC!$A$8:$A$73,$B216)=1,IF(VLOOKUP($B216,Master_PIC!$A$8:$G$73,4,FALSE)="","",VLOOKUP($B216,Master_PIC!$A$8:$G$73,4,FALSE)),"")</f>
        <v/>
      </c>
      <c r="E216" s="15" t="str">
        <f>IF(COUNTIFS(Master_PIC!$A$8:$A$73,$B216)=1,IF(VLOOKUP($B216,Master_PIC!$A$8:$G$73,5,FALSE)="","",VLOOKUP($B216,Master_PIC!$A$8:$G$73,5,FALSE)),"")</f>
        <v/>
      </c>
      <c r="F216" s="15" t="str">
        <f>IF(COUNTIFS(Master_PIC!$A$8:$A$73,$B216)=1,IF(VLOOKUP($B216,Master_PIC!$A$8:$G$73,6,FALSE)="","",VLOOKUP($B216,Master_PIC!$A$8:$G$73,6,FALSE)),"")</f>
        <v/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8"/>
      <c r="Y216" s="5"/>
      <c r="Z216" s="5"/>
      <c r="AA216" s="9"/>
      <c r="AB216" s="5"/>
      <c r="AC216" s="5"/>
      <c r="AD216" s="9"/>
      <c r="AE216" s="5"/>
      <c r="AF216" s="7" t="str">
        <f t="shared" si="21"/>
        <v/>
      </c>
      <c r="AG216" s="7" t="str">
        <f t="shared" si="22"/>
        <v/>
      </c>
      <c r="AH216" s="7" t="str">
        <f t="shared" si="23"/>
        <v/>
      </c>
      <c r="AI216" s="7" t="str">
        <f t="shared" si="24"/>
        <v/>
      </c>
      <c r="AJ216" s="7" t="str">
        <f t="shared" si="25"/>
        <v/>
      </c>
      <c r="AK216" s="7" t="str">
        <f t="shared" si="26"/>
        <v/>
      </c>
      <c r="AL216" s="10" t="str">
        <f t="shared" si="27"/>
        <v/>
      </c>
      <c r="AM216" s="15" t="str">
        <f>IF(OR($A216&lt;&gt;"",$B216&lt;&gt;""),IF(OR($A216="",$B216=""),"Isi tanggal dan ID PIC",IF(NOT(ISNUMBER($A216)),"Tanggal harus berupa tanggal Excel",IF(COUNTIFS(Master_PIC!$A$8:$A$73,$B216)&lt;&gt;1,"ID PIC tidak unik/terdaftar",IF(VLOOKUP($B216,Master_PIC!$A$8:$G$73,3,FALSE)&lt;&gt;"Sales","Jabatan tidak sesuai sheet",IF(OR($C216="",$D216="",$E216="",$F216=""),"Lengkapi master PIC",IF(COUNTIFS($A$8:$A$507,$A216,$B$8:$B$507,$B216)&gt;1,"Laporan ganda",IF(COUNTIFS(G216:P216,"Tidak Berlaku")&gt;0,"N/A hanya untuk kegiatan bersyarat",IF(SUM(AG216,AH216,AI216,AJ216,AK216)&lt;&gt;14,"Status kegiatan tidak valid",IF(AK216&gt;0,"Lengkapi status kegiatan",IF(AND(AJ216&gt;0,U216=""),"Isi alasan Tidak Berlaku",IF(AND(SUM(AH216,AI216)&gt;0,OR(U216="",V216="",W216="",X216="")),"Isi kendala dan tindak lanjut",IF(AND(Z216&lt;&gt;"Draft",Z216&lt;&gt;"Dikirim"),"Isi status laporan yang valid",IF(AND(AB216&lt;&gt;"",AB216&lt;&gt;"Belum Diperiksa",AB216&lt;&gt;"Disetujui",AB216&lt;&gt;"Perlu Perbaikan"),"Hasil review tidak valid",IF(AND(Z216="Dikirim",OR(Y216="",AA216="")),"Isi bukti dan waktu kirim",IF(AND(AB216="Disetujui",OR(Z216&lt;&gt;"Dikirim",AC216="",AD216="")),"Lengkapi pemeriksaan",IF(AND(AB216="Perlu Perbaikan",OR(AE216="",AC216="",AD216="")),"Isi pemeriksa dan catatan perbaikan","OK")))))))))))))))),"")</f>
        <v/>
      </c>
    </row>
    <row r="217" spans="1:39" ht="24.95" customHeight="1">
      <c r="A217" s="8"/>
      <c r="B217" s="6"/>
      <c r="C217" s="15" t="str">
        <f>IF(COUNTIFS(Master_PIC!$A$8:$A$73,$B217)=1,IF(VLOOKUP($B217,Master_PIC!$A$8:$G$73,2,FALSE)="","",VLOOKUP($B217,Master_PIC!$A$8:$G$73,2,FALSE)),"")</f>
        <v/>
      </c>
      <c r="D217" s="15" t="str">
        <f>IF(COUNTIFS(Master_PIC!$A$8:$A$73,$B217)=1,IF(VLOOKUP($B217,Master_PIC!$A$8:$G$73,4,FALSE)="","",VLOOKUP($B217,Master_PIC!$A$8:$G$73,4,FALSE)),"")</f>
        <v/>
      </c>
      <c r="E217" s="15" t="str">
        <f>IF(COUNTIFS(Master_PIC!$A$8:$A$73,$B217)=1,IF(VLOOKUP($B217,Master_PIC!$A$8:$G$73,5,FALSE)="","",VLOOKUP($B217,Master_PIC!$A$8:$G$73,5,FALSE)),"")</f>
        <v/>
      </c>
      <c r="F217" s="15" t="str">
        <f>IF(COUNTIFS(Master_PIC!$A$8:$A$73,$B217)=1,IF(VLOOKUP($B217,Master_PIC!$A$8:$G$73,6,FALSE)="","",VLOOKUP($B217,Master_PIC!$A$8:$G$73,6,FALSE)),"")</f>
        <v/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8"/>
      <c r="Y217" s="5"/>
      <c r="Z217" s="5"/>
      <c r="AA217" s="9"/>
      <c r="AB217" s="5"/>
      <c r="AC217" s="5"/>
      <c r="AD217" s="9"/>
      <c r="AE217" s="5"/>
      <c r="AF217" s="7" t="str">
        <f t="shared" si="21"/>
        <v/>
      </c>
      <c r="AG217" s="7" t="str">
        <f t="shared" si="22"/>
        <v/>
      </c>
      <c r="AH217" s="7" t="str">
        <f t="shared" si="23"/>
        <v/>
      </c>
      <c r="AI217" s="7" t="str">
        <f t="shared" si="24"/>
        <v/>
      </c>
      <c r="AJ217" s="7" t="str">
        <f t="shared" si="25"/>
        <v/>
      </c>
      <c r="AK217" s="7" t="str">
        <f t="shared" si="26"/>
        <v/>
      </c>
      <c r="AL217" s="10" t="str">
        <f t="shared" si="27"/>
        <v/>
      </c>
      <c r="AM217" s="15" t="str">
        <f>IF(OR($A217&lt;&gt;"",$B217&lt;&gt;""),IF(OR($A217="",$B217=""),"Isi tanggal dan ID PIC",IF(NOT(ISNUMBER($A217)),"Tanggal harus berupa tanggal Excel",IF(COUNTIFS(Master_PIC!$A$8:$A$73,$B217)&lt;&gt;1,"ID PIC tidak unik/terdaftar",IF(VLOOKUP($B217,Master_PIC!$A$8:$G$73,3,FALSE)&lt;&gt;"Sales","Jabatan tidak sesuai sheet",IF(OR($C217="",$D217="",$E217="",$F217=""),"Lengkapi master PIC",IF(COUNTIFS($A$8:$A$507,$A217,$B$8:$B$507,$B217)&gt;1,"Laporan ganda",IF(COUNTIFS(G217:P217,"Tidak Berlaku")&gt;0,"N/A hanya untuk kegiatan bersyarat",IF(SUM(AG217,AH217,AI217,AJ217,AK217)&lt;&gt;14,"Status kegiatan tidak valid",IF(AK217&gt;0,"Lengkapi status kegiatan",IF(AND(AJ217&gt;0,U217=""),"Isi alasan Tidak Berlaku",IF(AND(SUM(AH217,AI217)&gt;0,OR(U217="",V217="",W217="",X217="")),"Isi kendala dan tindak lanjut",IF(AND(Z217&lt;&gt;"Draft",Z217&lt;&gt;"Dikirim"),"Isi status laporan yang valid",IF(AND(AB217&lt;&gt;"",AB217&lt;&gt;"Belum Diperiksa",AB217&lt;&gt;"Disetujui",AB217&lt;&gt;"Perlu Perbaikan"),"Hasil review tidak valid",IF(AND(Z217="Dikirim",OR(Y217="",AA217="")),"Isi bukti dan waktu kirim",IF(AND(AB217="Disetujui",OR(Z217&lt;&gt;"Dikirim",AC217="",AD217="")),"Lengkapi pemeriksaan",IF(AND(AB217="Perlu Perbaikan",OR(AE217="",AC217="",AD217="")),"Isi pemeriksa dan catatan perbaikan","OK")))))))))))))))),"")</f>
        <v/>
      </c>
    </row>
    <row r="218" spans="1:39" ht="24.95" customHeight="1">
      <c r="A218" s="8"/>
      <c r="B218" s="6"/>
      <c r="C218" s="15" t="str">
        <f>IF(COUNTIFS(Master_PIC!$A$8:$A$73,$B218)=1,IF(VLOOKUP($B218,Master_PIC!$A$8:$G$73,2,FALSE)="","",VLOOKUP($B218,Master_PIC!$A$8:$G$73,2,FALSE)),"")</f>
        <v/>
      </c>
      <c r="D218" s="15" t="str">
        <f>IF(COUNTIFS(Master_PIC!$A$8:$A$73,$B218)=1,IF(VLOOKUP($B218,Master_PIC!$A$8:$G$73,4,FALSE)="","",VLOOKUP($B218,Master_PIC!$A$8:$G$73,4,FALSE)),"")</f>
        <v/>
      </c>
      <c r="E218" s="15" t="str">
        <f>IF(COUNTIFS(Master_PIC!$A$8:$A$73,$B218)=1,IF(VLOOKUP($B218,Master_PIC!$A$8:$G$73,5,FALSE)="","",VLOOKUP($B218,Master_PIC!$A$8:$G$73,5,FALSE)),"")</f>
        <v/>
      </c>
      <c r="F218" s="15" t="str">
        <f>IF(COUNTIFS(Master_PIC!$A$8:$A$73,$B218)=1,IF(VLOOKUP($B218,Master_PIC!$A$8:$G$73,6,FALSE)="","",VLOOKUP($B218,Master_PIC!$A$8:$G$73,6,FALSE)),"")</f>
        <v/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8"/>
      <c r="Y218" s="5"/>
      <c r="Z218" s="5"/>
      <c r="AA218" s="9"/>
      <c r="AB218" s="5"/>
      <c r="AC218" s="5"/>
      <c r="AD218" s="9"/>
      <c r="AE218" s="5"/>
      <c r="AF218" s="7" t="str">
        <f t="shared" si="21"/>
        <v/>
      </c>
      <c r="AG218" s="7" t="str">
        <f t="shared" si="22"/>
        <v/>
      </c>
      <c r="AH218" s="7" t="str">
        <f t="shared" si="23"/>
        <v/>
      </c>
      <c r="AI218" s="7" t="str">
        <f t="shared" si="24"/>
        <v/>
      </c>
      <c r="AJ218" s="7" t="str">
        <f t="shared" si="25"/>
        <v/>
      </c>
      <c r="AK218" s="7" t="str">
        <f t="shared" si="26"/>
        <v/>
      </c>
      <c r="AL218" s="10" t="str">
        <f t="shared" si="27"/>
        <v/>
      </c>
      <c r="AM218" s="15" t="str">
        <f>IF(OR($A218&lt;&gt;"",$B218&lt;&gt;""),IF(OR($A218="",$B218=""),"Isi tanggal dan ID PIC",IF(NOT(ISNUMBER($A218)),"Tanggal harus berupa tanggal Excel",IF(COUNTIFS(Master_PIC!$A$8:$A$73,$B218)&lt;&gt;1,"ID PIC tidak unik/terdaftar",IF(VLOOKUP($B218,Master_PIC!$A$8:$G$73,3,FALSE)&lt;&gt;"Sales","Jabatan tidak sesuai sheet",IF(OR($C218="",$D218="",$E218="",$F218=""),"Lengkapi master PIC",IF(COUNTIFS($A$8:$A$507,$A218,$B$8:$B$507,$B218)&gt;1,"Laporan ganda",IF(COUNTIFS(G218:P218,"Tidak Berlaku")&gt;0,"N/A hanya untuk kegiatan bersyarat",IF(SUM(AG218,AH218,AI218,AJ218,AK218)&lt;&gt;14,"Status kegiatan tidak valid",IF(AK218&gt;0,"Lengkapi status kegiatan",IF(AND(AJ218&gt;0,U218=""),"Isi alasan Tidak Berlaku",IF(AND(SUM(AH218,AI218)&gt;0,OR(U218="",V218="",W218="",X218="")),"Isi kendala dan tindak lanjut",IF(AND(Z218&lt;&gt;"Draft",Z218&lt;&gt;"Dikirim"),"Isi status laporan yang valid",IF(AND(AB218&lt;&gt;"",AB218&lt;&gt;"Belum Diperiksa",AB218&lt;&gt;"Disetujui",AB218&lt;&gt;"Perlu Perbaikan"),"Hasil review tidak valid",IF(AND(Z218="Dikirim",OR(Y218="",AA218="")),"Isi bukti dan waktu kirim",IF(AND(AB218="Disetujui",OR(Z218&lt;&gt;"Dikirim",AC218="",AD218="")),"Lengkapi pemeriksaan",IF(AND(AB218="Perlu Perbaikan",OR(AE218="",AC218="",AD218="")),"Isi pemeriksa dan catatan perbaikan","OK")))))))))))))))),"")</f>
        <v/>
      </c>
    </row>
    <row r="219" spans="1:39" ht="24.95" customHeight="1">
      <c r="A219" s="8"/>
      <c r="B219" s="6"/>
      <c r="C219" s="15" t="str">
        <f>IF(COUNTIFS(Master_PIC!$A$8:$A$73,$B219)=1,IF(VLOOKUP($B219,Master_PIC!$A$8:$G$73,2,FALSE)="","",VLOOKUP($B219,Master_PIC!$A$8:$G$73,2,FALSE)),"")</f>
        <v/>
      </c>
      <c r="D219" s="15" t="str">
        <f>IF(COUNTIFS(Master_PIC!$A$8:$A$73,$B219)=1,IF(VLOOKUP($B219,Master_PIC!$A$8:$G$73,4,FALSE)="","",VLOOKUP($B219,Master_PIC!$A$8:$G$73,4,FALSE)),"")</f>
        <v/>
      </c>
      <c r="E219" s="15" t="str">
        <f>IF(COUNTIFS(Master_PIC!$A$8:$A$73,$B219)=1,IF(VLOOKUP($B219,Master_PIC!$A$8:$G$73,5,FALSE)="","",VLOOKUP($B219,Master_PIC!$A$8:$G$73,5,FALSE)),"")</f>
        <v/>
      </c>
      <c r="F219" s="15" t="str">
        <f>IF(COUNTIFS(Master_PIC!$A$8:$A$73,$B219)=1,IF(VLOOKUP($B219,Master_PIC!$A$8:$G$73,6,FALSE)="","",VLOOKUP($B219,Master_PIC!$A$8:$G$73,6,FALSE)),"")</f>
        <v/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8"/>
      <c r="Y219" s="5"/>
      <c r="Z219" s="5"/>
      <c r="AA219" s="9"/>
      <c r="AB219" s="5"/>
      <c r="AC219" s="5"/>
      <c r="AD219" s="9"/>
      <c r="AE219" s="5"/>
      <c r="AF219" s="7" t="str">
        <f t="shared" si="21"/>
        <v/>
      </c>
      <c r="AG219" s="7" t="str">
        <f t="shared" si="22"/>
        <v/>
      </c>
      <c r="AH219" s="7" t="str">
        <f t="shared" si="23"/>
        <v/>
      </c>
      <c r="AI219" s="7" t="str">
        <f t="shared" si="24"/>
        <v/>
      </c>
      <c r="AJ219" s="7" t="str">
        <f t="shared" si="25"/>
        <v/>
      </c>
      <c r="AK219" s="7" t="str">
        <f t="shared" si="26"/>
        <v/>
      </c>
      <c r="AL219" s="10" t="str">
        <f t="shared" si="27"/>
        <v/>
      </c>
      <c r="AM219" s="15" t="str">
        <f>IF(OR($A219&lt;&gt;"",$B219&lt;&gt;""),IF(OR($A219="",$B219=""),"Isi tanggal dan ID PIC",IF(NOT(ISNUMBER($A219)),"Tanggal harus berupa tanggal Excel",IF(COUNTIFS(Master_PIC!$A$8:$A$73,$B219)&lt;&gt;1,"ID PIC tidak unik/terdaftar",IF(VLOOKUP($B219,Master_PIC!$A$8:$G$73,3,FALSE)&lt;&gt;"Sales","Jabatan tidak sesuai sheet",IF(OR($C219="",$D219="",$E219="",$F219=""),"Lengkapi master PIC",IF(COUNTIFS($A$8:$A$507,$A219,$B$8:$B$507,$B219)&gt;1,"Laporan ganda",IF(COUNTIFS(G219:P219,"Tidak Berlaku")&gt;0,"N/A hanya untuk kegiatan bersyarat",IF(SUM(AG219,AH219,AI219,AJ219,AK219)&lt;&gt;14,"Status kegiatan tidak valid",IF(AK219&gt;0,"Lengkapi status kegiatan",IF(AND(AJ219&gt;0,U219=""),"Isi alasan Tidak Berlaku",IF(AND(SUM(AH219,AI219)&gt;0,OR(U219="",V219="",W219="",X219="")),"Isi kendala dan tindak lanjut",IF(AND(Z219&lt;&gt;"Draft",Z219&lt;&gt;"Dikirim"),"Isi status laporan yang valid",IF(AND(AB219&lt;&gt;"",AB219&lt;&gt;"Belum Diperiksa",AB219&lt;&gt;"Disetujui",AB219&lt;&gt;"Perlu Perbaikan"),"Hasil review tidak valid",IF(AND(Z219="Dikirim",OR(Y219="",AA219="")),"Isi bukti dan waktu kirim",IF(AND(AB219="Disetujui",OR(Z219&lt;&gt;"Dikirim",AC219="",AD219="")),"Lengkapi pemeriksaan",IF(AND(AB219="Perlu Perbaikan",OR(AE219="",AC219="",AD219="")),"Isi pemeriksa dan catatan perbaikan","OK")))))))))))))))),"")</f>
        <v/>
      </c>
    </row>
    <row r="220" spans="1:39" ht="24.95" customHeight="1">
      <c r="A220" s="8"/>
      <c r="B220" s="6"/>
      <c r="C220" s="15" t="str">
        <f>IF(COUNTIFS(Master_PIC!$A$8:$A$73,$B220)=1,IF(VLOOKUP($B220,Master_PIC!$A$8:$G$73,2,FALSE)="","",VLOOKUP($B220,Master_PIC!$A$8:$G$73,2,FALSE)),"")</f>
        <v/>
      </c>
      <c r="D220" s="15" t="str">
        <f>IF(COUNTIFS(Master_PIC!$A$8:$A$73,$B220)=1,IF(VLOOKUP($B220,Master_PIC!$A$8:$G$73,4,FALSE)="","",VLOOKUP($B220,Master_PIC!$A$8:$G$73,4,FALSE)),"")</f>
        <v/>
      </c>
      <c r="E220" s="15" t="str">
        <f>IF(COUNTIFS(Master_PIC!$A$8:$A$73,$B220)=1,IF(VLOOKUP($B220,Master_PIC!$A$8:$G$73,5,FALSE)="","",VLOOKUP($B220,Master_PIC!$A$8:$G$73,5,FALSE)),"")</f>
        <v/>
      </c>
      <c r="F220" s="15" t="str">
        <f>IF(COUNTIFS(Master_PIC!$A$8:$A$73,$B220)=1,IF(VLOOKUP($B220,Master_PIC!$A$8:$G$73,6,FALSE)="","",VLOOKUP($B220,Master_PIC!$A$8:$G$73,6,FALSE)),"")</f>
        <v/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8"/>
      <c r="Y220" s="5"/>
      <c r="Z220" s="5"/>
      <c r="AA220" s="9"/>
      <c r="AB220" s="5"/>
      <c r="AC220" s="5"/>
      <c r="AD220" s="9"/>
      <c r="AE220" s="5"/>
      <c r="AF220" s="7" t="str">
        <f t="shared" si="21"/>
        <v/>
      </c>
      <c r="AG220" s="7" t="str">
        <f t="shared" si="22"/>
        <v/>
      </c>
      <c r="AH220" s="7" t="str">
        <f t="shared" si="23"/>
        <v/>
      </c>
      <c r="AI220" s="7" t="str">
        <f t="shared" si="24"/>
        <v/>
      </c>
      <c r="AJ220" s="7" t="str">
        <f t="shared" si="25"/>
        <v/>
      </c>
      <c r="AK220" s="7" t="str">
        <f t="shared" si="26"/>
        <v/>
      </c>
      <c r="AL220" s="10" t="str">
        <f t="shared" si="27"/>
        <v/>
      </c>
      <c r="AM220" s="15" t="str">
        <f>IF(OR($A220&lt;&gt;"",$B220&lt;&gt;""),IF(OR($A220="",$B220=""),"Isi tanggal dan ID PIC",IF(NOT(ISNUMBER($A220)),"Tanggal harus berupa tanggal Excel",IF(COUNTIFS(Master_PIC!$A$8:$A$73,$B220)&lt;&gt;1,"ID PIC tidak unik/terdaftar",IF(VLOOKUP($B220,Master_PIC!$A$8:$G$73,3,FALSE)&lt;&gt;"Sales","Jabatan tidak sesuai sheet",IF(OR($C220="",$D220="",$E220="",$F220=""),"Lengkapi master PIC",IF(COUNTIFS($A$8:$A$507,$A220,$B$8:$B$507,$B220)&gt;1,"Laporan ganda",IF(COUNTIFS(G220:P220,"Tidak Berlaku")&gt;0,"N/A hanya untuk kegiatan bersyarat",IF(SUM(AG220,AH220,AI220,AJ220,AK220)&lt;&gt;14,"Status kegiatan tidak valid",IF(AK220&gt;0,"Lengkapi status kegiatan",IF(AND(AJ220&gt;0,U220=""),"Isi alasan Tidak Berlaku",IF(AND(SUM(AH220,AI220)&gt;0,OR(U220="",V220="",W220="",X220="")),"Isi kendala dan tindak lanjut",IF(AND(Z220&lt;&gt;"Draft",Z220&lt;&gt;"Dikirim"),"Isi status laporan yang valid",IF(AND(AB220&lt;&gt;"",AB220&lt;&gt;"Belum Diperiksa",AB220&lt;&gt;"Disetujui",AB220&lt;&gt;"Perlu Perbaikan"),"Hasil review tidak valid",IF(AND(Z220="Dikirim",OR(Y220="",AA220="")),"Isi bukti dan waktu kirim",IF(AND(AB220="Disetujui",OR(Z220&lt;&gt;"Dikirim",AC220="",AD220="")),"Lengkapi pemeriksaan",IF(AND(AB220="Perlu Perbaikan",OR(AE220="",AC220="",AD220="")),"Isi pemeriksa dan catatan perbaikan","OK")))))))))))))))),"")</f>
        <v/>
      </c>
    </row>
    <row r="221" spans="1:39" ht="24.95" customHeight="1">
      <c r="A221" s="8"/>
      <c r="B221" s="6"/>
      <c r="C221" s="15" t="str">
        <f>IF(COUNTIFS(Master_PIC!$A$8:$A$73,$B221)=1,IF(VLOOKUP($B221,Master_PIC!$A$8:$G$73,2,FALSE)="","",VLOOKUP($B221,Master_PIC!$A$8:$G$73,2,FALSE)),"")</f>
        <v/>
      </c>
      <c r="D221" s="15" t="str">
        <f>IF(COUNTIFS(Master_PIC!$A$8:$A$73,$B221)=1,IF(VLOOKUP($B221,Master_PIC!$A$8:$G$73,4,FALSE)="","",VLOOKUP($B221,Master_PIC!$A$8:$G$73,4,FALSE)),"")</f>
        <v/>
      </c>
      <c r="E221" s="15" t="str">
        <f>IF(COUNTIFS(Master_PIC!$A$8:$A$73,$B221)=1,IF(VLOOKUP($B221,Master_PIC!$A$8:$G$73,5,FALSE)="","",VLOOKUP($B221,Master_PIC!$A$8:$G$73,5,FALSE)),"")</f>
        <v/>
      </c>
      <c r="F221" s="15" t="str">
        <f>IF(COUNTIFS(Master_PIC!$A$8:$A$73,$B221)=1,IF(VLOOKUP($B221,Master_PIC!$A$8:$G$73,6,FALSE)="","",VLOOKUP($B221,Master_PIC!$A$8:$G$73,6,FALSE)),"")</f>
        <v/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8"/>
      <c r="Y221" s="5"/>
      <c r="Z221" s="5"/>
      <c r="AA221" s="9"/>
      <c r="AB221" s="5"/>
      <c r="AC221" s="5"/>
      <c r="AD221" s="9"/>
      <c r="AE221" s="5"/>
      <c r="AF221" s="7" t="str">
        <f t="shared" si="21"/>
        <v/>
      </c>
      <c r="AG221" s="7" t="str">
        <f t="shared" si="22"/>
        <v/>
      </c>
      <c r="AH221" s="7" t="str">
        <f t="shared" si="23"/>
        <v/>
      </c>
      <c r="AI221" s="7" t="str">
        <f t="shared" si="24"/>
        <v/>
      </c>
      <c r="AJ221" s="7" t="str">
        <f t="shared" si="25"/>
        <v/>
      </c>
      <c r="AK221" s="7" t="str">
        <f t="shared" si="26"/>
        <v/>
      </c>
      <c r="AL221" s="10" t="str">
        <f t="shared" si="27"/>
        <v/>
      </c>
      <c r="AM221" s="15" t="str">
        <f>IF(OR($A221&lt;&gt;"",$B221&lt;&gt;""),IF(OR($A221="",$B221=""),"Isi tanggal dan ID PIC",IF(NOT(ISNUMBER($A221)),"Tanggal harus berupa tanggal Excel",IF(COUNTIFS(Master_PIC!$A$8:$A$73,$B221)&lt;&gt;1,"ID PIC tidak unik/terdaftar",IF(VLOOKUP($B221,Master_PIC!$A$8:$G$73,3,FALSE)&lt;&gt;"Sales","Jabatan tidak sesuai sheet",IF(OR($C221="",$D221="",$E221="",$F221=""),"Lengkapi master PIC",IF(COUNTIFS($A$8:$A$507,$A221,$B$8:$B$507,$B221)&gt;1,"Laporan ganda",IF(COUNTIFS(G221:P221,"Tidak Berlaku")&gt;0,"N/A hanya untuk kegiatan bersyarat",IF(SUM(AG221,AH221,AI221,AJ221,AK221)&lt;&gt;14,"Status kegiatan tidak valid",IF(AK221&gt;0,"Lengkapi status kegiatan",IF(AND(AJ221&gt;0,U221=""),"Isi alasan Tidak Berlaku",IF(AND(SUM(AH221,AI221)&gt;0,OR(U221="",V221="",W221="",X221="")),"Isi kendala dan tindak lanjut",IF(AND(Z221&lt;&gt;"Draft",Z221&lt;&gt;"Dikirim"),"Isi status laporan yang valid",IF(AND(AB221&lt;&gt;"",AB221&lt;&gt;"Belum Diperiksa",AB221&lt;&gt;"Disetujui",AB221&lt;&gt;"Perlu Perbaikan"),"Hasil review tidak valid",IF(AND(Z221="Dikirim",OR(Y221="",AA221="")),"Isi bukti dan waktu kirim",IF(AND(AB221="Disetujui",OR(Z221&lt;&gt;"Dikirim",AC221="",AD221="")),"Lengkapi pemeriksaan",IF(AND(AB221="Perlu Perbaikan",OR(AE221="",AC221="",AD221="")),"Isi pemeriksa dan catatan perbaikan","OK")))))))))))))))),"")</f>
        <v/>
      </c>
    </row>
    <row r="222" spans="1:39" ht="24.95" customHeight="1">
      <c r="A222" s="8"/>
      <c r="B222" s="6"/>
      <c r="C222" s="15" t="str">
        <f>IF(COUNTIFS(Master_PIC!$A$8:$A$73,$B222)=1,IF(VLOOKUP($B222,Master_PIC!$A$8:$G$73,2,FALSE)="","",VLOOKUP($B222,Master_PIC!$A$8:$G$73,2,FALSE)),"")</f>
        <v/>
      </c>
      <c r="D222" s="15" t="str">
        <f>IF(COUNTIFS(Master_PIC!$A$8:$A$73,$B222)=1,IF(VLOOKUP($B222,Master_PIC!$A$8:$G$73,4,FALSE)="","",VLOOKUP($B222,Master_PIC!$A$8:$G$73,4,FALSE)),"")</f>
        <v/>
      </c>
      <c r="E222" s="15" t="str">
        <f>IF(COUNTIFS(Master_PIC!$A$8:$A$73,$B222)=1,IF(VLOOKUP($B222,Master_PIC!$A$8:$G$73,5,FALSE)="","",VLOOKUP($B222,Master_PIC!$A$8:$G$73,5,FALSE)),"")</f>
        <v/>
      </c>
      <c r="F222" s="15" t="str">
        <f>IF(COUNTIFS(Master_PIC!$A$8:$A$73,$B222)=1,IF(VLOOKUP($B222,Master_PIC!$A$8:$G$73,6,FALSE)="","",VLOOKUP($B222,Master_PIC!$A$8:$G$73,6,FALSE)),"")</f>
        <v/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8"/>
      <c r="Y222" s="5"/>
      <c r="Z222" s="5"/>
      <c r="AA222" s="9"/>
      <c r="AB222" s="5"/>
      <c r="AC222" s="5"/>
      <c r="AD222" s="9"/>
      <c r="AE222" s="5"/>
      <c r="AF222" s="7" t="str">
        <f t="shared" si="21"/>
        <v/>
      </c>
      <c r="AG222" s="7" t="str">
        <f t="shared" si="22"/>
        <v/>
      </c>
      <c r="AH222" s="7" t="str">
        <f t="shared" si="23"/>
        <v/>
      </c>
      <c r="AI222" s="7" t="str">
        <f t="shared" si="24"/>
        <v/>
      </c>
      <c r="AJ222" s="7" t="str">
        <f t="shared" si="25"/>
        <v/>
      </c>
      <c r="AK222" s="7" t="str">
        <f t="shared" si="26"/>
        <v/>
      </c>
      <c r="AL222" s="10" t="str">
        <f t="shared" si="27"/>
        <v/>
      </c>
      <c r="AM222" s="15" t="str">
        <f>IF(OR($A222&lt;&gt;"",$B222&lt;&gt;""),IF(OR($A222="",$B222=""),"Isi tanggal dan ID PIC",IF(NOT(ISNUMBER($A222)),"Tanggal harus berupa tanggal Excel",IF(COUNTIFS(Master_PIC!$A$8:$A$73,$B222)&lt;&gt;1,"ID PIC tidak unik/terdaftar",IF(VLOOKUP($B222,Master_PIC!$A$8:$G$73,3,FALSE)&lt;&gt;"Sales","Jabatan tidak sesuai sheet",IF(OR($C222="",$D222="",$E222="",$F222=""),"Lengkapi master PIC",IF(COUNTIFS($A$8:$A$507,$A222,$B$8:$B$507,$B222)&gt;1,"Laporan ganda",IF(COUNTIFS(G222:P222,"Tidak Berlaku")&gt;0,"N/A hanya untuk kegiatan bersyarat",IF(SUM(AG222,AH222,AI222,AJ222,AK222)&lt;&gt;14,"Status kegiatan tidak valid",IF(AK222&gt;0,"Lengkapi status kegiatan",IF(AND(AJ222&gt;0,U222=""),"Isi alasan Tidak Berlaku",IF(AND(SUM(AH222,AI222)&gt;0,OR(U222="",V222="",W222="",X222="")),"Isi kendala dan tindak lanjut",IF(AND(Z222&lt;&gt;"Draft",Z222&lt;&gt;"Dikirim"),"Isi status laporan yang valid",IF(AND(AB222&lt;&gt;"",AB222&lt;&gt;"Belum Diperiksa",AB222&lt;&gt;"Disetujui",AB222&lt;&gt;"Perlu Perbaikan"),"Hasil review tidak valid",IF(AND(Z222="Dikirim",OR(Y222="",AA222="")),"Isi bukti dan waktu kirim",IF(AND(AB222="Disetujui",OR(Z222&lt;&gt;"Dikirim",AC222="",AD222="")),"Lengkapi pemeriksaan",IF(AND(AB222="Perlu Perbaikan",OR(AE222="",AC222="",AD222="")),"Isi pemeriksa dan catatan perbaikan","OK")))))))))))))))),"")</f>
        <v/>
      </c>
    </row>
    <row r="223" spans="1:39" ht="24.95" customHeight="1">
      <c r="A223" s="8"/>
      <c r="B223" s="6"/>
      <c r="C223" s="15" t="str">
        <f>IF(COUNTIFS(Master_PIC!$A$8:$A$73,$B223)=1,IF(VLOOKUP($B223,Master_PIC!$A$8:$G$73,2,FALSE)="","",VLOOKUP($B223,Master_PIC!$A$8:$G$73,2,FALSE)),"")</f>
        <v/>
      </c>
      <c r="D223" s="15" t="str">
        <f>IF(COUNTIFS(Master_PIC!$A$8:$A$73,$B223)=1,IF(VLOOKUP($B223,Master_PIC!$A$8:$G$73,4,FALSE)="","",VLOOKUP($B223,Master_PIC!$A$8:$G$73,4,FALSE)),"")</f>
        <v/>
      </c>
      <c r="E223" s="15" t="str">
        <f>IF(COUNTIFS(Master_PIC!$A$8:$A$73,$B223)=1,IF(VLOOKUP($B223,Master_PIC!$A$8:$G$73,5,FALSE)="","",VLOOKUP($B223,Master_PIC!$A$8:$G$73,5,FALSE)),"")</f>
        <v/>
      </c>
      <c r="F223" s="15" t="str">
        <f>IF(COUNTIFS(Master_PIC!$A$8:$A$73,$B223)=1,IF(VLOOKUP($B223,Master_PIC!$A$8:$G$73,6,FALSE)="","",VLOOKUP($B223,Master_PIC!$A$8:$G$73,6,FALSE)),"")</f>
        <v/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8"/>
      <c r="Y223" s="5"/>
      <c r="Z223" s="5"/>
      <c r="AA223" s="9"/>
      <c r="AB223" s="5"/>
      <c r="AC223" s="5"/>
      <c r="AD223" s="9"/>
      <c r="AE223" s="5"/>
      <c r="AF223" s="7" t="str">
        <f t="shared" si="21"/>
        <v/>
      </c>
      <c r="AG223" s="7" t="str">
        <f t="shared" si="22"/>
        <v/>
      </c>
      <c r="AH223" s="7" t="str">
        <f t="shared" si="23"/>
        <v/>
      </c>
      <c r="AI223" s="7" t="str">
        <f t="shared" si="24"/>
        <v/>
      </c>
      <c r="AJ223" s="7" t="str">
        <f t="shared" si="25"/>
        <v/>
      </c>
      <c r="AK223" s="7" t="str">
        <f t="shared" si="26"/>
        <v/>
      </c>
      <c r="AL223" s="10" t="str">
        <f t="shared" si="27"/>
        <v/>
      </c>
      <c r="AM223" s="15" t="str">
        <f>IF(OR($A223&lt;&gt;"",$B223&lt;&gt;""),IF(OR($A223="",$B223=""),"Isi tanggal dan ID PIC",IF(NOT(ISNUMBER($A223)),"Tanggal harus berupa tanggal Excel",IF(COUNTIFS(Master_PIC!$A$8:$A$73,$B223)&lt;&gt;1,"ID PIC tidak unik/terdaftar",IF(VLOOKUP($B223,Master_PIC!$A$8:$G$73,3,FALSE)&lt;&gt;"Sales","Jabatan tidak sesuai sheet",IF(OR($C223="",$D223="",$E223="",$F223=""),"Lengkapi master PIC",IF(COUNTIFS($A$8:$A$507,$A223,$B$8:$B$507,$B223)&gt;1,"Laporan ganda",IF(COUNTIFS(G223:P223,"Tidak Berlaku")&gt;0,"N/A hanya untuk kegiatan bersyarat",IF(SUM(AG223,AH223,AI223,AJ223,AK223)&lt;&gt;14,"Status kegiatan tidak valid",IF(AK223&gt;0,"Lengkapi status kegiatan",IF(AND(AJ223&gt;0,U223=""),"Isi alasan Tidak Berlaku",IF(AND(SUM(AH223,AI223)&gt;0,OR(U223="",V223="",W223="",X223="")),"Isi kendala dan tindak lanjut",IF(AND(Z223&lt;&gt;"Draft",Z223&lt;&gt;"Dikirim"),"Isi status laporan yang valid",IF(AND(AB223&lt;&gt;"",AB223&lt;&gt;"Belum Diperiksa",AB223&lt;&gt;"Disetujui",AB223&lt;&gt;"Perlu Perbaikan"),"Hasil review tidak valid",IF(AND(Z223="Dikirim",OR(Y223="",AA223="")),"Isi bukti dan waktu kirim",IF(AND(AB223="Disetujui",OR(Z223&lt;&gt;"Dikirim",AC223="",AD223="")),"Lengkapi pemeriksaan",IF(AND(AB223="Perlu Perbaikan",OR(AE223="",AC223="",AD223="")),"Isi pemeriksa dan catatan perbaikan","OK")))))))))))))))),"")</f>
        <v/>
      </c>
    </row>
    <row r="224" spans="1:39" ht="24.95" customHeight="1">
      <c r="A224" s="8"/>
      <c r="B224" s="6"/>
      <c r="C224" s="15" t="str">
        <f>IF(COUNTIFS(Master_PIC!$A$8:$A$73,$B224)=1,IF(VLOOKUP($B224,Master_PIC!$A$8:$G$73,2,FALSE)="","",VLOOKUP($B224,Master_PIC!$A$8:$G$73,2,FALSE)),"")</f>
        <v/>
      </c>
      <c r="D224" s="15" t="str">
        <f>IF(COUNTIFS(Master_PIC!$A$8:$A$73,$B224)=1,IF(VLOOKUP($B224,Master_PIC!$A$8:$G$73,4,FALSE)="","",VLOOKUP($B224,Master_PIC!$A$8:$G$73,4,FALSE)),"")</f>
        <v/>
      </c>
      <c r="E224" s="15" t="str">
        <f>IF(COUNTIFS(Master_PIC!$A$8:$A$73,$B224)=1,IF(VLOOKUP($B224,Master_PIC!$A$8:$G$73,5,FALSE)="","",VLOOKUP($B224,Master_PIC!$A$8:$G$73,5,FALSE)),"")</f>
        <v/>
      </c>
      <c r="F224" s="15" t="str">
        <f>IF(COUNTIFS(Master_PIC!$A$8:$A$73,$B224)=1,IF(VLOOKUP($B224,Master_PIC!$A$8:$G$73,6,FALSE)="","",VLOOKUP($B224,Master_PIC!$A$8:$G$73,6,FALSE)),"")</f>
        <v/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8"/>
      <c r="Y224" s="5"/>
      <c r="Z224" s="5"/>
      <c r="AA224" s="9"/>
      <c r="AB224" s="5"/>
      <c r="AC224" s="5"/>
      <c r="AD224" s="9"/>
      <c r="AE224" s="5"/>
      <c r="AF224" s="7" t="str">
        <f t="shared" si="21"/>
        <v/>
      </c>
      <c r="AG224" s="7" t="str">
        <f t="shared" si="22"/>
        <v/>
      </c>
      <c r="AH224" s="7" t="str">
        <f t="shared" si="23"/>
        <v/>
      </c>
      <c r="AI224" s="7" t="str">
        <f t="shared" si="24"/>
        <v/>
      </c>
      <c r="AJ224" s="7" t="str">
        <f t="shared" si="25"/>
        <v/>
      </c>
      <c r="AK224" s="7" t="str">
        <f t="shared" si="26"/>
        <v/>
      </c>
      <c r="AL224" s="10" t="str">
        <f t="shared" si="27"/>
        <v/>
      </c>
      <c r="AM224" s="15" t="str">
        <f>IF(OR($A224&lt;&gt;"",$B224&lt;&gt;""),IF(OR($A224="",$B224=""),"Isi tanggal dan ID PIC",IF(NOT(ISNUMBER($A224)),"Tanggal harus berupa tanggal Excel",IF(COUNTIFS(Master_PIC!$A$8:$A$73,$B224)&lt;&gt;1,"ID PIC tidak unik/terdaftar",IF(VLOOKUP($B224,Master_PIC!$A$8:$G$73,3,FALSE)&lt;&gt;"Sales","Jabatan tidak sesuai sheet",IF(OR($C224="",$D224="",$E224="",$F224=""),"Lengkapi master PIC",IF(COUNTIFS($A$8:$A$507,$A224,$B$8:$B$507,$B224)&gt;1,"Laporan ganda",IF(COUNTIFS(G224:P224,"Tidak Berlaku")&gt;0,"N/A hanya untuk kegiatan bersyarat",IF(SUM(AG224,AH224,AI224,AJ224,AK224)&lt;&gt;14,"Status kegiatan tidak valid",IF(AK224&gt;0,"Lengkapi status kegiatan",IF(AND(AJ224&gt;0,U224=""),"Isi alasan Tidak Berlaku",IF(AND(SUM(AH224,AI224)&gt;0,OR(U224="",V224="",W224="",X224="")),"Isi kendala dan tindak lanjut",IF(AND(Z224&lt;&gt;"Draft",Z224&lt;&gt;"Dikirim"),"Isi status laporan yang valid",IF(AND(AB224&lt;&gt;"",AB224&lt;&gt;"Belum Diperiksa",AB224&lt;&gt;"Disetujui",AB224&lt;&gt;"Perlu Perbaikan"),"Hasil review tidak valid",IF(AND(Z224="Dikirim",OR(Y224="",AA224="")),"Isi bukti dan waktu kirim",IF(AND(AB224="Disetujui",OR(Z224&lt;&gt;"Dikirim",AC224="",AD224="")),"Lengkapi pemeriksaan",IF(AND(AB224="Perlu Perbaikan",OR(AE224="",AC224="",AD224="")),"Isi pemeriksa dan catatan perbaikan","OK")))))))))))))))),"")</f>
        <v/>
      </c>
    </row>
    <row r="225" spans="1:39" ht="24.95" customHeight="1">
      <c r="A225" s="8"/>
      <c r="B225" s="6"/>
      <c r="C225" s="15" t="str">
        <f>IF(COUNTIFS(Master_PIC!$A$8:$A$73,$B225)=1,IF(VLOOKUP($B225,Master_PIC!$A$8:$G$73,2,FALSE)="","",VLOOKUP($B225,Master_PIC!$A$8:$G$73,2,FALSE)),"")</f>
        <v/>
      </c>
      <c r="D225" s="15" t="str">
        <f>IF(COUNTIFS(Master_PIC!$A$8:$A$73,$B225)=1,IF(VLOOKUP($B225,Master_PIC!$A$8:$G$73,4,FALSE)="","",VLOOKUP($B225,Master_PIC!$A$8:$G$73,4,FALSE)),"")</f>
        <v/>
      </c>
      <c r="E225" s="15" t="str">
        <f>IF(COUNTIFS(Master_PIC!$A$8:$A$73,$B225)=1,IF(VLOOKUP($B225,Master_PIC!$A$8:$G$73,5,FALSE)="","",VLOOKUP($B225,Master_PIC!$A$8:$G$73,5,FALSE)),"")</f>
        <v/>
      </c>
      <c r="F225" s="15" t="str">
        <f>IF(COUNTIFS(Master_PIC!$A$8:$A$73,$B225)=1,IF(VLOOKUP($B225,Master_PIC!$A$8:$G$73,6,FALSE)="","",VLOOKUP($B225,Master_PIC!$A$8:$G$73,6,FALSE)),"")</f>
        <v/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8"/>
      <c r="Y225" s="5"/>
      <c r="Z225" s="5"/>
      <c r="AA225" s="9"/>
      <c r="AB225" s="5"/>
      <c r="AC225" s="5"/>
      <c r="AD225" s="9"/>
      <c r="AE225" s="5"/>
      <c r="AF225" s="7" t="str">
        <f t="shared" si="21"/>
        <v/>
      </c>
      <c r="AG225" s="7" t="str">
        <f t="shared" si="22"/>
        <v/>
      </c>
      <c r="AH225" s="7" t="str">
        <f t="shared" si="23"/>
        <v/>
      </c>
      <c r="AI225" s="7" t="str">
        <f t="shared" si="24"/>
        <v/>
      </c>
      <c r="AJ225" s="7" t="str">
        <f t="shared" si="25"/>
        <v/>
      </c>
      <c r="AK225" s="7" t="str">
        <f t="shared" si="26"/>
        <v/>
      </c>
      <c r="AL225" s="10" t="str">
        <f t="shared" si="27"/>
        <v/>
      </c>
      <c r="AM225" s="15" t="str">
        <f>IF(OR($A225&lt;&gt;"",$B225&lt;&gt;""),IF(OR($A225="",$B225=""),"Isi tanggal dan ID PIC",IF(NOT(ISNUMBER($A225)),"Tanggal harus berupa tanggal Excel",IF(COUNTIFS(Master_PIC!$A$8:$A$73,$B225)&lt;&gt;1,"ID PIC tidak unik/terdaftar",IF(VLOOKUP($B225,Master_PIC!$A$8:$G$73,3,FALSE)&lt;&gt;"Sales","Jabatan tidak sesuai sheet",IF(OR($C225="",$D225="",$E225="",$F225=""),"Lengkapi master PIC",IF(COUNTIFS($A$8:$A$507,$A225,$B$8:$B$507,$B225)&gt;1,"Laporan ganda",IF(COUNTIFS(G225:P225,"Tidak Berlaku")&gt;0,"N/A hanya untuk kegiatan bersyarat",IF(SUM(AG225,AH225,AI225,AJ225,AK225)&lt;&gt;14,"Status kegiatan tidak valid",IF(AK225&gt;0,"Lengkapi status kegiatan",IF(AND(AJ225&gt;0,U225=""),"Isi alasan Tidak Berlaku",IF(AND(SUM(AH225,AI225)&gt;0,OR(U225="",V225="",W225="",X225="")),"Isi kendala dan tindak lanjut",IF(AND(Z225&lt;&gt;"Draft",Z225&lt;&gt;"Dikirim"),"Isi status laporan yang valid",IF(AND(AB225&lt;&gt;"",AB225&lt;&gt;"Belum Diperiksa",AB225&lt;&gt;"Disetujui",AB225&lt;&gt;"Perlu Perbaikan"),"Hasil review tidak valid",IF(AND(Z225="Dikirim",OR(Y225="",AA225="")),"Isi bukti dan waktu kirim",IF(AND(AB225="Disetujui",OR(Z225&lt;&gt;"Dikirim",AC225="",AD225="")),"Lengkapi pemeriksaan",IF(AND(AB225="Perlu Perbaikan",OR(AE225="",AC225="",AD225="")),"Isi pemeriksa dan catatan perbaikan","OK")))))))))))))))),"")</f>
        <v/>
      </c>
    </row>
    <row r="226" spans="1:39" ht="24.95" customHeight="1">
      <c r="A226" s="8"/>
      <c r="B226" s="6"/>
      <c r="C226" s="15" t="str">
        <f>IF(COUNTIFS(Master_PIC!$A$8:$A$73,$B226)=1,IF(VLOOKUP($B226,Master_PIC!$A$8:$G$73,2,FALSE)="","",VLOOKUP($B226,Master_PIC!$A$8:$G$73,2,FALSE)),"")</f>
        <v/>
      </c>
      <c r="D226" s="15" t="str">
        <f>IF(COUNTIFS(Master_PIC!$A$8:$A$73,$B226)=1,IF(VLOOKUP($B226,Master_PIC!$A$8:$G$73,4,FALSE)="","",VLOOKUP($B226,Master_PIC!$A$8:$G$73,4,FALSE)),"")</f>
        <v/>
      </c>
      <c r="E226" s="15" t="str">
        <f>IF(COUNTIFS(Master_PIC!$A$8:$A$73,$B226)=1,IF(VLOOKUP($B226,Master_PIC!$A$8:$G$73,5,FALSE)="","",VLOOKUP($B226,Master_PIC!$A$8:$G$73,5,FALSE)),"")</f>
        <v/>
      </c>
      <c r="F226" s="15" t="str">
        <f>IF(COUNTIFS(Master_PIC!$A$8:$A$73,$B226)=1,IF(VLOOKUP($B226,Master_PIC!$A$8:$G$73,6,FALSE)="","",VLOOKUP($B226,Master_PIC!$A$8:$G$73,6,FALSE)),"")</f>
        <v/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8"/>
      <c r="Y226" s="5"/>
      <c r="Z226" s="5"/>
      <c r="AA226" s="9"/>
      <c r="AB226" s="5"/>
      <c r="AC226" s="5"/>
      <c r="AD226" s="9"/>
      <c r="AE226" s="5"/>
      <c r="AF226" s="7" t="str">
        <f t="shared" si="21"/>
        <v/>
      </c>
      <c r="AG226" s="7" t="str">
        <f t="shared" si="22"/>
        <v/>
      </c>
      <c r="AH226" s="7" t="str">
        <f t="shared" si="23"/>
        <v/>
      </c>
      <c r="AI226" s="7" t="str">
        <f t="shared" si="24"/>
        <v/>
      </c>
      <c r="AJ226" s="7" t="str">
        <f t="shared" si="25"/>
        <v/>
      </c>
      <c r="AK226" s="7" t="str">
        <f t="shared" si="26"/>
        <v/>
      </c>
      <c r="AL226" s="10" t="str">
        <f t="shared" si="27"/>
        <v/>
      </c>
      <c r="AM226" s="15" t="str">
        <f>IF(OR($A226&lt;&gt;"",$B226&lt;&gt;""),IF(OR($A226="",$B226=""),"Isi tanggal dan ID PIC",IF(NOT(ISNUMBER($A226)),"Tanggal harus berupa tanggal Excel",IF(COUNTIFS(Master_PIC!$A$8:$A$73,$B226)&lt;&gt;1,"ID PIC tidak unik/terdaftar",IF(VLOOKUP($B226,Master_PIC!$A$8:$G$73,3,FALSE)&lt;&gt;"Sales","Jabatan tidak sesuai sheet",IF(OR($C226="",$D226="",$E226="",$F226=""),"Lengkapi master PIC",IF(COUNTIFS($A$8:$A$507,$A226,$B$8:$B$507,$B226)&gt;1,"Laporan ganda",IF(COUNTIFS(G226:P226,"Tidak Berlaku")&gt;0,"N/A hanya untuk kegiatan bersyarat",IF(SUM(AG226,AH226,AI226,AJ226,AK226)&lt;&gt;14,"Status kegiatan tidak valid",IF(AK226&gt;0,"Lengkapi status kegiatan",IF(AND(AJ226&gt;0,U226=""),"Isi alasan Tidak Berlaku",IF(AND(SUM(AH226,AI226)&gt;0,OR(U226="",V226="",W226="",X226="")),"Isi kendala dan tindak lanjut",IF(AND(Z226&lt;&gt;"Draft",Z226&lt;&gt;"Dikirim"),"Isi status laporan yang valid",IF(AND(AB226&lt;&gt;"",AB226&lt;&gt;"Belum Diperiksa",AB226&lt;&gt;"Disetujui",AB226&lt;&gt;"Perlu Perbaikan"),"Hasil review tidak valid",IF(AND(Z226="Dikirim",OR(Y226="",AA226="")),"Isi bukti dan waktu kirim",IF(AND(AB226="Disetujui",OR(Z226&lt;&gt;"Dikirim",AC226="",AD226="")),"Lengkapi pemeriksaan",IF(AND(AB226="Perlu Perbaikan",OR(AE226="",AC226="",AD226="")),"Isi pemeriksa dan catatan perbaikan","OK")))))))))))))))),"")</f>
        <v/>
      </c>
    </row>
    <row r="227" spans="1:39" ht="24.95" customHeight="1">
      <c r="A227" s="8"/>
      <c r="B227" s="6"/>
      <c r="C227" s="15" t="str">
        <f>IF(COUNTIFS(Master_PIC!$A$8:$A$73,$B227)=1,IF(VLOOKUP($B227,Master_PIC!$A$8:$G$73,2,FALSE)="","",VLOOKUP($B227,Master_PIC!$A$8:$G$73,2,FALSE)),"")</f>
        <v/>
      </c>
      <c r="D227" s="15" t="str">
        <f>IF(COUNTIFS(Master_PIC!$A$8:$A$73,$B227)=1,IF(VLOOKUP($B227,Master_PIC!$A$8:$G$73,4,FALSE)="","",VLOOKUP($B227,Master_PIC!$A$8:$G$73,4,FALSE)),"")</f>
        <v/>
      </c>
      <c r="E227" s="15" t="str">
        <f>IF(COUNTIFS(Master_PIC!$A$8:$A$73,$B227)=1,IF(VLOOKUP($B227,Master_PIC!$A$8:$G$73,5,FALSE)="","",VLOOKUP($B227,Master_PIC!$A$8:$G$73,5,FALSE)),"")</f>
        <v/>
      </c>
      <c r="F227" s="15" t="str">
        <f>IF(COUNTIFS(Master_PIC!$A$8:$A$73,$B227)=1,IF(VLOOKUP($B227,Master_PIC!$A$8:$G$73,6,FALSE)="","",VLOOKUP($B227,Master_PIC!$A$8:$G$73,6,FALSE)),"")</f>
        <v/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8"/>
      <c r="Y227" s="5"/>
      <c r="Z227" s="5"/>
      <c r="AA227" s="9"/>
      <c r="AB227" s="5"/>
      <c r="AC227" s="5"/>
      <c r="AD227" s="9"/>
      <c r="AE227" s="5"/>
      <c r="AF227" s="7" t="str">
        <f t="shared" si="21"/>
        <v/>
      </c>
      <c r="AG227" s="7" t="str">
        <f t="shared" si="22"/>
        <v/>
      </c>
      <c r="AH227" s="7" t="str">
        <f t="shared" si="23"/>
        <v/>
      </c>
      <c r="AI227" s="7" t="str">
        <f t="shared" si="24"/>
        <v/>
      </c>
      <c r="AJ227" s="7" t="str">
        <f t="shared" si="25"/>
        <v/>
      </c>
      <c r="AK227" s="7" t="str">
        <f t="shared" si="26"/>
        <v/>
      </c>
      <c r="AL227" s="10" t="str">
        <f t="shared" si="27"/>
        <v/>
      </c>
      <c r="AM227" s="15" t="str">
        <f>IF(OR($A227&lt;&gt;"",$B227&lt;&gt;""),IF(OR($A227="",$B227=""),"Isi tanggal dan ID PIC",IF(NOT(ISNUMBER($A227)),"Tanggal harus berupa tanggal Excel",IF(COUNTIFS(Master_PIC!$A$8:$A$73,$B227)&lt;&gt;1,"ID PIC tidak unik/terdaftar",IF(VLOOKUP($B227,Master_PIC!$A$8:$G$73,3,FALSE)&lt;&gt;"Sales","Jabatan tidak sesuai sheet",IF(OR($C227="",$D227="",$E227="",$F227=""),"Lengkapi master PIC",IF(COUNTIFS($A$8:$A$507,$A227,$B$8:$B$507,$B227)&gt;1,"Laporan ganda",IF(COUNTIFS(G227:P227,"Tidak Berlaku")&gt;0,"N/A hanya untuk kegiatan bersyarat",IF(SUM(AG227,AH227,AI227,AJ227,AK227)&lt;&gt;14,"Status kegiatan tidak valid",IF(AK227&gt;0,"Lengkapi status kegiatan",IF(AND(AJ227&gt;0,U227=""),"Isi alasan Tidak Berlaku",IF(AND(SUM(AH227,AI227)&gt;0,OR(U227="",V227="",W227="",X227="")),"Isi kendala dan tindak lanjut",IF(AND(Z227&lt;&gt;"Draft",Z227&lt;&gt;"Dikirim"),"Isi status laporan yang valid",IF(AND(AB227&lt;&gt;"",AB227&lt;&gt;"Belum Diperiksa",AB227&lt;&gt;"Disetujui",AB227&lt;&gt;"Perlu Perbaikan"),"Hasil review tidak valid",IF(AND(Z227="Dikirim",OR(Y227="",AA227="")),"Isi bukti dan waktu kirim",IF(AND(AB227="Disetujui",OR(Z227&lt;&gt;"Dikirim",AC227="",AD227="")),"Lengkapi pemeriksaan",IF(AND(AB227="Perlu Perbaikan",OR(AE227="",AC227="",AD227="")),"Isi pemeriksa dan catatan perbaikan","OK")))))))))))))))),"")</f>
        <v/>
      </c>
    </row>
    <row r="228" spans="1:39" ht="24.95" customHeight="1">
      <c r="A228" s="8"/>
      <c r="B228" s="6"/>
      <c r="C228" s="15" t="str">
        <f>IF(COUNTIFS(Master_PIC!$A$8:$A$73,$B228)=1,IF(VLOOKUP($B228,Master_PIC!$A$8:$G$73,2,FALSE)="","",VLOOKUP($B228,Master_PIC!$A$8:$G$73,2,FALSE)),"")</f>
        <v/>
      </c>
      <c r="D228" s="15" t="str">
        <f>IF(COUNTIFS(Master_PIC!$A$8:$A$73,$B228)=1,IF(VLOOKUP($B228,Master_PIC!$A$8:$G$73,4,FALSE)="","",VLOOKUP($B228,Master_PIC!$A$8:$G$73,4,FALSE)),"")</f>
        <v/>
      </c>
      <c r="E228" s="15" t="str">
        <f>IF(COUNTIFS(Master_PIC!$A$8:$A$73,$B228)=1,IF(VLOOKUP($B228,Master_PIC!$A$8:$G$73,5,FALSE)="","",VLOOKUP($B228,Master_PIC!$A$8:$G$73,5,FALSE)),"")</f>
        <v/>
      </c>
      <c r="F228" s="15" t="str">
        <f>IF(COUNTIFS(Master_PIC!$A$8:$A$73,$B228)=1,IF(VLOOKUP($B228,Master_PIC!$A$8:$G$73,6,FALSE)="","",VLOOKUP($B228,Master_PIC!$A$8:$G$73,6,FALSE)),"")</f>
        <v/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8"/>
      <c r="Y228" s="5"/>
      <c r="Z228" s="5"/>
      <c r="AA228" s="9"/>
      <c r="AB228" s="5"/>
      <c r="AC228" s="5"/>
      <c r="AD228" s="9"/>
      <c r="AE228" s="5"/>
      <c r="AF228" s="7" t="str">
        <f t="shared" si="21"/>
        <v/>
      </c>
      <c r="AG228" s="7" t="str">
        <f t="shared" si="22"/>
        <v/>
      </c>
      <c r="AH228" s="7" t="str">
        <f t="shared" si="23"/>
        <v/>
      </c>
      <c r="AI228" s="7" t="str">
        <f t="shared" si="24"/>
        <v/>
      </c>
      <c r="AJ228" s="7" t="str">
        <f t="shared" si="25"/>
        <v/>
      </c>
      <c r="AK228" s="7" t="str">
        <f t="shared" si="26"/>
        <v/>
      </c>
      <c r="AL228" s="10" t="str">
        <f t="shared" si="27"/>
        <v/>
      </c>
      <c r="AM228" s="15" t="str">
        <f>IF(OR($A228&lt;&gt;"",$B228&lt;&gt;""),IF(OR($A228="",$B228=""),"Isi tanggal dan ID PIC",IF(NOT(ISNUMBER($A228)),"Tanggal harus berupa tanggal Excel",IF(COUNTIFS(Master_PIC!$A$8:$A$73,$B228)&lt;&gt;1,"ID PIC tidak unik/terdaftar",IF(VLOOKUP($B228,Master_PIC!$A$8:$G$73,3,FALSE)&lt;&gt;"Sales","Jabatan tidak sesuai sheet",IF(OR($C228="",$D228="",$E228="",$F228=""),"Lengkapi master PIC",IF(COUNTIFS($A$8:$A$507,$A228,$B$8:$B$507,$B228)&gt;1,"Laporan ganda",IF(COUNTIFS(G228:P228,"Tidak Berlaku")&gt;0,"N/A hanya untuk kegiatan bersyarat",IF(SUM(AG228,AH228,AI228,AJ228,AK228)&lt;&gt;14,"Status kegiatan tidak valid",IF(AK228&gt;0,"Lengkapi status kegiatan",IF(AND(AJ228&gt;0,U228=""),"Isi alasan Tidak Berlaku",IF(AND(SUM(AH228,AI228)&gt;0,OR(U228="",V228="",W228="",X228="")),"Isi kendala dan tindak lanjut",IF(AND(Z228&lt;&gt;"Draft",Z228&lt;&gt;"Dikirim"),"Isi status laporan yang valid",IF(AND(AB228&lt;&gt;"",AB228&lt;&gt;"Belum Diperiksa",AB228&lt;&gt;"Disetujui",AB228&lt;&gt;"Perlu Perbaikan"),"Hasil review tidak valid",IF(AND(Z228="Dikirim",OR(Y228="",AA228="")),"Isi bukti dan waktu kirim",IF(AND(AB228="Disetujui",OR(Z228&lt;&gt;"Dikirim",AC228="",AD228="")),"Lengkapi pemeriksaan",IF(AND(AB228="Perlu Perbaikan",OR(AE228="",AC228="",AD228="")),"Isi pemeriksa dan catatan perbaikan","OK")))))))))))))))),"")</f>
        <v/>
      </c>
    </row>
    <row r="229" spans="1:39" ht="24.95" customHeight="1">
      <c r="A229" s="8"/>
      <c r="B229" s="6"/>
      <c r="C229" s="15" t="str">
        <f>IF(COUNTIFS(Master_PIC!$A$8:$A$73,$B229)=1,IF(VLOOKUP($B229,Master_PIC!$A$8:$G$73,2,FALSE)="","",VLOOKUP($B229,Master_PIC!$A$8:$G$73,2,FALSE)),"")</f>
        <v/>
      </c>
      <c r="D229" s="15" t="str">
        <f>IF(COUNTIFS(Master_PIC!$A$8:$A$73,$B229)=1,IF(VLOOKUP($B229,Master_PIC!$A$8:$G$73,4,FALSE)="","",VLOOKUP($B229,Master_PIC!$A$8:$G$73,4,FALSE)),"")</f>
        <v/>
      </c>
      <c r="E229" s="15" t="str">
        <f>IF(COUNTIFS(Master_PIC!$A$8:$A$73,$B229)=1,IF(VLOOKUP($B229,Master_PIC!$A$8:$G$73,5,FALSE)="","",VLOOKUP($B229,Master_PIC!$A$8:$G$73,5,FALSE)),"")</f>
        <v/>
      </c>
      <c r="F229" s="15" t="str">
        <f>IF(COUNTIFS(Master_PIC!$A$8:$A$73,$B229)=1,IF(VLOOKUP($B229,Master_PIC!$A$8:$G$73,6,FALSE)="","",VLOOKUP($B229,Master_PIC!$A$8:$G$73,6,FALSE)),"")</f>
        <v/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8"/>
      <c r="Y229" s="5"/>
      <c r="Z229" s="5"/>
      <c r="AA229" s="9"/>
      <c r="AB229" s="5"/>
      <c r="AC229" s="5"/>
      <c r="AD229" s="9"/>
      <c r="AE229" s="5"/>
      <c r="AF229" s="7" t="str">
        <f t="shared" si="21"/>
        <v/>
      </c>
      <c r="AG229" s="7" t="str">
        <f t="shared" si="22"/>
        <v/>
      </c>
      <c r="AH229" s="7" t="str">
        <f t="shared" si="23"/>
        <v/>
      </c>
      <c r="AI229" s="7" t="str">
        <f t="shared" si="24"/>
        <v/>
      </c>
      <c r="AJ229" s="7" t="str">
        <f t="shared" si="25"/>
        <v/>
      </c>
      <c r="AK229" s="7" t="str">
        <f t="shared" si="26"/>
        <v/>
      </c>
      <c r="AL229" s="10" t="str">
        <f t="shared" si="27"/>
        <v/>
      </c>
      <c r="AM229" s="15" t="str">
        <f>IF(OR($A229&lt;&gt;"",$B229&lt;&gt;""),IF(OR($A229="",$B229=""),"Isi tanggal dan ID PIC",IF(NOT(ISNUMBER($A229)),"Tanggal harus berupa tanggal Excel",IF(COUNTIFS(Master_PIC!$A$8:$A$73,$B229)&lt;&gt;1,"ID PIC tidak unik/terdaftar",IF(VLOOKUP($B229,Master_PIC!$A$8:$G$73,3,FALSE)&lt;&gt;"Sales","Jabatan tidak sesuai sheet",IF(OR($C229="",$D229="",$E229="",$F229=""),"Lengkapi master PIC",IF(COUNTIFS($A$8:$A$507,$A229,$B$8:$B$507,$B229)&gt;1,"Laporan ganda",IF(COUNTIFS(G229:P229,"Tidak Berlaku")&gt;0,"N/A hanya untuk kegiatan bersyarat",IF(SUM(AG229,AH229,AI229,AJ229,AK229)&lt;&gt;14,"Status kegiatan tidak valid",IF(AK229&gt;0,"Lengkapi status kegiatan",IF(AND(AJ229&gt;0,U229=""),"Isi alasan Tidak Berlaku",IF(AND(SUM(AH229,AI229)&gt;0,OR(U229="",V229="",W229="",X229="")),"Isi kendala dan tindak lanjut",IF(AND(Z229&lt;&gt;"Draft",Z229&lt;&gt;"Dikirim"),"Isi status laporan yang valid",IF(AND(AB229&lt;&gt;"",AB229&lt;&gt;"Belum Diperiksa",AB229&lt;&gt;"Disetujui",AB229&lt;&gt;"Perlu Perbaikan"),"Hasil review tidak valid",IF(AND(Z229="Dikirim",OR(Y229="",AA229="")),"Isi bukti dan waktu kirim",IF(AND(AB229="Disetujui",OR(Z229&lt;&gt;"Dikirim",AC229="",AD229="")),"Lengkapi pemeriksaan",IF(AND(AB229="Perlu Perbaikan",OR(AE229="",AC229="",AD229="")),"Isi pemeriksa dan catatan perbaikan","OK")))))))))))))))),"")</f>
        <v/>
      </c>
    </row>
    <row r="230" spans="1:39" ht="24.95" customHeight="1">
      <c r="A230" s="8"/>
      <c r="B230" s="6"/>
      <c r="C230" s="15" t="str">
        <f>IF(COUNTIFS(Master_PIC!$A$8:$A$73,$B230)=1,IF(VLOOKUP($B230,Master_PIC!$A$8:$G$73,2,FALSE)="","",VLOOKUP($B230,Master_PIC!$A$8:$G$73,2,FALSE)),"")</f>
        <v/>
      </c>
      <c r="D230" s="15" t="str">
        <f>IF(COUNTIFS(Master_PIC!$A$8:$A$73,$B230)=1,IF(VLOOKUP($B230,Master_PIC!$A$8:$G$73,4,FALSE)="","",VLOOKUP($B230,Master_PIC!$A$8:$G$73,4,FALSE)),"")</f>
        <v/>
      </c>
      <c r="E230" s="15" t="str">
        <f>IF(COUNTIFS(Master_PIC!$A$8:$A$73,$B230)=1,IF(VLOOKUP($B230,Master_PIC!$A$8:$G$73,5,FALSE)="","",VLOOKUP($B230,Master_PIC!$A$8:$G$73,5,FALSE)),"")</f>
        <v/>
      </c>
      <c r="F230" s="15" t="str">
        <f>IF(COUNTIFS(Master_PIC!$A$8:$A$73,$B230)=1,IF(VLOOKUP($B230,Master_PIC!$A$8:$G$73,6,FALSE)="","",VLOOKUP($B230,Master_PIC!$A$8:$G$73,6,FALSE)),"")</f>
        <v/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8"/>
      <c r="Y230" s="5"/>
      <c r="Z230" s="5"/>
      <c r="AA230" s="9"/>
      <c r="AB230" s="5"/>
      <c r="AC230" s="5"/>
      <c r="AD230" s="9"/>
      <c r="AE230" s="5"/>
      <c r="AF230" s="7" t="str">
        <f t="shared" si="21"/>
        <v/>
      </c>
      <c r="AG230" s="7" t="str">
        <f t="shared" si="22"/>
        <v/>
      </c>
      <c r="AH230" s="7" t="str">
        <f t="shared" si="23"/>
        <v/>
      </c>
      <c r="AI230" s="7" t="str">
        <f t="shared" si="24"/>
        <v/>
      </c>
      <c r="AJ230" s="7" t="str">
        <f t="shared" si="25"/>
        <v/>
      </c>
      <c r="AK230" s="7" t="str">
        <f t="shared" si="26"/>
        <v/>
      </c>
      <c r="AL230" s="10" t="str">
        <f t="shared" si="27"/>
        <v/>
      </c>
      <c r="AM230" s="15" t="str">
        <f>IF(OR($A230&lt;&gt;"",$B230&lt;&gt;""),IF(OR($A230="",$B230=""),"Isi tanggal dan ID PIC",IF(NOT(ISNUMBER($A230)),"Tanggal harus berupa tanggal Excel",IF(COUNTIFS(Master_PIC!$A$8:$A$73,$B230)&lt;&gt;1,"ID PIC tidak unik/terdaftar",IF(VLOOKUP($B230,Master_PIC!$A$8:$G$73,3,FALSE)&lt;&gt;"Sales","Jabatan tidak sesuai sheet",IF(OR($C230="",$D230="",$E230="",$F230=""),"Lengkapi master PIC",IF(COUNTIFS($A$8:$A$507,$A230,$B$8:$B$507,$B230)&gt;1,"Laporan ganda",IF(COUNTIFS(G230:P230,"Tidak Berlaku")&gt;0,"N/A hanya untuk kegiatan bersyarat",IF(SUM(AG230,AH230,AI230,AJ230,AK230)&lt;&gt;14,"Status kegiatan tidak valid",IF(AK230&gt;0,"Lengkapi status kegiatan",IF(AND(AJ230&gt;0,U230=""),"Isi alasan Tidak Berlaku",IF(AND(SUM(AH230,AI230)&gt;0,OR(U230="",V230="",W230="",X230="")),"Isi kendala dan tindak lanjut",IF(AND(Z230&lt;&gt;"Draft",Z230&lt;&gt;"Dikirim"),"Isi status laporan yang valid",IF(AND(AB230&lt;&gt;"",AB230&lt;&gt;"Belum Diperiksa",AB230&lt;&gt;"Disetujui",AB230&lt;&gt;"Perlu Perbaikan"),"Hasil review tidak valid",IF(AND(Z230="Dikirim",OR(Y230="",AA230="")),"Isi bukti dan waktu kirim",IF(AND(AB230="Disetujui",OR(Z230&lt;&gt;"Dikirim",AC230="",AD230="")),"Lengkapi pemeriksaan",IF(AND(AB230="Perlu Perbaikan",OR(AE230="",AC230="",AD230="")),"Isi pemeriksa dan catatan perbaikan","OK")))))))))))))))),"")</f>
        <v/>
      </c>
    </row>
    <row r="231" spans="1:39" ht="24.95" customHeight="1">
      <c r="A231" s="8"/>
      <c r="B231" s="6"/>
      <c r="C231" s="15" t="str">
        <f>IF(COUNTIFS(Master_PIC!$A$8:$A$73,$B231)=1,IF(VLOOKUP($B231,Master_PIC!$A$8:$G$73,2,FALSE)="","",VLOOKUP($B231,Master_PIC!$A$8:$G$73,2,FALSE)),"")</f>
        <v/>
      </c>
      <c r="D231" s="15" t="str">
        <f>IF(COUNTIFS(Master_PIC!$A$8:$A$73,$B231)=1,IF(VLOOKUP($B231,Master_PIC!$A$8:$G$73,4,FALSE)="","",VLOOKUP($B231,Master_PIC!$A$8:$G$73,4,FALSE)),"")</f>
        <v/>
      </c>
      <c r="E231" s="15" t="str">
        <f>IF(COUNTIFS(Master_PIC!$A$8:$A$73,$B231)=1,IF(VLOOKUP($B231,Master_PIC!$A$8:$G$73,5,FALSE)="","",VLOOKUP($B231,Master_PIC!$A$8:$G$73,5,FALSE)),"")</f>
        <v/>
      </c>
      <c r="F231" s="15" t="str">
        <f>IF(COUNTIFS(Master_PIC!$A$8:$A$73,$B231)=1,IF(VLOOKUP($B231,Master_PIC!$A$8:$G$73,6,FALSE)="","",VLOOKUP($B231,Master_PIC!$A$8:$G$73,6,FALSE)),"")</f>
        <v/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8"/>
      <c r="Y231" s="5"/>
      <c r="Z231" s="5"/>
      <c r="AA231" s="9"/>
      <c r="AB231" s="5"/>
      <c r="AC231" s="5"/>
      <c r="AD231" s="9"/>
      <c r="AE231" s="5"/>
      <c r="AF231" s="7" t="str">
        <f t="shared" si="21"/>
        <v/>
      </c>
      <c r="AG231" s="7" t="str">
        <f t="shared" si="22"/>
        <v/>
      </c>
      <c r="AH231" s="7" t="str">
        <f t="shared" si="23"/>
        <v/>
      </c>
      <c r="AI231" s="7" t="str">
        <f t="shared" si="24"/>
        <v/>
      </c>
      <c r="AJ231" s="7" t="str">
        <f t="shared" si="25"/>
        <v/>
      </c>
      <c r="AK231" s="7" t="str">
        <f t="shared" si="26"/>
        <v/>
      </c>
      <c r="AL231" s="10" t="str">
        <f t="shared" si="27"/>
        <v/>
      </c>
      <c r="AM231" s="15" t="str">
        <f>IF(OR($A231&lt;&gt;"",$B231&lt;&gt;""),IF(OR($A231="",$B231=""),"Isi tanggal dan ID PIC",IF(NOT(ISNUMBER($A231)),"Tanggal harus berupa tanggal Excel",IF(COUNTIFS(Master_PIC!$A$8:$A$73,$B231)&lt;&gt;1,"ID PIC tidak unik/terdaftar",IF(VLOOKUP($B231,Master_PIC!$A$8:$G$73,3,FALSE)&lt;&gt;"Sales","Jabatan tidak sesuai sheet",IF(OR($C231="",$D231="",$E231="",$F231=""),"Lengkapi master PIC",IF(COUNTIFS($A$8:$A$507,$A231,$B$8:$B$507,$B231)&gt;1,"Laporan ganda",IF(COUNTIFS(G231:P231,"Tidak Berlaku")&gt;0,"N/A hanya untuk kegiatan bersyarat",IF(SUM(AG231,AH231,AI231,AJ231,AK231)&lt;&gt;14,"Status kegiatan tidak valid",IF(AK231&gt;0,"Lengkapi status kegiatan",IF(AND(AJ231&gt;0,U231=""),"Isi alasan Tidak Berlaku",IF(AND(SUM(AH231,AI231)&gt;0,OR(U231="",V231="",W231="",X231="")),"Isi kendala dan tindak lanjut",IF(AND(Z231&lt;&gt;"Draft",Z231&lt;&gt;"Dikirim"),"Isi status laporan yang valid",IF(AND(AB231&lt;&gt;"",AB231&lt;&gt;"Belum Diperiksa",AB231&lt;&gt;"Disetujui",AB231&lt;&gt;"Perlu Perbaikan"),"Hasil review tidak valid",IF(AND(Z231="Dikirim",OR(Y231="",AA231="")),"Isi bukti dan waktu kirim",IF(AND(AB231="Disetujui",OR(Z231&lt;&gt;"Dikirim",AC231="",AD231="")),"Lengkapi pemeriksaan",IF(AND(AB231="Perlu Perbaikan",OR(AE231="",AC231="",AD231="")),"Isi pemeriksa dan catatan perbaikan","OK")))))))))))))))),"")</f>
        <v/>
      </c>
    </row>
    <row r="232" spans="1:39" ht="24.95" customHeight="1">
      <c r="A232" s="8"/>
      <c r="B232" s="6"/>
      <c r="C232" s="15" t="str">
        <f>IF(COUNTIFS(Master_PIC!$A$8:$A$73,$B232)=1,IF(VLOOKUP($B232,Master_PIC!$A$8:$G$73,2,FALSE)="","",VLOOKUP($B232,Master_PIC!$A$8:$G$73,2,FALSE)),"")</f>
        <v/>
      </c>
      <c r="D232" s="15" t="str">
        <f>IF(COUNTIFS(Master_PIC!$A$8:$A$73,$B232)=1,IF(VLOOKUP($B232,Master_PIC!$A$8:$G$73,4,FALSE)="","",VLOOKUP($B232,Master_PIC!$A$8:$G$73,4,FALSE)),"")</f>
        <v/>
      </c>
      <c r="E232" s="15" t="str">
        <f>IF(COUNTIFS(Master_PIC!$A$8:$A$73,$B232)=1,IF(VLOOKUP($B232,Master_PIC!$A$8:$G$73,5,FALSE)="","",VLOOKUP($B232,Master_PIC!$A$8:$G$73,5,FALSE)),"")</f>
        <v/>
      </c>
      <c r="F232" s="15" t="str">
        <f>IF(COUNTIFS(Master_PIC!$A$8:$A$73,$B232)=1,IF(VLOOKUP($B232,Master_PIC!$A$8:$G$73,6,FALSE)="","",VLOOKUP($B232,Master_PIC!$A$8:$G$73,6,FALSE)),"")</f>
        <v/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8"/>
      <c r="Y232" s="5"/>
      <c r="Z232" s="5"/>
      <c r="AA232" s="9"/>
      <c r="AB232" s="5"/>
      <c r="AC232" s="5"/>
      <c r="AD232" s="9"/>
      <c r="AE232" s="5"/>
      <c r="AF232" s="7" t="str">
        <f t="shared" si="21"/>
        <v/>
      </c>
      <c r="AG232" s="7" t="str">
        <f t="shared" si="22"/>
        <v/>
      </c>
      <c r="AH232" s="7" t="str">
        <f t="shared" si="23"/>
        <v/>
      </c>
      <c r="AI232" s="7" t="str">
        <f t="shared" si="24"/>
        <v/>
      </c>
      <c r="AJ232" s="7" t="str">
        <f t="shared" si="25"/>
        <v/>
      </c>
      <c r="AK232" s="7" t="str">
        <f t="shared" si="26"/>
        <v/>
      </c>
      <c r="AL232" s="10" t="str">
        <f t="shared" si="27"/>
        <v/>
      </c>
      <c r="AM232" s="15" t="str">
        <f>IF(OR($A232&lt;&gt;"",$B232&lt;&gt;""),IF(OR($A232="",$B232=""),"Isi tanggal dan ID PIC",IF(NOT(ISNUMBER($A232)),"Tanggal harus berupa tanggal Excel",IF(COUNTIFS(Master_PIC!$A$8:$A$73,$B232)&lt;&gt;1,"ID PIC tidak unik/terdaftar",IF(VLOOKUP($B232,Master_PIC!$A$8:$G$73,3,FALSE)&lt;&gt;"Sales","Jabatan tidak sesuai sheet",IF(OR($C232="",$D232="",$E232="",$F232=""),"Lengkapi master PIC",IF(COUNTIFS($A$8:$A$507,$A232,$B$8:$B$507,$B232)&gt;1,"Laporan ganda",IF(COUNTIFS(G232:P232,"Tidak Berlaku")&gt;0,"N/A hanya untuk kegiatan bersyarat",IF(SUM(AG232,AH232,AI232,AJ232,AK232)&lt;&gt;14,"Status kegiatan tidak valid",IF(AK232&gt;0,"Lengkapi status kegiatan",IF(AND(AJ232&gt;0,U232=""),"Isi alasan Tidak Berlaku",IF(AND(SUM(AH232,AI232)&gt;0,OR(U232="",V232="",W232="",X232="")),"Isi kendala dan tindak lanjut",IF(AND(Z232&lt;&gt;"Draft",Z232&lt;&gt;"Dikirim"),"Isi status laporan yang valid",IF(AND(AB232&lt;&gt;"",AB232&lt;&gt;"Belum Diperiksa",AB232&lt;&gt;"Disetujui",AB232&lt;&gt;"Perlu Perbaikan"),"Hasil review tidak valid",IF(AND(Z232="Dikirim",OR(Y232="",AA232="")),"Isi bukti dan waktu kirim",IF(AND(AB232="Disetujui",OR(Z232&lt;&gt;"Dikirim",AC232="",AD232="")),"Lengkapi pemeriksaan",IF(AND(AB232="Perlu Perbaikan",OR(AE232="",AC232="",AD232="")),"Isi pemeriksa dan catatan perbaikan","OK")))))))))))))))),"")</f>
        <v/>
      </c>
    </row>
    <row r="233" spans="1:39" ht="24.95" customHeight="1">
      <c r="A233" s="8"/>
      <c r="B233" s="6"/>
      <c r="C233" s="15" t="str">
        <f>IF(COUNTIFS(Master_PIC!$A$8:$A$73,$B233)=1,IF(VLOOKUP($B233,Master_PIC!$A$8:$G$73,2,FALSE)="","",VLOOKUP($B233,Master_PIC!$A$8:$G$73,2,FALSE)),"")</f>
        <v/>
      </c>
      <c r="D233" s="15" t="str">
        <f>IF(COUNTIFS(Master_PIC!$A$8:$A$73,$B233)=1,IF(VLOOKUP($B233,Master_PIC!$A$8:$G$73,4,FALSE)="","",VLOOKUP($B233,Master_PIC!$A$8:$G$73,4,FALSE)),"")</f>
        <v/>
      </c>
      <c r="E233" s="15" t="str">
        <f>IF(COUNTIFS(Master_PIC!$A$8:$A$73,$B233)=1,IF(VLOOKUP($B233,Master_PIC!$A$8:$G$73,5,FALSE)="","",VLOOKUP($B233,Master_PIC!$A$8:$G$73,5,FALSE)),"")</f>
        <v/>
      </c>
      <c r="F233" s="15" t="str">
        <f>IF(COUNTIFS(Master_PIC!$A$8:$A$73,$B233)=1,IF(VLOOKUP($B233,Master_PIC!$A$8:$G$73,6,FALSE)="","",VLOOKUP($B233,Master_PIC!$A$8:$G$73,6,FALSE)),"")</f>
        <v/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8"/>
      <c r="Y233" s="5"/>
      <c r="Z233" s="5"/>
      <c r="AA233" s="9"/>
      <c r="AB233" s="5"/>
      <c r="AC233" s="5"/>
      <c r="AD233" s="9"/>
      <c r="AE233" s="5"/>
      <c r="AF233" s="7" t="str">
        <f t="shared" si="21"/>
        <v/>
      </c>
      <c r="AG233" s="7" t="str">
        <f t="shared" si="22"/>
        <v/>
      </c>
      <c r="AH233" s="7" t="str">
        <f t="shared" si="23"/>
        <v/>
      </c>
      <c r="AI233" s="7" t="str">
        <f t="shared" si="24"/>
        <v/>
      </c>
      <c r="AJ233" s="7" t="str">
        <f t="shared" si="25"/>
        <v/>
      </c>
      <c r="AK233" s="7" t="str">
        <f t="shared" si="26"/>
        <v/>
      </c>
      <c r="AL233" s="10" t="str">
        <f t="shared" si="27"/>
        <v/>
      </c>
      <c r="AM233" s="15" t="str">
        <f>IF(OR($A233&lt;&gt;"",$B233&lt;&gt;""),IF(OR($A233="",$B233=""),"Isi tanggal dan ID PIC",IF(NOT(ISNUMBER($A233)),"Tanggal harus berupa tanggal Excel",IF(COUNTIFS(Master_PIC!$A$8:$A$73,$B233)&lt;&gt;1,"ID PIC tidak unik/terdaftar",IF(VLOOKUP($B233,Master_PIC!$A$8:$G$73,3,FALSE)&lt;&gt;"Sales","Jabatan tidak sesuai sheet",IF(OR($C233="",$D233="",$E233="",$F233=""),"Lengkapi master PIC",IF(COUNTIFS($A$8:$A$507,$A233,$B$8:$B$507,$B233)&gt;1,"Laporan ganda",IF(COUNTIFS(G233:P233,"Tidak Berlaku")&gt;0,"N/A hanya untuk kegiatan bersyarat",IF(SUM(AG233,AH233,AI233,AJ233,AK233)&lt;&gt;14,"Status kegiatan tidak valid",IF(AK233&gt;0,"Lengkapi status kegiatan",IF(AND(AJ233&gt;0,U233=""),"Isi alasan Tidak Berlaku",IF(AND(SUM(AH233,AI233)&gt;0,OR(U233="",V233="",W233="",X233="")),"Isi kendala dan tindak lanjut",IF(AND(Z233&lt;&gt;"Draft",Z233&lt;&gt;"Dikirim"),"Isi status laporan yang valid",IF(AND(AB233&lt;&gt;"",AB233&lt;&gt;"Belum Diperiksa",AB233&lt;&gt;"Disetujui",AB233&lt;&gt;"Perlu Perbaikan"),"Hasil review tidak valid",IF(AND(Z233="Dikirim",OR(Y233="",AA233="")),"Isi bukti dan waktu kirim",IF(AND(AB233="Disetujui",OR(Z233&lt;&gt;"Dikirim",AC233="",AD233="")),"Lengkapi pemeriksaan",IF(AND(AB233="Perlu Perbaikan",OR(AE233="",AC233="",AD233="")),"Isi pemeriksa dan catatan perbaikan","OK")))))))))))))))),"")</f>
        <v/>
      </c>
    </row>
    <row r="234" spans="1:39" ht="24.95" customHeight="1">
      <c r="A234" s="8"/>
      <c r="B234" s="6"/>
      <c r="C234" s="15" t="str">
        <f>IF(COUNTIFS(Master_PIC!$A$8:$A$73,$B234)=1,IF(VLOOKUP($B234,Master_PIC!$A$8:$G$73,2,FALSE)="","",VLOOKUP($B234,Master_PIC!$A$8:$G$73,2,FALSE)),"")</f>
        <v/>
      </c>
      <c r="D234" s="15" t="str">
        <f>IF(COUNTIFS(Master_PIC!$A$8:$A$73,$B234)=1,IF(VLOOKUP($B234,Master_PIC!$A$8:$G$73,4,FALSE)="","",VLOOKUP($B234,Master_PIC!$A$8:$G$73,4,FALSE)),"")</f>
        <v/>
      </c>
      <c r="E234" s="15" t="str">
        <f>IF(COUNTIFS(Master_PIC!$A$8:$A$73,$B234)=1,IF(VLOOKUP($B234,Master_PIC!$A$8:$G$73,5,FALSE)="","",VLOOKUP($B234,Master_PIC!$A$8:$G$73,5,FALSE)),"")</f>
        <v/>
      </c>
      <c r="F234" s="15" t="str">
        <f>IF(COUNTIFS(Master_PIC!$A$8:$A$73,$B234)=1,IF(VLOOKUP($B234,Master_PIC!$A$8:$G$73,6,FALSE)="","",VLOOKUP($B234,Master_PIC!$A$8:$G$73,6,FALSE)),"")</f>
        <v/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8"/>
      <c r="Y234" s="5"/>
      <c r="Z234" s="5"/>
      <c r="AA234" s="9"/>
      <c r="AB234" s="5"/>
      <c r="AC234" s="5"/>
      <c r="AD234" s="9"/>
      <c r="AE234" s="5"/>
      <c r="AF234" s="7" t="str">
        <f t="shared" si="21"/>
        <v/>
      </c>
      <c r="AG234" s="7" t="str">
        <f t="shared" si="22"/>
        <v/>
      </c>
      <c r="AH234" s="7" t="str">
        <f t="shared" si="23"/>
        <v/>
      </c>
      <c r="AI234" s="7" t="str">
        <f t="shared" si="24"/>
        <v/>
      </c>
      <c r="AJ234" s="7" t="str">
        <f t="shared" si="25"/>
        <v/>
      </c>
      <c r="AK234" s="7" t="str">
        <f t="shared" si="26"/>
        <v/>
      </c>
      <c r="AL234" s="10" t="str">
        <f t="shared" si="27"/>
        <v/>
      </c>
      <c r="AM234" s="15" t="str">
        <f>IF(OR($A234&lt;&gt;"",$B234&lt;&gt;""),IF(OR($A234="",$B234=""),"Isi tanggal dan ID PIC",IF(NOT(ISNUMBER($A234)),"Tanggal harus berupa tanggal Excel",IF(COUNTIFS(Master_PIC!$A$8:$A$73,$B234)&lt;&gt;1,"ID PIC tidak unik/terdaftar",IF(VLOOKUP($B234,Master_PIC!$A$8:$G$73,3,FALSE)&lt;&gt;"Sales","Jabatan tidak sesuai sheet",IF(OR($C234="",$D234="",$E234="",$F234=""),"Lengkapi master PIC",IF(COUNTIFS($A$8:$A$507,$A234,$B$8:$B$507,$B234)&gt;1,"Laporan ganda",IF(COUNTIFS(G234:P234,"Tidak Berlaku")&gt;0,"N/A hanya untuk kegiatan bersyarat",IF(SUM(AG234,AH234,AI234,AJ234,AK234)&lt;&gt;14,"Status kegiatan tidak valid",IF(AK234&gt;0,"Lengkapi status kegiatan",IF(AND(AJ234&gt;0,U234=""),"Isi alasan Tidak Berlaku",IF(AND(SUM(AH234,AI234)&gt;0,OR(U234="",V234="",W234="",X234="")),"Isi kendala dan tindak lanjut",IF(AND(Z234&lt;&gt;"Draft",Z234&lt;&gt;"Dikirim"),"Isi status laporan yang valid",IF(AND(AB234&lt;&gt;"",AB234&lt;&gt;"Belum Diperiksa",AB234&lt;&gt;"Disetujui",AB234&lt;&gt;"Perlu Perbaikan"),"Hasil review tidak valid",IF(AND(Z234="Dikirim",OR(Y234="",AA234="")),"Isi bukti dan waktu kirim",IF(AND(AB234="Disetujui",OR(Z234&lt;&gt;"Dikirim",AC234="",AD234="")),"Lengkapi pemeriksaan",IF(AND(AB234="Perlu Perbaikan",OR(AE234="",AC234="",AD234="")),"Isi pemeriksa dan catatan perbaikan","OK")))))))))))))))),"")</f>
        <v/>
      </c>
    </row>
    <row r="235" spans="1:39" ht="24.95" customHeight="1">
      <c r="A235" s="8"/>
      <c r="B235" s="6"/>
      <c r="C235" s="15" t="str">
        <f>IF(COUNTIFS(Master_PIC!$A$8:$A$73,$B235)=1,IF(VLOOKUP($B235,Master_PIC!$A$8:$G$73,2,FALSE)="","",VLOOKUP($B235,Master_PIC!$A$8:$G$73,2,FALSE)),"")</f>
        <v/>
      </c>
      <c r="D235" s="15" t="str">
        <f>IF(COUNTIFS(Master_PIC!$A$8:$A$73,$B235)=1,IF(VLOOKUP($B235,Master_PIC!$A$8:$G$73,4,FALSE)="","",VLOOKUP($B235,Master_PIC!$A$8:$G$73,4,FALSE)),"")</f>
        <v/>
      </c>
      <c r="E235" s="15" t="str">
        <f>IF(COUNTIFS(Master_PIC!$A$8:$A$73,$B235)=1,IF(VLOOKUP($B235,Master_PIC!$A$8:$G$73,5,FALSE)="","",VLOOKUP($B235,Master_PIC!$A$8:$G$73,5,FALSE)),"")</f>
        <v/>
      </c>
      <c r="F235" s="15" t="str">
        <f>IF(COUNTIFS(Master_PIC!$A$8:$A$73,$B235)=1,IF(VLOOKUP($B235,Master_PIC!$A$8:$G$73,6,FALSE)="","",VLOOKUP($B235,Master_PIC!$A$8:$G$73,6,FALSE)),"")</f>
        <v/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8"/>
      <c r="Y235" s="5"/>
      <c r="Z235" s="5"/>
      <c r="AA235" s="9"/>
      <c r="AB235" s="5"/>
      <c r="AC235" s="5"/>
      <c r="AD235" s="9"/>
      <c r="AE235" s="5"/>
      <c r="AF235" s="7" t="str">
        <f t="shared" si="21"/>
        <v/>
      </c>
      <c r="AG235" s="7" t="str">
        <f t="shared" si="22"/>
        <v/>
      </c>
      <c r="AH235" s="7" t="str">
        <f t="shared" si="23"/>
        <v/>
      </c>
      <c r="AI235" s="7" t="str">
        <f t="shared" si="24"/>
        <v/>
      </c>
      <c r="AJ235" s="7" t="str">
        <f t="shared" si="25"/>
        <v/>
      </c>
      <c r="AK235" s="7" t="str">
        <f t="shared" si="26"/>
        <v/>
      </c>
      <c r="AL235" s="10" t="str">
        <f t="shared" si="27"/>
        <v/>
      </c>
      <c r="AM235" s="15" t="str">
        <f>IF(OR($A235&lt;&gt;"",$B235&lt;&gt;""),IF(OR($A235="",$B235=""),"Isi tanggal dan ID PIC",IF(NOT(ISNUMBER($A235)),"Tanggal harus berupa tanggal Excel",IF(COUNTIFS(Master_PIC!$A$8:$A$73,$B235)&lt;&gt;1,"ID PIC tidak unik/terdaftar",IF(VLOOKUP($B235,Master_PIC!$A$8:$G$73,3,FALSE)&lt;&gt;"Sales","Jabatan tidak sesuai sheet",IF(OR($C235="",$D235="",$E235="",$F235=""),"Lengkapi master PIC",IF(COUNTIFS($A$8:$A$507,$A235,$B$8:$B$507,$B235)&gt;1,"Laporan ganda",IF(COUNTIFS(G235:P235,"Tidak Berlaku")&gt;0,"N/A hanya untuk kegiatan bersyarat",IF(SUM(AG235,AH235,AI235,AJ235,AK235)&lt;&gt;14,"Status kegiatan tidak valid",IF(AK235&gt;0,"Lengkapi status kegiatan",IF(AND(AJ235&gt;0,U235=""),"Isi alasan Tidak Berlaku",IF(AND(SUM(AH235,AI235)&gt;0,OR(U235="",V235="",W235="",X235="")),"Isi kendala dan tindak lanjut",IF(AND(Z235&lt;&gt;"Draft",Z235&lt;&gt;"Dikirim"),"Isi status laporan yang valid",IF(AND(AB235&lt;&gt;"",AB235&lt;&gt;"Belum Diperiksa",AB235&lt;&gt;"Disetujui",AB235&lt;&gt;"Perlu Perbaikan"),"Hasil review tidak valid",IF(AND(Z235="Dikirim",OR(Y235="",AA235="")),"Isi bukti dan waktu kirim",IF(AND(AB235="Disetujui",OR(Z235&lt;&gt;"Dikirim",AC235="",AD235="")),"Lengkapi pemeriksaan",IF(AND(AB235="Perlu Perbaikan",OR(AE235="",AC235="",AD235="")),"Isi pemeriksa dan catatan perbaikan","OK")))))))))))))))),"")</f>
        <v/>
      </c>
    </row>
    <row r="236" spans="1:39" ht="24.95" customHeight="1">
      <c r="A236" s="8"/>
      <c r="B236" s="6"/>
      <c r="C236" s="15" t="str">
        <f>IF(COUNTIFS(Master_PIC!$A$8:$A$73,$B236)=1,IF(VLOOKUP($B236,Master_PIC!$A$8:$G$73,2,FALSE)="","",VLOOKUP($B236,Master_PIC!$A$8:$G$73,2,FALSE)),"")</f>
        <v/>
      </c>
      <c r="D236" s="15" t="str">
        <f>IF(COUNTIFS(Master_PIC!$A$8:$A$73,$B236)=1,IF(VLOOKUP($B236,Master_PIC!$A$8:$G$73,4,FALSE)="","",VLOOKUP($B236,Master_PIC!$A$8:$G$73,4,FALSE)),"")</f>
        <v/>
      </c>
      <c r="E236" s="15" t="str">
        <f>IF(COUNTIFS(Master_PIC!$A$8:$A$73,$B236)=1,IF(VLOOKUP($B236,Master_PIC!$A$8:$G$73,5,FALSE)="","",VLOOKUP($B236,Master_PIC!$A$8:$G$73,5,FALSE)),"")</f>
        <v/>
      </c>
      <c r="F236" s="15" t="str">
        <f>IF(COUNTIFS(Master_PIC!$A$8:$A$73,$B236)=1,IF(VLOOKUP($B236,Master_PIC!$A$8:$G$73,6,FALSE)="","",VLOOKUP($B236,Master_PIC!$A$8:$G$73,6,FALSE)),"")</f>
        <v/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8"/>
      <c r="Y236" s="5"/>
      <c r="Z236" s="5"/>
      <c r="AA236" s="9"/>
      <c r="AB236" s="5"/>
      <c r="AC236" s="5"/>
      <c r="AD236" s="9"/>
      <c r="AE236" s="5"/>
      <c r="AF236" s="7" t="str">
        <f t="shared" si="21"/>
        <v/>
      </c>
      <c r="AG236" s="7" t="str">
        <f t="shared" si="22"/>
        <v/>
      </c>
      <c r="AH236" s="7" t="str">
        <f t="shared" si="23"/>
        <v/>
      </c>
      <c r="AI236" s="7" t="str">
        <f t="shared" si="24"/>
        <v/>
      </c>
      <c r="AJ236" s="7" t="str">
        <f t="shared" si="25"/>
        <v/>
      </c>
      <c r="AK236" s="7" t="str">
        <f t="shared" si="26"/>
        <v/>
      </c>
      <c r="AL236" s="10" t="str">
        <f t="shared" si="27"/>
        <v/>
      </c>
      <c r="AM236" s="15" t="str">
        <f>IF(OR($A236&lt;&gt;"",$B236&lt;&gt;""),IF(OR($A236="",$B236=""),"Isi tanggal dan ID PIC",IF(NOT(ISNUMBER($A236)),"Tanggal harus berupa tanggal Excel",IF(COUNTIFS(Master_PIC!$A$8:$A$73,$B236)&lt;&gt;1,"ID PIC tidak unik/terdaftar",IF(VLOOKUP($B236,Master_PIC!$A$8:$G$73,3,FALSE)&lt;&gt;"Sales","Jabatan tidak sesuai sheet",IF(OR($C236="",$D236="",$E236="",$F236=""),"Lengkapi master PIC",IF(COUNTIFS($A$8:$A$507,$A236,$B$8:$B$507,$B236)&gt;1,"Laporan ganda",IF(COUNTIFS(G236:P236,"Tidak Berlaku")&gt;0,"N/A hanya untuk kegiatan bersyarat",IF(SUM(AG236,AH236,AI236,AJ236,AK236)&lt;&gt;14,"Status kegiatan tidak valid",IF(AK236&gt;0,"Lengkapi status kegiatan",IF(AND(AJ236&gt;0,U236=""),"Isi alasan Tidak Berlaku",IF(AND(SUM(AH236,AI236)&gt;0,OR(U236="",V236="",W236="",X236="")),"Isi kendala dan tindak lanjut",IF(AND(Z236&lt;&gt;"Draft",Z236&lt;&gt;"Dikirim"),"Isi status laporan yang valid",IF(AND(AB236&lt;&gt;"",AB236&lt;&gt;"Belum Diperiksa",AB236&lt;&gt;"Disetujui",AB236&lt;&gt;"Perlu Perbaikan"),"Hasil review tidak valid",IF(AND(Z236="Dikirim",OR(Y236="",AA236="")),"Isi bukti dan waktu kirim",IF(AND(AB236="Disetujui",OR(Z236&lt;&gt;"Dikirim",AC236="",AD236="")),"Lengkapi pemeriksaan",IF(AND(AB236="Perlu Perbaikan",OR(AE236="",AC236="",AD236="")),"Isi pemeriksa dan catatan perbaikan","OK")))))))))))))))),"")</f>
        <v/>
      </c>
    </row>
    <row r="237" spans="1:39" ht="24.95" customHeight="1">
      <c r="A237" s="8"/>
      <c r="B237" s="6"/>
      <c r="C237" s="15" t="str">
        <f>IF(COUNTIFS(Master_PIC!$A$8:$A$73,$B237)=1,IF(VLOOKUP($B237,Master_PIC!$A$8:$G$73,2,FALSE)="","",VLOOKUP($B237,Master_PIC!$A$8:$G$73,2,FALSE)),"")</f>
        <v/>
      </c>
      <c r="D237" s="15" t="str">
        <f>IF(COUNTIFS(Master_PIC!$A$8:$A$73,$B237)=1,IF(VLOOKUP($B237,Master_PIC!$A$8:$G$73,4,FALSE)="","",VLOOKUP($B237,Master_PIC!$A$8:$G$73,4,FALSE)),"")</f>
        <v/>
      </c>
      <c r="E237" s="15" t="str">
        <f>IF(COUNTIFS(Master_PIC!$A$8:$A$73,$B237)=1,IF(VLOOKUP($B237,Master_PIC!$A$8:$G$73,5,FALSE)="","",VLOOKUP($B237,Master_PIC!$A$8:$G$73,5,FALSE)),"")</f>
        <v/>
      </c>
      <c r="F237" s="15" t="str">
        <f>IF(COUNTIFS(Master_PIC!$A$8:$A$73,$B237)=1,IF(VLOOKUP($B237,Master_PIC!$A$8:$G$73,6,FALSE)="","",VLOOKUP($B237,Master_PIC!$A$8:$G$73,6,FALSE)),"")</f>
        <v/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8"/>
      <c r="Y237" s="5"/>
      <c r="Z237" s="5"/>
      <c r="AA237" s="9"/>
      <c r="AB237" s="5"/>
      <c r="AC237" s="5"/>
      <c r="AD237" s="9"/>
      <c r="AE237" s="5"/>
      <c r="AF237" s="7" t="str">
        <f t="shared" si="21"/>
        <v/>
      </c>
      <c r="AG237" s="7" t="str">
        <f t="shared" si="22"/>
        <v/>
      </c>
      <c r="AH237" s="7" t="str">
        <f t="shared" si="23"/>
        <v/>
      </c>
      <c r="AI237" s="7" t="str">
        <f t="shared" si="24"/>
        <v/>
      </c>
      <c r="AJ237" s="7" t="str">
        <f t="shared" si="25"/>
        <v/>
      </c>
      <c r="AK237" s="7" t="str">
        <f t="shared" si="26"/>
        <v/>
      </c>
      <c r="AL237" s="10" t="str">
        <f t="shared" si="27"/>
        <v/>
      </c>
      <c r="AM237" s="15" t="str">
        <f>IF(OR($A237&lt;&gt;"",$B237&lt;&gt;""),IF(OR($A237="",$B237=""),"Isi tanggal dan ID PIC",IF(NOT(ISNUMBER($A237)),"Tanggal harus berupa tanggal Excel",IF(COUNTIFS(Master_PIC!$A$8:$A$73,$B237)&lt;&gt;1,"ID PIC tidak unik/terdaftar",IF(VLOOKUP($B237,Master_PIC!$A$8:$G$73,3,FALSE)&lt;&gt;"Sales","Jabatan tidak sesuai sheet",IF(OR($C237="",$D237="",$E237="",$F237=""),"Lengkapi master PIC",IF(COUNTIFS($A$8:$A$507,$A237,$B$8:$B$507,$B237)&gt;1,"Laporan ganda",IF(COUNTIFS(G237:P237,"Tidak Berlaku")&gt;0,"N/A hanya untuk kegiatan bersyarat",IF(SUM(AG237,AH237,AI237,AJ237,AK237)&lt;&gt;14,"Status kegiatan tidak valid",IF(AK237&gt;0,"Lengkapi status kegiatan",IF(AND(AJ237&gt;0,U237=""),"Isi alasan Tidak Berlaku",IF(AND(SUM(AH237,AI237)&gt;0,OR(U237="",V237="",W237="",X237="")),"Isi kendala dan tindak lanjut",IF(AND(Z237&lt;&gt;"Draft",Z237&lt;&gt;"Dikirim"),"Isi status laporan yang valid",IF(AND(AB237&lt;&gt;"",AB237&lt;&gt;"Belum Diperiksa",AB237&lt;&gt;"Disetujui",AB237&lt;&gt;"Perlu Perbaikan"),"Hasil review tidak valid",IF(AND(Z237="Dikirim",OR(Y237="",AA237="")),"Isi bukti dan waktu kirim",IF(AND(AB237="Disetujui",OR(Z237&lt;&gt;"Dikirim",AC237="",AD237="")),"Lengkapi pemeriksaan",IF(AND(AB237="Perlu Perbaikan",OR(AE237="",AC237="",AD237="")),"Isi pemeriksa dan catatan perbaikan","OK")))))))))))))))),"")</f>
        <v/>
      </c>
    </row>
    <row r="238" spans="1:39" ht="24.95" customHeight="1">
      <c r="A238" s="8"/>
      <c r="B238" s="6"/>
      <c r="C238" s="15" t="str">
        <f>IF(COUNTIFS(Master_PIC!$A$8:$A$73,$B238)=1,IF(VLOOKUP($B238,Master_PIC!$A$8:$G$73,2,FALSE)="","",VLOOKUP($B238,Master_PIC!$A$8:$G$73,2,FALSE)),"")</f>
        <v/>
      </c>
      <c r="D238" s="15" t="str">
        <f>IF(COUNTIFS(Master_PIC!$A$8:$A$73,$B238)=1,IF(VLOOKUP($B238,Master_PIC!$A$8:$G$73,4,FALSE)="","",VLOOKUP($B238,Master_PIC!$A$8:$G$73,4,FALSE)),"")</f>
        <v/>
      </c>
      <c r="E238" s="15" t="str">
        <f>IF(COUNTIFS(Master_PIC!$A$8:$A$73,$B238)=1,IF(VLOOKUP($B238,Master_PIC!$A$8:$G$73,5,FALSE)="","",VLOOKUP($B238,Master_PIC!$A$8:$G$73,5,FALSE)),"")</f>
        <v/>
      </c>
      <c r="F238" s="15" t="str">
        <f>IF(COUNTIFS(Master_PIC!$A$8:$A$73,$B238)=1,IF(VLOOKUP($B238,Master_PIC!$A$8:$G$73,6,FALSE)="","",VLOOKUP($B238,Master_PIC!$A$8:$G$73,6,FALSE)),"")</f>
        <v/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8"/>
      <c r="Y238" s="5"/>
      <c r="Z238" s="5"/>
      <c r="AA238" s="9"/>
      <c r="AB238" s="5"/>
      <c r="AC238" s="5"/>
      <c r="AD238" s="9"/>
      <c r="AE238" s="5"/>
      <c r="AF238" s="7" t="str">
        <f t="shared" si="21"/>
        <v/>
      </c>
      <c r="AG238" s="7" t="str">
        <f t="shared" si="22"/>
        <v/>
      </c>
      <c r="AH238" s="7" t="str">
        <f t="shared" si="23"/>
        <v/>
      </c>
      <c r="AI238" s="7" t="str">
        <f t="shared" si="24"/>
        <v/>
      </c>
      <c r="AJ238" s="7" t="str">
        <f t="shared" si="25"/>
        <v/>
      </c>
      <c r="AK238" s="7" t="str">
        <f t="shared" si="26"/>
        <v/>
      </c>
      <c r="AL238" s="10" t="str">
        <f t="shared" si="27"/>
        <v/>
      </c>
      <c r="AM238" s="15" t="str">
        <f>IF(OR($A238&lt;&gt;"",$B238&lt;&gt;""),IF(OR($A238="",$B238=""),"Isi tanggal dan ID PIC",IF(NOT(ISNUMBER($A238)),"Tanggal harus berupa tanggal Excel",IF(COUNTIFS(Master_PIC!$A$8:$A$73,$B238)&lt;&gt;1,"ID PIC tidak unik/terdaftar",IF(VLOOKUP($B238,Master_PIC!$A$8:$G$73,3,FALSE)&lt;&gt;"Sales","Jabatan tidak sesuai sheet",IF(OR($C238="",$D238="",$E238="",$F238=""),"Lengkapi master PIC",IF(COUNTIFS($A$8:$A$507,$A238,$B$8:$B$507,$B238)&gt;1,"Laporan ganda",IF(COUNTIFS(G238:P238,"Tidak Berlaku")&gt;0,"N/A hanya untuk kegiatan bersyarat",IF(SUM(AG238,AH238,AI238,AJ238,AK238)&lt;&gt;14,"Status kegiatan tidak valid",IF(AK238&gt;0,"Lengkapi status kegiatan",IF(AND(AJ238&gt;0,U238=""),"Isi alasan Tidak Berlaku",IF(AND(SUM(AH238,AI238)&gt;0,OR(U238="",V238="",W238="",X238="")),"Isi kendala dan tindak lanjut",IF(AND(Z238&lt;&gt;"Draft",Z238&lt;&gt;"Dikirim"),"Isi status laporan yang valid",IF(AND(AB238&lt;&gt;"",AB238&lt;&gt;"Belum Diperiksa",AB238&lt;&gt;"Disetujui",AB238&lt;&gt;"Perlu Perbaikan"),"Hasil review tidak valid",IF(AND(Z238="Dikirim",OR(Y238="",AA238="")),"Isi bukti dan waktu kirim",IF(AND(AB238="Disetujui",OR(Z238&lt;&gt;"Dikirim",AC238="",AD238="")),"Lengkapi pemeriksaan",IF(AND(AB238="Perlu Perbaikan",OR(AE238="",AC238="",AD238="")),"Isi pemeriksa dan catatan perbaikan","OK")))))))))))))))),"")</f>
        <v/>
      </c>
    </row>
    <row r="239" spans="1:39" ht="24.95" customHeight="1">
      <c r="A239" s="8"/>
      <c r="B239" s="6"/>
      <c r="C239" s="15" t="str">
        <f>IF(COUNTIFS(Master_PIC!$A$8:$A$73,$B239)=1,IF(VLOOKUP($B239,Master_PIC!$A$8:$G$73,2,FALSE)="","",VLOOKUP($B239,Master_PIC!$A$8:$G$73,2,FALSE)),"")</f>
        <v/>
      </c>
      <c r="D239" s="15" t="str">
        <f>IF(COUNTIFS(Master_PIC!$A$8:$A$73,$B239)=1,IF(VLOOKUP($B239,Master_PIC!$A$8:$G$73,4,FALSE)="","",VLOOKUP($B239,Master_PIC!$A$8:$G$73,4,FALSE)),"")</f>
        <v/>
      </c>
      <c r="E239" s="15" t="str">
        <f>IF(COUNTIFS(Master_PIC!$A$8:$A$73,$B239)=1,IF(VLOOKUP($B239,Master_PIC!$A$8:$G$73,5,FALSE)="","",VLOOKUP($B239,Master_PIC!$A$8:$G$73,5,FALSE)),"")</f>
        <v/>
      </c>
      <c r="F239" s="15" t="str">
        <f>IF(COUNTIFS(Master_PIC!$A$8:$A$73,$B239)=1,IF(VLOOKUP($B239,Master_PIC!$A$8:$G$73,6,FALSE)="","",VLOOKUP($B239,Master_PIC!$A$8:$G$73,6,FALSE)),"")</f>
        <v/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8"/>
      <c r="Y239" s="5"/>
      <c r="Z239" s="5"/>
      <c r="AA239" s="9"/>
      <c r="AB239" s="5"/>
      <c r="AC239" s="5"/>
      <c r="AD239" s="9"/>
      <c r="AE239" s="5"/>
      <c r="AF239" s="7" t="str">
        <f t="shared" si="21"/>
        <v/>
      </c>
      <c r="AG239" s="7" t="str">
        <f t="shared" si="22"/>
        <v/>
      </c>
      <c r="AH239" s="7" t="str">
        <f t="shared" si="23"/>
        <v/>
      </c>
      <c r="AI239" s="7" t="str">
        <f t="shared" si="24"/>
        <v/>
      </c>
      <c r="AJ239" s="7" t="str">
        <f t="shared" si="25"/>
        <v/>
      </c>
      <c r="AK239" s="7" t="str">
        <f t="shared" si="26"/>
        <v/>
      </c>
      <c r="AL239" s="10" t="str">
        <f t="shared" si="27"/>
        <v/>
      </c>
      <c r="AM239" s="15" t="str">
        <f>IF(OR($A239&lt;&gt;"",$B239&lt;&gt;""),IF(OR($A239="",$B239=""),"Isi tanggal dan ID PIC",IF(NOT(ISNUMBER($A239)),"Tanggal harus berupa tanggal Excel",IF(COUNTIFS(Master_PIC!$A$8:$A$73,$B239)&lt;&gt;1,"ID PIC tidak unik/terdaftar",IF(VLOOKUP($B239,Master_PIC!$A$8:$G$73,3,FALSE)&lt;&gt;"Sales","Jabatan tidak sesuai sheet",IF(OR($C239="",$D239="",$E239="",$F239=""),"Lengkapi master PIC",IF(COUNTIFS($A$8:$A$507,$A239,$B$8:$B$507,$B239)&gt;1,"Laporan ganda",IF(COUNTIFS(G239:P239,"Tidak Berlaku")&gt;0,"N/A hanya untuk kegiatan bersyarat",IF(SUM(AG239,AH239,AI239,AJ239,AK239)&lt;&gt;14,"Status kegiatan tidak valid",IF(AK239&gt;0,"Lengkapi status kegiatan",IF(AND(AJ239&gt;0,U239=""),"Isi alasan Tidak Berlaku",IF(AND(SUM(AH239,AI239)&gt;0,OR(U239="",V239="",W239="",X239="")),"Isi kendala dan tindak lanjut",IF(AND(Z239&lt;&gt;"Draft",Z239&lt;&gt;"Dikirim"),"Isi status laporan yang valid",IF(AND(AB239&lt;&gt;"",AB239&lt;&gt;"Belum Diperiksa",AB239&lt;&gt;"Disetujui",AB239&lt;&gt;"Perlu Perbaikan"),"Hasil review tidak valid",IF(AND(Z239="Dikirim",OR(Y239="",AA239="")),"Isi bukti dan waktu kirim",IF(AND(AB239="Disetujui",OR(Z239&lt;&gt;"Dikirim",AC239="",AD239="")),"Lengkapi pemeriksaan",IF(AND(AB239="Perlu Perbaikan",OR(AE239="",AC239="",AD239="")),"Isi pemeriksa dan catatan perbaikan","OK")))))))))))))))),"")</f>
        <v/>
      </c>
    </row>
    <row r="240" spans="1:39" ht="24.95" customHeight="1">
      <c r="A240" s="8"/>
      <c r="B240" s="6"/>
      <c r="C240" s="15" t="str">
        <f>IF(COUNTIFS(Master_PIC!$A$8:$A$73,$B240)=1,IF(VLOOKUP($B240,Master_PIC!$A$8:$G$73,2,FALSE)="","",VLOOKUP($B240,Master_PIC!$A$8:$G$73,2,FALSE)),"")</f>
        <v/>
      </c>
      <c r="D240" s="15" t="str">
        <f>IF(COUNTIFS(Master_PIC!$A$8:$A$73,$B240)=1,IF(VLOOKUP($B240,Master_PIC!$A$8:$G$73,4,FALSE)="","",VLOOKUP($B240,Master_PIC!$A$8:$G$73,4,FALSE)),"")</f>
        <v/>
      </c>
      <c r="E240" s="15" t="str">
        <f>IF(COUNTIFS(Master_PIC!$A$8:$A$73,$B240)=1,IF(VLOOKUP($B240,Master_PIC!$A$8:$G$73,5,FALSE)="","",VLOOKUP($B240,Master_PIC!$A$8:$G$73,5,FALSE)),"")</f>
        <v/>
      </c>
      <c r="F240" s="15" t="str">
        <f>IF(COUNTIFS(Master_PIC!$A$8:$A$73,$B240)=1,IF(VLOOKUP($B240,Master_PIC!$A$8:$G$73,6,FALSE)="","",VLOOKUP($B240,Master_PIC!$A$8:$G$73,6,FALSE)),"")</f>
        <v/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8"/>
      <c r="Y240" s="5"/>
      <c r="Z240" s="5"/>
      <c r="AA240" s="9"/>
      <c r="AB240" s="5"/>
      <c r="AC240" s="5"/>
      <c r="AD240" s="9"/>
      <c r="AE240" s="5"/>
      <c r="AF240" s="7" t="str">
        <f t="shared" si="21"/>
        <v/>
      </c>
      <c r="AG240" s="7" t="str">
        <f t="shared" si="22"/>
        <v/>
      </c>
      <c r="AH240" s="7" t="str">
        <f t="shared" si="23"/>
        <v/>
      </c>
      <c r="AI240" s="7" t="str">
        <f t="shared" si="24"/>
        <v/>
      </c>
      <c r="AJ240" s="7" t="str">
        <f t="shared" si="25"/>
        <v/>
      </c>
      <c r="AK240" s="7" t="str">
        <f t="shared" si="26"/>
        <v/>
      </c>
      <c r="AL240" s="10" t="str">
        <f t="shared" si="27"/>
        <v/>
      </c>
      <c r="AM240" s="15" t="str">
        <f>IF(OR($A240&lt;&gt;"",$B240&lt;&gt;""),IF(OR($A240="",$B240=""),"Isi tanggal dan ID PIC",IF(NOT(ISNUMBER($A240)),"Tanggal harus berupa tanggal Excel",IF(COUNTIFS(Master_PIC!$A$8:$A$73,$B240)&lt;&gt;1,"ID PIC tidak unik/terdaftar",IF(VLOOKUP($B240,Master_PIC!$A$8:$G$73,3,FALSE)&lt;&gt;"Sales","Jabatan tidak sesuai sheet",IF(OR($C240="",$D240="",$E240="",$F240=""),"Lengkapi master PIC",IF(COUNTIFS($A$8:$A$507,$A240,$B$8:$B$507,$B240)&gt;1,"Laporan ganda",IF(COUNTIFS(G240:P240,"Tidak Berlaku")&gt;0,"N/A hanya untuk kegiatan bersyarat",IF(SUM(AG240,AH240,AI240,AJ240,AK240)&lt;&gt;14,"Status kegiatan tidak valid",IF(AK240&gt;0,"Lengkapi status kegiatan",IF(AND(AJ240&gt;0,U240=""),"Isi alasan Tidak Berlaku",IF(AND(SUM(AH240,AI240)&gt;0,OR(U240="",V240="",W240="",X240="")),"Isi kendala dan tindak lanjut",IF(AND(Z240&lt;&gt;"Draft",Z240&lt;&gt;"Dikirim"),"Isi status laporan yang valid",IF(AND(AB240&lt;&gt;"",AB240&lt;&gt;"Belum Diperiksa",AB240&lt;&gt;"Disetujui",AB240&lt;&gt;"Perlu Perbaikan"),"Hasil review tidak valid",IF(AND(Z240="Dikirim",OR(Y240="",AA240="")),"Isi bukti dan waktu kirim",IF(AND(AB240="Disetujui",OR(Z240&lt;&gt;"Dikirim",AC240="",AD240="")),"Lengkapi pemeriksaan",IF(AND(AB240="Perlu Perbaikan",OR(AE240="",AC240="",AD240="")),"Isi pemeriksa dan catatan perbaikan","OK")))))))))))))))),"")</f>
        <v/>
      </c>
    </row>
    <row r="241" spans="1:39" ht="24.95" customHeight="1">
      <c r="A241" s="8"/>
      <c r="B241" s="6"/>
      <c r="C241" s="15" t="str">
        <f>IF(COUNTIFS(Master_PIC!$A$8:$A$73,$B241)=1,IF(VLOOKUP($B241,Master_PIC!$A$8:$G$73,2,FALSE)="","",VLOOKUP($B241,Master_PIC!$A$8:$G$73,2,FALSE)),"")</f>
        <v/>
      </c>
      <c r="D241" s="15" t="str">
        <f>IF(COUNTIFS(Master_PIC!$A$8:$A$73,$B241)=1,IF(VLOOKUP($B241,Master_PIC!$A$8:$G$73,4,FALSE)="","",VLOOKUP($B241,Master_PIC!$A$8:$G$73,4,FALSE)),"")</f>
        <v/>
      </c>
      <c r="E241" s="15" t="str">
        <f>IF(COUNTIFS(Master_PIC!$A$8:$A$73,$B241)=1,IF(VLOOKUP($B241,Master_PIC!$A$8:$G$73,5,FALSE)="","",VLOOKUP($B241,Master_PIC!$A$8:$G$73,5,FALSE)),"")</f>
        <v/>
      </c>
      <c r="F241" s="15" t="str">
        <f>IF(COUNTIFS(Master_PIC!$A$8:$A$73,$B241)=1,IF(VLOOKUP($B241,Master_PIC!$A$8:$G$73,6,FALSE)="","",VLOOKUP($B241,Master_PIC!$A$8:$G$73,6,FALSE)),"")</f>
        <v/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8"/>
      <c r="Y241" s="5"/>
      <c r="Z241" s="5"/>
      <c r="AA241" s="9"/>
      <c r="AB241" s="5"/>
      <c r="AC241" s="5"/>
      <c r="AD241" s="9"/>
      <c r="AE241" s="5"/>
      <c r="AF241" s="7" t="str">
        <f t="shared" si="21"/>
        <v/>
      </c>
      <c r="AG241" s="7" t="str">
        <f t="shared" si="22"/>
        <v/>
      </c>
      <c r="AH241" s="7" t="str">
        <f t="shared" si="23"/>
        <v/>
      </c>
      <c r="AI241" s="7" t="str">
        <f t="shared" si="24"/>
        <v/>
      </c>
      <c r="AJ241" s="7" t="str">
        <f t="shared" si="25"/>
        <v/>
      </c>
      <c r="AK241" s="7" t="str">
        <f t="shared" si="26"/>
        <v/>
      </c>
      <c r="AL241" s="10" t="str">
        <f t="shared" si="27"/>
        <v/>
      </c>
      <c r="AM241" s="15" t="str">
        <f>IF(OR($A241&lt;&gt;"",$B241&lt;&gt;""),IF(OR($A241="",$B241=""),"Isi tanggal dan ID PIC",IF(NOT(ISNUMBER($A241)),"Tanggal harus berupa tanggal Excel",IF(COUNTIFS(Master_PIC!$A$8:$A$73,$B241)&lt;&gt;1,"ID PIC tidak unik/terdaftar",IF(VLOOKUP($B241,Master_PIC!$A$8:$G$73,3,FALSE)&lt;&gt;"Sales","Jabatan tidak sesuai sheet",IF(OR($C241="",$D241="",$E241="",$F241=""),"Lengkapi master PIC",IF(COUNTIFS($A$8:$A$507,$A241,$B$8:$B$507,$B241)&gt;1,"Laporan ganda",IF(COUNTIFS(G241:P241,"Tidak Berlaku")&gt;0,"N/A hanya untuk kegiatan bersyarat",IF(SUM(AG241,AH241,AI241,AJ241,AK241)&lt;&gt;14,"Status kegiatan tidak valid",IF(AK241&gt;0,"Lengkapi status kegiatan",IF(AND(AJ241&gt;0,U241=""),"Isi alasan Tidak Berlaku",IF(AND(SUM(AH241,AI241)&gt;0,OR(U241="",V241="",W241="",X241="")),"Isi kendala dan tindak lanjut",IF(AND(Z241&lt;&gt;"Draft",Z241&lt;&gt;"Dikirim"),"Isi status laporan yang valid",IF(AND(AB241&lt;&gt;"",AB241&lt;&gt;"Belum Diperiksa",AB241&lt;&gt;"Disetujui",AB241&lt;&gt;"Perlu Perbaikan"),"Hasil review tidak valid",IF(AND(Z241="Dikirim",OR(Y241="",AA241="")),"Isi bukti dan waktu kirim",IF(AND(AB241="Disetujui",OR(Z241&lt;&gt;"Dikirim",AC241="",AD241="")),"Lengkapi pemeriksaan",IF(AND(AB241="Perlu Perbaikan",OR(AE241="",AC241="",AD241="")),"Isi pemeriksa dan catatan perbaikan","OK")))))))))))))))),"")</f>
        <v/>
      </c>
    </row>
    <row r="242" spans="1:39" ht="24.95" customHeight="1">
      <c r="A242" s="8"/>
      <c r="B242" s="6"/>
      <c r="C242" s="15" t="str">
        <f>IF(COUNTIFS(Master_PIC!$A$8:$A$73,$B242)=1,IF(VLOOKUP($B242,Master_PIC!$A$8:$G$73,2,FALSE)="","",VLOOKUP($B242,Master_PIC!$A$8:$G$73,2,FALSE)),"")</f>
        <v/>
      </c>
      <c r="D242" s="15" t="str">
        <f>IF(COUNTIFS(Master_PIC!$A$8:$A$73,$B242)=1,IF(VLOOKUP($B242,Master_PIC!$A$8:$G$73,4,FALSE)="","",VLOOKUP($B242,Master_PIC!$A$8:$G$73,4,FALSE)),"")</f>
        <v/>
      </c>
      <c r="E242" s="15" t="str">
        <f>IF(COUNTIFS(Master_PIC!$A$8:$A$73,$B242)=1,IF(VLOOKUP($B242,Master_PIC!$A$8:$G$73,5,FALSE)="","",VLOOKUP($B242,Master_PIC!$A$8:$G$73,5,FALSE)),"")</f>
        <v/>
      </c>
      <c r="F242" s="15" t="str">
        <f>IF(COUNTIFS(Master_PIC!$A$8:$A$73,$B242)=1,IF(VLOOKUP($B242,Master_PIC!$A$8:$G$73,6,FALSE)="","",VLOOKUP($B242,Master_PIC!$A$8:$G$73,6,FALSE)),"")</f>
        <v/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8"/>
      <c r="Y242" s="5"/>
      <c r="Z242" s="5"/>
      <c r="AA242" s="9"/>
      <c r="AB242" s="5"/>
      <c r="AC242" s="5"/>
      <c r="AD242" s="9"/>
      <c r="AE242" s="5"/>
      <c r="AF242" s="7" t="str">
        <f t="shared" si="21"/>
        <v/>
      </c>
      <c r="AG242" s="7" t="str">
        <f t="shared" si="22"/>
        <v/>
      </c>
      <c r="AH242" s="7" t="str">
        <f t="shared" si="23"/>
        <v/>
      </c>
      <c r="AI242" s="7" t="str">
        <f t="shared" si="24"/>
        <v/>
      </c>
      <c r="AJ242" s="7" t="str">
        <f t="shared" si="25"/>
        <v/>
      </c>
      <c r="AK242" s="7" t="str">
        <f t="shared" si="26"/>
        <v/>
      </c>
      <c r="AL242" s="10" t="str">
        <f t="shared" si="27"/>
        <v/>
      </c>
      <c r="AM242" s="15" t="str">
        <f>IF(OR($A242&lt;&gt;"",$B242&lt;&gt;""),IF(OR($A242="",$B242=""),"Isi tanggal dan ID PIC",IF(NOT(ISNUMBER($A242)),"Tanggal harus berupa tanggal Excel",IF(COUNTIFS(Master_PIC!$A$8:$A$73,$B242)&lt;&gt;1,"ID PIC tidak unik/terdaftar",IF(VLOOKUP($B242,Master_PIC!$A$8:$G$73,3,FALSE)&lt;&gt;"Sales","Jabatan tidak sesuai sheet",IF(OR($C242="",$D242="",$E242="",$F242=""),"Lengkapi master PIC",IF(COUNTIFS($A$8:$A$507,$A242,$B$8:$B$507,$B242)&gt;1,"Laporan ganda",IF(COUNTIFS(G242:P242,"Tidak Berlaku")&gt;0,"N/A hanya untuk kegiatan bersyarat",IF(SUM(AG242,AH242,AI242,AJ242,AK242)&lt;&gt;14,"Status kegiatan tidak valid",IF(AK242&gt;0,"Lengkapi status kegiatan",IF(AND(AJ242&gt;0,U242=""),"Isi alasan Tidak Berlaku",IF(AND(SUM(AH242,AI242)&gt;0,OR(U242="",V242="",W242="",X242="")),"Isi kendala dan tindak lanjut",IF(AND(Z242&lt;&gt;"Draft",Z242&lt;&gt;"Dikirim"),"Isi status laporan yang valid",IF(AND(AB242&lt;&gt;"",AB242&lt;&gt;"Belum Diperiksa",AB242&lt;&gt;"Disetujui",AB242&lt;&gt;"Perlu Perbaikan"),"Hasil review tidak valid",IF(AND(Z242="Dikirim",OR(Y242="",AA242="")),"Isi bukti dan waktu kirim",IF(AND(AB242="Disetujui",OR(Z242&lt;&gt;"Dikirim",AC242="",AD242="")),"Lengkapi pemeriksaan",IF(AND(AB242="Perlu Perbaikan",OR(AE242="",AC242="",AD242="")),"Isi pemeriksa dan catatan perbaikan","OK")))))))))))))))),"")</f>
        <v/>
      </c>
    </row>
    <row r="243" spans="1:39" ht="24.95" customHeight="1">
      <c r="A243" s="8"/>
      <c r="B243" s="6"/>
      <c r="C243" s="15" t="str">
        <f>IF(COUNTIFS(Master_PIC!$A$8:$A$73,$B243)=1,IF(VLOOKUP($B243,Master_PIC!$A$8:$G$73,2,FALSE)="","",VLOOKUP($B243,Master_PIC!$A$8:$G$73,2,FALSE)),"")</f>
        <v/>
      </c>
      <c r="D243" s="15" t="str">
        <f>IF(COUNTIFS(Master_PIC!$A$8:$A$73,$B243)=1,IF(VLOOKUP($B243,Master_PIC!$A$8:$G$73,4,FALSE)="","",VLOOKUP($B243,Master_PIC!$A$8:$G$73,4,FALSE)),"")</f>
        <v/>
      </c>
      <c r="E243" s="15" t="str">
        <f>IF(COUNTIFS(Master_PIC!$A$8:$A$73,$B243)=1,IF(VLOOKUP($B243,Master_PIC!$A$8:$G$73,5,FALSE)="","",VLOOKUP($B243,Master_PIC!$A$8:$G$73,5,FALSE)),"")</f>
        <v/>
      </c>
      <c r="F243" s="15" t="str">
        <f>IF(COUNTIFS(Master_PIC!$A$8:$A$73,$B243)=1,IF(VLOOKUP($B243,Master_PIC!$A$8:$G$73,6,FALSE)="","",VLOOKUP($B243,Master_PIC!$A$8:$G$73,6,FALSE)),"")</f>
        <v/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8"/>
      <c r="Y243" s="5"/>
      <c r="Z243" s="5"/>
      <c r="AA243" s="9"/>
      <c r="AB243" s="5"/>
      <c r="AC243" s="5"/>
      <c r="AD243" s="9"/>
      <c r="AE243" s="5"/>
      <c r="AF243" s="7" t="str">
        <f t="shared" si="21"/>
        <v/>
      </c>
      <c r="AG243" s="7" t="str">
        <f t="shared" si="22"/>
        <v/>
      </c>
      <c r="AH243" s="7" t="str">
        <f t="shared" si="23"/>
        <v/>
      </c>
      <c r="AI243" s="7" t="str">
        <f t="shared" si="24"/>
        <v/>
      </c>
      <c r="AJ243" s="7" t="str">
        <f t="shared" si="25"/>
        <v/>
      </c>
      <c r="AK243" s="7" t="str">
        <f t="shared" si="26"/>
        <v/>
      </c>
      <c r="AL243" s="10" t="str">
        <f t="shared" si="27"/>
        <v/>
      </c>
      <c r="AM243" s="15" t="str">
        <f>IF(OR($A243&lt;&gt;"",$B243&lt;&gt;""),IF(OR($A243="",$B243=""),"Isi tanggal dan ID PIC",IF(NOT(ISNUMBER($A243)),"Tanggal harus berupa tanggal Excel",IF(COUNTIFS(Master_PIC!$A$8:$A$73,$B243)&lt;&gt;1,"ID PIC tidak unik/terdaftar",IF(VLOOKUP($B243,Master_PIC!$A$8:$G$73,3,FALSE)&lt;&gt;"Sales","Jabatan tidak sesuai sheet",IF(OR($C243="",$D243="",$E243="",$F243=""),"Lengkapi master PIC",IF(COUNTIFS($A$8:$A$507,$A243,$B$8:$B$507,$B243)&gt;1,"Laporan ganda",IF(COUNTIFS(G243:P243,"Tidak Berlaku")&gt;0,"N/A hanya untuk kegiatan bersyarat",IF(SUM(AG243,AH243,AI243,AJ243,AK243)&lt;&gt;14,"Status kegiatan tidak valid",IF(AK243&gt;0,"Lengkapi status kegiatan",IF(AND(AJ243&gt;0,U243=""),"Isi alasan Tidak Berlaku",IF(AND(SUM(AH243,AI243)&gt;0,OR(U243="",V243="",W243="",X243="")),"Isi kendala dan tindak lanjut",IF(AND(Z243&lt;&gt;"Draft",Z243&lt;&gt;"Dikirim"),"Isi status laporan yang valid",IF(AND(AB243&lt;&gt;"",AB243&lt;&gt;"Belum Diperiksa",AB243&lt;&gt;"Disetujui",AB243&lt;&gt;"Perlu Perbaikan"),"Hasil review tidak valid",IF(AND(Z243="Dikirim",OR(Y243="",AA243="")),"Isi bukti dan waktu kirim",IF(AND(AB243="Disetujui",OR(Z243&lt;&gt;"Dikirim",AC243="",AD243="")),"Lengkapi pemeriksaan",IF(AND(AB243="Perlu Perbaikan",OR(AE243="",AC243="",AD243="")),"Isi pemeriksa dan catatan perbaikan","OK")))))))))))))))),"")</f>
        <v/>
      </c>
    </row>
    <row r="244" spans="1:39" ht="24.95" customHeight="1">
      <c r="A244" s="8"/>
      <c r="B244" s="6"/>
      <c r="C244" s="15" t="str">
        <f>IF(COUNTIFS(Master_PIC!$A$8:$A$73,$B244)=1,IF(VLOOKUP($B244,Master_PIC!$A$8:$G$73,2,FALSE)="","",VLOOKUP($B244,Master_PIC!$A$8:$G$73,2,FALSE)),"")</f>
        <v/>
      </c>
      <c r="D244" s="15" t="str">
        <f>IF(COUNTIFS(Master_PIC!$A$8:$A$73,$B244)=1,IF(VLOOKUP($B244,Master_PIC!$A$8:$G$73,4,FALSE)="","",VLOOKUP($B244,Master_PIC!$A$8:$G$73,4,FALSE)),"")</f>
        <v/>
      </c>
      <c r="E244" s="15" t="str">
        <f>IF(COUNTIFS(Master_PIC!$A$8:$A$73,$B244)=1,IF(VLOOKUP($B244,Master_PIC!$A$8:$G$73,5,FALSE)="","",VLOOKUP($B244,Master_PIC!$A$8:$G$73,5,FALSE)),"")</f>
        <v/>
      </c>
      <c r="F244" s="15" t="str">
        <f>IF(COUNTIFS(Master_PIC!$A$8:$A$73,$B244)=1,IF(VLOOKUP($B244,Master_PIC!$A$8:$G$73,6,FALSE)="","",VLOOKUP($B244,Master_PIC!$A$8:$G$73,6,FALSE)),"")</f>
        <v/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8"/>
      <c r="Y244" s="5"/>
      <c r="Z244" s="5"/>
      <c r="AA244" s="9"/>
      <c r="AB244" s="5"/>
      <c r="AC244" s="5"/>
      <c r="AD244" s="9"/>
      <c r="AE244" s="5"/>
      <c r="AF244" s="7" t="str">
        <f t="shared" si="21"/>
        <v/>
      </c>
      <c r="AG244" s="7" t="str">
        <f t="shared" si="22"/>
        <v/>
      </c>
      <c r="AH244" s="7" t="str">
        <f t="shared" si="23"/>
        <v/>
      </c>
      <c r="AI244" s="7" t="str">
        <f t="shared" si="24"/>
        <v/>
      </c>
      <c r="AJ244" s="7" t="str">
        <f t="shared" si="25"/>
        <v/>
      </c>
      <c r="AK244" s="7" t="str">
        <f t="shared" si="26"/>
        <v/>
      </c>
      <c r="AL244" s="10" t="str">
        <f t="shared" si="27"/>
        <v/>
      </c>
      <c r="AM244" s="15" t="str">
        <f>IF(OR($A244&lt;&gt;"",$B244&lt;&gt;""),IF(OR($A244="",$B244=""),"Isi tanggal dan ID PIC",IF(NOT(ISNUMBER($A244)),"Tanggal harus berupa tanggal Excel",IF(COUNTIFS(Master_PIC!$A$8:$A$73,$B244)&lt;&gt;1,"ID PIC tidak unik/terdaftar",IF(VLOOKUP($B244,Master_PIC!$A$8:$G$73,3,FALSE)&lt;&gt;"Sales","Jabatan tidak sesuai sheet",IF(OR($C244="",$D244="",$E244="",$F244=""),"Lengkapi master PIC",IF(COUNTIFS($A$8:$A$507,$A244,$B$8:$B$507,$B244)&gt;1,"Laporan ganda",IF(COUNTIFS(G244:P244,"Tidak Berlaku")&gt;0,"N/A hanya untuk kegiatan bersyarat",IF(SUM(AG244,AH244,AI244,AJ244,AK244)&lt;&gt;14,"Status kegiatan tidak valid",IF(AK244&gt;0,"Lengkapi status kegiatan",IF(AND(AJ244&gt;0,U244=""),"Isi alasan Tidak Berlaku",IF(AND(SUM(AH244,AI244)&gt;0,OR(U244="",V244="",W244="",X244="")),"Isi kendala dan tindak lanjut",IF(AND(Z244&lt;&gt;"Draft",Z244&lt;&gt;"Dikirim"),"Isi status laporan yang valid",IF(AND(AB244&lt;&gt;"",AB244&lt;&gt;"Belum Diperiksa",AB244&lt;&gt;"Disetujui",AB244&lt;&gt;"Perlu Perbaikan"),"Hasil review tidak valid",IF(AND(Z244="Dikirim",OR(Y244="",AA244="")),"Isi bukti dan waktu kirim",IF(AND(AB244="Disetujui",OR(Z244&lt;&gt;"Dikirim",AC244="",AD244="")),"Lengkapi pemeriksaan",IF(AND(AB244="Perlu Perbaikan",OR(AE244="",AC244="",AD244="")),"Isi pemeriksa dan catatan perbaikan","OK")))))))))))))))),"")</f>
        <v/>
      </c>
    </row>
    <row r="245" spans="1:39" ht="24.95" customHeight="1">
      <c r="A245" s="8"/>
      <c r="B245" s="6"/>
      <c r="C245" s="15" t="str">
        <f>IF(COUNTIFS(Master_PIC!$A$8:$A$73,$B245)=1,IF(VLOOKUP($B245,Master_PIC!$A$8:$G$73,2,FALSE)="","",VLOOKUP($B245,Master_PIC!$A$8:$G$73,2,FALSE)),"")</f>
        <v/>
      </c>
      <c r="D245" s="15" t="str">
        <f>IF(COUNTIFS(Master_PIC!$A$8:$A$73,$B245)=1,IF(VLOOKUP($B245,Master_PIC!$A$8:$G$73,4,FALSE)="","",VLOOKUP($B245,Master_PIC!$A$8:$G$73,4,FALSE)),"")</f>
        <v/>
      </c>
      <c r="E245" s="15" t="str">
        <f>IF(COUNTIFS(Master_PIC!$A$8:$A$73,$B245)=1,IF(VLOOKUP($B245,Master_PIC!$A$8:$G$73,5,FALSE)="","",VLOOKUP($B245,Master_PIC!$A$8:$G$73,5,FALSE)),"")</f>
        <v/>
      </c>
      <c r="F245" s="15" t="str">
        <f>IF(COUNTIFS(Master_PIC!$A$8:$A$73,$B245)=1,IF(VLOOKUP($B245,Master_PIC!$A$8:$G$73,6,FALSE)="","",VLOOKUP($B245,Master_PIC!$A$8:$G$73,6,FALSE)),"")</f>
        <v/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8"/>
      <c r="Y245" s="5"/>
      <c r="Z245" s="5"/>
      <c r="AA245" s="9"/>
      <c r="AB245" s="5"/>
      <c r="AC245" s="5"/>
      <c r="AD245" s="9"/>
      <c r="AE245" s="5"/>
      <c r="AF245" s="7" t="str">
        <f t="shared" si="21"/>
        <v/>
      </c>
      <c r="AG245" s="7" t="str">
        <f t="shared" si="22"/>
        <v/>
      </c>
      <c r="AH245" s="7" t="str">
        <f t="shared" si="23"/>
        <v/>
      </c>
      <c r="AI245" s="7" t="str">
        <f t="shared" si="24"/>
        <v/>
      </c>
      <c r="AJ245" s="7" t="str">
        <f t="shared" si="25"/>
        <v/>
      </c>
      <c r="AK245" s="7" t="str">
        <f t="shared" si="26"/>
        <v/>
      </c>
      <c r="AL245" s="10" t="str">
        <f t="shared" si="27"/>
        <v/>
      </c>
      <c r="AM245" s="15" t="str">
        <f>IF(OR($A245&lt;&gt;"",$B245&lt;&gt;""),IF(OR($A245="",$B245=""),"Isi tanggal dan ID PIC",IF(NOT(ISNUMBER($A245)),"Tanggal harus berupa tanggal Excel",IF(COUNTIFS(Master_PIC!$A$8:$A$73,$B245)&lt;&gt;1,"ID PIC tidak unik/terdaftar",IF(VLOOKUP($B245,Master_PIC!$A$8:$G$73,3,FALSE)&lt;&gt;"Sales","Jabatan tidak sesuai sheet",IF(OR($C245="",$D245="",$E245="",$F245=""),"Lengkapi master PIC",IF(COUNTIFS($A$8:$A$507,$A245,$B$8:$B$507,$B245)&gt;1,"Laporan ganda",IF(COUNTIFS(G245:P245,"Tidak Berlaku")&gt;0,"N/A hanya untuk kegiatan bersyarat",IF(SUM(AG245,AH245,AI245,AJ245,AK245)&lt;&gt;14,"Status kegiatan tidak valid",IF(AK245&gt;0,"Lengkapi status kegiatan",IF(AND(AJ245&gt;0,U245=""),"Isi alasan Tidak Berlaku",IF(AND(SUM(AH245,AI245)&gt;0,OR(U245="",V245="",W245="",X245="")),"Isi kendala dan tindak lanjut",IF(AND(Z245&lt;&gt;"Draft",Z245&lt;&gt;"Dikirim"),"Isi status laporan yang valid",IF(AND(AB245&lt;&gt;"",AB245&lt;&gt;"Belum Diperiksa",AB245&lt;&gt;"Disetujui",AB245&lt;&gt;"Perlu Perbaikan"),"Hasil review tidak valid",IF(AND(Z245="Dikirim",OR(Y245="",AA245="")),"Isi bukti dan waktu kirim",IF(AND(AB245="Disetujui",OR(Z245&lt;&gt;"Dikirim",AC245="",AD245="")),"Lengkapi pemeriksaan",IF(AND(AB245="Perlu Perbaikan",OR(AE245="",AC245="",AD245="")),"Isi pemeriksa dan catatan perbaikan","OK")))))))))))))))),"")</f>
        <v/>
      </c>
    </row>
    <row r="246" spans="1:39" ht="24.95" customHeight="1">
      <c r="A246" s="8"/>
      <c r="B246" s="6"/>
      <c r="C246" s="15" t="str">
        <f>IF(COUNTIFS(Master_PIC!$A$8:$A$73,$B246)=1,IF(VLOOKUP($B246,Master_PIC!$A$8:$G$73,2,FALSE)="","",VLOOKUP($B246,Master_PIC!$A$8:$G$73,2,FALSE)),"")</f>
        <v/>
      </c>
      <c r="D246" s="15" t="str">
        <f>IF(COUNTIFS(Master_PIC!$A$8:$A$73,$B246)=1,IF(VLOOKUP($B246,Master_PIC!$A$8:$G$73,4,FALSE)="","",VLOOKUP($B246,Master_PIC!$A$8:$G$73,4,FALSE)),"")</f>
        <v/>
      </c>
      <c r="E246" s="15" t="str">
        <f>IF(COUNTIFS(Master_PIC!$A$8:$A$73,$B246)=1,IF(VLOOKUP($B246,Master_PIC!$A$8:$G$73,5,FALSE)="","",VLOOKUP($B246,Master_PIC!$A$8:$G$73,5,FALSE)),"")</f>
        <v/>
      </c>
      <c r="F246" s="15" t="str">
        <f>IF(COUNTIFS(Master_PIC!$A$8:$A$73,$B246)=1,IF(VLOOKUP($B246,Master_PIC!$A$8:$G$73,6,FALSE)="","",VLOOKUP($B246,Master_PIC!$A$8:$G$73,6,FALSE)),"")</f>
        <v/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8"/>
      <c r="Y246" s="5"/>
      <c r="Z246" s="5"/>
      <c r="AA246" s="9"/>
      <c r="AB246" s="5"/>
      <c r="AC246" s="5"/>
      <c r="AD246" s="9"/>
      <c r="AE246" s="5"/>
      <c r="AF246" s="7" t="str">
        <f t="shared" si="21"/>
        <v/>
      </c>
      <c r="AG246" s="7" t="str">
        <f t="shared" si="22"/>
        <v/>
      </c>
      <c r="AH246" s="7" t="str">
        <f t="shared" si="23"/>
        <v/>
      </c>
      <c r="AI246" s="7" t="str">
        <f t="shared" si="24"/>
        <v/>
      </c>
      <c r="AJ246" s="7" t="str">
        <f t="shared" si="25"/>
        <v/>
      </c>
      <c r="AK246" s="7" t="str">
        <f t="shared" si="26"/>
        <v/>
      </c>
      <c r="AL246" s="10" t="str">
        <f t="shared" si="27"/>
        <v/>
      </c>
      <c r="AM246" s="15" t="str">
        <f>IF(OR($A246&lt;&gt;"",$B246&lt;&gt;""),IF(OR($A246="",$B246=""),"Isi tanggal dan ID PIC",IF(NOT(ISNUMBER($A246)),"Tanggal harus berupa tanggal Excel",IF(COUNTIFS(Master_PIC!$A$8:$A$73,$B246)&lt;&gt;1,"ID PIC tidak unik/terdaftar",IF(VLOOKUP($B246,Master_PIC!$A$8:$G$73,3,FALSE)&lt;&gt;"Sales","Jabatan tidak sesuai sheet",IF(OR($C246="",$D246="",$E246="",$F246=""),"Lengkapi master PIC",IF(COUNTIFS($A$8:$A$507,$A246,$B$8:$B$507,$B246)&gt;1,"Laporan ganda",IF(COUNTIFS(G246:P246,"Tidak Berlaku")&gt;0,"N/A hanya untuk kegiatan bersyarat",IF(SUM(AG246,AH246,AI246,AJ246,AK246)&lt;&gt;14,"Status kegiatan tidak valid",IF(AK246&gt;0,"Lengkapi status kegiatan",IF(AND(AJ246&gt;0,U246=""),"Isi alasan Tidak Berlaku",IF(AND(SUM(AH246,AI246)&gt;0,OR(U246="",V246="",W246="",X246="")),"Isi kendala dan tindak lanjut",IF(AND(Z246&lt;&gt;"Draft",Z246&lt;&gt;"Dikirim"),"Isi status laporan yang valid",IF(AND(AB246&lt;&gt;"",AB246&lt;&gt;"Belum Diperiksa",AB246&lt;&gt;"Disetujui",AB246&lt;&gt;"Perlu Perbaikan"),"Hasil review tidak valid",IF(AND(Z246="Dikirim",OR(Y246="",AA246="")),"Isi bukti dan waktu kirim",IF(AND(AB246="Disetujui",OR(Z246&lt;&gt;"Dikirim",AC246="",AD246="")),"Lengkapi pemeriksaan",IF(AND(AB246="Perlu Perbaikan",OR(AE246="",AC246="",AD246="")),"Isi pemeriksa dan catatan perbaikan","OK")))))))))))))))),"")</f>
        <v/>
      </c>
    </row>
    <row r="247" spans="1:39" ht="24.95" customHeight="1">
      <c r="A247" s="8"/>
      <c r="B247" s="6"/>
      <c r="C247" s="15" t="str">
        <f>IF(COUNTIFS(Master_PIC!$A$8:$A$73,$B247)=1,IF(VLOOKUP($B247,Master_PIC!$A$8:$G$73,2,FALSE)="","",VLOOKUP($B247,Master_PIC!$A$8:$G$73,2,FALSE)),"")</f>
        <v/>
      </c>
      <c r="D247" s="15" t="str">
        <f>IF(COUNTIFS(Master_PIC!$A$8:$A$73,$B247)=1,IF(VLOOKUP($B247,Master_PIC!$A$8:$G$73,4,FALSE)="","",VLOOKUP($B247,Master_PIC!$A$8:$G$73,4,FALSE)),"")</f>
        <v/>
      </c>
      <c r="E247" s="15" t="str">
        <f>IF(COUNTIFS(Master_PIC!$A$8:$A$73,$B247)=1,IF(VLOOKUP($B247,Master_PIC!$A$8:$G$73,5,FALSE)="","",VLOOKUP($B247,Master_PIC!$A$8:$G$73,5,FALSE)),"")</f>
        <v/>
      </c>
      <c r="F247" s="15" t="str">
        <f>IF(COUNTIFS(Master_PIC!$A$8:$A$73,$B247)=1,IF(VLOOKUP($B247,Master_PIC!$A$8:$G$73,6,FALSE)="","",VLOOKUP($B247,Master_PIC!$A$8:$G$73,6,FALSE)),"")</f>
        <v/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8"/>
      <c r="Y247" s="5"/>
      <c r="Z247" s="5"/>
      <c r="AA247" s="9"/>
      <c r="AB247" s="5"/>
      <c r="AC247" s="5"/>
      <c r="AD247" s="9"/>
      <c r="AE247" s="5"/>
      <c r="AF247" s="7" t="str">
        <f t="shared" si="21"/>
        <v/>
      </c>
      <c r="AG247" s="7" t="str">
        <f t="shared" si="22"/>
        <v/>
      </c>
      <c r="AH247" s="7" t="str">
        <f t="shared" si="23"/>
        <v/>
      </c>
      <c r="AI247" s="7" t="str">
        <f t="shared" si="24"/>
        <v/>
      </c>
      <c r="AJ247" s="7" t="str">
        <f t="shared" si="25"/>
        <v/>
      </c>
      <c r="AK247" s="7" t="str">
        <f t="shared" si="26"/>
        <v/>
      </c>
      <c r="AL247" s="10" t="str">
        <f t="shared" si="27"/>
        <v/>
      </c>
      <c r="AM247" s="15" t="str">
        <f>IF(OR($A247&lt;&gt;"",$B247&lt;&gt;""),IF(OR($A247="",$B247=""),"Isi tanggal dan ID PIC",IF(NOT(ISNUMBER($A247)),"Tanggal harus berupa tanggal Excel",IF(COUNTIFS(Master_PIC!$A$8:$A$73,$B247)&lt;&gt;1,"ID PIC tidak unik/terdaftar",IF(VLOOKUP($B247,Master_PIC!$A$8:$G$73,3,FALSE)&lt;&gt;"Sales","Jabatan tidak sesuai sheet",IF(OR($C247="",$D247="",$E247="",$F247=""),"Lengkapi master PIC",IF(COUNTIFS($A$8:$A$507,$A247,$B$8:$B$507,$B247)&gt;1,"Laporan ganda",IF(COUNTIFS(G247:P247,"Tidak Berlaku")&gt;0,"N/A hanya untuk kegiatan bersyarat",IF(SUM(AG247,AH247,AI247,AJ247,AK247)&lt;&gt;14,"Status kegiatan tidak valid",IF(AK247&gt;0,"Lengkapi status kegiatan",IF(AND(AJ247&gt;0,U247=""),"Isi alasan Tidak Berlaku",IF(AND(SUM(AH247,AI247)&gt;0,OR(U247="",V247="",W247="",X247="")),"Isi kendala dan tindak lanjut",IF(AND(Z247&lt;&gt;"Draft",Z247&lt;&gt;"Dikirim"),"Isi status laporan yang valid",IF(AND(AB247&lt;&gt;"",AB247&lt;&gt;"Belum Diperiksa",AB247&lt;&gt;"Disetujui",AB247&lt;&gt;"Perlu Perbaikan"),"Hasil review tidak valid",IF(AND(Z247="Dikirim",OR(Y247="",AA247="")),"Isi bukti dan waktu kirim",IF(AND(AB247="Disetujui",OR(Z247&lt;&gt;"Dikirim",AC247="",AD247="")),"Lengkapi pemeriksaan",IF(AND(AB247="Perlu Perbaikan",OR(AE247="",AC247="",AD247="")),"Isi pemeriksa dan catatan perbaikan","OK")))))))))))))))),"")</f>
        <v/>
      </c>
    </row>
    <row r="248" spans="1:39" ht="24.95" customHeight="1">
      <c r="A248" s="8"/>
      <c r="B248" s="6"/>
      <c r="C248" s="15" t="str">
        <f>IF(COUNTIFS(Master_PIC!$A$8:$A$73,$B248)=1,IF(VLOOKUP($B248,Master_PIC!$A$8:$G$73,2,FALSE)="","",VLOOKUP($B248,Master_PIC!$A$8:$G$73,2,FALSE)),"")</f>
        <v/>
      </c>
      <c r="D248" s="15" t="str">
        <f>IF(COUNTIFS(Master_PIC!$A$8:$A$73,$B248)=1,IF(VLOOKUP($B248,Master_PIC!$A$8:$G$73,4,FALSE)="","",VLOOKUP($B248,Master_PIC!$A$8:$G$73,4,FALSE)),"")</f>
        <v/>
      </c>
      <c r="E248" s="15" t="str">
        <f>IF(COUNTIFS(Master_PIC!$A$8:$A$73,$B248)=1,IF(VLOOKUP($B248,Master_PIC!$A$8:$G$73,5,FALSE)="","",VLOOKUP($B248,Master_PIC!$A$8:$G$73,5,FALSE)),"")</f>
        <v/>
      </c>
      <c r="F248" s="15" t="str">
        <f>IF(COUNTIFS(Master_PIC!$A$8:$A$73,$B248)=1,IF(VLOOKUP($B248,Master_PIC!$A$8:$G$73,6,FALSE)="","",VLOOKUP($B248,Master_PIC!$A$8:$G$73,6,FALSE)),"")</f>
        <v/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8"/>
      <c r="Y248" s="5"/>
      <c r="Z248" s="5"/>
      <c r="AA248" s="9"/>
      <c r="AB248" s="5"/>
      <c r="AC248" s="5"/>
      <c r="AD248" s="9"/>
      <c r="AE248" s="5"/>
      <c r="AF248" s="7" t="str">
        <f t="shared" si="21"/>
        <v/>
      </c>
      <c r="AG248" s="7" t="str">
        <f t="shared" si="22"/>
        <v/>
      </c>
      <c r="AH248" s="7" t="str">
        <f t="shared" si="23"/>
        <v/>
      </c>
      <c r="AI248" s="7" t="str">
        <f t="shared" si="24"/>
        <v/>
      </c>
      <c r="AJ248" s="7" t="str">
        <f t="shared" si="25"/>
        <v/>
      </c>
      <c r="AK248" s="7" t="str">
        <f t="shared" si="26"/>
        <v/>
      </c>
      <c r="AL248" s="10" t="str">
        <f t="shared" si="27"/>
        <v/>
      </c>
      <c r="AM248" s="15" t="str">
        <f>IF(OR($A248&lt;&gt;"",$B248&lt;&gt;""),IF(OR($A248="",$B248=""),"Isi tanggal dan ID PIC",IF(NOT(ISNUMBER($A248)),"Tanggal harus berupa tanggal Excel",IF(COUNTIFS(Master_PIC!$A$8:$A$73,$B248)&lt;&gt;1,"ID PIC tidak unik/terdaftar",IF(VLOOKUP($B248,Master_PIC!$A$8:$G$73,3,FALSE)&lt;&gt;"Sales","Jabatan tidak sesuai sheet",IF(OR($C248="",$D248="",$E248="",$F248=""),"Lengkapi master PIC",IF(COUNTIFS($A$8:$A$507,$A248,$B$8:$B$507,$B248)&gt;1,"Laporan ganda",IF(COUNTIFS(G248:P248,"Tidak Berlaku")&gt;0,"N/A hanya untuk kegiatan bersyarat",IF(SUM(AG248,AH248,AI248,AJ248,AK248)&lt;&gt;14,"Status kegiatan tidak valid",IF(AK248&gt;0,"Lengkapi status kegiatan",IF(AND(AJ248&gt;0,U248=""),"Isi alasan Tidak Berlaku",IF(AND(SUM(AH248,AI248)&gt;0,OR(U248="",V248="",W248="",X248="")),"Isi kendala dan tindak lanjut",IF(AND(Z248&lt;&gt;"Draft",Z248&lt;&gt;"Dikirim"),"Isi status laporan yang valid",IF(AND(AB248&lt;&gt;"",AB248&lt;&gt;"Belum Diperiksa",AB248&lt;&gt;"Disetujui",AB248&lt;&gt;"Perlu Perbaikan"),"Hasil review tidak valid",IF(AND(Z248="Dikirim",OR(Y248="",AA248="")),"Isi bukti dan waktu kirim",IF(AND(AB248="Disetujui",OR(Z248&lt;&gt;"Dikirim",AC248="",AD248="")),"Lengkapi pemeriksaan",IF(AND(AB248="Perlu Perbaikan",OR(AE248="",AC248="",AD248="")),"Isi pemeriksa dan catatan perbaikan","OK")))))))))))))))),"")</f>
        <v/>
      </c>
    </row>
    <row r="249" spans="1:39" ht="24.95" customHeight="1">
      <c r="A249" s="8"/>
      <c r="B249" s="6"/>
      <c r="C249" s="15" t="str">
        <f>IF(COUNTIFS(Master_PIC!$A$8:$A$73,$B249)=1,IF(VLOOKUP($B249,Master_PIC!$A$8:$G$73,2,FALSE)="","",VLOOKUP($B249,Master_PIC!$A$8:$G$73,2,FALSE)),"")</f>
        <v/>
      </c>
      <c r="D249" s="15" t="str">
        <f>IF(COUNTIFS(Master_PIC!$A$8:$A$73,$B249)=1,IF(VLOOKUP($B249,Master_PIC!$A$8:$G$73,4,FALSE)="","",VLOOKUP($B249,Master_PIC!$A$8:$G$73,4,FALSE)),"")</f>
        <v/>
      </c>
      <c r="E249" s="15" t="str">
        <f>IF(COUNTIFS(Master_PIC!$A$8:$A$73,$B249)=1,IF(VLOOKUP($B249,Master_PIC!$A$8:$G$73,5,FALSE)="","",VLOOKUP($B249,Master_PIC!$A$8:$G$73,5,FALSE)),"")</f>
        <v/>
      </c>
      <c r="F249" s="15" t="str">
        <f>IF(COUNTIFS(Master_PIC!$A$8:$A$73,$B249)=1,IF(VLOOKUP($B249,Master_PIC!$A$8:$G$73,6,FALSE)="","",VLOOKUP($B249,Master_PIC!$A$8:$G$73,6,FALSE)),"")</f>
        <v/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8"/>
      <c r="Y249" s="5"/>
      <c r="Z249" s="5"/>
      <c r="AA249" s="9"/>
      <c r="AB249" s="5"/>
      <c r="AC249" s="5"/>
      <c r="AD249" s="9"/>
      <c r="AE249" s="5"/>
      <c r="AF249" s="7" t="str">
        <f t="shared" si="21"/>
        <v/>
      </c>
      <c r="AG249" s="7" t="str">
        <f t="shared" si="22"/>
        <v/>
      </c>
      <c r="AH249" s="7" t="str">
        <f t="shared" si="23"/>
        <v/>
      </c>
      <c r="AI249" s="7" t="str">
        <f t="shared" si="24"/>
        <v/>
      </c>
      <c r="AJ249" s="7" t="str">
        <f t="shared" si="25"/>
        <v/>
      </c>
      <c r="AK249" s="7" t="str">
        <f t="shared" si="26"/>
        <v/>
      </c>
      <c r="AL249" s="10" t="str">
        <f t="shared" si="27"/>
        <v/>
      </c>
      <c r="AM249" s="15" t="str">
        <f>IF(OR($A249&lt;&gt;"",$B249&lt;&gt;""),IF(OR($A249="",$B249=""),"Isi tanggal dan ID PIC",IF(NOT(ISNUMBER($A249)),"Tanggal harus berupa tanggal Excel",IF(COUNTIFS(Master_PIC!$A$8:$A$73,$B249)&lt;&gt;1,"ID PIC tidak unik/terdaftar",IF(VLOOKUP($B249,Master_PIC!$A$8:$G$73,3,FALSE)&lt;&gt;"Sales","Jabatan tidak sesuai sheet",IF(OR($C249="",$D249="",$E249="",$F249=""),"Lengkapi master PIC",IF(COUNTIFS($A$8:$A$507,$A249,$B$8:$B$507,$B249)&gt;1,"Laporan ganda",IF(COUNTIFS(G249:P249,"Tidak Berlaku")&gt;0,"N/A hanya untuk kegiatan bersyarat",IF(SUM(AG249,AH249,AI249,AJ249,AK249)&lt;&gt;14,"Status kegiatan tidak valid",IF(AK249&gt;0,"Lengkapi status kegiatan",IF(AND(AJ249&gt;0,U249=""),"Isi alasan Tidak Berlaku",IF(AND(SUM(AH249,AI249)&gt;0,OR(U249="",V249="",W249="",X249="")),"Isi kendala dan tindak lanjut",IF(AND(Z249&lt;&gt;"Draft",Z249&lt;&gt;"Dikirim"),"Isi status laporan yang valid",IF(AND(AB249&lt;&gt;"",AB249&lt;&gt;"Belum Diperiksa",AB249&lt;&gt;"Disetujui",AB249&lt;&gt;"Perlu Perbaikan"),"Hasil review tidak valid",IF(AND(Z249="Dikirim",OR(Y249="",AA249="")),"Isi bukti dan waktu kirim",IF(AND(AB249="Disetujui",OR(Z249&lt;&gt;"Dikirim",AC249="",AD249="")),"Lengkapi pemeriksaan",IF(AND(AB249="Perlu Perbaikan",OR(AE249="",AC249="",AD249="")),"Isi pemeriksa dan catatan perbaikan","OK")))))))))))))))),"")</f>
        <v/>
      </c>
    </row>
    <row r="250" spans="1:39" ht="24.95" customHeight="1">
      <c r="A250" s="8"/>
      <c r="B250" s="6"/>
      <c r="C250" s="15" t="str">
        <f>IF(COUNTIFS(Master_PIC!$A$8:$A$73,$B250)=1,IF(VLOOKUP($B250,Master_PIC!$A$8:$G$73,2,FALSE)="","",VLOOKUP($B250,Master_PIC!$A$8:$G$73,2,FALSE)),"")</f>
        <v/>
      </c>
      <c r="D250" s="15" t="str">
        <f>IF(COUNTIFS(Master_PIC!$A$8:$A$73,$B250)=1,IF(VLOOKUP($B250,Master_PIC!$A$8:$G$73,4,FALSE)="","",VLOOKUP($B250,Master_PIC!$A$8:$G$73,4,FALSE)),"")</f>
        <v/>
      </c>
      <c r="E250" s="15" t="str">
        <f>IF(COUNTIFS(Master_PIC!$A$8:$A$73,$B250)=1,IF(VLOOKUP($B250,Master_PIC!$A$8:$G$73,5,FALSE)="","",VLOOKUP($B250,Master_PIC!$A$8:$G$73,5,FALSE)),"")</f>
        <v/>
      </c>
      <c r="F250" s="15" t="str">
        <f>IF(COUNTIFS(Master_PIC!$A$8:$A$73,$B250)=1,IF(VLOOKUP($B250,Master_PIC!$A$8:$G$73,6,FALSE)="","",VLOOKUP($B250,Master_PIC!$A$8:$G$73,6,FALSE)),"")</f>
        <v/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8"/>
      <c r="Y250" s="5"/>
      <c r="Z250" s="5"/>
      <c r="AA250" s="9"/>
      <c r="AB250" s="5"/>
      <c r="AC250" s="5"/>
      <c r="AD250" s="9"/>
      <c r="AE250" s="5"/>
      <c r="AF250" s="7" t="str">
        <f t="shared" si="21"/>
        <v/>
      </c>
      <c r="AG250" s="7" t="str">
        <f t="shared" si="22"/>
        <v/>
      </c>
      <c r="AH250" s="7" t="str">
        <f t="shared" si="23"/>
        <v/>
      </c>
      <c r="AI250" s="7" t="str">
        <f t="shared" si="24"/>
        <v/>
      </c>
      <c r="AJ250" s="7" t="str">
        <f t="shared" si="25"/>
        <v/>
      </c>
      <c r="AK250" s="7" t="str">
        <f t="shared" si="26"/>
        <v/>
      </c>
      <c r="AL250" s="10" t="str">
        <f t="shared" si="27"/>
        <v/>
      </c>
      <c r="AM250" s="15" t="str">
        <f>IF(OR($A250&lt;&gt;"",$B250&lt;&gt;""),IF(OR($A250="",$B250=""),"Isi tanggal dan ID PIC",IF(NOT(ISNUMBER($A250)),"Tanggal harus berupa tanggal Excel",IF(COUNTIFS(Master_PIC!$A$8:$A$73,$B250)&lt;&gt;1,"ID PIC tidak unik/terdaftar",IF(VLOOKUP($B250,Master_PIC!$A$8:$G$73,3,FALSE)&lt;&gt;"Sales","Jabatan tidak sesuai sheet",IF(OR($C250="",$D250="",$E250="",$F250=""),"Lengkapi master PIC",IF(COUNTIFS($A$8:$A$507,$A250,$B$8:$B$507,$B250)&gt;1,"Laporan ganda",IF(COUNTIFS(G250:P250,"Tidak Berlaku")&gt;0,"N/A hanya untuk kegiatan bersyarat",IF(SUM(AG250,AH250,AI250,AJ250,AK250)&lt;&gt;14,"Status kegiatan tidak valid",IF(AK250&gt;0,"Lengkapi status kegiatan",IF(AND(AJ250&gt;0,U250=""),"Isi alasan Tidak Berlaku",IF(AND(SUM(AH250,AI250)&gt;0,OR(U250="",V250="",W250="",X250="")),"Isi kendala dan tindak lanjut",IF(AND(Z250&lt;&gt;"Draft",Z250&lt;&gt;"Dikirim"),"Isi status laporan yang valid",IF(AND(AB250&lt;&gt;"",AB250&lt;&gt;"Belum Diperiksa",AB250&lt;&gt;"Disetujui",AB250&lt;&gt;"Perlu Perbaikan"),"Hasil review tidak valid",IF(AND(Z250="Dikirim",OR(Y250="",AA250="")),"Isi bukti dan waktu kirim",IF(AND(AB250="Disetujui",OR(Z250&lt;&gt;"Dikirim",AC250="",AD250="")),"Lengkapi pemeriksaan",IF(AND(AB250="Perlu Perbaikan",OR(AE250="",AC250="",AD250="")),"Isi pemeriksa dan catatan perbaikan","OK")))))))))))))))),"")</f>
        <v/>
      </c>
    </row>
    <row r="251" spans="1:39" ht="24.95" customHeight="1">
      <c r="A251" s="8"/>
      <c r="B251" s="6"/>
      <c r="C251" s="15" t="str">
        <f>IF(COUNTIFS(Master_PIC!$A$8:$A$73,$B251)=1,IF(VLOOKUP($B251,Master_PIC!$A$8:$G$73,2,FALSE)="","",VLOOKUP($B251,Master_PIC!$A$8:$G$73,2,FALSE)),"")</f>
        <v/>
      </c>
      <c r="D251" s="15" t="str">
        <f>IF(COUNTIFS(Master_PIC!$A$8:$A$73,$B251)=1,IF(VLOOKUP($B251,Master_PIC!$A$8:$G$73,4,FALSE)="","",VLOOKUP($B251,Master_PIC!$A$8:$G$73,4,FALSE)),"")</f>
        <v/>
      </c>
      <c r="E251" s="15" t="str">
        <f>IF(COUNTIFS(Master_PIC!$A$8:$A$73,$B251)=1,IF(VLOOKUP($B251,Master_PIC!$A$8:$G$73,5,FALSE)="","",VLOOKUP($B251,Master_PIC!$A$8:$G$73,5,FALSE)),"")</f>
        <v/>
      </c>
      <c r="F251" s="15" t="str">
        <f>IF(COUNTIFS(Master_PIC!$A$8:$A$73,$B251)=1,IF(VLOOKUP($B251,Master_PIC!$A$8:$G$73,6,FALSE)="","",VLOOKUP($B251,Master_PIC!$A$8:$G$73,6,FALSE)),"")</f>
        <v/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8"/>
      <c r="Y251" s="5"/>
      <c r="Z251" s="5"/>
      <c r="AA251" s="9"/>
      <c r="AB251" s="5"/>
      <c r="AC251" s="5"/>
      <c r="AD251" s="9"/>
      <c r="AE251" s="5"/>
      <c r="AF251" s="7" t="str">
        <f t="shared" si="21"/>
        <v/>
      </c>
      <c r="AG251" s="7" t="str">
        <f t="shared" si="22"/>
        <v/>
      </c>
      <c r="AH251" s="7" t="str">
        <f t="shared" si="23"/>
        <v/>
      </c>
      <c r="AI251" s="7" t="str">
        <f t="shared" si="24"/>
        <v/>
      </c>
      <c r="AJ251" s="7" t="str">
        <f t="shared" si="25"/>
        <v/>
      </c>
      <c r="AK251" s="7" t="str">
        <f t="shared" si="26"/>
        <v/>
      </c>
      <c r="AL251" s="10" t="str">
        <f t="shared" si="27"/>
        <v/>
      </c>
      <c r="AM251" s="15" t="str">
        <f>IF(OR($A251&lt;&gt;"",$B251&lt;&gt;""),IF(OR($A251="",$B251=""),"Isi tanggal dan ID PIC",IF(NOT(ISNUMBER($A251)),"Tanggal harus berupa tanggal Excel",IF(COUNTIFS(Master_PIC!$A$8:$A$73,$B251)&lt;&gt;1,"ID PIC tidak unik/terdaftar",IF(VLOOKUP($B251,Master_PIC!$A$8:$G$73,3,FALSE)&lt;&gt;"Sales","Jabatan tidak sesuai sheet",IF(OR($C251="",$D251="",$E251="",$F251=""),"Lengkapi master PIC",IF(COUNTIFS($A$8:$A$507,$A251,$B$8:$B$507,$B251)&gt;1,"Laporan ganda",IF(COUNTIFS(G251:P251,"Tidak Berlaku")&gt;0,"N/A hanya untuk kegiatan bersyarat",IF(SUM(AG251,AH251,AI251,AJ251,AK251)&lt;&gt;14,"Status kegiatan tidak valid",IF(AK251&gt;0,"Lengkapi status kegiatan",IF(AND(AJ251&gt;0,U251=""),"Isi alasan Tidak Berlaku",IF(AND(SUM(AH251,AI251)&gt;0,OR(U251="",V251="",W251="",X251="")),"Isi kendala dan tindak lanjut",IF(AND(Z251&lt;&gt;"Draft",Z251&lt;&gt;"Dikirim"),"Isi status laporan yang valid",IF(AND(AB251&lt;&gt;"",AB251&lt;&gt;"Belum Diperiksa",AB251&lt;&gt;"Disetujui",AB251&lt;&gt;"Perlu Perbaikan"),"Hasil review tidak valid",IF(AND(Z251="Dikirim",OR(Y251="",AA251="")),"Isi bukti dan waktu kirim",IF(AND(AB251="Disetujui",OR(Z251&lt;&gt;"Dikirim",AC251="",AD251="")),"Lengkapi pemeriksaan",IF(AND(AB251="Perlu Perbaikan",OR(AE251="",AC251="",AD251="")),"Isi pemeriksa dan catatan perbaikan","OK")))))))))))))))),"")</f>
        <v/>
      </c>
    </row>
    <row r="252" spans="1:39" ht="24.95" customHeight="1">
      <c r="A252" s="8"/>
      <c r="B252" s="6"/>
      <c r="C252" s="15" t="str">
        <f>IF(COUNTIFS(Master_PIC!$A$8:$A$73,$B252)=1,IF(VLOOKUP($B252,Master_PIC!$A$8:$G$73,2,FALSE)="","",VLOOKUP($B252,Master_PIC!$A$8:$G$73,2,FALSE)),"")</f>
        <v/>
      </c>
      <c r="D252" s="15" t="str">
        <f>IF(COUNTIFS(Master_PIC!$A$8:$A$73,$B252)=1,IF(VLOOKUP($B252,Master_PIC!$A$8:$G$73,4,FALSE)="","",VLOOKUP($B252,Master_PIC!$A$8:$G$73,4,FALSE)),"")</f>
        <v/>
      </c>
      <c r="E252" s="15" t="str">
        <f>IF(COUNTIFS(Master_PIC!$A$8:$A$73,$B252)=1,IF(VLOOKUP($B252,Master_PIC!$A$8:$G$73,5,FALSE)="","",VLOOKUP($B252,Master_PIC!$A$8:$G$73,5,FALSE)),"")</f>
        <v/>
      </c>
      <c r="F252" s="15" t="str">
        <f>IF(COUNTIFS(Master_PIC!$A$8:$A$73,$B252)=1,IF(VLOOKUP($B252,Master_PIC!$A$8:$G$73,6,FALSE)="","",VLOOKUP($B252,Master_PIC!$A$8:$G$73,6,FALSE)),"")</f>
        <v/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8"/>
      <c r="Y252" s="5"/>
      <c r="Z252" s="5"/>
      <c r="AA252" s="9"/>
      <c r="AB252" s="5"/>
      <c r="AC252" s="5"/>
      <c r="AD252" s="9"/>
      <c r="AE252" s="5"/>
      <c r="AF252" s="7" t="str">
        <f t="shared" si="21"/>
        <v/>
      </c>
      <c r="AG252" s="7" t="str">
        <f t="shared" si="22"/>
        <v/>
      </c>
      <c r="AH252" s="7" t="str">
        <f t="shared" si="23"/>
        <v/>
      </c>
      <c r="AI252" s="7" t="str">
        <f t="shared" si="24"/>
        <v/>
      </c>
      <c r="AJ252" s="7" t="str">
        <f t="shared" si="25"/>
        <v/>
      </c>
      <c r="AK252" s="7" t="str">
        <f t="shared" si="26"/>
        <v/>
      </c>
      <c r="AL252" s="10" t="str">
        <f t="shared" si="27"/>
        <v/>
      </c>
      <c r="AM252" s="15" t="str">
        <f>IF(OR($A252&lt;&gt;"",$B252&lt;&gt;""),IF(OR($A252="",$B252=""),"Isi tanggal dan ID PIC",IF(NOT(ISNUMBER($A252)),"Tanggal harus berupa tanggal Excel",IF(COUNTIFS(Master_PIC!$A$8:$A$73,$B252)&lt;&gt;1,"ID PIC tidak unik/terdaftar",IF(VLOOKUP($B252,Master_PIC!$A$8:$G$73,3,FALSE)&lt;&gt;"Sales","Jabatan tidak sesuai sheet",IF(OR($C252="",$D252="",$E252="",$F252=""),"Lengkapi master PIC",IF(COUNTIFS($A$8:$A$507,$A252,$B$8:$B$507,$B252)&gt;1,"Laporan ganda",IF(COUNTIFS(G252:P252,"Tidak Berlaku")&gt;0,"N/A hanya untuk kegiatan bersyarat",IF(SUM(AG252,AH252,AI252,AJ252,AK252)&lt;&gt;14,"Status kegiatan tidak valid",IF(AK252&gt;0,"Lengkapi status kegiatan",IF(AND(AJ252&gt;0,U252=""),"Isi alasan Tidak Berlaku",IF(AND(SUM(AH252,AI252)&gt;0,OR(U252="",V252="",W252="",X252="")),"Isi kendala dan tindak lanjut",IF(AND(Z252&lt;&gt;"Draft",Z252&lt;&gt;"Dikirim"),"Isi status laporan yang valid",IF(AND(AB252&lt;&gt;"",AB252&lt;&gt;"Belum Diperiksa",AB252&lt;&gt;"Disetujui",AB252&lt;&gt;"Perlu Perbaikan"),"Hasil review tidak valid",IF(AND(Z252="Dikirim",OR(Y252="",AA252="")),"Isi bukti dan waktu kirim",IF(AND(AB252="Disetujui",OR(Z252&lt;&gt;"Dikirim",AC252="",AD252="")),"Lengkapi pemeriksaan",IF(AND(AB252="Perlu Perbaikan",OR(AE252="",AC252="",AD252="")),"Isi pemeriksa dan catatan perbaikan","OK")))))))))))))))),"")</f>
        <v/>
      </c>
    </row>
    <row r="253" spans="1:39" ht="24.95" customHeight="1">
      <c r="A253" s="8"/>
      <c r="B253" s="6"/>
      <c r="C253" s="15" t="str">
        <f>IF(COUNTIFS(Master_PIC!$A$8:$A$73,$B253)=1,IF(VLOOKUP($B253,Master_PIC!$A$8:$G$73,2,FALSE)="","",VLOOKUP($B253,Master_PIC!$A$8:$G$73,2,FALSE)),"")</f>
        <v/>
      </c>
      <c r="D253" s="15" t="str">
        <f>IF(COUNTIFS(Master_PIC!$A$8:$A$73,$B253)=1,IF(VLOOKUP($B253,Master_PIC!$A$8:$G$73,4,FALSE)="","",VLOOKUP($B253,Master_PIC!$A$8:$G$73,4,FALSE)),"")</f>
        <v/>
      </c>
      <c r="E253" s="15" t="str">
        <f>IF(COUNTIFS(Master_PIC!$A$8:$A$73,$B253)=1,IF(VLOOKUP($B253,Master_PIC!$A$8:$G$73,5,FALSE)="","",VLOOKUP($B253,Master_PIC!$A$8:$G$73,5,FALSE)),"")</f>
        <v/>
      </c>
      <c r="F253" s="15" t="str">
        <f>IF(COUNTIFS(Master_PIC!$A$8:$A$73,$B253)=1,IF(VLOOKUP($B253,Master_PIC!$A$8:$G$73,6,FALSE)="","",VLOOKUP($B253,Master_PIC!$A$8:$G$73,6,FALSE)),"")</f>
        <v/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8"/>
      <c r="Y253" s="5"/>
      <c r="Z253" s="5"/>
      <c r="AA253" s="9"/>
      <c r="AB253" s="5"/>
      <c r="AC253" s="5"/>
      <c r="AD253" s="9"/>
      <c r="AE253" s="5"/>
      <c r="AF253" s="7" t="str">
        <f t="shared" si="21"/>
        <v/>
      </c>
      <c r="AG253" s="7" t="str">
        <f t="shared" si="22"/>
        <v/>
      </c>
      <c r="AH253" s="7" t="str">
        <f t="shared" si="23"/>
        <v/>
      </c>
      <c r="AI253" s="7" t="str">
        <f t="shared" si="24"/>
        <v/>
      </c>
      <c r="AJ253" s="7" t="str">
        <f t="shared" si="25"/>
        <v/>
      </c>
      <c r="AK253" s="7" t="str">
        <f t="shared" si="26"/>
        <v/>
      </c>
      <c r="AL253" s="10" t="str">
        <f t="shared" si="27"/>
        <v/>
      </c>
      <c r="AM253" s="15" t="str">
        <f>IF(OR($A253&lt;&gt;"",$B253&lt;&gt;""),IF(OR($A253="",$B253=""),"Isi tanggal dan ID PIC",IF(NOT(ISNUMBER($A253)),"Tanggal harus berupa tanggal Excel",IF(COUNTIFS(Master_PIC!$A$8:$A$73,$B253)&lt;&gt;1,"ID PIC tidak unik/terdaftar",IF(VLOOKUP($B253,Master_PIC!$A$8:$G$73,3,FALSE)&lt;&gt;"Sales","Jabatan tidak sesuai sheet",IF(OR($C253="",$D253="",$E253="",$F253=""),"Lengkapi master PIC",IF(COUNTIFS($A$8:$A$507,$A253,$B$8:$B$507,$B253)&gt;1,"Laporan ganda",IF(COUNTIFS(G253:P253,"Tidak Berlaku")&gt;0,"N/A hanya untuk kegiatan bersyarat",IF(SUM(AG253,AH253,AI253,AJ253,AK253)&lt;&gt;14,"Status kegiatan tidak valid",IF(AK253&gt;0,"Lengkapi status kegiatan",IF(AND(AJ253&gt;0,U253=""),"Isi alasan Tidak Berlaku",IF(AND(SUM(AH253,AI253)&gt;0,OR(U253="",V253="",W253="",X253="")),"Isi kendala dan tindak lanjut",IF(AND(Z253&lt;&gt;"Draft",Z253&lt;&gt;"Dikirim"),"Isi status laporan yang valid",IF(AND(AB253&lt;&gt;"",AB253&lt;&gt;"Belum Diperiksa",AB253&lt;&gt;"Disetujui",AB253&lt;&gt;"Perlu Perbaikan"),"Hasil review tidak valid",IF(AND(Z253="Dikirim",OR(Y253="",AA253="")),"Isi bukti dan waktu kirim",IF(AND(AB253="Disetujui",OR(Z253&lt;&gt;"Dikirim",AC253="",AD253="")),"Lengkapi pemeriksaan",IF(AND(AB253="Perlu Perbaikan",OR(AE253="",AC253="",AD253="")),"Isi pemeriksa dan catatan perbaikan","OK")))))))))))))))),"")</f>
        <v/>
      </c>
    </row>
    <row r="254" spans="1:39" ht="24.95" customHeight="1">
      <c r="A254" s="8"/>
      <c r="B254" s="6"/>
      <c r="C254" s="15" t="str">
        <f>IF(COUNTIFS(Master_PIC!$A$8:$A$73,$B254)=1,IF(VLOOKUP($B254,Master_PIC!$A$8:$G$73,2,FALSE)="","",VLOOKUP($B254,Master_PIC!$A$8:$G$73,2,FALSE)),"")</f>
        <v/>
      </c>
      <c r="D254" s="15" t="str">
        <f>IF(COUNTIFS(Master_PIC!$A$8:$A$73,$B254)=1,IF(VLOOKUP($B254,Master_PIC!$A$8:$G$73,4,FALSE)="","",VLOOKUP($B254,Master_PIC!$A$8:$G$73,4,FALSE)),"")</f>
        <v/>
      </c>
      <c r="E254" s="15" t="str">
        <f>IF(COUNTIFS(Master_PIC!$A$8:$A$73,$B254)=1,IF(VLOOKUP($B254,Master_PIC!$A$8:$G$73,5,FALSE)="","",VLOOKUP($B254,Master_PIC!$A$8:$G$73,5,FALSE)),"")</f>
        <v/>
      </c>
      <c r="F254" s="15" t="str">
        <f>IF(COUNTIFS(Master_PIC!$A$8:$A$73,$B254)=1,IF(VLOOKUP($B254,Master_PIC!$A$8:$G$73,6,FALSE)="","",VLOOKUP($B254,Master_PIC!$A$8:$G$73,6,FALSE)),"")</f>
        <v/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8"/>
      <c r="Y254" s="5"/>
      <c r="Z254" s="5"/>
      <c r="AA254" s="9"/>
      <c r="AB254" s="5"/>
      <c r="AC254" s="5"/>
      <c r="AD254" s="9"/>
      <c r="AE254" s="5"/>
      <c r="AF254" s="7" t="str">
        <f t="shared" si="21"/>
        <v/>
      </c>
      <c r="AG254" s="7" t="str">
        <f t="shared" si="22"/>
        <v/>
      </c>
      <c r="AH254" s="7" t="str">
        <f t="shared" si="23"/>
        <v/>
      </c>
      <c r="AI254" s="7" t="str">
        <f t="shared" si="24"/>
        <v/>
      </c>
      <c r="AJ254" s="7" t="str">
        <f t="shared" si="25"/>
        <v/>
      </c>
      <c r="AK254" s="7" t="str">
        <f t="shared" si="26"/>
        <v/>
      </c>
      <c r="AL254" s="10" t="str">
        <f t="shared" si="27"/>
        <v/>
      </c>
      <c r="AM254" s="15" t="str">
        <f>IF(OR($A254&lt;&gt;"",$B254&lt;&gt;""),IF(OR($A254="",$B254=""),"Isi tanggal dan ID PIC",IF(NOT(ISNUMBER($A254)),"Tanggal harus berupa tanggal Excel",IF(COUNTIFS(Master_PIC!$A$8:$A$73,$B254)&lt;&gt;1,"ID PIC tidak unik/terdaftar",IF(VLOOKUP($B254,Master_PIC!$A$8:$G$73,3,FALSE)&lt;&gt;"Sales","Jabatan tidak sesuai sheet",IF(OR($C254="",$D254="",$E254="",$F254=""),"Lengkapi master PIC",IF(COUNTIFS($A$8:$A$507,$A254,$B$8:$B$507,$B254)&gt;1,"Laporan ganda",IF(COUNTIFS(G254:P254,"Tidak Berlaku")&gt;0,"N/A hanya untuk kegiatan bersyarat",IF(SUM(AG254,AH254,AI254,AJ254,AK254)&lt;&gt;14,"Status kegiatan tidak valid",IF(AK254&gt;0,"Lengkapi status kegiatan",IF(AND(AJ254&gt;0,U254=""),"Isi alasan Tidak Berlaku",IF(AND(SUM(AH254,AI254)&gt;0,OR(U254="",V254="",W254="",X254="")),"Isi kendala dan tindak lanjut",IF(AND(Z254&lt;&gt;"Draft",Z254&lt;&gt;"Dikirim"),"Isi status laporan yang valid",IF(AND(AB254&lt;&gt;"",AB254&lt;&gt;"Belum Diperiksa",AB254&lt;&gt;"Disetujui",AB254&lt;&gt;"Perlu Perbaikan"),"Hasil review tidak valid",IF(AND(Z254="Dikirim",OR(Y254="",AA254="")),"Isi bukti dan waktu kirim",IF(AND(AB254="Disetujui",OR(Z254&lt;&gt;"Dikirim",AC254="",AD254="")),"Lengkapi pemeriksaan",IF(AND(AB254="Perlu Perbaikan",OR(AE254="",AC254="",AD254="")),"Isi pemeriksa dan catatan perbaikan","OK")))))))))))))))),"")</f>
        <v/>
      </c>
    </row>
    <row r="255" spans="1:39" ht="24.95" customHeight="1">
      <c r="A255" s="8"/>
      <c r="B255" s="6"/>
      <c r="C255" s="15" t="str">
        <f>IF(COUNTIFS(Master_PIC!$A$8:$A$73,$B255)=1,IF(VLOOKUP($B255,Master_PIC!$A$8:$G$73,2,FALSE)="","",VLOOKUP($B255,Master_PIC!$A$8:$G$73,2,FALSE)),"")</f>
        <v/>
      </c>
      <c r="D255" s="15" t="str">
        <f>IF(COUNTIFS(Master_PIC!$A$8:$A$73,$B255)=1,IF(VLOOKUP($B255,Master_PIC!$A$8:$G$73,4,FALSE)="","",VLOOKUP($B255,Master_PIC!$A$8:$G$73,4,FALSE)),"")</f>
        <v/>
      </c>
      <c r="E255" s="15" t="str">
        <f>IF(COUNTIFS(Master_PIC!$A$8:$A$73,$B255)=1,IF(VLOOKUP($B255,Master_PIC!$A$8:$G$73,5,FALSE)="","",VLOOKUP($B255,Master_PIC!$A$8:$G$73,5,FALSE)),"")</f>
        <v/>
      </c>
      <c r="F255" s="15" t="str">
        <f>IF(COUNTIFS(Master_PIC!$A$8:$A$73,$B255)=1,IF(VLOOKUP($B255,Master_PIC!$A$8:$G$73,6,FALSE)="","",VLOOKUP($B255,Master_PIC!$A$8:$G$73,6,FALSE)),"")</f>
        <v/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8"/>
      <c r="Y255" s="5"/>
      <c r="Z255" s="5"/>
      <c r="AA255" s="9"/>
      <c r="AB255" s="5"/>
      <c r="AC255" s="5"/>
      <c r="AD255" s="9"/>
      <c r="AE255" s="5"/>
      <c r="AF255" s="7" t="str">
        <f t="shared" si="21"/>
        <v/>
      </c>
      <c r="AG255" s="7" t="str">
        <f t="shared" si="22"/>
        <v/>
      </c>
      <c r="AH255" s="7" t="str">
        <f t="shared" si="23"/>
        <v/>
      </c>
      <c r="AI255" s="7" t="str">
        <f t="shared" si="24"/>
        <v/>
      </c>
      <c r="AJ255" s="7" t="str">
        <f t="shared" si="25"/>
        <v/>
      </c>
      <c r="AK255" s="7" t="str">
        <f t="shared" si="26"/>
        <v/>
      </c>
      <c r="AL255" s="10" t="str">
        <f t="shared" si="27"/>
        <v/>
      </c>
      <c r="AM255" s="15" t="str">
        <f>IF(OR($A255&lt;&gt;"",$B255&lt;&gt;""),IF(OR($A255="",$B255=""),"Isi tanggal dan ID PIC",IF(NOT(ISNUMBER($A255)),"Tanggal harus berupa tanggal Excel",IF(COUNTIFS(Master_PIC!$A$8:$A$73,$B255)&lt;&gt;1,"ID PIC tidak unik/terdaftar",IF(VLOOKUP($B255,Master_PIC!$A$8:$G$73,3,FALSE)&lt;&gt;"Sales","Jabatan tidak sesuai sheet",IF(OR($C255="",$D255="",$E255="",$F255=""),"Lengkapi master PIC",IF(COUNTIFS($A$8:$A$507,$A255,$B$8:$B$507,$B255)&gt;1,"Laporan ganda",IF(COUNTIFS(G255:P255,"Tidak Berlaku")&gt;0,"N/A hanya untuk kegiatan bersyarat",IF(SUM(AG255,AH255,AI255,AJ255,AK255)&lt;&gt;14,"Status kegiatan tidak valid",IF(AK255&gt;0,"Lengkapi status kegiatan",IF(AND(AJ255&gt;0,U255=""),"Isi alasan Tidak Berlaku",IF(AND(SUM(AH255,AI255)&gt;0,OR(U255="",V255="",W255="",X255="")),"Isi kendala dan tindak lanjut",IF(AND(Z255&lt;&gt;"Draft",Z255&lt;&gt;"Dikirim"),"Isi status laporan yang valid",IF(AND(AB255&lt;&gt;"",AB255&lt;&gt;"Belum Diperiksa",AB255&lt;&gt;"Disetujui",AB255&lt;&gt;"Perlu Perbaikan"),"Hasil review tidak valid",IF(AND(Z255="Dikirim",OR(Y255="",AA255="")),"Isi bukti dan waktu kirim",IF(AND(AB255="Disetujui",OR(Z255&lt;&gt;"Dikirim",AC255="",AD255="")),"Lengkapi pemeriksaan",IF(AND(AB255="Perlu Perbaikan",OR(AE255="",AC255="",AD255="")),"Isi pemeriksa dan catatan perbaikan","OK")))))))))))))))),"")</f>
        <v/>
      </c>
    </row>
    <row r="256" spans="1:39" ht="24.95" customHeight="1">
      <c r="A256" s="8"/>
      <c r="B256" s="6"/>
      <c r="C256" s="15" t="str">
        <f>IF(COUNTIFS(Master_PIC!$A$8:$A$73,$B256)=1,IF(VLOOKUP($B256,Master_PIC!$A$8:$G$73,2,FALSE)="","",VLOOKUP($B256,Master_PIC!$A$8:$G$73,2,FALSE)),"")</f>
        <v/>
      </c>
      <c r="D256" s="15" t="str">
        <f>IF(COUNTIFS(Master_PIC!$A$8:$A$73,$B256)=1,IF(VLOOKUP($B256,Master_PIC!$A$8:$G$73,4,FALSE)="","",VLOOKUP($B256,Master_PIC!$A$8:$G$73,4,FALSE)),"")</f>
        <v/>
      </c>
      <c r="E256" s="15" t="str">
        <f>IF(COUNTIFS(Master_PIC!$A$8:$A$73,$B256)=1,IF(VLOOKUP($B256,Master_PIC!$A$8:$G$73,5,FALSE)="","",VLOOKUP($B256,Master_PIC!$A$8:$G$73,5,FALSE)),"")</f>
        <v/>
      </c>
      <c r="F256" s="15" t="str">
        <f>IF(COUNTIFS(Master_PIC!$A$8:$A$73,$B256)=1,IF(VLOOKUP($B256,Master_PIC!$A$8:$G$73,6,FALSE)="","",VLOOKUP($B256,Master_PIC!$A$8:$G$73,6,FALSE)),"")</f>
        <v/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8"/>
      <c r="Y256" s="5"/>
      <c r="Z256" s="5"/>
      <c r="AA256" s="9"/>
      <c r="AB256" s="5"/>
      <c r="AC256" s="5"/>
      <c r="AD256" s="9"/>
      <c r="AE256" s="5"/>
      <c r="AF256" s="7" t="str">
        <f t="shared" si="21"/>
        <v/>
      </c>
      <c r="AG256" s="7" t="str">
        <f t="shared" si="22"/>
        <v/>
      </c>
      <c r="AH256" s="7" t="str">
        <f t="shared" si="23"/>
        <v/>
      </c>
      <c r="AI256" s="7" t="str">
        <f t="shared" si="24"/>
        <v/>
      </c>
      <c r="AJ256" s="7" t="str">
        <f t="shared" si="25"/>
        <v/>
      </c>
      <c r="AK256" s="7" t="str">
        <f t="shared" si="26"/>
        <v/>
      </c>
      <c r="AL256" s="10" t="str">
        <f t="shared" si="27"/>
        <v/>
      </c>
      <c r="AM256" s="15" t="str">
        <f>IF(OR($A256&lt;&gt;"",$B256&lt;&gt;""),IF(OR($A256="",$B256=""),"Isi tanggal dan ID PIC",IF(NOT(ISNUMBER($A256)),"Tanggal harus berupa tanggal Excel",IF(COUNTIFS(Master_PIC!$A$8:$A$73,$B256)&lt;&gt;1,"ID PIC tidak unik/terdaftar",IF(VLOOKUP($B256,Master_PIC!$A$8:$G$73,3,FALSE)&lt;&gt;"Sales","Jabatan tidak sesuai sheet",IF(OR($C256="",$D256="",$E256="",$F256=""),"Lengkapi master PIC",IF(COUNTIFS($A$8:$A$507,$A256,$B$8:$B$507,$B256)&gt;1,"Laporan ganda",IF(COUNTIFS(G256:P256,"Tidak Berlaku")&gt;0,"N/A hanya untuk kegiatan bersyarat",IF(SUM(AG256,AH256,AI256,AJ256,AK256)&lt;&gt;14,"Status kegiatan tidak valid",IF(AK256&gt;0,"Lengkapi status kegiatan",IF(AND(AJ256&gt;0,U256=""),"Isi alasan Tidak Berlaku",IF(AND(SUM(AH256,AI256)&gt;0,OR(U256="",V256="",W256="",X256="")),"Isi kendala dan tindak lanjut",IF(AND(Z256&lt;&gt;"Draft",Z256&lt;&gt;"Dikirim"),"Isi status laporan yang valid",IF(AND(AB256&lt;&gt;"",AB256&lt;&gt;"Belum Diperiksa",AB256&lt;&gt;"Disetujui",AB256&lt;&gt;"Perlu Perbaikan"),"Hasil review tidak valid",IF(AND(Z256="Dikirim",OR(Y256="",AA256="")),"Isi bukti dan waktu kirim",IF(AND(AB256="Disetujui",OR(Z256&lt;&gt;"Dikirim",AC256="",AD256="")),"Lengkapi pemeriksaan",IF(AND(AB256="Perlu Perbaikan",OR(AE256="",AC256="",AD256="")),"Isi pemeriksa dan catatan perbaikan","OK")))))))))))))))),"")</f>
        <v/>
      </c>
    </row>
    <row r="257" spans="1:39" ht="24.95" customHeight="1">
      <c r="A257" s="8"/>
      <c r="B257" s="6"/>
      <c r="C257" s="15" t="str">
        <f>IF(COUNTIFS(Master_PIC!$A$8:$A$73,$B257)=1,IF(VLOOKUP($B257,Master_PIC!$A$8:$G$73,2,FALSE)="","",VLOOKUP($B257,Master_PIC!$A$8:$G$73,2,FALSE)),"")</f>
        <v/>
      </c>
      <c r="D257" s="15" t="str">
        <f>IF(COUNTIFS(Master_PIC!$A$8:$A$73,$B257)=1,IF(VLOOKUP($B257,Master_PIC!$A$8:$G$73,4,FALSE)="","",VLOOKUP($B257,Master_PIC!$A$8:$G$73,4,FALSE)),"")</f>
        <v/>
      </c>
      <c r="E257" s="15" t="str">
        <f>IF(COUNTIFS(Master_PIC!$A$8:$A$73,$B257)=1,IF(VLOOKUP($B257,Master_PIC!$A$8:$G$73,5,FALSE)="","",VLOOKUP($B257,Master_PIC!$A$8:$G$73,5,FALSE)),"")</f>
        <v/>
      </c>
      <c r="F257" s="15" t="str">
        <f>IF(COUNTIFS(Master_PIC!$A$8:$A$73,$B257)=1,IF(VLOOKUP($B257,Master_PIC!$A$8:$G$73,6,FALSE)="","",VLOOKUP($B257,Master_PIC!$A$8:$G$73,6,FALSE)),"")</f>
        <v/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8"/>
      <c r="Y257" s="5"/>
      <c r="Z257" s="5"/>
      <c r="AA257" s="9"/>
      <c r="AB257" s="5"/>
      <c r="AC257" s="5"/>
      <c r="AD257" s="9"/>
      <c r="AE257" s="5"/>
      <c r="AF257" s="7" t="str">
        <f t="shared" si="21"/>
        <v/>
      </c>
      <c r="AG257" s="7" t="str">
        <f t="shared" si="22"/>
        <v/>
      </c>
      <c r="AH257" s="7" t="str">
        <f t="shared" si="23"/>
        <v/>
      </c>
      <c r="AI257" s="7" t="str">
        <f t="shared" si="24"/>
        <v/>
      </c>
      <c r="AJ257" s="7" t="str">
        <f t="shared" si="25"/>
        <v/>
      </c>
      <c r="AK257" s="7" t="str">
        <f t="shared" si="26"/>
        <v/>
      </c>
      <c r="AL257" s="10" t="str">
        <f t="shared" si="27"/>
        <v/>
      </c>
      <c r="AM257" s="15" t="str">
        <f>IF(OR($A257&lt;&gt;"",$B257&lt;&gt;""),IF(OR($A257="",$B257=""),"Isi tanggal dan ID PIC",IF(NOT(ISNUMBER($A257)),"Tanggal harus berupa tanggal Excel",IF(COUNTIFS(Master_PIC!$A$8:$A$73,$B257)&lt;&gt;1,"ID PIC tidak unik/terdaftar",IF(VLOOKUP($B257,Master_PIC!$A$8:$G$73,3,FALSE)&lt;&gt;"Sales","Jabatan tidak sesuai sheet",IF(OR($C257="",$D257="",$E257="",$F257=""),"Lengkapi master PIC",IF(COUNTIFS($A$8:$A$507,$A257,$B$8:$B$507,$B257)&gt;1,"Laporan ganda",IF(COUNTIFS(G257:P257,"Tidak Berlaku")&gt;0,"N/A hanya untuk kegiatan bersyarat",IF(SUM(AG257,AH257,AI257,AJ257,AK257)&lt;&gt;14,"Status kegiatan tidak valid",IF(AK257&gt;0,"Lengkapi status kegiatan",IF(AND(AJ257&gt;0,U257=""),"Isi alasan Tidak Berlaku",IF(AND(SUM(AH257,AI257)&gt;0,OR(U257="",V257="",W257="",X257="")),"Isi kendala dan tindak lanjut",IF(AND(Z257&lt;&gt;"Draft",Z257&lt;&gt;"Dikirim"),"Isi status laporan yang valid",IF(AND(AB257&lt;&gt;"",AB257&lt;&gt;"Belum Diperiksa",AB257&lt;&gt;"Disetujui",AB257&lt;&gt;"Perlu Perbaikan"),"Hasil review tidak valid",IF(AND(Z257="Dikirim",OR(Y257="",AA257="")),"Isi bukti dan waktu kirim",IF(AND(AB257="Disetujui",OR(Z257&lt;&gt;"Dikirim",AC257="",AD257="")),"Lengkapi pemeriksaan",IF(AND(AB257="Perlu Perbaikan",OR(AE257="",AC257="",AD257="")),"Isi pemeriksa dan catatan perbaikan","OK")))))))))))))))),"")</f>
        <v/>
      </c>
    </row>
    <row r="258" spans="1:39" ht="24.95" customHeight="1">
      <c r="A258" s="8"/>
      <c r="B258" s="6"/>
      <c r="C258" s="15" t="str">
        <f>IF(COUNTIFS(Master_PIC!$A$8:$A$73,$B258)=1,IF(VLOOKUP($B258,Master_PIC!$A$8:$G$73,2,FALSE)="","",VLOOKUP($B258,Master_PIC!$A$8:$G$73,2,FALSE)),"")</f>
        <v/>
      </c>
      <c r="D258" s="15" t="str">
        <f>IF(COUNTIFS(Master_PIC!$A$8:$A$73,$B258)=1,IF(VLOOKUP($B258,Master_PIC!$A$8:$G$73,4,FALSE)="","",VLOOKUP($B258,Master_PIC!$A$8:$G$73,4,FALSE)),"")</f>
        <v/>
      </c>
      <c r="E258" s="15" t="str">
        <f>IF(COUNTIFS(Master_PIC!$A$8:$A$73,$B258)=1,IF(VLOOKUP($B258,Master_PIC!$A$8:$G$73,5,FALSE)="","",VLOOKUP($B258,Master_PIC!$A$8:$G$73,5,FALSE)),"")</f>
        <v/>
      </c>
      <c r="F258" s="15" t="str">
        <f>IF(COUNTIFS(Master_PIC!$A$8:$A$73,$B258)=1,IF(VLOOKUP($B258,Master_PIC!$A$8:$G$73,6,FALSE)="","",VLOOKUP($B258,Master_PIC!$A$8:$G$73,6,FALSE)),"")</f>
        <v/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8"/>
      <c r="Y258" s="5"/>
      <c r="Z258" s="5"/>
      <c r="AA258" s="9"/>
      <c r="AB258" s="5"/>
      <c r="AC258" s="5"/>
      <c r="AD258" s="9"/>
      <c r="AE258" s="5"/>
      <c r="AF258" s="7" t="str">
        <f t="shared" si="21"/>
        <v/>
      </c>
      <c r="AG258" s="7" t="str">
        <f t="shared" si="22"/>
        <v/>
      </c>
      <c r="AH258" s="7" t="str">
        <f t="shared" si="23"/>
        <v/>
      </c>
      <c r="AI258" s="7" t="str">
        <f t="shared" si="24"/>
        <v/>
      </c>
      <c r="AJ258" s="7" t="str">
        <f t="shared" si="25"/>
        <v/>
      </c>
      <c r="AK258" s="7" t="str">
        <f t="shared" si="26"/>
        <v/>
      </c>
      <c r="AL258" s="10" t="str">
        <f t="shared" si="27"/>
        <v/>
      </c>
      <c r="AM258" s="15" t="str">
        <f>IF(OR($A258&lt;&gt;"",$B258&lt;&gt;""),IF(OR($A258="",$B258=""),"Isi tanggal dan ID PIC",IF(NOT(ISNUMBER($A258)),"Tanggal harus berupa tanggal Excel",IF(COUNTIFS(Master_PIC!$A$8:$A$73,$B258)&lt;&gt;1,"ID PIC tidak unik/terdaftar",IF(VLOOKUP($B258,Master_PIC!$A$8:$G$73,3,FALSE)&lt;&gt;"Sales","Jabatan tidak sesuai sheet",IF(OR($C258="",$D258="",$E258="",$F258=""),"Lengkapi master PIC",IF(COUNTIFS($A$8:$A$507,$A258,$B$8:$B$507,$B258)&gt;1,"Laporan ganda",IF(COUNTIFS(G258:P258,"Tidak Berlaku")&gt;0,"N/A hanya untuk kegiatan bersyarat",IF(SUM(AG258,AH258,AI258,AJ258,AK258)&lt;&gt;14,"Status kegiatan tidak valid",IF(AK258&gt;0,"Lengkapi status kegiatan",IF(AND(AJ258&gt;0,U258=""),"Isi alasan Tidak Berlaku",IF(AND(SUM(AH258,AI258)&gt;0,OR(U258="",V258="",W258="",X258="")),"Isi kendala dan tindak lanjut",IF(AND(Z258&lt;&gt;"Draft",Z258&lt;&gt;"Dikirim"),"Isi status laporan yang valid",IF(AND(AB258&lt;&gt;"",AB258&lt;&gt;"Belum Diperiksa",AB258&lt;&gt;"Disetujui",AB258&lt;&gt;"Perlu Perbaikan"),"Hasil review tidak valid",IF(AND(Z258="Dikirim",OR(Y258="",AA258="")),"Isi bukti dan waktu kirim",IF(AND(AB258="Disetujui",OR(Z258&lt;&gt;"Dikirim",AC258="",AD258="")),"Lengkapi pemeriksaan",IF(AND(AB258="Perlu Perbaikan",OR(AE258="",AC258="",AD258="")),"Isi pemeriksa dan catatan perbaikan","OK")))))))))))))))),"")</f>
        <v/>
      </c>
    </row>
    <row r="259" spans="1:39" ht="24.95" customHeight="1">
      <c r="A259" s="8"/>
      <c r="B259" s="6"/>
      <c r="C259" s="15" t="str">
        <f>IF(COUNTIFS(Master_PIC!$A$8:$A$73,$B259)=1,IF(VLOOKUP($B259,Master_PIC!$A$8:$G$73,2,FALSE)="","",VLOOKUP($B259,Master_PIC!$A$8:$G$73,2,FALSE)),"")</f>
        <v/>
      </c>
      <c r="D259" s="15" t="str">
        <f>IF(COUNTIFS(Master_PIC!$A$8:$A$73,$B259)=1,IF(VLOOKUP($B259,Master_PIC!$A$8:$G$73,4,FALSE)="","",VLOOKUP($B259,Master_PIC!$A$8:$G$73,4,FALSE)),"")</f>
        <v/>
      </c>
      <c r="E259" s="15" t="str">
        <f>IF(COUNTIFS(Master_PIC!$A$8:$A$73,$B259)=1,IF(VLOOKUP($B259,Master_PIC!$A$8:$G$73,5,FALSE)="","",VLOOKUP($B259,Master_PIC!$A$8:$G$73,5,FALSE)),"")</f>
        <v/>
      </c>
      <c r="F259" s="15" t="str">
        <f>IF(COUNTIFS(Master_PIC!$A$8:$A$73,$B259)=1,IF(VLOOKUP($B259,Master_PIC!$A$8:$G$73,6,FALSE)="","",VLOOKUP($B259,Master_PIC!$A$8:$G$73,6,FALSE)),"")</f>
        <v/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8"/>
      <c r="Y259" s="5"/>
      <c r="Z259" s="5"/>
      <c r="AA259" s="9"/>
      <c r="AB259" s="5"/>
      <c r="AC259" s="5"/>
      <c r="AD259" s="9"/>
      <c r="AE259" s="5"/>
      <c r="AF259" s="7" t="str">
        <f t="shared" si="21"/>
        <v/>
      </c>
      <c r="AG259" s="7" t="str">
        <f t="shared" si="22"/>
        <v/>
      </c>
      <c r="AH259" s="7" t="str">
        <f t="shared" si="23"/>
        <v/>
      </c>
      <c r="AI259" s="7" t="str">
        <f t="shared" si="24"/>
        <v/>
      </c>
      <c r="AJ259" s="7" t="str">
        <f t="shared" si="25"/>
        <v/>
      </c>
      <c r="AK259" s="7" t="str">
        <f t="shared" si="26"/>
        <v/>
      </c>
      <c r="AL259" s="10" t="str">
        <f t="shared" si="27"/>
        <v/>
      </c>
      <c r="AM259" s="15" t="str">
        <f>IF(OR($A259&lt;&gt;"",$B259&lt;&gt;""),IF(OR($A259="",$B259=""),"Isi tanggal dan ID PIC",IF(NOT(ISNUMBER($A259)),"Tanggal harus berupa tanggal Excel",IF(COUNTIFS(Master_PIC!$A$8:$A$73,$B259)&lt;&gt;1,"ID PIC tidak unik/terdaftar",IF(VLOOKUP($B259,Master_PIC!$A$8:$G$73,3,FALSE)&lt;&gt;"Sales","Jabatan tidak sesuai sheet",IF(OR($C259="",$D259="",$E259="",$F259=""),"Lengkapi master PIC",IF(COUNTIFS($A$8:$A$507,$A259,$B$8:$B$507,$B259)&gt;1,"Laporan ganda",IF(COUNTIFS(G259:P259,"Tidak Berlaku")&gt;0,"N/A hanya untuk kegiatan bersyarat",IF(SUM(AG259,AH259,AI259,AJ259,AK259)&lt;&gt;14,"Status kegiatan tidak valid",IF(AK259&gt;0,"Lengkapi status kegiatan",IF(AND(AJ259&gt;0,U259=""),"Isi alasan Tidak Berlaku",IF(AND(SUM(AH259,AI259)&gt;0,OR(U259="",V259="",W259="",X259="")),"Isi kendala dan tindak lanjut",IF(AND(Z259&lt;&gt;"Draft",Z259&lt;&gt;"Dikirim"),"Isi status laporan yang valid",IF(AND(AB259&lt;&gt;"",AB259&lt;&gt;"Belum Diperiksa",AB259&lt;&gt;"Disetujui",AB259&lt;&gt;"Perlu Perbaikan"),"Hasil review tidak valid",IF(AND(Z259="Dikirim",OR(Y259="",AA259="")),"Isi bukti dan waktu kirim",IF(AND(AB259="Disetujui",OR(Z259&lt;&gt;"Dikirim",AC259="",AD259="")),"Lengkapi pemeriksaan",IF(AND(AB259="Perlu Perbaikan",OR(AE259="",AC259="",AD259="")),"Isi pemeriksa dan catatan perbaikan","OK")))))))))))))))),"")</f>
        <v/>
      </c>
    </row>
    <row r="260" spans="1:39" ht="24.95" customHeight="1">
      <c r="A260" s="8"/>
      <c r="B260" s="6"/>
      <c r="C260" s="15" t="str">
        <f>IF(COUNTIFS(Master_PIC!$A$8:$A$73,$B260)=1,IF(VLOOKUP($B260,Master_PIC!$A$8:$G$73,2,FALSE)="","",VLOOKUP($B260,Master_PIC!$A$8:$G$73,2,FALSE)),"")</f>
        <v/>
      </c>
      <c r="D260" s="15" t="str">
        <f>IF(COUNTIFS(Master_PIC!$A$8:$A$73,$B260)=1,IF(VLOOKUP($B260,Master_PIC!$A$8:$G$73,4,FALSE)="","",VLOOKUP($B260,Master_PIC!$A$8:$G$73,4,FALSE)),"")</f>
        <v/>
      </c>
      <c r="E260" s="15" t="str">
        <f>IF(COUNTIFS(Master_PIC!$A$8:$A$73,$B260)=1,IF(VLOOKUP($B260,Master_PIC!$A$8:$G$73,5,FALSE)="","",VLOOKUP($B260,Master_PIC!$A$8:$G$73,5,FALSE)),"")</f>
        <v/>
      </c>
      <c r="F260" s="15" t="str">
        <f>IF(COUNTIFS(Master_PIC!$A$8:$A$73,$B260)=1,IF(VLOOKUP($B260,Master_PIC!$A$8:$G$73,6,FALSE)="","",VLOOKUP($B260,Master_PIC!$A$8:$G$73,6,FALSE)),"")</f>
        <v/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8"/>
      <c r="Y260" s="5"/>
      <c r="Z260" s="5"/>
      <c r="AA260" s="9"/>
      <c r="AB260" s="5"/>
      <c r="AC260" s="5"/>
      <c r="AD260" s="9"/>
      <c r="AE260" s="5"/>
      <c r="AF260" s="7" t="str">
        <f t="shared" si="21"/>
        <v/>
      </c>
      <c r="AG260" s="7" t="str">
        <f t="shared" si="22"/>
        <v/>
      </c>
      <c r="AH260" s="7" t="str">
        <f t="shared" si="23"/>
        <v/>
      </c>
      <c r="AI260" s="7" t="str">
        <f t="shared" si="24"/>
        <v/>
      </c>
      <c r="AJ260" s="7" t="str">
        <f t="shared" si="25"/>
        <v/>
      </c>
      <c r="AK260" s="7" t="str">
        <f t="shared" si="26"/>
        <v/>
      </c>
      <c r="AL260" s="10" t="str">
        <f t="shared" si="27"/>
        <v/>
      </c>
      <c r="AM260" s="15" t="str">
        <f>IF(OR($A260&lt;&gt;"",$B260&lt;&gt;""),IF(OR($A260="",$B260=""),"Isi tanggal dan ID PIC",IF(NOT(ISNUMBER($A260)),"Tanggal harus berupa tanggal Excel",IF(COUNTIFS(Master_PIC!$A$8:$A$73,$B260)&lt;&gt;1,"ID PIC tidak unik/terdaftar",IF(VLOOKUP($B260,Master_PIC!$A$8:$G$73,3,FALSE)&lt;&gt;"Sales","Jabatan tidak sesuai sheet",IF(OR($C260="",$D260="",$E260="",$F260=""),"Lengkapi master PIC",IF(COUNTIFS($A$8:$A$507,$A260,$B$8:$B$507,$B260)&gt;1,"Laporan ganda",IF(COUNTIFS(G260:P260,"Tidak Berlaku")&gt;0,"N/A hanya untuk kegiatan bersyarat",IF(SUM(AG260,AH260,AI260,AJ260,AK260)&lt;&gt;14,"Status kegiatan tidak valid",IF(AK260&gt;0,"Lengkapi status kegiatan",IF(AND(AJ260&gt;0,U260=""),"Isi alasan Tidak Berlaku",IF(AND(SUM(AH260,AI260)&gt;0,OR(U260="",V260="",W260="",X260="")),"Isi kendala dan tindak lanjut",IF(AND(Z260&lt;&gt;"Draft",Z260&lt;&gt;"Dikirim"),"Isi status laporan yang valid",IF(AND(AB260&lt;&gt;"",AB260&lt;&gt;"Belum Diperiksa",AB260&lt;&gt;"Disetujui",AB260&lt;&gt;"Perlu Perbaikan"),"Hasil review tidak valid",IF(AND(Z260="Dikirim",OR(Y260="",AA260="")),"Isi bukti dan waktu kirim",IF(AND(AB260="Disetujui",OR(Z260&lt;&gt;"Dikirim",AC260="",AD260="")),"Lengkapi pemeriksaan",IF(AND(AB260="Perlu Perbaikan",OR(AE260="",AC260="",AD260="")),"Isi pemeriksa dan catatan perbaikan","OK")))))))))))))))),"")</f>
        <v/>
      </c>
    </row>
    <row r="261" spans="1:39" ht="24.95" customHeight="1">
      <c r="A261" s="8"/>
      <c r="B261" s="6"/>
      <c r="C261" s="15" t="str">
        <f>IF(COUNTIFS(Master_PIC!$A$8:$A$73,$B261)=1,IF(VLOOKUP($B261,Master_PIC!$A$8:$G$73,2,FALSE)="","",VLOOKUP($B261,Master_PIC!$A$8:$G$73,2,FALSE)),"")</f>
        <v/>
      </c>
      <c r="D261" s="15" t="str">
        <f>IF(COUNTIFS(Master_PIC!$A$8:$A$73,$B261)=1,IF(VLOOKUP($B261,Master_PIC!$A$8:$G$73,4,FALSE)="","",VLOOKUP($B261,Master_PIC!$A$8:$G$73,4,FALSE)),"")</f>
        <v/>
      </c>
      <c r="E261" s="15" t="str">
        <f>IF(COUNTIFS(Master_PIC!$A$8:$A$73,$B261)=1,IF(VLOOKUP($B261,Master_PIC!$A$8:$G$73,5,FALSE)="","",VLOOKUP($B261,Master_PIC!$A$8:$G$73,5,FALSE)),"")</f>
        <v/>
      </c>
      <c r="F261" s="15" t="str">
        <f>IF(COUNTIFS(Master_PIC!$A$8:$A$73,$B261)=1,IF(VLOOKUP($B261,Master_PIC!$A$8:$G$73,6,FALSE)="","",VLOOKUP($B261,Master_PIC!$A$8:$G$73,6,FALSE)),"")</f>
        <v/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8"/>
      <c r="Y261" s="5"/>
      <c r="Z261" s="5"/>
      <c r="AA261" s="9"/>
      <c r="AB261" s="5"/>
      <c r="AC261" s="5"/>
      <c r="AD261" s="9"/>
      <c r="AE261" s="5"/>
      <c r="AF261" s="7" t="str">
        <f t="shared" si="21"/>
        <v/>
      </c>
      <c r="AG261" s="7" t="str">
        <f t="shared" si="22"/>
        <v/>
      </c>
      <c r="AH261" s="7" t="str">
        <f t="shared" si="23"/>
        <v/>
      </c>
      <c r="AI261" s="7" t="str">
        <f t="shared" si="24"/>
        <v/>
      </c>
      <c r="AJ261" s="7" t="str">
        <f t="shared" si="25"/>
        <v/>
      </c>
      <c r="AK261" s="7" t="str">
        <f t="shared" si="26"/>
        <v/>
      </c>
      <c r="AL261" s="10" t="str">
        <f t="shared" si="27"/>
        <v/>
      </c>
      <c r="AM261" s="15" t="str">
        <f>IF(OR($A261&lt;&gt;"",$B261&lt;&gt;""),IF(OR($A261="",$B261=""),"Isi tanggal dan ID PIC",IF(NOT(ISNUMBER($A261)),"Tanggal harus berupa tanggal Excel",IF(COUNTIFS(Master_PIC!$A$8:$A$73,$B261)&lt;&gt;1,"ID PIC tidak unik/terdaftar",IF(VLOOKUP($B261,Master_PIC!$A$8:$G$73,3,FALSE)&lt;&gt;"Sales","Jabatan tidak sesuai sheet",IF(OR($C261="",$D261="",$E261="",$F261=""),"Lengkapi master PIC",IF(COUNTIFS($A$8:$A$507,$A261,$B$8:$B$507,$B261)&gt;1,"Laporan ganda",IF(COUNTIFS(G261:P261,"Tidak Berlaku")&gt;0,"N/A hanya untuk kegiatan bersyarat",IF(SUM(AG261,AH261,AI261,AJ261,AK261)&lt;&gt;14,"Status kegiatan tidak valid",IF(AK261&gt;0,"Lengkapi status kegiatan",IF(AND(AJ261&gt;0,U261=""),"Isi alasan Tidak Berlaku",IF(AND(SUM(AH261,AI261)&gt;0,OR(U261="",V261="",W261="",X261="")),"Isi kendala dan tindak lanjut",IF(AND(Z261&lt;&gt;"Draft",Z261&lt;&gt;"Dikirim"),"Isi status laporan yang valid",IF(AND(AB261&lt;&gt;"",AB261&lt;&gt;"Belum Diperiksa",AB261&lt;&gt;"Disetujui",AB261&lt;&gt;"Perlu Perbaikan"),"Hasil review tidak valid",IF(AND(Z261="Dikirim",OR(Y261="",AA261="")),"Isi bukti dan waktu kirim",IF(AND(AB261="Disetujui",OR(Z261&lt;&gt;"Dikirim",AC261="",AD261="")),"Lengkapi pemeriksaan",IF(AND(AB261="Perlu Perbaikan",OR(AE261="",AC261="",AD261="")),"Isi pemeriksa dan catatan perbaikan","OK")))))))))))))))),"")</f>
        <v/>
      </c>
    </row>
    <row r="262" spans="1:39" ht="24.95" customHeight="1">
      <c r="A262" s="8"/>
      <c r="B262" s="6"/>
      <c r="C262" s="15" t="str">
        <f>IF(COUNTIFS(Master_PIC!$A$8:$A$73,$B262)=1,IF(VLOOKUP($B262,Master_PIC!$A$8:$G$73,2,FALSE)="","",VLOOKUP($B262,Master_PIC!$A$8:$G$73,2,FALSE)),"")</f>
        <v/>
      </c>
      <c r="D262" s="15" t="str">
        <f>IF(COUNTIFS(Master_PIC!$A$8:$A$73,$B262)=1,IF(VLOOKUP($B262,Master_PIC!$A$8:$G$73,4,FALSE)="","",VLOOKUP($B262,Master_PIC!$A$8:$G$73,4,FALSE)),"")</f>
        <v/>
      </c>
      <c r="E262" s="15" t="str">
        <f>IF(COUNTIFS(Master_PIC!$A$8:$A$73,$B262)=1,IF(VLOOKUP($B262,Master_PIC!$A$8:$G$73,5,FALSE)="","",VLOOKUP($B262,Master_PIC!$A$8:$G$73,5,FALSE)),"")</f>
        <v/>
      </c>
      <c r="F262" s="15" t="str">
        <f>IF(COUNTIFS(Master_PIC!$A$8:$A$73,$B262)=1,IF(VLOOKUP($B262,Master_PIC!$A$8:$G$73,6,FALSE)="","",VLOOKUP($B262,Master_PIC!$A$8:$G$73,6,FALSE)),"")</f>
        <v/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8"/>
      <c r="Y262" s="5"/>
      <c r="Z262" s="5"/>
      <c r="AA262" s="9"/>
      <c r="AB262" s="5"/>
      <c r="AC262" s="5"/>
      <c r="AD262" s="9"/>
      <c r="AE262" s="5"/>
      <c r="AF262" s="7" t="str">
        <f t="shared" si="21"/>
        <v/>
      </c>
      <c r="AG262" s="7" t="str">
        <f t="shared" si="22"/>
        <v/>
      </c>
      <c r="AH262" s="7" t="str">
        <f t="shared" si="23"/>
        <v/>
      </c>
      <c r="AI262" s="7" t="str">
        <f t="shared" si="24"/>
        <v/>
      </c>
      <c r="AJ262" s="7" t="str">
        <f t="shared" si="25"/>
        <v/>
      </c>
      <c r="AK262" s="7" t="str">
        <f t="shared" si="26"/>
        <v/>
      </c>
      <c r="AL262" s="10" t="str">
        <f t="shared" si="27"/>
        <v/>
      </c>
      <c r="AM262" s="15" t="str">
        <f>IF(OR($A262&lt;&gt;"",$B262&lt;&gt;""),IF(OR($A262="",$B262=""),"Isi tanggal dan ID PIC",IF(NOT(ISNUMBER($A262)),"Tanggal harus berupa tanggal Excel",IF(COUNTIFS(Master_PIC!$A$8:$A$73,$B262)&lt;&gt;1,"ID PIC tidak unik/terdaftar",IF(VLOOKUP($B262,Master_PIC!$A$8:$G$73,3,FALSE)&lt;&gt;"Sales","Jabatan tidak sesuai sheet",IF(OR($C262="",$D262="",$E262="",$F262=""),"Lengkapi master PIC",IF(COUNTIFS($A$8:$A$507,$A262,$B$8:$B$507,$B262)&gt;1,"Laporan ganda",IF(COUNTIFS(G262:P262,"Tidak Berlaku")&gt;0,"N/A hanya untuk kegiatan bersyarat",IF(SUM(AG262,AH262,AI262,AJ262,AK262)&lt;&gt;14,"Status kegiatan tidak valid",IF(AK262&gt;0,"Lengkapi status kegiatan",IF(AND(AJ262&gt;0,U262=""),"Isi alasan Tidak Berlaku",IF(AND(SUM(AH262,AI262)&gt;0,OR(U262="",V262="",W262="",X262="")),"Isi kendala dan tindak lanjut",IF(AND(Z262&lt;&gt;"Draft",Z262&lt;&gt;"Dikirim"),"Isi status laporan yang valid",IF(AND(AB262&lt;&gt;"",AB262&lt;&gt;"Belum Diperiksa",AB262&lt;&gt;"Disetujui",AB262&lt;&gt;"Perlu Perbaikan"),"Hasil review tidak valid",IF(AND(Z262="Dikirim",OR(Y262="",AA262="")),"Isi bukti dan waktu kirim",IF(AND(AB262="Disetujui",OR(Z262&lt;&gt;"Dikirim",AC262="",AD262="")),"Lengkapi pemeriksaan",IF(AND(AB262="Perlu Perbaikan",OR(AE262="",AC262="",AD262="")),"Isi pemeriksa dan catatan perbaikan","OK")))))))))))))))),"")</f>
        <v/>
      </c>
    </row>
    <row r="263" spans="1:39" ht="24.95" customHeight="1">
      <c r="A263" s="8"/>
      <c r="B263" s="6"/>
      <c r="C263" s="15" t="str">
        <f>IF(COUNTIFS(Master_PIC!$A$8:$A$73,$B263)=1,IF(VLOOKUP($B263,Master_PIC!$A$8:$G$73,2,FALSE)="","",VLOOKUP($B263,Master_PIC!$A$8:$G$73,2,FALSE)),"")</f>
        <v/>
      </c>
      <c r="D263" s="15" t="str">
        <f>IF(COUNTIFS(Master_PIC!$A$8:$A$73,$B263)=1,IF(VLOOKUP($B263,Master_PIC!$A$8:$G$73,4,FALSE)="","",VLOOKUP($B263,Master_PIC!$A$8:$G$73,4,FALSE)),"")</f>
        <v/>
      </c>
      <c r="E263" s="15" t="str">
        <f>IF(COUNTIFS(Master_PIC!$A$8:$A$73,$B263)=1,IF(VLOOKUP($B263,Master_PIC!$A$8:$G$73,5,FALSE)="","",VLOOKUP($B263,Master_PIC!$A$8:$G$73,5,FALSE)),"")</f>
        <v/>
      </c>
      <c r="F263" s="15" t="str">
        <f>IF(COUNTIFS(Master_PIC!$A$8:$A$73,$B263)=1,IF(VLOOKUP($B263,Master_PIC!$A$8:$G$73,6,FALSE)="","",VLOOKUP($B263,Master_PIC!$A$8:$G$73,6,FALSE)),"")</f>
        <v/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8"/>
      <c r="Y263" s="5"/>
      <c r="Z263" s="5"/>
      <c r="AA263" s="9"/>
      <c r="AB263" s="5"/>
      <c r="AC263" s="5"/>
      <c r="AD263" s="9"/>
      <c r="AE263" s="5"/>
      <c r="AF263" s="7" t="str">
        <f t="shared" si="21"/>
        <v/>
      </c>
      <c r="AG263" s="7" t="str">
        <f t="shared" si="22"/>
        <v/>
      </c>
      <c r="AH263" s="7" t="str">
        <f t="shared" si="23"/>
        <v/>
      </c>
      <c r="AI263" s="7" t="str">
        <f t="shared" si="24"/>
        <v/>
      </c>
      <c r="AJ263" s="7" t="str">
        <f t="shared" si="25"/>
        <v/>
      </c>
      <c r="AK263" s="7" t="str">
        <f t="shared" si="26"/>
        <v/>
      </c>
      <c r="AL263" s="10" t="str">
        <f t="shared" si="27"/>
        <v/>
      </c>
      <c r="AM263" s="15" t="str">
        <f>IF(OR($A263&lt;&gt;"",$B263&lt;&gt;""),IF(OR($A263="",$B263=""),"Isi tanggal dan ID PIC",IF(NOT(ISNUMBER($A263)),"Tanggal harus berupa tanggal Excel",IF(COUNTIFS(Master_PIC!$A$8:$A$73,$B263)&lt;&gt;1,"ID PIC tidak unik/terdaftar",IF(VLOOKUP($B263,Master_PIC!$A$8:$G$73,3,FALSE)&lt;&gt;"Sales","Jabatan tidak sesuai sheet",IF(OR($C263="",$D263="",$E263="",$F263=""),"Lengkapi master PIC",IF(COUNTIFS($A$8:$A$507,$A263,$B$8:$B$507,$B263)&gt;1,"Laporan ganda",IF(COUNTIFS(G263:P263,"Tidak Berlaku")&gt;0,"N/A hanya untuk kegiatan bersyarat",IF(SUM(AG263,AH263,AI263,AJ263,AK263)&lt;&gt;14,"Status kegiatan tidak valid",IF(AK263&gt;0,"Lengkapi status kegiatan",IF(AND(AJ263&gt;0,U263=""),"Isi alasan Tidak Berlaku",IF(AND(SUM(AH263,AI263)&gt;0,OR(U263="",V263="",W263="",X263="")),"Isi kendala dan tindak lanjut",IF(AND(Z263&lt;&gt;"Draft",Z263&lt;&gt;"Dikirim"),"Isi status laporan yang valid",IF(AND(AB263&lt;&gt;"",AB263&lt;&gt;"Belum Diperiksa",AB263&lt;&gt;"Disetujui",AB263&lt;&gt;"Perlu Perbaikan"),"Hasil review tidak valid",IF(AND(Z263="Dikirim",OR(Y263="",AA263="")),"Isi bukti dan waktu kirim",IF(AND(AB263="Disetujui",OR(Z263&lt;&gt;"Dikirim",AC263="",AD263="")),"Lengkapi pemeriksaan",IF(AND(AB263="Perlu Perbaikan",OR(AE263="",AC263="",AD263="")),"Isi pemeriksa dan catatan perbaikan","OK")))))))))))))))),"")</f>
        <v/>
      </c>
    </row>
    <row r="264" spans="1:39" ht="24.95" customHeight="1">
      <c r="A264" s="8"/>
      <c r="B264" s="6"/>
      <c r="C264" s="15" t="str">
        <f>IF(COUNTIFS(Master_PIC!$A$8:$A$73,$B264)=1,IF(VLOOKUP($B264,Master_PIC!$A$8:$G$73,2,FALSE)="","",VLOOKUP($B264,Master_PIC!$A$8:$G$73,2,FALSE)),"")</f>
        <v/>
      </c>
      <c r="D264" s="15" t="str">
        <f>IF(COUNTIFS(Master_PIC!$A$8:$A$73,$B264)=1,IF(VLOOKUP($B264,Master_PIC!$A$8:$G$73,4,FALSE)="","",VLOOKUP($B264,Master_PIC!$A$8:$G$73,4,FALSE)),"")</f>
        <v/>
      </c>
      <c r="E264" s="15" t="str">
        <f>IF(COUNTIFS(Master_PIC!$A$8:$A$73,$B264)=1,IF(VLOOKUP($B264,Master_PIC!$A$8:$G$73,5,FALSE)="","",VLOOKUP($B264,Master_PIC!$A$8:$G$73,5,FALSE)),"")</f>
        <v/>
      </c>
      <c r="F264" s="15" t="str">
        <f>IF(COUNTIFS(Master_PIC!$A$8:$A$73,$B264)=1,IF(VLOOKUP($B264,Master_PIC!$A$8:$G$73,6,FALSE)="","",VLOOKUP($B264,Master_PIC!$A$8:$G$73,6,FALSE)),"")</f>
        <v/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8"/>
      <c r="Y264" s="5"/>
      <c r="Z264" s="5"/>
      <c r="AA264" s="9"/>
      <c r="AB264" s="5"/>
      <c r="AC264" s="5"/>
      <c r="AD264" s="9"/>
      <c r="AE264" s="5"/>
      <c r="AF264" s="7" t="str">
        <f t="shared" ref="AF264:AF327" si="28">IF(OR($A264&lt;&gt;"",$B264&lt;&gt;""),14-AJ264,"")</f>
        <v/>
      </c>
      <c r="AG264" s="7" t="str">
        <f t="shared" ref="AG264:AG327" si="29">IF(OR($A264&lt;&gt;"",$B264&lt;&gt;""),COUNTIFS(G264:T264,"Selesai"),"")</f>
        <v/>
      </c>
      <c r="AH264" s="7" t="str">
        <f t="shared" ref="AH264:AH327" si="30">IF(OR($A264&lt;&gt;"",$B264&lt;&gt;""),COUNTIFS(G264:T264,"Proses"),"")</f>
        <v/>
      </c>
      <c r="AI264" s="7" t="str">
        <f t="shared" ref="AI264:AI327" si="31">IF(OR($A264&lt;&gt;"",$B264&lt;&gt;""),COUNTIFS(G264:T264,"Belum"),"")</f>
        <v/>
      </c>
      <c r="AJ264" s="7" t="str">
        <f t="shared" ref="AJ264:AJ327" si="32">IF(OR($A264&lt;&gt;"",$B264&lt;&gt;""),COUNTIFS(G264:T264,"Tidak Berlaku"),"")</f>
        <v/>
      </c>
      <c r="AK264" s="7" t="str">
        <f t="shared" ref="AK264:AK327" si="33">IF(OR($A264&lt;&gt;"",$B264&lt;&gt;""),COUNTBLANK(G264:T264),"")</f>
        <v/>
      </c>
      <c r="AL264" s="10" t="str">
        <f t="shared" ref="AL264:AL327" si="34">IF(OR($A264&lt;&gt;"",$B264&lt;&gt;""),IF(AF264=0,"n.a.",AG264/AF264),"")</f>
        <v/>
      </c>
      <c r="AM264" s="15" t="str">
        <f>IF(OR($A264&lt;&gt;"",$B264&lt;&gt;""),IF(OR($A264="",$B264=""),"Isi tanggal dan ID PIC",IF(NOT(ISNUMBER($A264)),"Tanggal harus berupa tanggal Excel",IF(COUNTIFS(Master_PIC!$A$8:$A$73,$B264)&lt;&gt;1,"ID PIC tidak unik/terdaftar",IF(VLOOKUP($B264,Master_PIC!$A$8:$G$73,3,FALSE)&lt;&gt;"Sales","Jabatan tidak sesuai sheet",IF(OR($C264="",$D264="",$E264="",$F264=""),"Lengkapi master PIC",IF(COUNTIFS($A$8:$A$507,$A264,$B$8:$B$507,$B264)&gt;1,"Laporan ganda",IF(COUNTIFS(G264:P264,"Tidak Berlaku")&gt;0,"N/A hanya untuk kegiatan bersyarat",IF(SUM(AG264,AH264,AI264,AJ264,AK264)&lt;&gt;14,"Status kegiatan tidak valid",IF(AK264&gt;0,"Lengkapi status kegiatan",IF(AND(AJ264&gt;0,U264=""),"Isi alasan Tidak Berlaku",IF(AND(SUM(AH264,AI264)&gt;0,OR(U264="",V264="",W264="",X264="")),"Isi kendala dan tindak lanjut",IF(AND(Z264&lt;&gt;"Draft",Z264&lt;&gt;"Dikirim"),"Isi status laporan yang valid",IF(AND(AB264&lt;&gt;"",AB264&lt;&gt;"Belum Diperiksa",AB264&lt;&gt;"Disetujui",AB264&lt;&gt;"Perlu Perbaikan"),"Hasil review tidak valid",IF(AND(Z264="Dikirim",OR(Y264="",AA264="")),"Isi bukti dan waktu kirim",IF(AND(AB264="Disetujui",OR(Z264&lt;&gt;"Dikirim",AC264="",AD264="")),"Lengkapi pemeriksaan",IF(AND(AB264="Perlu Perbaikan",OR(AE264="",AC264="",AD264="")),"Isi pemeriksa dan catatan perbaikan","OK")))))))))))))))),"")</f>
        <v/>
      </c>
    </row>
    <row r="265" spans="1:39" ht="24.95" customHeight="1">
      <c r="A265" s="8"/>
      <c r="B265" s="6"/>
      <c r="C265" s="15" t="str">
        <f>IF(COUNTIFS(Master_PIC!$A$8:$A$73,$B265)=1,IF(VLOOKUP($B265,Master_PIC!$A$8:$G$73,2,FALSE)="","",VLOOKUP($B265,Master_PIC!$A$8:$G$73,2,FALSE)),"")</f>
        <v/>
      </c>
      <c r="D265" s="15" t="str">
        <f>IF(COUNTIFS(Master_PIC!$A$8:$A$73,$B265)=1,IF(VLOOKUP($B265,Master_PIC!$A$8:$G$73,4,FALSE)="","",VLOOKUP($B265,Master_PIC!$A$8:$G$73,4,FALSE)),"")</f>
        <v/>
      </c>
      <c r="E265" s="15" t="str">
        <f>IF(COUNTIFS(Master_PIC!$A$8:$A$73,$B265)=1,IF(VLOOKUP($B265,Master_PIC!$A$8:$G$73,5,FALSE)="","",VLOOKUP($B265,Master_PIC!$A$8:$G$73,5,FALSE)),"")</f>
        <v/>
      </c>
      <c r="F265" s="15" t="str">
        <f>IF(COUNTIFS(Master_PIC!$A$8:$A$73,$B265)=1,IF(VLOOKUP($B265,Master_PIC!$A$8:$G$73,6,FALSE)="","",VLOOKUP($B265,Master_PIC!$A$8:$G$73,6,FALSE)),"")</f>
        <v/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8"/>
      <c r="Y265" s="5"/>
      <c r="Z265" s="5"/>
      <c r="AA265" s="9"/>
      <c r="AB265" s="5"/>
      <c r="AC265" s="5"/>
      <c r="AD265" s="9"/>
      <c r="AE265" s="5"/>
      <c r="AF265" s="7" t="str">
        <f t="shared" si="28"/>
        <v/>
      </c>
      <c r="AG265" s="7" t="str">
        <f t="shared" si="29"/>
        <v/>
      </c>
      <c r="AH265" s="7" t="str">
        <f t="shared" si="30"/>
        <v/>
      </c>
      <c r="AI265" s="7" t="str">
        <f t="shared" si="31"/>
        <v/>
      </c>
      <c r="AJ265" s="7" t="str">
        <f t="shared" si="32"/>
        <v/>
      </c>
      <c r="AK265" s="7" t="str">
        <f t="shared" si="33"/>
        <v/>
      </c>
      <c r="AL265" s="10" t="str">
        <f t="shared" si="34"/>
        <v/>
      </c>
      <c r="AM265" s="15" t="str">
        <f>IF(OR($A265&lt;&gt;"",$B265&lt;&gt;""),IF(OR($A265="",$B265=""),"Isi tanggal dan ID PIC",IF(NOT(ISNUMBER($A265)),"Tanggal harus berupa tanggal Excel",IF(COUNTIFS(Master_PIC!$A$8:$A$73,$B265)&lt;&gt;1,"ID PIC tidak unik/terdaftar",IF(VLOOKUP($B265,Master_PIC!$A$8:$G$73,3,FALSE)&lt;&gt;"Sales","Jabatan tidak sesuai sheet",IF(OR($C265="",$D265="",$E265="",$F265=""),"Lengkapi master PIC",IF(COUNTIFS($A$8:$A$507,$A265,$B$8:$B$507,$B265)&gt;1,"Laporan ganda",IF(COUNTIFS(G265:P265,"Tidak Berlaku")&gt;0,"N/A hanya untuk kegiatan bersyarat",IF(SUM(AG265,AH265,AI265,AJ265,AK265)&lt;&gt;14,"Status kegiatan tidak valid",IF(AK265&gt;0,"Lengkapi status kegiatan",IF(AND(AJ265&gt;0,U265=""),"Isi alasan Tidak Berlaku",IF(AND(SUM(AH265,AI265)&gt;0,OR(U265="",V265="",W265="",X265="")),"Isi kendala dan tindak lanjut",IF(AND(Z265&lt;&gt;"Draft",Z265&lt;&gt;"Dikirim"),"Isi status laporan yang valid",IF(AND(AB265&lt;&gt;"",AB265&lt;&gt;"Belum Diperiksa",AB265&lt;&gt;"Disetujui",AB265&lt;&gt;"Perlu Perbaikan"),"Hasil review tidak valid",IF(AND(Z265="Dikirim",OR(Y265="",AA265="")),"Isi bukti dan waktu kirim",IF(AND(AB265="Disetujui",OR(Z265&lt;&gt;"Dikirim",AC265="",AD265="")),"Lengkapi pemeriksaan",IF(AND(AB265="Perlu Perbaikan",OR(AE265="",AC265="",AD265="")),"Isi pemeriksa dan catatan perbaikan","OK")))))))))))))))),"")</f>
        <v/>
      </c>
    </row>
    <row r="266" spans="1:39" ht="24.95" customHeight="1">
      <c r="A266" s="8"/>
      <c r="B266" s="6"/>
      <c r="C266" s="15" t="str">
        <f>IF(COUNTIFS(Master_PIC!$A$8:$A$73,$B266)=1,IF(VLOOKUP($B266,Master_PIC!$A$8:$G$73,2,FALSE)="","",VLOOKUP($B266,Master_PIC!$A$8:$G$73,2,FALSE)),"")</f>
        <v/>
      </c>
      <c r="D266" s="15" t="str">
        <f>IF(COUNTIFS(Master_PIC!$A$8:$A$73,$B266)=1,IF(VLOOKUP($B266,Master_PIC!$A$8:$G$73,4,FALSE)="","",VLOOKUP($B266,Master_PIC!$A$8:$G$73,4,FALSE)),"")</f>
        <v/>
      </c>
      <c r="E266" s="15" t="str">
        <f>IF(COUNTIFS(Master_PIC!$A$8:$A$73,$B266)=1,IF(VLOOKUP($B266,Master_PIC!$A$8:$G$73,5,FALSE)="","",VLOOKUP($B266,Master_PIC!$A$8:$G$73,5,FALSE)),"")</f>
        <v/>
      </c>
      <c r="F266" s="15" t="str">
        <f>IF(COUNTIFS(Master_PIC!$A$8:$A$73,$B266)=1,IF(VLOOKUP($B266,Master_PIC!$A$8:$G$73,6,FALSE)="","",VLOOKUP($B266,Master_PIC!$A$8:$G$73,6,FALSE)),"")</f>
        <v/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8"/>
      <c r="Y266" s="5"/>
      <c r="Z266" s="5"/>
      <c r="AA266" s="9"/>
      <c r="AB266" s="5"/>
      <c r="AC266" s="5"/>
      <c r="AD266" s="9"/>
      <c r="AE266" s="5"/>
      <c r="AF266" s="7" t="str">
        <f t="shared" si="28"/>
        <v/>
      </c>
      <c r="AG266" s="7" t="str">
        <f t="shared" si="29"/>
        <v/>
      </c>
      <c r="AH266" s="7" t="str">
        <f t="shared" si="30"/>
        <v/>
      </c>
      <c r="AI266" s="7" t="str">
        <f t="shared" si="31"/>
        <v/>
      </c>
      <c r="AJ266" s="7" t="str">
        <f t="shared" si="32"/>
        <v/>
      </c>
      <c r="AK266" s="7" t="str">
        <f t="shared" si="33"/>
        <v/>
      </c>
      <c r="AL266" s="10" t="str">
        <f t="shared" si="34"/>
        <v/>
      </c>
      <c r="AM266" s="15" t="str">
        <f>IF(OR($A266&lt;&gt;"",$B266&lt;&gt;""),IF(OR($A266="",$B266=""),"Isi tanggal dan ID PIC",IF(NOT(ISNUMBER($A266)),"Tanggal harus berupa tanggal Excel",IF(COUNTIFS(Master_PIC!$A$8:$A$73,$B266)&lt;&gt;1,"ID PIC tidak unik/terdaftar",IF(VLOOKUP($B266,Master_PIC!$A$8:$G$73,3,FALSE)&lt;&gt;"Sales","Jabatan tidak sesuai sheet",IF(OR($C266="",$D266="",$E266="",$F266=""),"Lengkapi master PIC",IF(COUNTIFS($A$8:$A$507,$A266,$B$8:$B$507,$B266)&gt;1,"Laporan ganda",IF(COUNTIFS(G266:P266,"Tidak Berlaku")&gt;0,"N/A hanya untuk kegiatan bersyarat",IF(SUM(AG266,AH266,AI266,AJ266,AK266)&lt;&gt;14,"Status kegiatan tidak valid",IF(AK266&gt;0,"Lengkapi status kegiatan",IF(AND(AJ266&gt;0,U266=""),"Isi alasan Tidak Berlaku",IF(AND(SUM(AH266,AI266)&gt;0,OR(U266="",V266="",W266="",X266="")),"Isi kendala dan tindak lanjut",IF(AND(Z266&lt;&gt;"Draft",Z266&lt;&gt;"Dikirim"),"Isi status laporan yang valid",IF(AND(AB266&lt;&gt;"",AB266&lt;&gt;"Belum Diperiksa",AB266&lt;&gt;"Disetujui",AB266&lt;&gt;"Perlu Perbaikan"),"Hasil review tidak valid",IF(AND(Z266="Dikirim",OR(Y266="",AA266="")),"Isi bukti dan waktu kirim",IF(AND(AB266="Disetujui",OR(Z266&lt;&gt;"Dikirim",AC266="",AD266="")),"Lengkapi pemeriksaan",IF(AND(AB266="Perlu Perbaikan",OR(AE266="",AC266="",AD266="")),"Isi pemeriksa dan catatan perbaikan","OK")))))))))))))))),"")</f>
        <v/>
      </c>
    </row>
    <row r="267" spans="1:39" ht="24.95" customHeight="1">
      <c r="A267" s="8"/>
      <c r="B267" s="6"/>
      <c r="C267" s="15" t="str">
        <f>IF(COUNTIFS(Master_PIC!$A$8:$A$73,$B267)=1,IF(VLOOKUP($B267,Master_PIC!$A$8:$G$73,2,FALSE)="","",VLOOKUP($B267,Master_PIC!$A$8:$G$73,2,FALSE)),"")</f>
        <v/>
      </c>
      <c r="D267" s="15" t="str">
        <f>IF(COUNTIFS(Master_PIC!$A$8:$A$73,$B267)=1,IF(VLOOKUP($B267,Master_PIC!$A$8:$G$73,4,FALSE)="","",VLOOKUP($B267,Master_PIC!$A$8:$G$73,4,FALSE)),"")</f>
        <v/>
      </c>
      <c r="E267" s="15" t="str">
        <f>IF(COUNTIFS(Master_PIC!$A$8:$A$73,$B267)=1,IF(VLOOKUP($B267,Master_PIC!$A$8:$G$73,5,FALSE)="","",VLOOKUP($B267,Master_PIC!$A$8:$G$73,5,FALSE)),"")</f>
        <v/>
      </c>
      <c r="F267" s="15" t="str">
        <f>IF(COUNTIFS(Master_PIC!$A$8:$A$73,$B267)=1,IF(VLOOKUP($B267,Master_PIC!$A$8:$G$73,6,FALSE)="","",VLOOKUP($B267,Master_PIC!$A$8:$G$73,6,FALSE)),"")</f>
        <v/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8"/>
      <c r="Y267" s="5"/>
      <c r="Z267" s="5"/>
      <c r="AA267" s="9"/>
      <c r="AB267" s="5"/>
      <c r="AC267" s="5"/>
      <c r="AD267" s="9"/>
      <c r="AE267" s="5"/>
      <c r="AF267" s="7" t="str">
        <f t="shared" si="28"/>
        <v/>
      </c>
      <c r="AG267" s="7" t="str">
        <f t="shared" si="29"/>
        <v/>
      </c>
      <c r="AH267" s="7" t="str">
        <f t="shared" si="30"/>
        <v/>
      </c>
      <c r="AI267" s="7" t="str">
        <f t="shared" si="31"/>
        <v/>
      </c>
      <c r="AJ267" s="7" t="str">
        <f t="shared" si="32"/>
        <v/>
      </c>
      <c r="AK267" s="7" t="str">
        <f t="shared" si="33"/>
        <v/>
      </c>
      <c r="AL267" s="10" t="str">
        <f t="shared" si="34"/>
        <v/>
      </c>
      <c r="AM267" s="15" t="str">
        <f>IF(OR($A267&lt;&gt;"",$B267&lt;&gt;""),IF(OR($A267="",$B267=""),"Isi tanggal dan ID PIC",IF(NOT(ISNUMBER($A267)),"Tanggal harus berupa tanggal Excel",IF(COUNTIFS(Master_PIC!$A$8:$A$73,$B267)&lt;&gt;1,"ID PIC tidak unik/terdaftar",IF(VLOOKUP($B267,Master_PIC!$A$8:$G$73,3,FALSE)&lt;&gt;"Sales","Jabatan tidak sesuai sheet",IF(OR($C267="",$D267="",$E267="",$F267=""),"Lengkapi master PIC",IF(COUNTIFS($A$8:$A$507,$A267,$B$8:$B$507,$B267)&gt;1,"Laporan ganda",IF(COUNTIFS(G267:P267,"Tidak Berlaku")&gt;0,"N/A hanya untuk kegiatan bersyarat",IF(SUM(AG267,AH267,AI267,AJ267,AK267)&lt;&gt;14,"Status kegiatan tidak valid",IF(AK267&gt;0,"Lengkapi status kegiatan",IF(AND(AJ267&gt;0,U267=""),"Isi alasan Tidak Berlaku",IF(AND(SUM(AH267,AI267)&gt;0,OR(U267="",V267="",W267="",X267="")),"Isi kendala dan tindak lanjut",IF(AND(Z267&lt;&gt;"Draft",Z267&lt;&gt;"Dikirim"),"Isi status laporan yang valid",IF(AND(AB267&lt;&gt;"",AB267&lt;&gt;"Belum Diperiksa",AB267&lt;&gt;"Disetujui",AB267&lt;&gt;"Perlu Perbaikan"),"Hasil review tidak valid",IF(AND(Z267="Dikirim",OR(Y267="",AA267="")),"Isi bukti dan waktu kirim",IF(AND(AB267="Disetujui",OR(Z267&lt;&gt;"Dikirim",AC267="",AD267="")),"Lengkapi pemeriksaan",IF(AND(AB267="Perlu Perbaikan",OR(AE267="",AC267="",AD267="")),"Isi pemeriksa dan catatan perbaikan","OK")))))))))))))))),"")</f>
        <v/>
      </c>
    </row>
    <row r="268" spans="1:39" ht="24.95" customHeight="1">
      <c r="A268" s="8"/>
      <c r="B268" s="6"/>
      <c r="C268" s="15" t="str">
        <f>IF(COUNTIFS(Master_PIC!$A$8:$A$73,$B268)=1,IF(VLOOKUP($B268,Master_PIC!$A$8:$G$73,2,FALSE)="","",VLOOKUP($B268,Master_PIC!$A$8:$G$73,2,FALSE)),"")</f>
        <v/>
      </c>
      <c r="D268" s="15" t="str">
        <f>IF(COUNTIFS(Master_PIC!$A$8:$A$73,$B268)=1,IF(VLOOKUP($B268,Master_PIC!$A$8:$G$73,4,FALSE)="","",VLOOKUP($B268,Master_PIC!$A$8:$G$73,4,FALSE)),"")</f>
        <v/>
      </c>
      <c r="E268" s="15" t="str">
        <f>IF(COUNTIFS(Master_PIC!$A$8:$A$73,$B268)=1,IF(VLOOKUP($B268,Master_PIC!$A$8:$G$73,5,FALSE)="","",VLOOKUP($B268,Master_PIC!$A$8:$G$73,5,FALSE)),"")</f>
        <v/>
      </c>
      <c r="F268" s="15" t="str">
        <f>IF(COUNTIFS(Master_PIC!$A$8:$A$73,$B268)=1,IF(VLOOKUP($B268,Master_PIC!$A$8:$G$73,6,FALSE)="","",VLOOKUP($B268,Master_PIC!$A$8:$G$73,6,FALSE)),"")</f>
        <v/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8"/>
      <c r="Y268" s="5"/>
      <c r="Z268" s="5"/>
      <c r="AA268" s="9"/>
      <c r="AB268" s="5"/>
      <c r="AC268" s="5"/>
      <c r="AD268" s="9"/>
      <c r="AE268" s="5"/>
      <c r="AF268" s="7" t="str">
        <f t="shared" si="28"/>
        <v/>
      </c>
      <c r="AG268" s="7" t="str">
        <f t="shared" si="29"/>
        <v/>
      </c>
      <c r="AH268" s="7" t="str">
        <f t="shared" si="30"/>
        <v/>
      </c>
      <c r="AI268" s="7" t="str">
        <f t="shared" si="31"/>
        <v/>
      </c>
      <c r="AJ268" s="7" t="str">
        <f t="shared" si="32"/>
        <v/>
      </c>
      <c r="AK268" s="7" t="str">
        <f t="shared" si="33"/>
        <v/>
      </c>
      <c r="AL268" s="10" t="str">
        <f t="shared" si="34"/>
        <v/>
      </c>
      <c r="AM268" s="15" t="str">
        <f>IF(OR($A268&lt;&gt;"",$B268&lt;&gt;""),IF(OR($A268="",$B268=""),"Isi tanggal dan ID PIC",IF(NOT(ISNUMBER($A268)),"Tanggal harus berupa tanggal Excel",IF(COUNTIFS(Master_PIC!$A$8:$A$73,$B268)&lt;&gt;1,"ID PIC tidak unik/terdaftar",IF(VLOOKUP($B268,Master_PIC!$A$8:$G$73,3,FALSE)&lt;&gt;"Sales","Jabatan tidak sesuai sheet",IF(OR($C268="",$D268="",$E268="",$F268=""),"Lengkapi master PIC",IF(COUNTIFS($A$8:$A$507,$A268,$B$8:$B$507,$B268)&gt;1,"Laporan ganda",IF(COUNTIFS(G268:P268,"Tidak Berlaku")&gt;0,"N/A hanya untuk kegiatan bersyarat",IF(SUM(AG268,AH268,AI268,AJ268,AK268)&lt;&gt;14,"Status kegiatan tidak valid",IF(AK268&gt;0,"Lengkapi status kegiatan",IF(AND(AJ268&gt;0,U268=""),"Isi alasan Tidak Berlaku",IF(AND(SUM(AH268,AI268)&gt;0,OR(U268="",V268="",W268="",X268="")),"Isi kendala dan tindak lanjut",IF(AND(Z268&lt;&gt;"Draft",Z268&lt;&gt;"Dikirim"),"Isi status laporan yang valid",IF(AND(AB268&lt;&gt;"",AB268&lt;&gt;"Belum Diperiksa",AB268&lt;&gt;"Disetujui",AB268&lt;&gt;"Perlu Perbaikan"),"Hasil review tidak valid",IF(AND(Z268="Dikirim",OR(Y268="",AA268="")),"Isi bukti dan waktu kirim",IF(AND(AB268="Disetujui",OR(Z268&lt;&gt;"Dikirim",AC268="",AD268="")),"Lengkapi pemeriksaan",IF(AND(AB268="Perlu Perbaikan",OR(AE268="",AC268="",AD268="")),"Isi pemeriksa dan catatan perbaikan","OK")))))))))))))))),"")</f>
        <v/>
      </c>
    </row>
    <row r="269" spans="1:39" ht="24.95" customHeight="1">
      <c r="A269" s="8"/>
      <c r="B269" s="6"/>
      <c r="C269" s="15" t="str">
        <f>IF(COUNTIFS(Master_PIC!$A$8:$A$73,$B269)=1,IF(VLOOKUP($B269,Master_PIC!$A$8:$G$73,2,FALSE)="","",VLOOKUP($B269,Master_PIC!$A$8:$G$73,2,FALSE)),"")</f>
        <v/>
      </c>
      <c r="D269" s="15" t="str">
        <f>IF(COUNTIFS(Master_PIC!$A$8:$A$73,$B269)=1,IF(VLOOKUP($B269,Master_PIC!$A$8:$G$73,4,FALSE)="","",VLOOKUP($B269,Master_PIC!$A$8:$G$73,4,FALSE)),"")</f>
        <v/>
      </c>
      <c r="E269" s="15" t="str">
        <f>IF(COUNTIFS(Master_PIC!$A$8:$A$73,$B269)=1,IF(VLOOKUP($B269,Master_PIC!$A$8:$G$73,5,FALSE)="","",VLOOKUP($B269,Master_PIC!$A$8:$G$73,5,FALSE)),"")</f>
        <v/>
      </c>
      <c r="F269" s="15" t="str">
        <f>IF(COUNTIFS(Master_PIC!$A$8:$A$73,$B269)=1,IF(VLOOKUP($B269,Master_PIC!$A$8:$G$73,6,FALSE)="","",VLOOKUP($B269,Master_PIC!$A$8:$G$73,6,FALSE)),"")</f>
        <v/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8"/>
      <c r="Y269" s="5"/>
      <c r="Z269" s="5"/>
      <c r="AA269" s="9"/>
      <c r="AB269" s="5"/>
      <c r="AC269" s="5"/>
      <c r="AD269" s="9"/>
      <c r="AE269" s="5"/>
      <c r="AF269" s="7" t="str">
        <f t="shared" si="28"/>
        <v/>
      </c>
      <c r="AG269" s="7" t="str">
        <f t="shared" si="29"/>
        <v/>
      </c>
      <c r="AH269" s="7" t="str">
        <f t="shared" si="30"/>
        <v/>
      </c>
      <c r="AI269" s="7" t="str">
        <f t="shared" si="31"/>
        <v/>
      </c>
      <c r="AJ269" s="7" t="str">
        <f t="shared" si="32"/>
        <v/>
      </c>
      <c r="AK269" s="7" t="str">
        <f t="shared" si="33"/>
        <v/>
      </c>
      <c r="AL269" s="10" t="str">
        <f t="shared" si="34"/>
        <v/>
      </c>
      <c r="AM269" s="15" t="str">
        <f>IF(OR($A269&lt;&gt;"",$B269&lt;&gt;""),IF(OR($A269="",$B269=""),"Isi tanggal dan ID PIC",IF(NOT(ISNUMBER($A269)),"Tanggal harus berupa tanggal Excel",IF(COUNTIFS(Master_PIC!$A$8:$A$73,$B269)&lt;&gt;1,"ID PIC tidak unik/terdaftar",IF(VLOOKUP($B269,Master_PIC!$A$8:$G$73,3,FALSE)&lt;&gt;"Sales","Jabatan tidak sesuai sheet",IF(OR($C269="",$D269="",$E269="",$F269=""),"Lengkapi master PIC",IF(COUNTIFS($A$8:$A$507,$A269,$B$8:$B$507,$B269)&gt;1,"Laporan ganda",IF(COUNTIFS(G269:P269,"Tidak Berlaku")&gt;0,"N/A hanya untuk kegiatan bersyarat",IF(SUM(AG269,AH269,AI269,AJ269,AK269)&lt;&gt;14,"Status kegiatan tidak valid",IF(AK269&gt;0,"Lengkapi status kegiatan",IF(AND(AJ269&gt;0,U269=""),"Isi alasan Tidak Berlaku",IF(AND(SUM(AH269,AI269)&gt;0,OR(U269="",V269="",W269="",X269="")),"Isi kendala dan tindak lanjut",IF(AND(Z269&lt;&gt;"Draft",Z269&lt;&gt;"Dikirim"),"Isi status laporan yang valid",IF(AND(AB269&lt;&gt;"",AB269&lt;&gt;"Belum Diperiksa",AB269&lt;&gt;"Disetujui",AB269&lt;&gt;"Perlu Perbaikan"),"Hasil review tidak valid",IF(AND(Z269="Dikirim",OR(Y269="",AA269="")),"Isi bukti dan waktu kirim",IF(AND(AB269="Disetujui",OR(Z269&lt;&gt;"Dikirim",AC269="",AD269="")),"Lengkapi pemeriksaan",IF(AND(AB269="Perlu Perbaikan",OR(AE269="",AC269="",AD269="")),"Isi pemeriksa dan catatan perbaikan","OK")))))))))))))))),"")</f>
        <v/>
      </c>
    </row>
    <row r="270" spans="1:39" ht="24.95" customHeight="1">
      <c r="A270" s="8"/>
      <c r="B270" s="6"/>
      <c r="C270" s="15" t="str">
        <f>IF(COUNTIFS(Master_PIC!$A$8:$A$73,$B270)=1,IF(VLOOKUP($B270,Master_PIC!$A$8:$G$73,2,FALSE)="","",VLOOKUP($B270,Master_PIC!$A$8:$G$73,2,FALSE)),"")</f>
        <v/>
      </c>
      <c r="D270" s="15" t="str">
        <f>IF(COUNTIFS(Master_PIC!$A$8:$A$73,$B270)=1,IF(VLOOKUP($B270,Master_PIC!$A$8:$G$73,4,FALSE)="","",VLOOKUP($B270,Master_PIC!$A$8:$G$73,4,FALSE)),"")</f>
        <v/>
      </c>
      <c r="E270" s="15" t="str">
        <f>IF(COUNTIFS(Master_PIC!$A$8:$A$73,$B270)=1,IF(VLOOKUP($B270,Master_PIC!$A$8:$G$73,5,FALSE)="","",VLOOKUP($B270,Master_PIC!$A$8:$G$73,5,FALSE)),"")</f>
        <v/>
      </c>
      <c r="F270" s="15" t="str">
        <f>IF(COUNTIFS(Master_PIC!$A$8:$A$73,$B270)=1,IF(VLOOKUP($B270,Master_PIC!$A$8:$G$73,6,FALSE)="","",VLOOKUP($B270,Master_PIC!$A$8:$G$73,6,FALSE)),"")</f>
        <v/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8"/>
      <c r="Y270" s="5"/>
      <c r="Z270" s="5"/>
      <c r="AA270" s="9"/>
      <c r="AB270" s="5"/>
      <c r="AC270" s="5"/>
      <c r="AD270" s="9"/>
      <c r="AE270" s="5"/>
      <c r="AF270" s="7" t="str">
        <f t="shared" si="28"/>
        <v/>
      </c>
      <c r="AG270" s="7" t="str">
        <f t="shared" si="29"/>
        <v/>
      </c>
      <c r="AH270" s="7" t="str">
        <f t="shared" si="30"/>
        <v/>
      </c>
      <c r="AI270" s="7" t="str">
        <f t="shared" si="31"/>
        <v/>
      </c>
      <c r="AJ270" s="7" t="str">
        <f t="shared" si="32"/>
        <v/>
      </c>
      <c r="AK270" s="7" t="str">
        <f t="shared" si="33"/>
        <v/>
      </c>
      <c r="AL270" s="10" t="str">
        <f t="shared" si="34"/>
        <v/>
      </c>
      <c r="AM270" s="15" t="str">
        <f>IF(OR($A270&lt;&gt;"",$B270&lt;&gt;""),IF(OR($A270="",$B270=""),"Isi tanggal dan ID PIC",IF(NOT(ISNUMBER($A270)),"Tanggal harus berupa tanggal Excel",IF(COUNTIFS(Master_PIC!$A$8:$A$73,$B270)&lt;&gt;1,"ID PIC tidak unik/terdaftar",IF(VLOOKUP($B270,Master_PIC!$A$8:$G$73,3,FALSE)&lt;&gt;"Sales","Jabatan tidak sesuai sheet",IF(OR($C270="",$D270="",$E270="",$F270=""),"Lengkapi master PIC",IF(COUNTIFS($A$8:$A$507,$A270,$B$8:$B$507,$B270)&gt;1,"Laporan ganda",IF(COUNTIFS(G270:P270,"Tidak Berlaku")&gt;0,"N/A hanya untuk kegiatan bersyarat",IF(SUM(AG270,AH270,AI270,AJ270,AK270)&lt;&gt;14,"Status kegiatan tidak valid",IF(AK270&gt;0,"Lengkapi status kegiatan",IF(AND(AJ270&gt;0,U270=""),"Isi alasan Tidak Berlaku",IF(AND(SUM(AH270,AI270)&gt;0,OR(U270="",V270="",W270="",X270="")),"Isi kendala dan tindak lanjut",IF(AND(Z270&lt;&gt;"Draft",Z270&lt;&gt;"Dikirim"),"Isi status laporan yang valid",IF(AND(AB270&lt;&gt;"",AB270&lt;&gt;"Belum Diperiksa",AB270&lt;&gt;"Disetujui",AB270&lt;&gt;"Perlu Perbaikan"),"Hasil review tidak valid",IF(AND(Z270="Dikirim",OR(Y270="",AA270="")),"Isi bukti dan waktu kirim",IF(AND(AB270="Disetujui",OR(Z270&lt;&gt;"Dikirim",AC270="",AD270="")),"Lengkapi pemeriksaan",IF(AND(AB270="Perlu Perbaikan",OR(AE270="",AC270="",AD270="")),"Isi pemeriksa dan catatan perbaikan","OK")))))))))))))))),"")</f>
        <v/>
      </c>
    </row>
    <row r="271" spans="1:39" ht="24.95" customHeight="1">
      <c r="A271" s="8"/>
      <c r="B271" s="6"/>
      <c r="C271" s="15" t="str">
        <f>IF(COUNTIFS(Master_PIC!$A$8:$A$73,$B271)=1,IF(VLOOKUP($B271,Master_PIC!$A$8:$G$73,2,FALSE)="","",VLOOKUP($B271,Master_PIC!$A$8:$G$73,2,FALSE)),"")</f>
        <v/>
      </c>
      <c r="D271" s="15" t="str">
        <f>IF(COUNTIFS(Master_PIC!$A$8:$A$73,$B271)=1,IF(VLOOKUP($B271,Master_PIC!$A$8:$G$73,4,FALSE)="","",VLOOKUP($B271,Master_PIC!$A$8:$G$73,4,FALSE)),"")</f>
        <v/>
      </c>
      <c r="E271" s="15" t="str">
        <f>IF(COUNTIFS(Master_PIC!$A$8:$A$73,$B271)=1,IF(VLOOKUP($B271,Master_PIC!$A$8:$G$73,5,FALSE)="","",VLOOKUP($B271,Master_PIC!$A$8:$G$73,5,FALSE)),"")</f>
        <v/>
      </c>
      <c r="F271" s="15" t="str">
        <f>IF(COUNTIFS(Master_PIC!$A$8:$A$73,$B271)=1,IF(VLOOKUP($B271,Master_PIC!$A$8:$G$73,6,FALSE)="","",VLOOKUP($B271,Master_PIC!$A$8:$G$73,6,FALSE)),"")</f>
        <v/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8"/>
      <c r="Y271" s="5"/>
      <c r="Z271" s="5"/>
      <c r="AA271" s="9"/>
      <c r="AB271" s="5"/>
      <c r="AC271" s="5"/>
      <c r="AD271" s="9"/>
      <c r="AE271" s="5"/>
      <c r="AF271" s="7" t="str">
        <f t="shared" si="28"/>
        <v/>
      </c>
      <c r="AG271" s="7" t="str">
        <f t="shared" si="29"/>
        <v/>
      </c>
      <c r="AH271" s="7" t="str">
        <f t="shared" si="30"/>
        <v/>
      </c>
      <c r="AI271" s="7" t="str">
        <f t="shared" si="31"/>
        <v/>
      </c>
      <c r="AJ271" s="7" t="str">
        <f t="shared" si="32"/>
        <v/>
      </c>
      <c r="AK271" s="7" t="str">
        <f t="shared" si="33"/>
        <v/>
      </c>
      <c r="AL271" s="10" t="str">
        <f t="shared" si="34"/>
        <v/>
      </c>
      <c r="AM271" s="15" t="str">
        <f>IF(OR($A271&lt;&gt;"",$B271&lt;&gt;""),IF(OR($A271="",$B271=""),"Isi tanggal dan ID PIC",IF(NOT(ISNUMBER($A271)),"Tanggal harus berupa tanggal Excel",IF(COUNTIFS(Master_PIC!$A$8:$A$73,$B271)&lt;&gt;1,"ID PIC tidak unik/terdaftar",IF(VLOOKUP($B271,Master_PIC!$A$8:$G$73,3,FALSE)&lt;&gt;"Sales","Jabatan tidak sesuai sheet",IF(OR($C271="",$D271="",$E271="",$F271=""),"Lengkapi master PIC",IF(COUNTIFS($A$8:$A$507,$A271,$B$8:$B$507,$B271)&gt;1,"Laporan ganda",IF(COUNTIFS(G271:P271,"Tidak Berlaku")&gt;0,"N/A hanya untuk kegiatan bersyarat",IF(SUM(AG271,AH271,AI271,AJ271,AK271)&lt;&gt;14,"Status kegiatan tidak valid",IF(AK271&gt;0,"Lengkapi status kegiatan",IF(AND(AJ271&gt;0,U271=""),"Isi alasan Tidak Berlaku",IF(AND(SUM(AH271,AI271)&gt;0,OR(U271="",V271="",W271="",X271="")),"Isi kendala dan tindak lanjut",IF(AND(Z271&lt;&gt;"Draft",Z271&lt;&gt;"Dikirim"),"Isi status laporan yang valid",IF(AND(AB271&lt;&gt;"",AB271&lt;&gt;"Belum Diperiksa",AB271&lt;&gt;"Disetujui",AB271&lt;&gt;"Perlu Perbaikan"),"Hasil review tidak valid",IF(AND(Z271="Dikirim",OR(Y271="",AA271="")),"Isi bukti dan waktu kirim",IF(AND(AB271="Disetujui",OR(Z271&lt;&gt;"Dikirim",AC271="",AD271="")),"Lengkapi pemeriksaan",IF(AND(AB271="Perlu Perbaikan",OR(AE271="",AC271="",AD271="")),"Isi pemeriksa dan catatan perbaikan","OK")))))))))))))))),"")</f>
        <v/>
      </c>
    </row>
    <row r="272" spans="1:39" ht="24.95" customHeight="1">
      <c r="A272" s="8"/>
      <c r="B272" s="6"/>
      <c r="C272" s="15" t="str">
        <f>IF(COUNTIFS(Master_PIC!$A$8:$A$73,$B272)=1,IF(VLOOKUP($B272,Master_PIC!$A$8:$G$73,2,FALSE)="","",VLOOKUP($B272,Master_PIC!$A$8:$G$73,2,FALSE)),"")</f>
        <v/>
      </c>
      <c r="D272" s="15" t="str">
        <f>IF(COUNTIFS(Master_PIC!$A$8:$A$73,$B272)=1,IF(VLOOKUP($B272,Master_PIC!$A$8:$G$73,4,FALSE)="","",VLOOKUP($B272,Master_PIC!$A$8:$G$73,4,FALSE)),"")</f>
        <v/>
      </c>
      <c r="E272" s="15" t="str">
        <f>IF(COUNTIFS(Master_PIC!$A$8:$A$73,$B272)=1,IF(VLOOKUP($B272,Master_PIC!$A$8:$G$73,5,FALSE)="","",VLOOKUP($B272,Master_PIC!$A$8:$G$73,5,FALSE)),"")</f>
        <v/>
      </c>
      <c r="F272" s="15" t="str">
        <f>IF(COUNTIFS(Master_PIC!$A$8:$A$73,$B272)=1,IF(VLOOKUP($B272,Master_PIC!$A$8:$G$73,6,FALSE)="","",VLOOKUP($B272,Master_PIC!$A$8:$G$73,6,FALSE)),"")</f>
        <v/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8"/>
      <c r="Y272" s="5"/>
      <c r="Z272" s="5"/>
      <c r="AA272" s="9"/>
      <c r="AB272" s="5"/>
      <c r="AC272" s="5"/>
      <c r="AD272" s="9"/>
      <c r="AE272" s="5"/>
      <c r="AF272" s="7" t="str">
        <f t="shared" si="28"/>
        <v/>
      </c>
      <c r="AG272" s="7" t="str">
        <f t="shared" si="29"/>
        <v/>
      </c>
      <c r="AH272" s="7" t="str">
        <f t="shared" si="30"/>
        <v/>
      </c>
      <c r="AI272" s="7" t="str">
        <f t="shared" si="31"/>
        <v/>
      </c>
      <c r="AJ272" s="7" t="str">
        <f t="shared" si="32"/>
        <v/>
      </c>
      <c r="AK272" s="7" t="str">
        <f t="shared" si="33"/>
        <v/>
      </c>
      <c r="AL272" s="10" t="str">
        <f t="shared" si="34"/>
        <v/>
      </c>
      <c r="AM272" s="15" t="str">
        <f>IF(OR($A272&lt;&gt;"",$B272&lt;&gt;""),IF(OR($A272="",$B272=""),"Isi tanggal dan ID PIC",IF(NOT(ISNUMBER($A272)),"Tanggal harus berupa tanggal Excel",IF(COUNTIFS(Master_PIC!$A$8:$A$73,$B272)&lt;&gt;1,"ID PIC tidak unik/terdaftar",IF(VLOOKUP($B272,Master_PIC!$A$8:$G$73,3,FALSE)&lt;&gt;"Sales","Jabatan tidak sesuai sheet",IF(OR($C272="",$D272="",$E272="",$F272=""),"Lengkapi master PIC",IF(COUNTIFS($A$8:$A$507,$A272,$B$8:$B$507,$B272)&gt;1,"Laporan ganda",IF(COUNTIFS(G272:P272,"Tidak Berlaku")&gt;0,"N/A hanya untuk kegiatan bersyarat",IF(SUM(AG272,AH272,AI272,AJ272,AK272)&lt;&gt;14,"Status kegiatan tidak valid",IF(AK272&gt;0,"Lengkapi status kegiatan",IF(AND(AJ272&gt;0,U272=""),"Isi alasan Tidak Berlaku",IF(AND(SUM(AH272,AI272)&gt;0,OR(U272="",V272="",W272="",X272="")),"Isi kendala dan tindak lanjut",IF(AND(Z272&lt;&gt;"Draft",Z272&lt;&gt;"Dikirim"),"Isi status laporan yang valid",IF(AND(AB272&lt;&gt;"",AB272&lt;&gt;"Belum Diperiksa",AB272&lt;&gt;"Disetujui",AB272&lt;&gt;"Perlu Perbaikan"),"Hasil review tidak valid",IF(AND(Z272="Dikirim",OR(Y272="",AA272="")),"Isi bukti dan waktu kirim",IF(AND(AB272="Disetujui",OR(Z272&lt;&gt;"Dikirim",AC272="",AD272="")),"Lengkapi pemeriksaan",IF(AND(AB272="Perlu Perbaikan",OR(AE272="",AC272="",AD272="")),"Isi pemeriksa dan catatan perbaikan","OK")))))))))))))))),"")</f>
        <v/>
      </c>
    </row>
    <row r="273" spans="1:39" ht="24.95" customHeight="1">
      <c r="A273" s="8"/>
      <c r="B273" s="6"/>
      <c r="C273" s="15" t="str">
        <f>IF(COUNTIFS(Master_PIC!$A$8:$A$73,$B273)=1,IF(VLOOKUP($B273,Master_PIC!$A$8:$G$73,2,FALSE)="","",VLOOKUP($B273,Master_PIC!$A$8:$G$73,2,FALSE)),"")</f>
        <v/>
      </c>
      <c r="D273" s="15" t="str">
        <f>IF(COUNTIFS(Master_PIC!$A$8:$A$73,$B273)=1,IF(VLOOKUP($B273,Master_PIC!$A$8:$G$73,4,FALSE)="","",VLOOKUP($B273,Master_PIC!$A$8:$G$73,4,FALSE)),"")</f>
        <v/>
      </c>
      <c r="E273" s="15" t="str">
        <f>IF(COUNTIFS(Master_PIC!$A$8:$A$73,$B273)=1,IF(VLOOKUP($B273,Master_PIC!$A$8:$G$73,5,FALSE)="","",VLOOKUP($B273,Master_PIC!$A$8:$G$73,5,FALSE)),"")</f>
        <v/>
      </c>
      <c r="F273" s="15" t="str">
        <f>IF(COUNTIFS(Master_PIC!$A$8:$A$73,$B273)=1,IF(VLOOKUP($B273,Master_PIC!$A$8:$G$73,6,FALSE)="","",VLOOKUP($B273,Master_PIC!$A$8:$G$73,6,FALSE)),"")</f>
        <v/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8"/>
      <c r="Y273" s="5"/>
      <c r="Z273" s="5"/>
      <c r="AA273" s="9"/>
      <c r="AB273" s="5"/>
      <c r="AC273" s="5"/>
      <c r="AD273" s="9"/>
      <c r="AE273" s="5"/>
      <c r="AF273" s="7" t="str">
        <f t="shared" si="28"/>
        <v/>
      </c>
      <c r="AG273" s="7" t="str">
        <f t="shared" si="29"/>
        <v/>
      </c>
      <c r="AH273" s="7" t="str">
        <f t="shared" si="30"/>
        <v/>
      </c>
      <c r="AI273" s="7" t="str">
        <f t="shared" si="31"/>
        <v/>
      </c>
      <c r="AJ273" s="7" t="str">
        <f t="shared" si="32"/>
        <v/>
      </c>
      <c r="AK273" s="7" t="str">
        <f t="shared" si="33"/>
        <v/>
      </c>
      <c r="AL273" s="10" t="str">
        <f t="shared" si="34"/>
        <v/>
      </c>
      <c r="AM273" s="15" t="str">
        <f>IF(OR($A273&lt;&gt;"",$B273&lt;&gt;""),IF(OR($A273="",$B273=""),"Isi tanggal dan ID PIC",IF(NOT(ISNUMBER($A273)),"Tanggal harus berupa tanggal Excel",IF(COUNTIFS(Master_PIC!$A$8:$A$73,$B273)&lt;&gt;1,"ID PIC tidak unik/terdaftar",IF(VLOOKUP($B273,Master_PIC!$A$8:$G$73,3,FALSE)&lt;&gt;"Sales","Jabatan tidak sesuai sheet",IF(OR($C273="",$D273="",$E273="",$F273=""),"Lengkapi master PIC",IF(COUNTIFS($A$8:$A$507,$A273,$B$8:$B$507,$B273)&gt;1,"Laporan ganda",IF(COUNTIFS(G273:P273,"Tidak Berlaku")&gt;0,"N/A hanya untuk kegiatan bersyarat",IF(SUM(AG273,AH273,AI273,AJ273,AK273)&lt;&gt;14,"Status kegiatan tidak valid",IF(AK273&gt;0,"Lengkapi status kegiatan",IF(AND(AJ273&gt;0,U273=""),"Isi alasan Tidak Berlaku",IF(AND(SUM(AH273,AI273)&gt;0,OR(U273="",V273="",W273="",X273="")),"Isi kendala dan tindak lanjut",IF(AND(Z273&lt;&gt;"Draft",Z273&lt;&gt;"Dikirim"),"Isi status laporan yang valid",IF(AND(AB273&lt;&gt;"",AB273&lt;&gt;"Belum Diperiksa",AB273&lt;&gt;"Disetujui",AB273&lt;&gt;"Perlu Perbaikan"),"Hasil review tidak valid",IF(AND(Z273="Dikirim",OR(Y273="",AA273="")),"Isi bukti dan waktu kirim",IF(AND(AB273="Disetujui",OR(Z273&lt;&gt;"Dikirim",AC273="",AD273="")),"Lengkapi pemeriksaan",IF(AND(AB273="Perlu Perbaikan",OR(AE273="",AC273="",AD273="")),"Isi pemeriksa dan catatan perbaikan","OK")))))))))))))))),"")</f>
        <v/>
      </c>
    </row>
    <row r="274" spans="1:39" ht="24.95" customHeight="1">
      <c r="A274" s="8"/>
      <c r="B274" s="6"/>
      <c r="C274" s="15" t="str">
        <f>IF(COUNTIFS(Master_PIC!$A$8:$A$73,$B274)=1,IF(VLOOKUP($B274,Master_PIC!$A$8:$G$73,2,FALSE)="","",VLOOKUP($B274,Master_PIC!$A$8:$G$73,2,FALSE)),"")</f>
        <v/>
      </c>
      <c r="D274" s="15" t="str">
        <f>IF(COUNTIFS(Master_PIC!$A$8:$A$73,$B274)=1,IF(VLOOKUP($B274,Master_PIC!$A$8:$G$73,4,FALSE)="","",VLOOKUP($B274,Master_PIC!$A$8:$G$73,4,FALSE)),"")</f>
        <v/>
      </c>
      <c r="E274" s="15" t="str">
        <f>IF(COUNTIFS(Master_PIC!$A$8:$A$73,$B274)=1,IF(VLOOKUP($B274,Master_PIC!$A$8:$G$73,5,FALSE)="","",VLOOKUP($B274,Master_PIC!$A$8:$G$73,5,FALSE)),"")</f>
        <v/>
      </c>
      <c r="F274" s="15" t="str">
        <f>IF(COUNTIFS(Master_PIC!$A$8:$A$73,$B274)=1,IF(VLOOKUP($B274,Master_PIC!$A$8:$G$73,6,FALSE)="","",VLOOKUP($B274,Master_PIC!$A$8:$G$73,6,FALSE)),"")</f>
        <v/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8"/>
      <c r="Y274" s="5"/>
      <c r="Z274" s="5"/>
      <c r="AA274" s="9"/>
      <c r="AB274" s="5"/>
      <c r="AC274" s="5"/>
      <c r="AD274" s="9"/>
      <c r="AE274" s="5"/>
      <c r="AF274" s="7" t="str">
        <f t="shared" si="28"/>
        <v/>
      </c>
      <c r="AG274" s="7" t="str">
        <f t="shared" si="29"/>
        <v/>
      </c>
      <c r="AH274" s="7" t="str">
        <f t="shared" si="30"/>
        <v/>
      </c>
      <c r="AI274" s="7" t="str">
        <f t="shared" si="31"/>
        <v/>
      </c>
      <c r="AJ274" s="7" t="str">
        <f t="shared" si="32"/>
        <v/>
      </c>
      <c r="AK274" s="7" t="str">
        <f t="shared" si="33"/>
        <v/>
      </c>
      <c r="AL274" s="10" t="str">
        <f t="shared" si="34"/>
        <v/>
      </c>
      <c r="AM274" s="15" t="str">
        <f>IF(OR($A274&lt;&gt;"",$B274&lt;&gt;""),IF(OR($A274="",$B274=""),"Isi tanggal dan ID PIC",IF(NOT(ISNUMBER($A274)),"Tanggal harus berupa tanggal Excel",IF(COUNTIFS(Master_PIC!$A$8:$A$73,$B274)&lt;&gt;1,"ID PIC tidak unik/terdaftar",IF(VLOOKUP($B274,Master_PIC!$A$8:$G$73,3,FALSE)&lt;&gt;"Sales","Jabatan tidak sesuai sheet",IF(OR($C274="",$D274="",$E274="",$F274=""),"Lengkapi master PIC",IF(COUNTIFS($A$8:$A$507,$A274,$B$8:$B$507,$B274)&gt;1,"Laporan ganda",IF(COUNTIFS(G274:P274,"Tidak Berlaku")&gt;0,"N/A hanya untuk kegiatan bersyarat",IF(SUM(AG274,AH274,AI274,AJ274,AK274)&lt;&gt;14,"Status kegiatan tidak valid",IF(AK274&gt;0,"Lengkapi status kegiatan",IF(AND(AJ274&gt;0,U274=""),"Isi alasan Tidak Berlaku",IF(AND(SUM(AH274,AI274)&gt;0,OR(U274="",V274="",W274="",X274="")),"Isi kendala dan tindak lanjut",IF(AND(Z274&lt;&gt;"Draft",Z274&lt;&gt;"Dikirim"),"Isi status laporan yang valid",IF(AND(AB274&lt;&gt;"",AB274&lt;&gt;"Belum Diperiksa",AB274&lt;&gt;"Disetujui",AB274&lt;&gt;"Perlu Perbaikan"),"Hasil review tidak valid",IF(AND(Z274="Dikirim",OR(Y274="",AA274="")),"Isi bukti dan waktu kirim",IF(AND(AB274="Disetujui",OR(Z274&lt;&gt;"Dikirim",AC274="",AD274="")),"Lengkapi pemeriksaan",IF(AND(AB274="Perlu Perbaikan",OR(AE274="",AC274="",AD274="")),"Isi pemeriksa dan catatan perbaikan","OK")))))))))))))))),"")</f>
        <v/>
      </c>
    </row>
    <row r="275" spans="1:39" ht="24.95" customHeight="1">
      <c r="A275" s="8"/>
      <c r="B275" s="6"/>
      <c r="C275" s="15" t="str">
        <f>IF(COUNTIFS(Master_PIC!$A$8:$A$73,$B275)=1,IF(VLOOKUP($B275,Master_PIC!$A$8:$G$73,2,FALSE)="","",VLOOKUP($B275,Master_PIC!$A$8:$G$73,2,FALSE)),"")</f>
        <v/>
      </c>
      <c r="D275" s="15" t="str">
        <f>IF(COUNTIFS(Master_PIC!$A$8:$A$73,$B275)=1,IF(VLOOKUP($B275,Master_PIC!$A$8:$G$73,4,FALSE)="","",VLOOKUP($B275,Master_PIC!$A$8:$G$73,4,FALSE)),"")</f>
        <v/>
      </c>
      <c r="E275" s="15" t="str">
        <f>IF(COUNTIFS(Master_PIC!$A$8:$A$73,$B275)=1,IF(VLOOKUP($B275,Master_PIC!$A$8:$G$73,5,FALSE)="","",VLOOKUP($B275,Master_PIC!$A$8:$G$73,5,FALSE)),"")</f>
        <v/>
      </c>
      <c r="F275" s="15" t="str">
        <f>IF(COUNTIFS(Master_PIC!$A$8:$A$73,$B275)=1,IF(VLOOKUP($B275,Master_PIC!$A$8:$G$73,6,FALSE)="","",VLOOKUP($B275,Master_PIC!$A$8:$G$73,6,FALSE)),"")</f>
        <v/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8"/>
      <c r="Y275" s="5"/>
      <c r="Z275" s="5"/>
      <c r="AA275" s="9"/>
      <c r="AB275" s="5"/>
      <c r="AC275" s="5"/>
      <c r="AD275" s="9"/>
      <c r="AE275" s="5"/>
      <c r="AF275" s="7" t="str">
        <f t="shared" si="28"/>
        <v/>
      </c>
      <c r="AG275" s="7" t="str">
        <f t="shared" si="29"/>
        <v/>
      </c>
      <c r="AH275" s="7" t="str">
        <f t="shared" si="30"/>
        <v/>
      </c>
      <c r="AI275" s="7" t="str">
        <f t="shared" si="31"/>
        <v/>
      </c>
      <c r="AJ275" s="7" t="str">
        <f t="shared" si="32"/>
        <v/>
      </c>
      <c r="AK275" s="7" t="str">
        <f t="shared" si="33"/>
        <v/>
      </c>
      <c r="AL275" s="10" t="str">
        <f t="shared" si="34"/>
        <v/>
      </c>
      <c r="AM275" s="15" t="str">
        <f>IF(OR($A275&lt;&gt;"",$B275&lt;&gt;""),IF(OR($A275="",$B275=""),"Isi tanggal dan ID PIC",IF(NOT(ISNUMBER($A275)),"Tanggal harus berupa tanggal Excel",IF(COUNTIFS(Master_PIC!$A$8:$A$73,$B275)&lt;&gt;1,"ID PIC tidak unik/terdaftar",IF(VLOOKUP($B275,Master_PIC!$A$8:$G$73,3,FALSE)&lt;&gt;"Sales","Jabatan tidak sesuai sheet",IF(OR($C275="",$D275="",$E275="",$F275=""),"Lengkapi master PIC",IF(COUNTIFS($A$8:$A$507,$A275,$B$8:$B$507,$B275)&gt;1,"Laporan ganda",IF(COUNTIFS(G275:P275,"Tidak Berlaku")&gt;0,"N/A hanya untuk kegiatan bersyarat",IF(SUM(AG275,AH275,AI275,AJ275,AK275)&lt;&gt;14,"Status kegiatan tidak valid",IF(AK275&gt;0,"Lengkapi status kegiatan",IF(AND(AJ275&gt;0,U275=""),"Isi alasan Tidak Berlaku",IF(AND(SUM(AH275,AI275)&gt;0,OR(U275="",V275="",W275="",X275="")),"Isi kendala dan tindak lanjut",IF(AND(Z275&lt;&gt;"Draft",Z275&lt;&gt;"Dikirim"),"Isi status laporan yang valid",IF(AND(AB275&lt;&gt;"",AB275&lt;&gt;"Belum Diperiksa",AB275&lt;&gt;"Disetujui",AB275&lt;&gt;"Perlu Perbaikan"),"Hasil review tidak valid",IF(AND(Z275="Dikirim",OR(Y275="",AA275="")),"Isi bukti dan waktu kirim",IF(AND(AB275="Disetujui",OR(Z275&lt;&gt;"Dikirim",AC275="",AD275="")),"Lengkapi pemeriksaan",IF(AND(AB275="Perlu Perbaikan",OR(AE275="",AC275="",AD275="")),"Isi pemeriksa dan catatan perbaikan","OK")))))))))))))))),"")</f>
        <v/>
      </c>
    </row>
    <row r="276" spans="1:39" ht="24.95" customHeight="1">
      <c r="A276" s="8"/>
      <c r="B276" s="6"/>
      <c r="C276" s="15" t="str">
        <f>IF(COUNTIFS(Master_PIC!$A$8:$A$73,$B276)=1,IF(VLOOKUP($B276,Master_PIC!$A$8:$G$73,2,FALSE)="","",VLOOKUP($B276,Master_PIC!$A$8:$G$73,2,FALSE)),"")</f>
        <v/>
      </c>
      <c r="D276" s="15" t="str">
        <f>IF(COUNTIFS(Master_PIC!$A$8:$A$73,$B276)=1,IF(VLOOKUP($B276,Master_PIC!$A$8:$G$73,4,FALSE)="","",VLOOKUP($B276,Master_PIC!$A$8:$G$73,4,FALSE)),"")</f>
        <v/>
      </c>
      <c r="E276" s="15" t="str">
        <f>IF(COUNTIFS(Master_PIC!$A$8:$A$73,$B276)=1,IF(VLOOKUP($B276,Master_PIC!$A$8:$G$73,5,FALSE)="","",VLOOKUP($B276,Master_PIC!$A$8:$G$73,5,FALSE)),"")</f>
        <v/>
      </c>
      <c r="F276" s="15" t="str">
        <f>IF(COUNTIFS(Master_PIC!$A$8:$A$73,$B276)=1,IF(VLOOKUP($B276,Master_PIC!$A$8:$G$73,6,FALSE)="","",VLOOKUP($B276,Master_PIC!$A$8:$G$73,6,FALSE)),"")</f>
        <v/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8"/>
      <c r="Y276" s="5"/>
      <c r="Z276" s="5"/>
      <c r="AA276" s="9"/>
      <c r="AB276" s="5"/>
      <c r="AC276" s="5"/>
      <c r="AD276" s="9"/>
      <c r="AE276" s="5"/>
      <c r="AF276" s="7" t="str">
        <f t="shared" si="28"/>
        <v/>
      </c>
      <c r="AG276" s="7" t="str">
        <f t="shared" si="29"/>
        <v/>
      </c>
      <c r="AH276" s="7" t="str">
        <f t="shared" si="30"/>
        <v/>
      </c>
      <c r="AI276" s="7" t="str">
        <f t="shared" si="31"/>
        <v/>
      </c>
      <c r="AJ276" s="7" t="str">
        <f t="shared" si="32"/>
        <v/>
      </c>
      <c r="AK276" s="7" t="str">
        <f t="shared" si="33"/>
        <v/>
      </c>
      <c r="AL276" s="10" t="str">
        <f t="shared" si="34"/>
        <v/>
      </c>
      <c r="AM276" s="15" t="str">
        <f>IF(OR($A276&lt;&gt;"",$B276&lt;&gt;""),IF(OR($A276="",$B276=""),"Isi tanggal dan ID PIC",IF(NOT(ISNUMBER($A276)),"Tanggal harus berupa tanggal Excel",IF(COUNTIFS(Master_PIC!$A$8:$A$73,$B276)&lt;&gt;1,"ID PIC tidak unik/terdaftar",IF(VLOOKUP($B276,Master_PIC!$A$8:$G$73,3,FALSE)&lt;&gt;"Sales","Jabatan tidak sesuai sheet",IF(OR($C276="",$D276="",$E276="",$F276=""),"Lengkapi master PIC",IF(COUNTIFS($A$8:$A$507,$A276,$B$8:$B$507,$B276)&gt;1,"Laporan ganda",IF(COUNTIFS(G276:P276,"Tidak Berlaku")&gt;0,"N/A hanya untuk kegiatan bersyarat",IF(SUM(AG276,AH276,AI276,AJ276,AK276)&lt;&gt;14,"Status kegiatan tidak valid",IF(AK276&gt;0,"Lengkapi status kegiatan",IF(AND(AJ276&gt;0,U276=""),"Isi alasan Tidak Berlaku",IF(AND(SUM(AH276,AI276)&gt;0,OR(U276="",V276="",W276="",X276="")),"Isi kendala dan tindak lanjut",IF(AND(Z276&lt;&gt;"Draft",Z276&lt;&gt;"Dikirim"),"Isi status laporan yang valid",IF(AND(AB276&lt;&gt;"",AB276&lt;&gt;"Belum Diperiksa",AB276&lt;&gt;"Disetujui",AB276&lt;&gt;"Perlu Perbaikan"),"Hasil review tidak valid",IF(AND(Z276="Dikirim",OR(Y276="",AA276="")),"Isi bukti dan waktu kirim",IF(AND(AB276="Disetujui",OR(Z276&lt;&gt;"Dikirim",AC276="",AD276="")),"Lengkapi pemeriksaan",IF(AND(AB276="Perlu Perbaikan",OR(AE276="",AC276="",AD276="")),"Isi pemeriksa dan catatan perbaikan","OK")))))))))))))))),"")</f>
        <v/>
      </c>
    </row>
    <row r="277" spans="1:39" ht="24.95" customHeight="1">
      <c r="A277" s="8"/>
      <c r="B277" s="6"/>
      <c r="C277" s="15" t="str">
        <f>IF(COUNTIFS(Master_PIC!$A$8:$A$73,$B277)=1,IF(VLOOKUP($B277,Master_PIC!$A$8:$G$73,2,FALSE)="","",VLOOKUP($B277,Master_PIC!$A$8:$G$73,2,FALSE)),"")</f>
        <v/>
      </c>
      <c r="D277" s="15" t="str">
        <f>IF(COUNTIFS(Master_PIC!$A$8:$A$73,$B277)=1,IF(VLOOKUP($B277,Master_PIC!$A$8:$G$73,4,FALSE)="","",VLOOKUP($B277,Master_PIC!$A$8:$G$73,4,FALSE)),"")</f>
        <v/>
      </c>
      <c r="E277" s="15" t="str">
        <f>IF(COUNTIFS(Master_PIC!$A$8:$A$73,$B277)=1,IF(VLOOKUP($B277,Master_PIC!$A$8:$G$73,5,FALSE)="","",VLOOKUP($B277,Master_PIC!$A$8:$G$73,5,FALSE)),"")</f>
        <v/>
      </c>
      <c r="F277" s="15" t="str">
        <f>IF(COUNTIFS(Master_PIC!$A$8:$A$73,$B277)=1,IF(VLOOKUP($B277,Master_PIC!$A$8:$G$73,6,FALSE)="","",VLOOKUP($B277,Master_PIC!$A$8:$G$73,6,FALSE)),"")</f>
        <v/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8"/>
      <c r="Y277" s="5"/>
      <c r="Z277" s="5"/>
      <c r="AA277" s="9"/>
      <c r="AB277" s="5"/>
      <c r="AC277" s="5"/>
      <c r="AD277" s="9"/>
      <c r="AE277" s="5"/>
      <c r="AF277" s="7" t="str">
        <f t="shared" si="28"/>
        <v/>
      </c>
      <c r="AG277" s="7" t="str">
        <f t="shared" si="29"/>
        <v/>
      </c>
      <c r="AH277" s="7" t="str">
        <f t="shared" si="30"/>
        <v/>
      </c>
      <c r="AI277" s="7" t="str">
        <f t="shared" si="31"/>
        <v/>
      </c>
      <c r="AJ277" s="7" t="str">
        <f t="shared" si="32"/>
        <v/>
      </c>
      <c r="AK277" s="7" t="str">
        <f t="shared" si="33"/>
        <v/>
      </c>
      <c r="AL277" s="10" t="str">
        <f t="shared" si="34"/>
        <v/>
      </c>
      <c r="AM277" s="15" t="str">
        <f>IF(OR($A277&lt;&gt;"",$B277&lt;&gt;""),IF(OR($A277="",$B277=""),"Isi tanggal dan ID PIC",IF(NOT(ISNUMBER($A277)),"Tanggal harus berupa tanggal Excel",IF(COUNTIFS(Master_PIC!$A$8:$A$73,$B277)&lt;&gt;1,"ID PIC tidak unik/terdaftar",IF(VLOOKUP($B277,Master_PIC!$A$8:$G$73,3,FALSE)&lt;&gt;"Sales","Jabatan tidak sesuai sheet",IF(OR($C277="",$D277="",$E277="",$F277=""),"Lengkapi master PIC",IF(COUNTIFS($A$8:$A$507,$A277,$B$8:$B$507,$B277)&gt;1,"Laporan ganda",IF(COUNTIFS(G277:P277,"Tidak Berlaku")&gt;0,"N/A hanya untuk kegiatan bersyarat",IF(SUM(AG277,AH277,AI277,AJ277,AK277)&lt;&gt;14,"Status kegiatan tidak valid",IF(AK277&gt;0,"Lengkapi status kegiatan",IF(AND(AJ277&gt;0,U277=""),"Isi alasan Tidak Berlaku",IF(AND(SUM(AH277,AI277)&gt;0,OR(U277="",V277="",W277="",X277="")),"Isi kendala dan tindak lanjut",IF(AND(Z277&lt;&gt;"Draft",Z277&lt;&gt;"Dikirim"),"Isi status laporan yang valid",IF(AND(AB277&lt;&gt;"",AB277&lt;&gt;"Belum Diperiksa",AB277&lt;&gt;"Disetujui",AB277&lt;&gt;"Perlu Perbaikan"),"Hasil review tidak valid",IF(AND(Z277="Dikirim",OR(Y277="",AA277="")),"Isi bukti dan waktu kirim",IF(AND(AB277="Disetujui",OR(Z277&lt;&gt;"Dikirim",AC277="",AD277="")),"Lengkapi pemeriksaan",IF(AND(AB277="Perlu Perbaikan",OR(AE277="",AC277="",AD277="")),"Isi pemeriksa dan catatan perbaikan","OK")))))))))))))))),"")</f>
        <v/>
      </c>
    </row>
    <row r="278" spans="1:39" ht="24.95" customHeight="1">
      <c r="A278" s="8"/>
      <c r="B278" s="6"/>
      <c r="C278" s="15" t="str">
        <f>IF(COUNTIFS(Master_PIC!$A$8:$A$73,$B278)=1,IF(VLOOKUP($B278,Master_PIC!$A$8:$G$73,2,FALSE)="","",VLOOKUP($B278,Master_PIC!$A$8:$G$73,2,FALSE)),"")</f>
        <v/>
      </c>
      <c r="D278" s="15" t="str">
        <f>IF(COUNTIFS(Master_PIC!$A$8:$A$73,$B278)=1,IF(VLOOKUP($B278,Master_PIC!$A$8:$G$73,4,FALSE)="","",VLOOKUP($B278,Master_PIC!$A$8:$G$73,4,FALSE)),"")</f>
        <v/>
      </c>
      <c r="E278" s="15" t="str">
        <f>IF(COUNTIFS(Master_PIC!$A$8:$A$73,$B278)=1,IF(VLOOKUP($B278,Master_PIC!$A$8:$G$73,5,FALSE)="","",VLOOKUP($B278,Master_PIC!$A$8:$G$73,5,FALSE)),"")</f>
        <v/>
      </c>
      <c r="F278" s="15" t="str">
        <f>IF(COUNTIFS(Master_PIC!$A$8:$A$73,$B278)=1,IF(VLOOKUP($B278,Master_PIC!$A$8:$G$73,6,FALSE)="","",VLOOKUP($B278,Master_PIC!$A$8:$G$73,6,FALSE)),"")</f>
        <v/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8"/>
      <c r="Y278" s="5"/>
      <c r="Z278" s="5"/>
      <c r="AA278" s="9"/>
      <c r="AB278" s="5"/>
      <c r="AC278" s="5"/>
      <c r="AD278" s="9"/>
      <c r="AE278" s="5"/>
      <c r="AF278" s="7" t="str">
        <f t="shared" si="28"/>
        <v/>
      </c>
      <c r="AG278" s="7" t="str">
        <f t="shared" si="29"/>
        <v/>
      </c>
      <c r="AH278" s="7" t="str">
        <f t="shared" si="30"/>
        <v/>
      </c>
      <c r="AI278" s="7" t="str">
        <f t="shared" si="31"/>
        <v/>
      </c>
      <c r="AJ278" s="7" t="str">
        <f t="shared" si="32"/>
        <v/>
      </c>
      <c r="AK278" s="7" t="str">
        <f t="shared" si="33"/>
        <v/>
      </c>
      <c r="AL278" s="10" t="str">
        <f t="shared" si="34"/>
        <v/>
      </c>
      <c r="AM278" s="15" t="str">
        <f>IF(OR($A278&lt;&gt;"",$B278&lt;&gt;""),IF(OR($A278="",$B278=""),"Isi tanggal dan ID PIC",IF(NOT(ISNUMBER($A278)),"Tanggal harus berupa tanggal Excel",IF(COUNTIFS(Master_PIC!$A$8:$A$73,$B278)&lt;&gt;1,"ID PIC tidak unik/terdaftar",IF(VLOOKUP($B278,Master_PIC!$A$8:$G$73,3,FALSE)&lt;&gt;"Sales","Jabatan tidak sesuai sheet",IF(OR($C278="",$D278="",$E278="",$F278=""),"Lengkapi master PIC",IF(COUNTIFS($A$8:$A$507,$A278,$B$8:$B$507,$B278)&gt;1,"Laporan ganda",IF(COUNTIFS(G278:P278,"Tidak Berlaku")&gt;0,"N/A hanya untuk kegiatan bersyarat",IF(SUM(AG278,AH278,AI278,AJ278,AK278)&lt;&gt;14,"Status kegiatan tidak valid",IF(AK278&gt;0,"Lengkapi status kegiatan",IF(AND(AJ278&gt;0,U278=""),"Isi alasan Tidak Berlaku",IF(AND(SUM(AH278,AI278)&gt;0,OR(U278="",V278="",W278="",X278="")),"Isi kendala dan tindak lanjut",IF(AND(Z278&lt;&gt;"Draft",Z278&lt;&gt;"Dikirim"),"Isi status laporan yang valid",IF(AND(AB278&lt;&gt;"",AB278&lt;&gt;"Belum Diperiksa",AB278&lt;&gt;"Disetujui",AB278&lt;&gt;"Perlu Perbaikan"),"Hasil review tidak valid",IF(AND(Z278="Dikirim",OR(Y278="",AA278="")),"Isi bukti dan waktu kirim",IF(AND(AB278="Disetujui",OR(Z278&lt;&gt;"Dikirim",AC278="",AD278="")),"Lengkapi pemeriksaan",IF(AND(AB278="Perlu Perbaikan",OR(AE278="",AC278="",AD278="")),"Isi pemeriksa dan catatan perbaikan","OK")))))))))))))))),"")</f>
        <v/>
      </c>
    </row>
    <row r="279" spans="1:39" ht="24.95" customHeight="1">
      <c r="A279" s="8"/>
      <c r="B279" s="6"/>
      <c r="C279" s="15" t="str">
        <f>IF(COUNTIFS(Master_PIC!$A$8:$A$73,$B279)=1,IF(VLOOKUP($B279,Master_PIC!$A$8:$G$73,2,FALSE)="","",VLOOKUP($B279,Master_PIC!$A$8:$G$73,2,FALSE)),"")</f>
        <v/>
      </c>
      <c r="D279" s="15" t="str">
        <f>IF(COUNTIFS(Master_PIC!$A$8:$A$73,$B279)=1,IF(VLOOKUP($B279,Master_PIC!$A$8:$G$73,4,FALSE)="","",VLOOKUP($B279,Master_PIC!$A$8:$G$73,4,FALSE)),"")</f>
        <v/>
      </c>
      <c r="E279" s="15" t="str">
        <f>IF(COUNTIFS(Master_PIC!$A$8:$A$73,$B279)=1,IF(VLOOKUP($B279,Master_PIC!$A$8:$G$73,5,FALSE)="","",VLOOKUP($B279,Master_PIC!$A$8:$G$73,5,FALSE)),"")</f>
        <v/>
      </c>
      <c r="F279" s="15" t="str">
        <f>IF(COUNTIFS(Master_PIC!$A$8:$A$73,$B279)=1,IF(VLOOKUP($B279,Master_PIC!$A$8:$G$73,6,FALSE)="","",VLOOKUP($B279,Master_PIC!$A$8:$G$73,6,FALSE)),"")</f>
        <v/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8"/>
      <c r="Y279" s="5"/>
      <c r="Z279" s="5"/>
      <c r="AA279" s="9"/>
      <c r="AB279" s="5"/>
      <c r="AC279" s="5"/>
      <c r="AD279" s="9"/>
      <c r="AE279" s="5"/>
      <c r="AF279" s="7" t="str">
        <f t="shared" si="28"/>
        <v/>
      </c>
      <c r="AG279" s="7" t="str">
        <f t="shared" si="29"/>
        <v/>
      </c>
      <c r="AH279" s="7" t="str">
        <f t="shared" si="30"/>
        <v/>
      </c>
      <c r="AI279" s="7" t="str">
        <f t="shared" si="31"/>
        <v/>
      </c>
      <c r="AJ279" s="7" t="str">
        <f t="shared" si="32"/>
        <v/>
      </c>
      <c r="AK279" s="7" t="str">
        <f t="shared" si="33"/>
        <v/>
      </c>
      <c r="AL279" s="10" t="str">
        <f t="shared" si="34"/>
        <v/>
      </c>
      <c r="AM279" s="15" t="str">
        <f>IF(OR($A279&lt;&gt;"",$B279&lt;&gt;""),IF(OR($A279="",$B279=""),"Isi tanggal dan ID PIC",IF(NOT(ISNUMBER($A279)),"Tanggal harus berupa tanggal Excel",IF(COUNTIFS(Master_PIC!$A$8:$A$73,$B279)&lt;&gt;1,"ID PIC tidak unik/terdaftar",IF(VLOOKUP($B279,Master_PIC!$A$8:$G$73,3,FALSE)&lt;&gt;"Sales","Jabatan tidak sesuai sheet",IF(OR($C279="",$D279="",$E279="",$F279=""),"Lengkapi master PIC",IF(COUNTIFS($A$8:$A$507,$A279,$B$8:$B$507,$B279)&gt;1,"Laporan ganda",IF(COUNTIFS(G279:P279,"Tidak Berlaku")&gt;0,"N/A hanya untuk kegiatan bersyarat",IF(SUM(AG279,AH279,AI279,AJ279,AK279)&lt;&gt;14,"Status kegiatan tidak valid",IF(AK279&gt;0,"Lengkapi status kegiatan",IF(AND(AJ279&gt;0,U279=""),"Isi alasan Tidak Berlaku",IF(AND(SUM(AH279,AI279)&gt;0,OR(U279="",V279="",W279="",X279="")),"Isi kendala dan tindak lanjut",IF(AND(Z279&lt;&gt;"Draft",Z279&lt;&gt;"Dikirim"),"Isi status laporan yang valid",IF(AND(AB279&lt;&gt;"",AB279&lt;&gt;"Belum Diperiksa",AB279&lt;&gt;"Disetujui",AB279&lt;&gt;"Perlu Perbaikan"),"Hasil review tidak valid",IF(AND(Z279="Dikirim",OR(Y279="",AA279="")),"Isi bukti dan waktu kirim",IF(AND(AB279="Disetujui",OR(Z279&lt;&gt;"Dikirim",AC279="",AD279="")),"Lengkapi pemeriksaan",IF(AND(AB279="Perlu Perbaikan",OR(AE279="",AC279="",AD279="")),"Isi pemeriksa dan catatan perbaikan","OK")))))))))))))))),"")</f>
        <v/>
      </c>
    </row>
    <row r="280" spans="1:39" ht="24.95" customHeight="1">
      <c r="A280" s="8"/>
      <c r="B280" s="6"/>
      <c r="C280" s="15" t="str">
        <f>IF(COUNTIFS(Master_PIC!$A$8:$A$73,$B280)=1,IF(VLOOKUP($B280,Master_PIC!$A$8:$G$73,2,FALSE)="","",VLOOKUP($B280,Master_PIC!$A$8:$G$73,2,FALSE)),"")</f>
        <v/>
      </c>
      <c r="D280" s="15" t="str">
        <f>IF(COUNTIFS(Master_PIC!$A$8:$A$73,$B280)=1,IF(VLOOKUP($B280,Master_PIC!$A$8:$G$73,4,FALSE)="","",VLOOKUP($B280,Master_PIC!$A$8:$G$73,4,FALSE)),"")</f>
        <v/>
      </c>
      <c r="E280" s="15" t="str">
        <f>IF(COUNTIFS(Master_PIC!$A$8:$A$73,$B280)=1,IF(VLOOKUP($B280,Master_PIC!$A$8:$G$73,5,FALSE)="","",VLOOKUP($B280,Master_PIC!$A$8:$G$73,5,FALSE)),"")</f>
        <v/>
      </c>
      <c r="F280" s="15" t="str">
        <f>IF(COUNTIFS(Master_PIC!$A$8:$A$73,$B280)=1,IF(VLOOKUP($B280,Master_PIC!$A$8:$G$73,6,FALSE)="","",VLOOKUP($B280,Master_PIC!$A$8:$G$73,6,FALSE)),"")</f>
        <v/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8"/>
      <c r="Y280" s="5"/>
      <c r="Z280" s="5"/>
      <c r="AA280" s="9"/>
      <c r="AB280" s="5"/>
      <c r="AC280" s="5"/>
      <c r="AD280" s="9"/>
      <c r="AE280" s="5"/>
      <c r="AF280" s="7" t="str">
        <f t="shared" si="28"/>
        <v/>
      </c>
      <c r="AG280" s="7" t="str">
        <f t="shared" si="29"/>
        <v/>
      </c>
      <c r="AH280" s="7" t="str">
        <f t="shared" si="30"/>
        <v/>
      </c>
      <c r="AI280" s="7" t="str">
        <f t="shared" si="31"/>
        <v/>
      </c>
      <c r="AJ280" s="7" t="str">
        <f t="shared" si="32"/>
        <v/>
      </c>
      <c r="AK280" s="7" t="str">
        <f t="shared" si="33"/>
        <v/>
      </c>
      <c r="AL280" s="10" t="str">
        <f t="shared" si="34"/>
        <v/>
      </c>
      <c r="AM280" s="15" t="str">
        <f>IF(OR($A280&lt;&gt;"",$B280&lt;&gt;""),IF(OR($A280="",$B280=""),"Isi tanggal dan ID PIC",IF(NOT(ISNUMBER($A280)),"Tanggal harus berupa tanggal Excel",IF(COUNTIFS(Master_PIC!$A$8:$A$73,$B280)&lt;&gt;1,"ID PIC tidak unik/terdaftar",IF(VLOOKUP($B280,Master_PIC!$A$8:$G$73,3,FALSE)&lt;&gt;"Sales","Jabatan tidak sesuai sheet",IF(OR($C280="",$D280="",$E280="",$F280=""),"Lengkapi master PIC",IF(COUNTIFS($A$8:$A$507,$A280,$B$8:$B$507,$B280)&gt;1,"Laporan ganda",IF(COUNTIFS(G280:P280,"Tidak Berlaku")&gt;0,"N/A hanya untuk kegiatan bersyarat",IF(SUM(AG280,AH280,AI280,AJ280,AK280)&lt;&gt;14,"Status kegiatan tidak valid",IF(AK280&gt;0,"Lengkapi status kegiatan",IF(AND(AJ280&gt;0,U280=""),"Isi alasan Tidak Berlaku",IF(AND(SUM(AH280,AI280)&gt;0,OR(U280="",V280="",W280="",X280="")),"Isi kendala dan tindak lanjut",IF(AND(Z280&lt;&gt;"Draft",Z280&lt;&gt;"Dikirim"),"Isi status laporan yang valid",IF(AND(AB280&lt;&gt;"",AB280&lt;&gt;"Belum Diperiksa",AB280&lt;&gt;"Disetujui",AB280&lt;&gt;"Perlu Perbaikan"),"Hasil review tidak valid",IF(AND(Z280="Dikirim",OR(Y280="",AA280="")),"Isi bukti dan waktu kirim",IF(AND(AB280="Disetujui",OR(Z280&lt;&gt;"Dikirim",AC280="",AD280="")),"Lengkapi pemeriksaan",IF(AND(AB280="Perlu Perbaikan",OR(AE280="",AC280="",AD280="")),"Isi pemeriksa dan catatan perbaikan","OK")))))))))))))))),"")</f>
        <v/>
      </c>
    </row>
    <row r="281" spans="1:39" ht="24.95" customHeight="1">
      <c r="A281" s="8"/>
      <c r="B281" s="6"/>
      <c r="C281" s="15" t="str">
        <f>IF(COUNTIFS(Master_PIC!$A$8:$A$73,$B281)=1,IF(VLOOKUP($B281,Master_PIC!$A$8:$G$73,2,FALSE)="","",VLOOKUP($B281,Master_PIC!$A$8:$G$73,2,FALSE)),"")</f>
        <v/>
      </c>
      <c r="D281" s="15" t="str">
        <f>IF(COUNTIFS(Master_PIC!$A$8:$A$73,$B281)=1,IF(VLOOKUP($B281,Master_PIC!$A$8:$G$73,4,FALSE)="","",VLOOKUP($B281,Master_PIC!$A$8:$G$73,4,FALSE)),"")</f>
        <v/>
      </c>
      <c r="E281" s="15" t="str">
        <f>IF(COUNTIFS(Master_PIC!$A$8:$A$73,$B281)=1,IF(VLOOKUP($B281,Master_PIC!$A$8:$G$73,5,FALSE)="","",VLOOKUP($B281,Master_PIC!$A$8:$G$73,5,FALSE)),"")</f>
        <v/>
      </c>
      <c r="F281" s="15" t="str">
        <f>IF(COUNTIFS(Master_PIC!$A$8:$A$73,$B281)=1,IF(VLOOKUP($B281,Master_PIC!$A$8:$G$73,6,FALSE)="","",VLOOKUP($B281,Master_PIC!$A$8:$G$73,6,FALSE)),"")</f>
        <v/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8"/>
      <c r="Y281" s="5"/>
      <c r="Z281" s="5"/>
      <c r="AA281" s="9"/>
      <c r="AB281" s="5"/>
      <c r="AC281" s="5"/>
      <c r="AD281" s="9"/>
      <c r="AE281" s="5"/>
      <c r="AF281" s="7" t="str">
        <f t="shared" si="28"/>
        <v/>
      </c>
      <c r="AG281" s="7" t="str">
        <f t="shared" si="29"/>
        <v/>
      </c>
      <c r="AH281" s="7" t="str">
        <f t="shared" si="30"/>
        <v/>
      </c>
      <c r="AI281" s="7" t="str">
        <f t="shared" si="31"/>
        <v/>
      </c>
      <c r="AJ281" s="7" t="str">
        <f t="shared" si="32"/>
        <v/>
      </c>
      <c r="AK281" s="7" t="str">
        <f t="shared" si="33"/>
        <v/>
      </c>
      <c r="AL281" s="10" t="str">
        <f t="shared" si="34"/>
        <v/>
      </c>
      <c r="AM281" s="15" t="str">
        <f>IF(OR($A281&lt;&gt;"",$B281&lt;&gt;""),IF(OR($A281="",$B281=""),"Isi tanggal dan ID PIC",IF(NOT(ISNUMBER($A281)),"Tanggal harus berupa tanggal Excel",IF(COUNTIFS(Master_PIC!$A$8:$A$73,$B281)&lt;&gt;1,"ID PIC tidak unik/terdaftar",IF(VLOOKUP($B281,Master_PIC!$A$8:$G$73,3,FALSE)&lt;&gt;"Sales","Jabatan tidak sesuai sheet",IF(OR($C281="",$D281="",$E281="",$F281=""),"Lengkapi master PIC",IF(COUNTIFS($A$8:$A$507,$A281,$B$8:$B$507,$B281)&gt;1,"Laporan ganda",IF(COUNTIFS(G281:P281,"Tidak Berlaku")&gt;0,"N/A hanya untuk kegiatan bersyarat",IF(SUM(AG281,AH281,AI281,AJ281,AK281)&lt;&gt;14,"Status kegiatan tidak valid",IF(AK281&gt;0,"Lengkapi status kegiatan",IF(AND(AJ281&gt;0,U281=""),"Isi alasan Tidak Berlaku",IF(AND(SUM(AH281,AI281)&gt;0,OR(U281="",V281="",W281="",X281="")),"Isi kendala dan tindak lanjut",IF(AND(Z281&lt;&gt;"Draft",Z281&lt;&gt;"Dikirim"),"Isi status laporan yang valid",IF(AND(AB281&lt;&gt;"",AB281&lt;&gt;"Belum Diperiksa",AB281&lt;&gt;"Disetujui",AB281&lt;&gt;"Perlu Perbaikan"),"Hasil review tidak valid",IF(AND(Z281="Dikirim",OR(Y281="",AA281="")),"Isi bukti dan waktu kirim",IF(AND(AB281="Disetujui",OR(Z281&lt;&gt;"Dikirim",AC281="",AD281="")),"Lengkapi pemeriksaan",IF(AND(AB281="Perlu Perbaikan",OR(AE281="",AC281="",AD281="")),"Isi pemeriksa dan catatan perbaikan","OK")))))))))))))))),"")</f>
        <v/>
      </c>
    </row>
    <row r="282" spans="1:39" ht="24.95" customHeight="1">
      <c r="A282" s="8"/>
      <c r="B282" s="6"/>
      <c r="C282" s="15" t="str">
        <f>IF(COUNTIFS(Master_PIC!$A$8:$A$73,$B282)=1,IF(VLOOKUP($B282,Master_PIC!$A$8:$G$73,2,FALSE)="","",VLOOKUP($B282,Master_PIC!$A$8:$G$73,2,FALSE)),"")</f>
        <v/>
      </c>
      <c r="D282" s="15" t="str">
        <f>IF(COUNTIFS(Master_PIC!$A$8:$A$73,$B282)=1,IF(VLOOKUP($B282,Master_PIC!$A$8:$G$73,4,FALSE)="","",VLOOKUP($B282,Master_PIC!$A$8:$G$73,4,FALSE)),"")</f>
        <v/>
      </c>
      <c r="E282" s="15" t="str">
        <f>IF(COUNTIFS(Master_PIC!$A$8:$A$73,$B282)=1,IF(VLOOKUP($B282,Master_PIC!$A$8:$G$73,5,FALSE)="","",VLOOKUP($B282,Master_PIC!$A$8:$G$73,5,FALSE)),"")</f>
        <v/>
      </c>
      <c r="F282" s="15" t="str">
        <f>IF(COUNTIFS(Master_PIC!$A$8:$A$73,$B282)=1,IF(VLOOKUP($B282,Master_PIC!$A$8:$G$73,6,FALSE)="","",VLOOKUP($B282,Master_PIC!$A$8:$G$73,6,FALSE)),"")</f>
        <v/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8"/>
      <c r="Y282" s="5"/>
      <c r="Z282" s="5"/>
      <c r="AA282" s="9"/>
      <c r="AB282" s="5"/>
      <c r="AC282" s="5"/>
      <c r="AD282" s="9"/>
      <c r="AE282" s="5"/>
      <c r="AF282" s="7" t="str">
        <f t="shared" si="28"/>
        <v/>
      </c>
      <c r="AG282" s="7" t="str">
        <f t="shared" si="29"/>
        <v/>
      </c>
      <c r="AH282" s="7" t="str">
        <f t="shared" si="30"/>
        <v/>
      </c>
      <c r="AI282" s="7" t="str">
        <f t="shared" si="31"/>
        <v/>
      </c>
      <c r="AJ282" s="7" t="str">
        <f t="shared" si="32"/>
        <v/>
      </c>
      <c r="AK282" s="7" t="str">
        <f t="shared" si="33"/>
        <v/>
      </c>
      <c r="AL282" s="10" t="str">
        <f t="shared" si="34"/>
        <v/>
      </c>
      <c r="AM282" s="15" t="str">
        <f>IF(OR($A282&lt;&gt;"",$B282&lt;&gt;""),IF(OR($A282="",$B282=""),"Isi tanggal dan ID PIC",IF(NOT(ISNUMBER($A282)),"Tanggal harus berupa tanggal Excel",IF(COUNTIFS(Master_PIC!$A$8:$A$73,$B282)&lt;&gt;1,"ID PIC tidak unik/terdaftar",IF(VLOOKUP($B282,Master_PIC!$A$8:$G$73,3,FALSE)&lt;&gt;"Sales","Jabatan tidak sesuai sheet",IF(OR($C282="",$D282="",$E282="",$F282=""),"Lengkapi master PIC",IF(COUNTIFS($A$8:$A$507,$A282,$B$8:$B$507,$B282)&gt;1,"Laporan ganda",IF(COUNTIFS(G282:P282,"Tidak Berlaku")&gt;0,"N/A hanya untuk kegiatan bersyarat",IF(SUM(AG282,AH282,AI282,AJ282,AK282)&lt;&gt;14,"Status kegiatan tidak valid",IF(AK282&gt;0,"Lengkapi status kegiatan",IF(AND(AJ282&gt;0,U282=""),"Isi alasan Tidak Berlaku",IF(AND(SUM(AH282,AI282)&gt;0,OR(U282="",V282="",W282="",X282="")),"Isi kendala dan tindak lanjut",IF(AND(Z282&lt;&gt;"Draft",Z282&lt;&gt;"Dikirim"),"Isi status laporan yang valid",IF(AND(AB282&lt;&gt;"",AB282&lt;&gt;"Belum Diperiksa",AB282&lt;&gt;"Disetujui",AB282&lt;&gt;"Perlu Perbaikan"),"Hasil review tidak valid",IF(AND(Z282="Dikirim",OR(Y282="",AA282="")),"Isi bukti dan waktu kirim",IF(AND(AB282="Disetujui",OR(Z282&lt;&gt;"Dikirim",AC282="",AD282="")),"Lengkapi pemeriksaan",IF(AND(AB282="Perlu Perbaikan",OR(AE282="",AC282="",AD282="")),"Isi pemeriksa dan catatan perbaikan","OK")))))))))))))))),"")</f>
        <v/>
      </c>
    </row>
    <row r="283" spans="1:39" ht="24.95" customHeight="1">
      <c r="A283" s="8"/>
      <c r="B283" s="6"/>
      <c r="C283" s="15" t="str">
        <f>IF(COUNTIFS(Master_PIC!$A$8:$A$73,$B283)=1,IF(VLOOKUP($B283,Master_PIC!$A$8:$G$73,2,FALSE)="","",VLOOKUP($B283,Master_PIC!$A$8:$G$73,2,FALSE)),"")</f>
        <v/>
      </c>
      <c r="D283" s="15" t="str">
        <f>IF(COUNTIFS(Master_PIC!$A$8:$A$73,$B283)=1,IF(VLOOKUP($B283,Master_PIC!$A$8:$G$73,4,FALSE)="","",VLOOKUP($B283,Master_PIC!$A$8:$G$73,4,FALSE)),"")</f>
        <v/>
      </c>
      <c r="E283" s="15" t="str">
        <f>IF(COUNTIFS(Master_PIC!$A$8:$A$73,$B283)=1,IF(VLOOKUP($B283,Master_PIC!$A$8:$G$73,5,FALSE)="","",VLOOKUP($B283,Master_PIC!$A$8:$G$73,5,FALSE)),"")</f>
        <v/>
      </c>
      <c r="F283" s="15" t="str">
        <f>IF(COUNTIFS(Master_PIC!$A$8:$A$73,$B283)=1,IF(VLOOKUP($B283,Master_PIC!$A$8:$G$73,6,FALSE)="","",VLOOKUP($B283,Master_PIC!$A$8:$G$73,6,FALSE)),"")</f>
        <v/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8"/>
      <c r="Y283" s="5"/>
      <c r="Z283" s="5"/>
      <c r="AA283" s="9"/>
      <c r="AB283" s="5"/>
      <c r="AC283" s="5"/>
      <c r="AD283" s="9"/>
      <c r="AE283" s="5"/>
      <c r="AF283" s="7" t="str">
        <f t="shared" si="28"/>
        <v/>
      </c>
      <c r="AG283" s="7" t="str">
        <f t="shared" si="29"/>
        <v/>
      </c>
      <c r="AH283" s="7" t="str">
        <f t="shared" si="30"/>
        <v/>
      </c>
      <c r="AI283" s="7" t="str">
        <f t="shared" si="31"/>
        <v/>
      </c>
      <c r="AJ283" s="7" t="str">
        <f t="shared" si="32"/>
        <v/>
      </c>
      <c r="AK283" s="7" t="str">
        <f t="shared" si="33"/>
        <v/>
      </c>
      <c r="AL283" s="10" t="str">
        <f t="shared" si="34"/>
        <v/>
      </c>
      <c r="AM283" s="15" t="str">
        <f>IF(OR($A283&lt;&gt;"",$B283&lt;&gt;""),IF(OR($A283="",$B283=""),"Isi tanggal dan ID PIC",IF(NOT(ISNUMBER($A283)),"Tanggal harus berupa tanggal Excel",IF(COUNTIFS(Master_PIC!$A$8:$A$73,$B283)&lt;&gt;1,"ID PIC tidak unik/terdaftar",IF(VLOOKUP($B283,Master_PIC!$A$8:$G$73,3,FALSE)&lt;&gt;"Sales","Jabatan tidak sesuai sheet",IF(OR($C283="",$D283="",$E283="",$F283=""),"Lengkapi master PIC",IF(COUNTIFS($A$8:$A$507,$A283,$B$8:$B$507,$B283)&gt;1,"Laporan ganda",IF(COUNTIFS(G283:P283,"Tidak Berlaku")&gt;0,"N/A hanya untuk kegiatan bersyarat",IF(SUM(AG283,AH283,AI283,AJ283,AK283)&lt;&gt;14,"Status kegiatan tidak valid",IF(AK283&gt;0,"Lengkapi status kegiatan",IF(AND(AJ283&gt;0,U283=""),"Isi alasan Tidak Berlaku",IF(AND(SUM(AH283,AI283)&gt;0,OR(U283="",V283="",W283="",X283="")),"Isi kendala dan tindak lanjut",IF(AND(Z283&lt;&gt;"Draft",Z283&lt;&gt;"Dikirim"),"Isi status laporan yang valid",IF(AND(AB283&lt;&gt;"",AB283&lt;&gt;"Belum Diperiksa",AB283&lt;&gt;"Disetujui",AB283&lt;&gt;"Perlu Perbaikan"),"Hasil review tidak valid",IF(AND(Z283="Dikirim",OR(Y283="",AA283="")),"Isi bukti dan waktu kirim",IF(AND(AB283="Disetujui",OR(Z283&lt;&gt;"Dikirim",AC283="",AD283="")),"Lengkapi pemeriksaan",IF(AND(AB283="Perlu Perbaikan",OR(AE283="",AC283="",AD283="")),"Isi pemeriksa dan catatan perbaikan","OK")))))))))))))))),"")</f>
        <v/>
      </c>
    </row>
    <row r="284" spans="1:39" ht="24.95" customHeight="1">
      <c r="A284" s="8"/>
      <c r="B284" s="6"/>
      <c r="C284" s="15" t="str">
        <f>IF(COUNTIFS(Master_PIC!$A$8:$A$73,$B284)=1,IF(VLOOKUP($B284,Master_PIC!$A$8:$G$73,2,FALSE)="","",VLOOKUP($B284,Master_PIC!$A$8:$G$73,2,FALSE)),"")</f>
        <v/>
      </c>
      <c r="D284" s="15" t="str">
        <f>IF(COUNTIFS(Master_PIC!$A$8:$A$73,$B284)=1,IF(VLOOKUP($B284,Master_PIC!$A$8:$G$73,4,FALSE)="","",VLOOKUP($B284,Master_PIC!$A$8:$G$73,4,FALSE)),"")</f>
        <v/>
      </c>
      <c r="E284" s="15" t="str">
        <f>IF(COUNTIFS(Master_PIC!$A$8:$A$73,$B284)=1,IF(VLOOKUP($B284,Master_PIC!$A$8:$G$73,5,FALSE)="","",VLOOKUP($B284,Master_PIC!$A$8:$G$73,5,FALSE)),"")</f>
        <v/>
      </c>
      <c r="F284" s="15" t="str">
        <f>IF(COUNTIFS(Master_PIC!$A$8:$A$73,$B284)=1,IF(VLOOKUP($B284,Master_PIC!$A$8:$G$73,6,FALSE)="","",VLOOKUP($B284,Master_PIC!$A$8:$G$73,6,FALSE)),"")</f>
        <v/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8"/>
      <c r="Y284" s="5"/>
      <c r="Z284" s="5"/>
      <c r="AA284" s="9"/>
      <c r="AB284" s="5"/>
      <c r="AC284" s="5"/>
      <c r="AD284" s="9"/>
      <c r="AE284" s="5"/>
      <c r="AF284" s="7" t="str">
        <f t="shared" si="28"/>
        <v/>
      </c>
      <c r="AG284" s="7" t="str">
        <f t="shared" si="29"/>
        <v/>
      </c>
      <c r="AH284" s="7" t="str">
        <f t="shared" si="30"/>
        <v/>
      </c>
      <c r="AI284" s="7" t="str">
        <f t="shared" si="31"/>
        <v/>
      </c>
      <c r="AJ284" s="7" t="str">
        <f t="shared" si="32"/>
        <v/>
      </c>
      <c r="AK284" s="7" t="str">
        <f t="shared" si="33"/>
        <v/>
      </c>
      <c r="AL284" s="10" t="str">
        <f t="shared" si="34"/>
        <v/>
      </c>
      <c r="AM284" s="15" t="str">
        <f>IF(OR($A284&lt;&gt;"",$B284&lt;&gt;""),IF(OR($A284="",$B284=""),"Isi tanggal dan ID PIC",IF(NOT(ISNUMBER($A284)),"Tanggal harus berupa tanggal Excel",IF(COUNTIFS(Master_PIC!$A$8:$A$73,$B284)&lt;&gt;1,"ID PIC tidak unik/terdaftar",IF(VLOOKUP($B284,Master_PIC!$A$8:$G$73,3,FALSE)&lt;&gt;"Sales","Jabatan tidak sesuai sheet",IF(OR($C284="",$D284="",$E284="",$F284=""),"Lengkapi master PIC",IF(COUNTIFS($A$8:$A$507,$A284,$B$8:$B$507,$B284)&gt;1,"Laporan ganda",IF(COUNTIFS(G284:P284,"Tidak Berlaku")&gt;0,"N/A hanya untuk kegiatan bersyarat",IF(SUM(AG284,AH284,AI284,AJ284,AK284)&lt;&gt;14,"Status kegiatan tidak valid",IF(AK284&gt;0,"Lengkapi status kegiatan",IF(AND(AJ284&gt;0,U284=""),"Isi alasan Tidak Berlaku",IF(AND(SUM(AH284,AI284)&gt;0,OR(U284="",V284="",W284="",X284="")),"Isi kendala dan tindak lanjut",IF(AND(Z284&lt;&gt;"Draft",Z284&lt;&gt;"Dikirim"),"Isi status laporan yang valid",IF(AND(AB284&lt;&gt;"",AB284&lt;&gt;"Belum Diperiksa",AB284&lt;&gt;"Disetujui",AB284&lt;&gt;"Perlu Perbaikan"),"Hasil review tidak valid",IF(AND(Z284="Dikirim",OR(Y284="",AA284="")),"Isi bukti dan waktu kirim",IF(AND(AB284="Disetujui",OR(Z284&lt;&gt;"Dikirim",AC284="",AD284="")),"Lengkapi pemeriksaan",IF(AND(AB284="Perlu Perbaikan",OR(AE284="",AC284="",AD284="")),"Isi pemeriksa dan catatan perbaikan","OK")))))))))))))))),"")</f>
        <v/>
      </c>
    </row>
    <row r="285" spans="1:39" ht="24.95" customHeight="1">
      <c r="A285" s="8"/>
      <c r="B285" s="6"/>
      <c r="C285" s="15" t="str">
        <f>IF(COUNTIFS(Master_PIC!$A$8:$A$73,$B285)=1,IF(VLOOKUP($B285,Master_PIC!$A$8:$G$73,2,FALSE)="","",VLOOKUP($B285,Master_PIC!$A$8:$G$73,2,FALSE)),"")</f>
        <v/>
      </c>
      <c r="D285" s="15" t="str">
        <f>IF(COUNTIFS(Master_PIC!$A$8:$A$73,$B285)=1,IF(VLOOKUP($B285,Master_PIC!$A$8:$G$73,4,FALSE)="","",VLOOKUP($B285,Master_PIC!$A$8:$G$73,4,FALSE)),"")</f>
        <v/>
      </c>
      <c r="E285" s="15" t="str">
        <f>IF(COUNTIFS(Master_PIC!$A$8:$A$73,$B285)=1,IF(VLOOKUP($B285,Master_PIC!$A$8:$G$73,5,FALSE)="","",VLOOKUP($B285,Master_PIC!$A$8:$G$73,5,FALSE)),"")</f>
        <v/>
      </c>
      <c r="F285" s="15" t="str">
        <f>IF(COUNTIFS(Master_PIC!$A$8:$A$73,$B285)=1,IF(VLOOKUP($B285,Master_PIC!$A$8:$G$73,6,FALSE)="","",VLOOKUP($B285,Master_PIC!$A$8:$G$73,6,FALSE)),"")</f>
        <v/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8"/>
      <c r="Y285" s="5"/>
      <c r="Z285" s="5"/>
      <c r="AA285" s="9"/>
      <c r="AB285" s="5"/>
      <c r="AC285" s="5"/>
      <c r="AD285" s="9"/>
      <c r="AE285" s="5"/>
      <c r="AF285" s="7" t="str">
        <f t="shared" si="28"/>
        <v/>
      </c>
      <c r="AG285" s="7" t="str">
        <f t="shared" si="29"/>
        <v/>
      </c>
      <c r="AH285" s="7" t="str">
        <f t="shared" si="30"/>
        <v/>
      </c>
      <c r="AI285" s="7" t="str">
        <f t="shared" si="31"/>
        <v/>
      </c>
      <c r="AJ285" s="7" t="str">
        <f t="shared" si="32"/>
        <v/>
      </c>
      <c r="AK285" s="7" t="str">
        <f t="shared" si="33"/>
        <v/>
      </c>
      <c r="AL285" s="10" t="str">
        <f t="shared" si="34"/>
        <v/>
      </c>
      <c r="AM285" s="15" t="str">
        <f>IF(OR($A285&lt;&gt;"",$B285&lt;&gt;""),IF(OR($A285="",$B285=""),"Isi tanggal dan ID PIC",IF(NOT(ISNUMBER($A285)),"Tanggal harus berupa tanggal Excel",IF(COUNTIFS(Master_PIC!$A$8:$A$73,$B285)&lt;&gt;1,"ID PIC tidak unik/terdaftar",IF(VLOOKUP($B285,Master_PIC!$A$8:$G$73,3,FALSE)&lt;&gt;"Sales","Jabatan tidak sesuai sheet",IF(OR($C285="",$D285="",$E285="",$F285=""),"Lengkapi master PIC",IF(COUNTIFS($A$8:$A$507,$A285,$B$8:$B$507,$B285)&gt;1,"Laporan ganda",IF(COUNTIFS(G285:P285,"Tidak Berlaku")&gt;0,"N/A hanya untuk kegiatan bersyarat",IF(SUM(AG285,AH285,AI285,AJ285,AK285)&lt;&gt;14,"Status kegiatan tidak valid",IF(AK285&gt;0,"Lengkapi status kegiatan",IF(AND(AJ285&gt;0,U285=""),"Isi alasan Tidak Berlaku",IF(AND(SUM(AH285,AI285)&gt;0,OR(U285="",V285="",W285="",X285="")),"Isi kendala dan tindak lanjut",IF(AND(Z285&lt;&gt;"Draft",Z285&lt;&gt;"Dikirim"),"Isi status laporan yang valid",IF(AND(AB285&lt;&gt;"",AB285&lt;&gt;"Belum Diperiksa",AB285&lt;&gt;"Disetujui",AB285&lt;&gt;"Perlu Perbaikan"),"Hasil review tidak valid",IF(AND(Z285="Dikirim",OR(Y285="",AA285="")),"Isi bukti dan waktu kirim",IF(AND(AB285="Disetujui",OR(Z285&lt;&gt;"Dikirim",AC285="",AD285="")),"Lengkapi pemeriksaan",IF(AND(AB285="Perlu Perbaikan",OR(AE285="",AC285="",AD285="")),"Isi pemeriksa dan catatan perbaikan","OK")))))))))))))))),"")</f>
        <v/>
      </c>
    </row>
    <row r="286" spans="1:39" ht="24.95" customHeight="1">
      <c r="A286" s="8"/>
      <c r="B286" s="6"/>
      <c r="C286" s="15" t="str">
        <f>IF(COUNTIFS(Master_PIC!$A$8:$A$73,$B286)=1,IF(VLOOKUP($B286,Master_PIC!$A$8:$G$73,2,FALSE)="","",VLOOKUP($B286,Master_PIC!$A$8:$G$73,2,FALSE)),"")</f>
        <v/>
      </c>
      <c r="D286" s="15" t="str">
        <f>IF(COUNTIFS(Master_PIC!$A$8:$A$73,$B286)=1,IF(VLOOKUP($B286,Master_PIC!$A$8:$G$73,4,FALSE)="","",VLOOKUP($B286,Master_PIC!$A$8:$G$73,4,FALSE)),"")</f>
        <v/>
      </c>
      <c r="E286" s="15" t="str">
        <f>IF(COUNTIFS(Master_PIC!$A$8:$A$73,$B286)=1,IF(VLOOKUP($B286,Master_PIC!$A$8:$G$73,5,FALSE)="","",VLOOKUP($B286,Master_PIC!$A$8:$G$73,5,FALSE)),"")</f>
        <v/>
      </c>
      <c r="F286" s="15" t="str">
        <f>IF(COUNTIFS(Master_PIC!$A$8:$A$73,$B286)=1,IF(VLOOKUP($B286,Master_PIC!$A$8:$G$73,6,FALSE)="","",VLOOKUP($B286,Master_PIC!$A$8:$G$73,6,FALSE)),"")</f>
        <v/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8"/>
      <c r="Y286" s="5"/>
      <c r="Z286" s="5"/>
      <c r="AA286" s="9"/>
      <c r="AB286" s="5"/>
      <c r="AC286" s="5"/>
      <c r="AD286" s="9"/>
      <c r="AE286" s="5"/>
      <c r="AF286" s="7" t="str">
        <f t="shared" si="28"/>
        <v/>
      </c>
      <c r="AG286" s="7" t="str">
        <f t="shared" si="29"/>
        <v/>
      </c>
      <c r="AH286" s="7" t="str">
        <f t="shared" si="30"/>
        <v/>
      </c>
      <c r="AI286" s="7" t="str">
        <f t="shared" si="31"/>
        <v/>
      </c>
      <c r="AJ286" s="7" t="str">
        <f t="shared" si="32"/>
        <v/>
      </c>
      <c r="AK286" s="7" t="str">
        <f t="shared" si="33"/>
        <v/>
      </c>
      <c r="AL286" s="10" t="str">
        <f t="shared" si="34"/>
        <v/>
      </c>
      <c r="AM286" s="15" t="str">
        <f>IF(OR($A286&lt;&gt;"",$B286&lt;&gt;""),IF(OR($A286="",$B286=""),"Isi tanggal dan ID PIC",IF(NOT(ISNUMBER($A286)),"Tanggal harus berupa tanggal Excel",IF(COUNTIFS(Master_PIC!$A$8:$A$73,$B286)&lt;&gt;1,"ID PIC tidak unik/terdaftar",IF(VLOOKUP($B286,Master_PIC!$A$8:$G$73,3,FALSE)&lt;&gt;"Sales","Jabatan tidak sesuai sheet",IF(OR($C286="",$D286="",$E286="",$F286=""),"Lengkapi master PIC",IF(COUNTIFS($A$8:$A$507,$A286,$B$8:$B$507,$B286)&gt;1,"Laporan ganda",IF(COUNTIFS(G286:P286,"Tidak Berlaku")&gt;0,"N/A hanya untuk kegiatan bersyarat",IF(SUM(AG286,AH286,AI286,AJ286,AK286)&lt;&gt;14,"Status kegiatan tidak valid",IF(AK286&gt;0,"Lengkapi status kegiatan",IF(AND(AJ286&gt;0,U286=""),"Isi alasan Tidak Berlaku",IF(AND(SUM(AH286,AI286)&gt;0,OR(U286="",V286="",W286="",X286="")),"Isi kendala dan tindak lanjut",IF(AND(Z286&lt;&gt;"Draft",Z286&lt;&gt;"Dikirim"),"Isi status laporan yang valid",IF(AND(AB286&lt;&gt;"",AB286&lt;&gt;"Belum Diperiksa",AB286&lt;&gt;"Disetujui",AB286&lt;&gt;"Perlu Perbaikan"),"Hasil review tidak valid",IF(AND(Z286="Dikirim",OR(Y286="",AA286="")),"Isi bukti dan waktu kirim",IF(AND(AB286="Disetujui",OR(Z286&lt;&gt;"Dikirim",AC286="",AD286="")),"Lengkapi pemeriksaan",IF(AND(AB286="Perlu Perbaikan",OR(AE286="",AC286="",AD286="")),"Isi pemeriksa dan catatan perbaikan","OK")))))))))))))))),"")</f>
        <v/>
      </c>
    </row>
    <row r="287" spans="1:39" ht="24.95" customHeight="1">
      <c r="A287" s="8"/>
      <c r="B287" s="6"/>
      <c r="C287" s="15" t="str">
        <f>IF(COUNTIFS(Master_PIC!$A$8:$A$73,$B287)=1,IF(VLOOKUP($B287,Master_PIC!$A$8:$G$73,2,FALSE)="","",VLOOKUP($B287,Master_PIC!$A$8:$G$73,2,FALSE)),"")</f>
        <v/>
      </c>
      <c r="D287" s="15" t="str">
        <f>IF(COUNTIFS(Master_PIC!$A$8:$A$73,$B287)=1,IF(VLOOKUP($B287,Master_PIC!$A$8:$G$73,4,FALSE)="","",VLOOKUP($B287,Master_PIC!$A$8:$G$73,4,FALSE)),"")</f>
        <v/>
      </c>
      <c r="E287" s="15" t="str">
        <f>IF(COUNTIFS(Master_PIC!$A$8:$A$73,$B287)=1,IF(VLOOKUP($B287,Master_PIC!$A$8:$G$73,5,FALSE)="","",VLOOKUP($B287,Master_PIC!$A$8:$G$73,5,FALSE)),"")</f>
        <v/>
      </c>
      <c r="F287" s="15" t="str">
        <f>IF(COUNTIFS(Master_PIC!$A$8:$A$73,$B287)=1,IF(VLOOKUP($B287,Master_PIC!$A$8:$G$73,6,FALSE)="","",VLOOKUP($B287,Master_PIC!$A$8:$G$73,6,FALSE)),"")</f>
        <v/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8"/>
      <c r="Y287" s="5"/>
      <c r="Z287" s="5"/>
      <c r="AA287" s="9"/>
      <c r="AB287" s="5"/>
      <c r="AC287" s="5"/>
      <c r="AD287" s="9"/>
      <c r="AE287" s="5"/>
      <c r="AF287" s="7" t="str">
        <f t="shared" si="28"/>
        <v/>
      </c>
      <c r="AG287" s="7" t="str">
        <f t="shared" si="29"/>
        <v/>
      </c>
      <c r="AH287" s="7" t="str">
        <f t="shared" si="30"/>
        <v/>
      </c>
      <c r="AI287" s="7" t="str">
        <f t="shared" si="31"/>
        <v/>
      </c>
      <c r="AJ287" s="7" t="str">
        <f t="shared" si="32"/>
        <v/>
      </c>
      <c r="AK287" s="7" t="str">
        <f t="shared" si="33"/>
        <v/>
      </c>
      <c r="AL287" s="10" t="str">
        <f t="shared" si="34"/>
        <v/>
      </c>
      <c r="AM287" s="15" t="str">
        <f>IF(OR($A287&lt;&gt;"",$B287&lt;&gt;""),IF(OR($A287="",$B287=""),"Isi tanggal dan ID PIC",IF(NOT(ISNUMBER($A287)),"Tanggal harus berupa tanggal Excel",IF(COUNTIFS(Master_PIC!$A$8:$A$73,$B287)&lt;&gt;1,"ID PIC tidak unik/terdaftar",IF(VLOOKUP($B287,Master_PIC!$A$8:$G$73,3,FALSE)&lt;&gt;"Sales","Jabatan tidak sesuai sheet",IF(OR($C287="",$D287="",$E287="",$F287=""),"Lengkapi master PIC",IF(COUNTIFS($A$8:$A$507,$A287,$B$8:$B$507,$B287)&gt;1,"Laporan ganda",IF(COUNTIFS(G287:P287,"Tidak Berlaku")&gt;0,"N/A hanya untuk kegiatan bersyarat",IF(SUM(AG287,AH287,AI287,AJ287,AK287)&lt;&gt;14,"Status kegiatan tidak valid",IF(AK287&gt;0,"Lengkapi status kegiatan",IF(AND(AJ287&gt;0,U287=""),"Isi alasan Tidak Berlaku",IF(AND(SUM(AH287,AI287)&gt;0,OR(U287="",V287="",W287="",X287="")),"Isi kendala dan tindak lanjut",IF(AND(Z287&lt;&gt;"Draft",Z287&lt;&gt;"Dikirim"),"Isi status laporan yang valid",IF(AND(AB287&lt;&gt;"",AB287&lt;&gt;"Belum Diperiksa",AB287&lt;&gt;"Disetujui",AB287&lt;&gt;"Perlu Perbaikan"),"Hasil review tidak valid",IF(AND(Z287="Dikirim",OR(Y287="",AA287="")),"Isi bukti dan waktu kirim",IF(AND(AB287="Disetujui",OR(Z287&lt;&gt;"Dikirim",AC287="",AD287="")),"Lengkapi pemeriksaan",IF(AND(AB287="Perlu Perbaikan",OR(AE287="",AC287="",AD287="")),"Isi pemeriksa dan catatan perbaikan","OK")))))))))))))))),"")</f>
        <v/>
      </c>
    </row>
    <row r="288" spans="1:39" ht="24.95" customHeight="1">
      <c r="A288" s="8"/>
      <c r="B288" s="6"/>
      <c r="C288" s="15" t="str">
        <f>IF(COUNTIFS(Master_PIC!$A$8:$A$73,$B288)=1,IF(VLOOKUP($B288,Master_PIC!$A$8:$G$73,2,FALSE)="","",VLOOKUP($B288,Master_PIC!$A$8:$G$73,2,FALSE)),"")</f>
        <v/>
      </c>
      <c r="D288" s="15" t="str">
        <f>IF(COUNTIFS(Master_PIC!$A$8:$A$73,$B288)=1,IF(VLOOKUP($B288,Master_PIC!$A$8:$G$73,4,FALSE)="","",VLOOKUP($B288,Master_PIC!$A$8:$G$73,4,FALSE)),"")</f>
        <v/>
      </c>
      <c r="E288" s="15" t="str">
        <f>IF(COUNTIFS(Master_PIC!$A$8:$A$73,$B288)=1,IF(VLOOKUP($B288,Master_PIC!$A$8:$G$73,5,FALSE)="","",VLOOKUP($B288,Master_PIC!$A$8:$G$73,5,FALSE)),"")</f>
        <v/>
      </c>
      <c r="F288" s="15" t="str">
        <f>IF(COUNTIFS(Master_PIC!$A$8:$A$73,$B288)=1,IF(VLOOKUP($B288,Master_PIC!$A$8:$G$73,6,FALSE)="","",VLOOKUP($B288,Master_PIC!$A$8:$G$73,6,FALSE)),"")</f>
        <v/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8"/>
      <c r="Y288" s="5"/>
      <c r="Z288" s="5"/>
      <c r="AA288" s="9"/>
      <c r="AB288" s="5"/>
      <c r="AC288" s="5"/>
      <c r="AD288" s="9"/>
      <c r="AE288" s="5"/>
      <c r="AF288" s="7" t="str">
        <f t="shared" si="28"/>
        <v/>
      </c>
      <c r="AG288" s="7" t="str">
        <f t="shared" si="29"/>
        <v/>
      </c>
      <c r="AH288" s="7" t="str">
        <f t="shared" si="30"/>
        <v/>
      </c>
      <c r="AI288" s="7" t="str">
        <f t="shared" si="31"/>
        <v/>
      </c>
      <c r="AJ288" s="7" t="str">
        <f t="shared" si="32"/>
        <v/>
      </c>
      <c r="AK288" s="7" t="str">
        <f t="shared" si="33"/>
        <v/>
      </c>
      <c r="AL288" s="10" t="str">
        <f t="shared" si="34"/>
        <v/>
      </c>
      <c r="AM288" s="15" t="str">
        <f>IF(OR($A288&lt;&gt;"",$B288&lt;&gt;""),IF(OR($A288="",$B288=""),"Isi tanggal dan ID PIC",IF(NOT(ISNUMBER($A288)),"Tanggal harus berupa tanggal Excel",IF(COUNTIFS(Master_PIC!$A$8:$A$73,$B288)&lt;&gt;1,"ID PIC tidak unik/terdaftar",IF(VLOOKUP($B288,Master_PIC!$A$8:$G$73,3,FALSE)&lt;&gt;"Sales","Jabatan tidak sesuai sheet",IF(OR($C288="",$D288="",$E288="",$F288=""),"Lengkapi master PIC",IF(COUNTIFS($A$8:$A$507,$A288,$B$8:$B$507,$B288)&gt;1,"Laporan ganda",IF(COUNTIFS(G288:P288,"Tidak Berlaku")&gt;0,"N/A hanya untuk kegiatan bersyarat",IF(SUM(AG288,AH288,AI288,AJ288,AK288)&lt;&gt;14,"Status kegiatan tidak valid",IF(AK288&gt;0,"Lengkapi status kegiatan",IF(AND(AJ288&gt;0,U288=""),"Isi alasan Tidak Berlaku",IF(AND(SUM(AH288,AI288)&gt;0,OR(U288="",V288="",W288="",X288="")),"Isi kendala dan tindak lanjut",IF(AND(Z288&lt;&gt;"Draft",Z288&lt;&gt;"Dikirim"),"Isi status laporan yang valid",IF(AND(AB288&lt;&gt;"",AB288&lt;&gt;"Belum Diperiksa",AB288&lt;&gt;"Disetujui",AB288&lt;&gt;"Perlu Perbaikan"),"Hasil review tidak valid",IF(AND(Z288="Dikirim",OR(Y288="",AA288="")),"Isi bukti dan waktu kirim",IF(AND(AB288="Disetujui",OR(Z288&lt;&gt;"Dikirim",AC288="",AD288="")),"Lengkapi pemeriksaan",IF(AND(AB288="Perlu Perbaikan",OR(AE288="",AC288="",AD288="")),"Isi pemeriksa dan catatan perbaikan","OK")))))))))))))))),"")</f>
        <v/>
      </c>
    </row>
    <row r="289" spans="1:39" ht="24.95" customHeight="1">
      <c r="A289" s="8"/>
      <c r="B289" s="6"/>
      <c r="C289" s="15" t="str">
        <f>IF(COUNTIFS(Master_PIC!$A$8:$A$73,$B289)=1,IF(VLOOKUP($B289,Master_PIC!$A$8:$G$73,2,FALSE)="","",VLOOKUP($B289,Master_PIC!$A$8:$G$73,2,FALSE)),"")</f>
        <v/>
      </c>
      <c r="D289" s="15" t="str">
        <f>IF(COUNTIFS(Master_PIC!$A$8:$A$73,$B289)=1,IF(VLOOKUP($B289,Master_PIC!$A$8:$G$73,4,FALSE)="","",VLOOKUP($B289,Master_PIC!$A$8:$G$73,4,FALSE)),"")</f>
        <v/>
      </c>
      <c r="E289" s="15" t="str">
        <f>IF(COUNTIFS(Master_PIC!$A$8:$A$73,$B289)=1,IF(VLOOKUP($B289,Master_PIC!$A$8:$G$73,5,FALSE)="","",VLOOKUP($B289,Master_PIC!$A$8:$G$73,5,FALSE)),"")</f>
        <v/>
      </c>
      <c r="F289" s="15" t="str">
        <f>IF(COUNTIFS(Master_PIC!$A$8:$A$73,$B289)=1,IF(VLOOKUP($B289,Master_PIC!$A$8:$G$73,6,FALSE)="","",VLOOKUP($B289,Master_PIC!$A$8:$G$73,6,FALSE)),"")</f>
        <v/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8"/>
      <c r="Y289" s="5"/>
      <c r="Z289" s="5"/>
      <c r="AA289" s="9"/>
      <c r="AB289" s="5"/>
      <c r="AC289" s="5"/>
      <c r="AD289" s="9"/>
      <c r="AE289" s="5"/>
      <c r="AF289" s="7" t="str">
        <f t="shared" si="28"/>
        <v/>
      </c>
      <c r="AG289" s="7" t="str">
        <f t="shared" si="29"/>
        <v/>
      </c>
      <c r="AH289" s="7" t="str">
        <f t="shared" si="30"/>
        <v/>
      </c>
      <c r="AI289" s="7" t="str">
        <f t="shared" si="31"/>
        <v/>
      </c>
      <c r="AJ289" s="7" t="str">
        <f t="shared" si="32"/>
        <v/>
      </c>
      <c r="AK289" s="7" t="str">
        <f t="shared" si="33"/>
        <v/>
      </c>
      <c r="AL289" s="10" t="str">
        <f t="shared" si="34"/>
        <v/>
      </c>
      <c r="AM289" s="15" t="str">
        <f>IF(OR($A289&lt;&gt;"",$B289&lt;&gt;""),IF(OR($A289="",$B289=""),"Isi tanggal dan ID PIC",IF(NOT(ISNUMBER($A289)),"Tanggal harus berupa tanggal Excel",IF(COUNTIFS(Master_PIC!$A$8:$A$73,$B289)&lt;&gt;1,"ID PIC tidak unik/terdaftar",IF(VLOOKUP($B289,Master_PIC!$A$8:$G$73,3,FALSE)&lt;&gt;"Sales","Jabatan tidak sesuai sheet",IF(OR($C289="",$D289="",$E289="",$F289=""),"Lengkapi master PIC",IF(COUNTIFS($A$8:$A$507,$A289,$B$8:$B$507,$B289)&gt;1,"Laporan ganda",IF(COUNTIFS(G289:P289,"Tidak Berlaku")&gt;0,"N/A hanya untuk kegiatan bersyarat",IF(SUM(AG289,AH289,AI289,AJ289,AK289)&lt;&gt;14,"Status kegiatan tidak valid",IF(AK289&gt;0,"Lengkapi status kegiatan",IF(AND(AJ289&gt;0,U289=""),"Isi alasan Tidak Berlaku",IF(AND(SUM(AH289,AI289)&gt;0,OR(U289="",V289="",W289="",X289="")),"Isi kendala dan tindak lanjut",IF(AND(Z289&lt;&gt;"Draft",Z289&lt;&gt;"Dikirim"),"Isi status laporan yang valid",IF(AND(AB289&lt;&gt;"",AB289&lt;&gt;"Belum Diperiksa",AB289&lt;&gt;"Disetujui",AB289&lt;&gt;"Perlu Perbaikan"),"Hasil review tidak valid",IF(AND(Z289="Dikirim",OR(Y289="",AA289="")),"Isi bukti dan waktu kirim",IF(AND(AB289="Disetujui",OR(Z289&lt;&gt;"Dikirim",AC289="",AD289="")),"Lengkapi pemeriksaan",IF(AND(AB289="Perlu Perbaikan",OR(AE289="",AC289="",AD289="")),"Isi pemeriksa dan catatan perbaikan","OK")))))))))))))))),"")</f>
        <v/>
      </c>
    </row>
    <row r="290" spans="1:39" ht="24.95" customHeight="1">
      <c r="A290" s="8"/>
      <c r="B290" s="6"/>
      <c r="C290" s="15" t="str">
        <f>IF(COUNTIFS(Master_PIC!$A$8:$A$73,$B290)=1,IF(VLOOKUP($B290,Master_PIC!$A$8:$G$73,2,FALSE)="","",VLOOKUP($B290,Master_PIC!$A$8:$G$73,2,FALSE)),"")</f>
        <v/>
      </c>
      <c r="D290" s="15" t="str">
        <f>IF(COUNTIFS(Master_PIC!$A$8:$A$73,$B290)=1,IF(VLOOKUP($B290,Master_PIC!$A$8:$G$73,4,FALSE)="","",VLOOKUP($B290,Master_PIC!$A$8:$G$73,4,FALSE)),"")</f>
        <v/>
      </c>
      <c r="E290" s="15" t="str">
        <f>IF(COUNTIFS(Master_PIC!$A$8:$A$73,$B290)=1,IF(VLOOKUP($B290,Master_PIC!$A$8:$G$73,5,FALSE)="","",VLOOKUP($B290,Master_PIC!$A$8:$G$73,5,FALSE)),"")</f>
        <v/>
      </c>
      <c r="F290" s="15" t="str">
        <f>IF(COUNTIFS(Master_PIC!$A$8:$A$73,$B290)=1,IF(VLOOKUP($B290,Master_PIC!$A$8:$G$73,6,FALSE)="","",VLOOKUP($B290,Master_PIC!$A$8:$G$73,6,FALSE)),"")</f>
        <v/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8"/>
      <c r="Y290" s="5"/>
      <c r="Z290" s="5"/>
      <c r="AA290" s="9"/>
      <c r="AB290" s="5"/>
      <c r="AC290" s="5"/>
      <c r="AD290" s="9"/>
      <c r="AE290" s="5"/>
      <c r="AF290" s="7" t="str">
        <f t="shared" si="28"/>
        <v/>
      </c>
      <c r="AG290" s="7" t="str">
        <f t="shared" si="29"/>
        <v/>
      </c>
      <c r="AH290" s="7" t="str">
        <f t="shared" si="30"/>
        <v/>
      </c>
      <c r="AI290" s="7" t="str">
        <f t="shared" si="31"/>
        <v/>
      </c>
      <c r="AJ290" s="7" t="str">
        <f t="shared" si="32"/>
        <v/>
      </c>
      <c r="AK290" s="7" t="str">
        <f t="shared" si="33"/>
        <v/>
      </c>
      <c r="AL290" s="10" t="str">
        <f t="shared" si="34"/>
        <v/>
      </c>
      <c r="AM290" s="15" t="str">
        <f>IF(OR($A290&lt;&gt;"",$B290&lt;&gt;""),IF(OR($A290="",$B290=""),"Isi tanggal dan ID PIC",IF(NOT(ISNUMBER($A290)),"Tanggal harus berupa tanggal Excel",IF(COUNTIFS(Master_PIC!$A$8:$A$73,$B290)&lt;&gt;1,"ID PIC tidak unik/terdaftar",IF(VLOOKUP($B290,Master_PIC!$A$8:$G$73,3,FALSE)&lt;&gt;"Sales","Jabatan tidak sesuai sheet",IF(OR($C290="",$D290="",$E290="",$F290=""),"Lengkapi master PIC",IF(COUNTIFS($A$8:$A$507,$A290,$B$8:$B$507,$B290)&gt;1,"Laporan ganda",IF(COUNTIFS(G290:P290,"Tidak Berlaku")&gt;0,"N/A hanya untuk kegiatan bersyarat",IF(SUM(AG290,AH290,AI290,AJ290,AK290)&lt;&gt;14,"Status kegiatan tidak valid",IF(AK290&gt;0,"Lengkapi status kegiatan",IF(AND(AJ290&gt;0,U290=""),"Isi alasan Tidak Berlaku",IF(AND(SUM(AH290,AI290)&gt;0,OR(U290="",V290="",W290="",X290="")),"Isi kendala dan tindak lanjut",IF(AND(Z290&lt;&gt;"Draft",Z290&lt;&gt;"Dikirim"),"Isi status laporan yang valid",IF(AND(AB290&lt;&gt;"",AB290&lt;&gt;"Belum Diperiksa",AB290&lt;&gt;"Disetujui",AB290&lt;&gt;"Perlu Perbaikan"),"Hasil review tidak valid",IF(AND(Z290="Dikirim",OR(Y290="",AA290="")),"Isi bukti dan waktu kirim",IF(AND(AB290="Disetujui",OR(Z290&lt;&gt;"Dikirim",AC290="",AD290="")),"Lengkapi pemeriksaan",IF(AND(AB290="Perlu Perbaikan",OR(AE290="",AC290="",AD290="")),"Isi pemeriksa dan catatan perbaikan","OK")))))))))))))))),"")</f>
        <v/>
      </c>
    </row>
    <row r="291" spans="1:39" ht="24.95" customHeight="1">
      <c r="A291" s="8"/>
      <c r="B291" s="6"/>
      <c r="C291" s="15" t="str">
        <f>IF(COUNTIFS(Master_PIC!$A$8:$A$73,$B291)=1,IF(VLOOKUP($B291,Master_PIC!$A$8:$G$73,2,FALSE)="","",VLOOKUP($B291,Master_PIC!$A$8:$G$73,2,FALSE)),"")</f>
        <v/>
      </c>
      <c r="D291" s="15" t="str">
        <f>IF(COUNTIFS(Master_PIC!$A$8:$A$73,$B291)=1,IF(VLOOKUP($B291,Master_PIC!$A$8:$G$73,4,FALSE)="","",VLOOKUP($B291,Master_PIC!$A$8:$G$73,4,FALSE)),"")</f>
        <v/>
      </c>
      <c r="E291" s="15" t="str">
        <f>IF(COUNTIFS(Master_PIC!$A$8:$A$73,$B291)=1,IF(VLOOKUP($B291,Master_PIC!$A$8:$G$73,5,FALSE)="","",VLOOKUP($B291,Master_PIC!$A$8:$G$73,5,FALSE)),"")</f>
        <v/>
      </c>
      <c r="F291" s="15" t="str">
        <f>IF(COUNTIFS(Master_PIC!$A$8:$A$73,$B291)=1,IF(VLOOKUP($B291,Master_PIC!$A$8:$G$73,6,FALSE)="","",VLOOKUP($B291,Master_PIC!$A$8:$G$73,6,FALSE)),"")</f>
        <v/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8"/>
      <c r="Y291" s="5"/>
      <c r="Z291" s="5"/>
      <c r="AA291" s="9"/>
      <c r="AB291" s="5"/>
      <c r="AC291" s="5"/>
      <c r="AD291" s="9"/>
      <c r="AE291" s="5"/>
      <c r="AF291" s="7" t="str">
        <f t="shared" si="28"/>
        <v/>
      </c>
      <c r="AG291" s="7" t="str">
        <f t="shared" si="29"/>
        <v/>
      </c>
      <c r="AH291" s="7" t="str">
        <f t="shared" si="30"/>
        <v/>
      </c>
      <c r="AI291" s="7" t="str">
        <f t="shared" si="31"/>
        <v/>
      </c>
      <c r="AJ291" s="7" t="str">
        <f t="shared" si="32"/>
        <v/>
      </c>
      <c r="AK291" s="7" t="str">
        <f t="shared" si="33"/>
        <v/>
      </c>
      <c r="AL291" s="10" t="str">
        <f t="shared" si="34"/>
        <v/>
      </c>
      <c r="AM291" s="15" t="str">
        <f>IF(OR($A291&lt;&gt;"",$B291&lt;&gt;""),IF(OR($A291="",$B291=""),"Isi tanggal dan ID PIC",IF(NOT(ISNUMBER($A291)),"Tanggal harus berupa tanggal Excel",IF(COUNTIFS(Master_PIC!$A$8:$A$73,$B291)&lt;&gt;1,"ID PIC tidak unik/terdaftar",IF(VLOOKUP($B291,Master_PIC!$A$8:$G$73,3,FALSE)&lt;&gt;"Sales","Jabatan tidak sesuai sheet",IF(OR($C291="",$D291="",$E291="",$F291=""),"Lengkapi master PIC",IF(COUNTIFS($A$8:$A$507,$A291,$B$8:$B$507,$B291)&gt;1,"Laporan ganda",IF(COUNTIFS(G291:P291,"Tidak Berlaku")&gt;0,"N/A hanya untuk kegiatan bersyarat",IF(SUM(AG291,AH291,AI291,AJ291,AK291)&lt;&gt;14,"Status kegiatan tidak valid",IF(AK291&gt;0,"Lengkapi status kegiatan",IF(AND(AJ291&gt;0,U291=""),"Isi alasan Tidak Berlaku",IF(AND(SUM(AH291,AI291)&gt;0,OR(U291="",V291="",W291="",X291="")),"Isi kendala dan tindak lanjut",IF(AND(Z291&lt;&gt;"Draft",Z291&lt;&gt;"Dikirim"),"Isi status laporan yang valid",IF(AND(AB291&lt;&gt;"",AB291&lt;&gt;"Belum Diperiksa",AB291&lt;&gt;"Disetujui",AB291&lt;&gt;"Perlu Perbaikan"),"Hasil review tidak valid",IF(AND(Z291="Dikirim",OR(Y291="",AA291="")),"Isi bukti dan waktu kirim",IF(AND(AB291="Disetujui",OR(Z291&lt;&gt;"Dikirim",AC291="",AD291="")),"Lengkapi pemeriksaan",IF(AND(AB291="Perlu Perbaikan",OR(AE291="",AC291="",AD291="")),"Isi pemeriksa dan catatan perbaikan","OK")))))))))))))))),"")</f>
        <v/>
      </c>
    </row>
    <row r="292" spans="1:39" ht="24.95" customHeight="1">
      <c r="A292" s="8"/>
      <c r="B292" s="6"/>
      <c r="C292" s="15" t="str">
        <f>IF(COUNTIFS(Master_PIC!$A$8:$A$73,$B292)=1,IF(VLOOKUP($B292,Master_PIC!$A$8:$G$73,2,FALSE)="","",VLOOKUP($B292,Master_PIC!$A$8:$G$73,2,FALSE)),"")</f>
        <v/>
      </c>
      <c r="D292" s="15" t="str">
        <f>IF(COUNTIFS(Master_PIC!$A$8:$A$73,$B292)=1,IF(VLOOKUP($B292,Master_PIC!$A$8:$G$73,4,FALSE)="","",VLOOKUP($B292,Master_PIC!$A$8:$G$73,4,FALSE)),"")</f>
        <v/>
      </c>
      <c r="E292" s="15" t="str">
        <f>IF(COUNTIFS(Master_PIC!$A$8:$A$73,$B292)=1,IF(VLOOKUP($B292,Master_PIC!$A$8:$G$73,5,FALSE)="","",VLOOKUP($B292,Master_PIC!$A$8:$G$73,5,FALSE)),"")</f>
        <v/>
      </c>
      <c r="F292" s="15" t="str">
        <f>IF(COUNTIFS(Master_PIC!$A$8:$A$73,$B292)=1,IF(VLOOKUP($B292,Master_PIC!$A$8:$G$73,6,FALSE)="","",VLOOKUP($B292,Master_PIC!$A$8:$G$73,6,FALSE)),"")</f>
        <v/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8"/>
      <c r="Y292" s="5"/>
      <c r="Z292" s="5"/>
      <c r="AA292" s="9"/>
      <c r="AB292" s="5"/>
      <c r="AC292" s="5"/>
      <c r="AD292" s="9"/>
      <c r="AE292" s="5"/>
      <c r="AF292" s="7" t="str">
        <f t="shared" si="28"/>
        <v/>
      </c>
      <c r="AG292" s="7" t="str">
        <f t="shared" si="29"/>
        <v/>
      </c>
      <c r="AH292" s="7" t="str">
        <f t="shared" si="30"/>
        <v/>
      </c>
      <c r="AI292" s="7" t="str">
        <f t="shared" si="31"/>
        <v/>
      </c>
      <c r="AJ292" s="7" t="str">
        <f t="shared" si="32"/>
        <v/>
      </c>
      <c r="AK292" s="7" t="str">
        <f t="shared" si="33"/>
        <v/>
      </c>
      <c r="AL292" s="10" t="str">
        <f t="shared" si="34"/>
        <v/>
      </c>
      <c r="AM292" s="15" t="str">
        <f>IF(OR($A292&lt;&gt;"",$B292&lt;&gt;""),IF(OR($A292="",$B292=""),"Isi tanggal dan ID PIC",IF(NOT(ISNUMBER($A292)),"Tanggal harus berupa tanggal Excel",IF(COUNTIFS(Master_PIC!$A$8:$A$73,$B292)&lt;&gt;1,"ID PIC tidak unik/terdaftar",IF(VLOOKUP($B292,Master_PIC!$A$8:$G$73,3,FALSE)&lt;&gt;"Sales","Jabatan tidak sesuai sheet",IF(OR($C292="",$D292="",$E292="",$F292=""),"Lengkapi master PIC",IF(COUNTIFS($A$8:$A$507,$A292,$B$8:$B$507,$B292)&gt;1,"Laporan ganda",IF(COUNTIFS(G292:P292,"Tidak Berlaku")&gt;0,"N/A hanya untuk kegiatan bersyarat",IF(SUM(AG292,AH292,AI292,AJ292,AK292)&lt;&gt;14,"Status kegiatan tidak valid",IF(AK292&gt;0,"Lengkapi status kegiatan",IF(AND(AJ292&gt;0,U292=""),"Isi alasan Tidak Berlaku",IF(AND(SUM(AH292,AI292)&gt;0,OR(U292="",V292="",W292="",X292="")),"Isi kendala dan tindak lanjut",IF(AND(Z292&lt;&gt;"Draft",Z292&lt;&gt;"Dikirim"),"Isi status laporan yang valid",IF(AND(AB292&lt;&gt;"",AB292&lt;&gt;"Belum Diperiksa",AB292&lt;&gt;"Disetujui",AB292&lt;&gt;"Perlu Perbaikan"),"Hasil review tidak valid",IF(AND(Z292="Dikirim",OR(Y292="",AA292="")),"Isi bukti dan waktu kirim",IF(AND(AB292="Disetujui",OR(Z292&lt;&gt;"Dikirim",AC292="",AD292="")),"Lengkapi pemeriksaan",IF(AND(AB292="Perlu Perbaikan",OR(AE292="",AC292="",AD292="")),"Isi pemeriksa dan catatan perbaikan","OK")))))))))))))))),"")</f>
        <v/>
      </c>
    </row>
    <row r="293" spans="1:39" ht="24.95" customHeight="1">
      <c r="A293" s="8"/>
      <c r="B293" s="6"/>
      <c r="C293" s="15" t="str">
        <f>IF(COUNTIFS(Master_PIC!$A$8:$A$73,$B293)=1,IF(VLOOKUP($B293,Master_PIC!$A$8:$G$73,2,FALSE)="","",VLOOKUP($B293,Master_PIC!$A$8:$G$73,2,FALSE)),"")</f>
        <v/>
      </c>
      <c r="D293" s="15" t="str">
        <f>IF(COUNTIFS(Master_PIC!$A$8:$A$73,$B293)=1,IF(VLOOKUP($B293,Master_PIC!$A$8:$G$73,4,FALSE)="","",VLOOKUP($B293,Master_PIC!$A$8:$G$73,4,FALSE)),"")</f>
        <v/>
      </c>
      <c r="E293" s="15" t="str">
        <f>IF(COUNTIFS(Master_PIC!$A$8:$A$73,$B293)=1,IF(VLOOKUP($B293,Master_PIC!$A$8:$G$73,5,FALSE)="","",VLOOKUP($B293,Master_PIC!$A$8:$G$73,5,FALSE)),"")</f>
        <v/>
      </c>
      <c r="F293" s="15" t="str">
        <f>IF(COUNTIFS(Master_PIC!$A$8:$A$73,$B293)=1,IF(VLOOKUP($B293,Master_PIC!$A$8:$G$73,6,FALSE)="","",VLOOKUP($B293,Master_PIC!$A$8:$G$73,6,FALSE)),"")</f>
        <v/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8"/>
      <c r="Y293" s="5"/>
      <c r="Z293" s="5"/>
      <c r="AA293" s="9"/>
      <c r="AB293" s="5"/>
      <c r="AC293" s="5"/>
      <c r="AD293" s="9"/>
      <c r="AE293" s="5"/>
      <c r="AF293" s="7" t="str">
        <f t="shared" si="28"/>
        <v/>
      </c>
      <c r="AG293" s="7" t="str">
        <f t="shared" si="29"/>
        <v/>
      </c>
      <c r="AH293" s="7" t="str">
        <f t="shared" si="30"/>
        <v/>
      </c>
      <c r="AI293" s="7" t="str">
        <f t="shared" si="31"/>
        <v/>
      </c>
      <c r="AJ293" s="7" t="str">
        <f t="shared" si="32"/>
        <v/>
      </c>
      <c r="AK293" s="7" t="str">
        <f t="shared" si="33"/>
        <v/>
      </c>
      <c r="AL293" s="10" t="str">
        <f t="shared" si="34"/>
        <v/>
      </c>
      <c r="AM293" s="15" t="str">
        <f>IF(OR($A293&lt;&gt;"",$B293&lt;&gt;""),IF(OR($A293="",$B293=""),"Isi tanggal dan ID PIC",IF(NOT(ISNUMBER($A293)),"Tanggal harus berupa tanggal Excel",IF(COUNTIFS(Master_PIC!$A$8:$A$73,$B293)&lt;&gt;1,"ID PIC tidak unik/terdaftar",IF(VLOOKUP($B293,Master_PIC!$A$8:$G$73,3,FALSE)&lt;&gt;"Sales","Jabatan tidak sesuai sheet",IF(OR($C293="",$D293="",$E293="",$F293=""),"Lengkapi master PIC",IF(COUNTIFS($A$8:$A$507,$A293,$B$8:$B$507,$B293)&gt;1,"Laporan ganda",IF(COUNTIFS(G293:P293,"Tidak Berlaku")&gt;0,"N/A hanya untuk kegiatan bersyarat",IF(SUM(AG293,AH293,AI293,AJ293,AK293)&lt;&gt;14,"Status kegiatan tidak valid",IF(AK293&gt;0,"Lengkapi status kegiatan",IF(AND(AJ293&gt;0,U293=""),"Isi alasan Tidak Berlaku",IF(AND(SUM(AH293,AI293)&gt;0,OR(U293="",V293="",W293="",X293="")),"Isi kendala dan tindak lanjut",IF(AND(Z293&lt;&gt;"Draft",Z293&lt;&gt;"Dikirim"),"Isi status laporan yang valid",IF(AND(AB293&lt;&gt;"",AB293&lt;&gt;"Belum Diperiksa",AB293&lt;&gt;"Disetujui",AB293&lt;&gt;"Perlu Perbaikan"),"Hasil review tidak valid",IF(AND(Z293="Dikirim",OR(Y293="",AA293="")),"Isi bukti dan waktu kirim",IF(AND(AB293="Disetujui",OR(Z293&lt;&gt;"Dikirim",AC293="",AD293="")),"Lengkapi pemeriksaan",IF(AND(AB293="Perlu Perbaikan",OR(AE293="",AC293="",AD293="")),"Isi pemeriksa dan catatan perbaikan","OK")))))))))))))))),"")</f>
        <v/>
      </c>
    </row>
    <row r="294" spans="1:39" ht="24.95" customHeight="1">
      <c r="A294" s="8"/>
      <c r="B294" s="6"/>
      <c r="C294" s="15" t="str">
        <f>IF(COUNTIFS(Master_PIC!$A$8:$A$73,$B294)=1,IF(VLOOKUP($B294,Master_PIC!$A$8:$G$73,2,FALSE)="","",VLOOKUP($B294,Master_PIC!$A$8:$G$73,2,FALSE)),"")</f>
        <v/>
      </c>
      <c r="D294" s="15" t="str">
        <f>IF(COUNTIFS(Master_PIC!$A$8:$A$73,$B294)=1,IF(VLOOKUP($B294,Master_PIC!$A$8:$G$73,4,FALSE)="","",VLOOKUP($B294,Master_PIC!$A$8:$G$73,4,FALSE)),"")</f>
        <v/>
      </c>
      <c r="E294" s="15" t="str">
        <f>IF(COUNTIFS(Master_PIC!$A$8:$A$73,$B294)=1,IF(VLOOKUP($B294,Master_PIC!$A$8:$G$73,5,FALSE)="","",VLOOKUP($B294,Master_PIC!$A$8:$G$73,5,FALSE)),"")</f>
        <v/>
      </c>
      <c r="F294" s="15" t="str">
        <f>IF(COUNTIFS(Master_PIC!$A$8:$A$73,$B294)=1,IF(VLOOKUP($B294,Master_PIC!$A$8:$G$73,6,FALSE)="","",VLOOKUP($B294,Master_PIC!$A$8:$G$73,6,FALSE)),"")</f>
        <v/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8"/>
      <c r="Y294" s="5"/>
      <c r="Z294" s="5"/>
      <c r="AA294" s="9"/>
      <c r="AB294" s="5"/>
      <c r="AC294" s="5"/>
      <c r="AD294" s="9"/>
      <c r="AE294" s="5"/>
      <c r="AF294" s="7" t="str">
        <f t="shared" si="28"/>
        <v/>
      </c>
      <c r="AG294" s="7" t="str">
        <f t="shared" si="29"/>
        <v/>
      </c>
      <c r="AH294" s="7" t="str">
        <f t="shared" si="30"/>
        <v/>
      </c>
      <c r="AI294" s="7" t="str">
        <f t="shared" si="31"/>
        <v/>
      </c>
      <c r="AJ294" s="7" t="str">
        <f t="shared" si="32"/>
        <v/>
      </c>
      <c r="AK294" s="7" t="str">
        <f t="shared" si="33"/>
        <v/>
      </c>
      <c r="AL294" s="10" t="str">
        <f t="shared" si="34"/>
        <v/>
      </c>
      <c r="AM294" s="15" t="str">
        <f>IF(OR($A294&lt;&gt;"",$B294&lt;&gt;""),IF(OR($A294="",$B294=""),"Isi tanggal dan ID PIC",IF(NOT(ISNUMBER($A294)),"Tanggal harus berupa tanggal Excel",IF(COUNTIFS(Master_PIC!$A$8:$A$73,$B294)&lt;&gt;1,"ID PIC tidak unik/terdaftar",IF(VLOOKUP($B294,Master_PIC!$A$8:$G$73,3,FALSE)&lt;&gt;"Sales","Jabatan tidak sesuai sheet",IF(OR($C294="",$D294="",$E294="",$F294=""),"Lengkapi master PIC",IF(COUNTIFS($A$8:$A$507,$A294,$B$8:$B$507,$B294)&gt;1,"Laporan ganda",IF(COUNTIFS(G294:P294,"Tidak Berlaku")&gt;0,"N/A hanya untuk kegiatan bersyarat",IF(SUM(AG294,AH294,AI294,AJ294,AK294)&lt;&gt;14,"Status kegiatan tidak valid",IF(AK294&gt;0,"Lengkapi status kegiatan",IF(AND(AJ294&gt;0,U294=""),"Isi alasan Tidak Berlaku",IF(AND(SUM(AH294,AI294)&gt;0,OR(U294="",V294="",W294="",X294="")),"Isi kendala dan tindak lanjut",IF(AND(Z294&lt;&gt;"Draft",Z294&lt;&gt;"Dikirim"),"Isi status laporan yang valid",IF(AND(AB294&lt;&gt;"",AB294&lt;&gt;"Belum Diperiksa",AB294&lt;&gt;"Disetujui",AB294&lt;&gt;"Perlu Perbaikan"),"Hasil review tidak valid",IF(AND(Z294="Dikirim",OR(Y294="",AA294="")),"Isi bukti dan waktu kirim",IF(AND(AB294="Disetujui",OR(Z294&lt;&gt;"Dikirim",AC294="",AD294="")),"Lengkapi pemeriksaan",IF(AND(AB294="Perlu Perbaikan",OR(AE294="",AC294="",AD294="")),"Isi pemeriksa dan catatan perbaikan","OK")))))))))))))))),"")</f>
        <v/>
      </c>
    </row>
    <row r="295" spans="1:39" ht="24.95" customHeight="1">
      <c r="A295" s="8"/>
      <c r="B295" s="6"/>
      <c r="C295" s="15" t="str">
        <f>IF(COUNTIFS(Master_PIC!$A$8:$A$73,$B295)=1,IF(VLOOKUP($B295,Master_PIC!$A$8:$G$73,2,FALSE)="","",VLOOKUP($B295,Master_PIC!$A$8:$G$73,2,FALSE)),"")</f>
        <v/>
      </c>
      <c r="D295" s="15" t="str">
        <f>IF(COUNTIFS(Master_PIC!$A$8:$A$73,$B295)=1,IF(VLOOKUP($B295,Master_PIC!$A$8:$G$73,4,FALSE)="","",VLOOKUP($B295,Master_PIC!$A$8:$G$73,4,FALSE)),"")</f>
        <v/>
      </c>
      <c r="E295" s="15" t="str">
        <f>IF(COUNTIFS(Master_PIC!$A$8:$A$73,$B295)=1,IF(VLOOKUP($B295,Master_PIC!$A$8:$G$73,5,FALSE)="","",VLOOKUP($B295,Master_PIC!$A$8:$G$73,5,FALSE)),"")</f>
        <v/>
      </c>
      <c r="F295" s="15" t="str">
        <f>IF(COUNTIFS(Master_PIC!$A$8:$A$73,$B295)=1,IF(VLOOKUP($B295,Master_PIC!$A$8:$G$73,6,FALSE)="","",VLOOKUP($B295,Master_PIC!$A$8:$G$73,6,FALSE)),"")</f>
        <v/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8"/>
      <c r="Y295" s="5"/>
      <c r="Z295" s="5"/>
      <c r="AA295" s="9"/>
      <c r="AB295" s="5"/>
      <c r="AC295" s="5"/>
      <c r="AD295" s="9"/>
      <c r="AE295" s="5"/>
      <c r="AF295" s="7" t="str">
        <f t="shared" si="28"/>
        <v/>
      </c>
      <c r="AG295" s="7" t="str">
        <f t="shared" si="29"/>
        <v/>
      </c>
      <c r="AH295" s="7" t="str">
        <f t="shared" si="30"/>
        <v/>
      </c>
      <c r="AI295" s="7" t="str">
        <f t="shared" si="31"/>
        <v/>
      </c>
      <c r="AJ295" s="7" t="str">
        <f t="shared" si="32"/>
        <v/>
      </c>
      <c r="AK295" s="7" t="str">
        <f t="shared" si="33"/>
        <v/>
      </c>
      <c r="AL295" s="10" t="str">
        <f t="shared" si="34"/>
        <v/>
      </c>
      <c r="AM295" s="15" t="str">
        <f>IF(OR($A295&lt;&gt;"",$B295&lt;&gt;""),IF(OR($A295="",$B295=""),"Isi tanggal dan ID PIC",IF(NOT(ISNUMBER($A295)),"Tanggal harus berupa tanggal Excel",IF(COUNTIFS(Master_PIC!$A$8:$A$73,$B295)&lt;&gt;1,"ID PIC tidak unik/terdaftar",IF(VLOOKUP($B295,Master_PIC!$A$8:$G$73,3,FALSE)&lt;&gt;"Sales","Jabatan tidak sesuai sheet",IF(OR($C295="",$D295="",$E295="",$F295=""),"Lengkapi master PIC",IF(COUNTIFS($A$8:$A$507,$A295,$B$8:$B$507,$B295)&gt;1,"Laporan ganda",IF(COUNTIFS(G295:P295,"Tidak Berlaku")&gt;0,"N/A hanya untuk kegiatan bersyarat",IF(SUM(AG295,AH295,AI295,AJ295,AK295)&lt;&gt;14,"Status kegiatan tidak valid",IF(AK295&gt;0,"Lengkapi status kegiatan",IF(AND(AJ295&gt;0,U295=""),"Isi alasan Tidak Berlaku",IF(AND(SUM(AH295,AI295)&gt;0,OR(U295="",V295="",W295="",X295="")),"Isi kendala dan tindak lanjut",IF(AND(Z295&lt;&gt;"Draft",Z295&lt;&gt;"Dikirim"),"Isi status laporan yang valid",IF(AND(AB295&lt;&gt;"",AB295&lt;&gt;"Belum Diperiksa",AB295&lt;&gt;"Disetujui",AB295&lt;&gt;"Perlu Perbaikan"),"Hasil review tidak valid",IF(AND(Z295="Dikirim",OR(Y295="",AA295="")),"Isi bukti dan waktu kirim",IF(AND(AB295="Disetujui",OR(Z295&lt;&gt;"Dikirim",AC295="",AD295="")),"Lengkapi pemeriksaan",IF(AND(AB295="Perlu Perbaikan",OR(AE295="",AC295="",AD295="")),"Isi pemeriksa dan catatan perbaikan","OK")))))))))))))))),"")</f>
        <v/>
      </c>
    </row>
    <row r="296" spans="1:39" ht="24.95" customHeight="1">
      <c r="A296" s="8"/>
      <c r="B296" s="6"/>
      <c r="C296" s="15" t="str">
        <f>IF(COUNTIFS(Master_PIC!$A$8:$A$73,$B296)=1,IF(VLOOKUP($B296,Master_PIC!$A$8:$G$73,2,FALSE)="","",VLOOKUP($B296,Master_PIC!$A$8:$G$73,2,FALSE)),"")</f>
        <v/>
      </c>
      <c r="D296" s="15" t="str">
        <f>IF(COUNTIFS(Master_PIC!$A$8:$A$73,$B296)=1,IF(VLOOKUP($B296,Master_PIC!$A$8:$G$73,4,FALSE)="","",VLOOKUP($B296,Master_PIC!$A$8:$G$73,4,FALSE)),"")</f>
        <v/>
      </c>
      <c r="E296" s="15" t="str">
        <f>IF(COUNTIFS(Master_PIC!$A$8:$A$73,$B296)=1,IF(VLOOKUP($B296,Master_PIC!$A$8:$G$73,5,FALSE)="","",VLOOKUP($B296,Master_PIC!$A$8:$G$73,5,FALSE)),"")</f>
        <v/>
      </c>
      <c r="F296" s="15" t="str">
        <f>IF(COUNTIFS(Master_PIC!$A$8:$A$73,$B296)=1,IF(VLOOKUP($B296,Master_PIC!$A$8:$G$73,6,FALSE)="","",VLOOKUP($B296,Master_PIC!$A$8:$G$73,6,FALSE)),"")</f>
        <v/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8"/>
      <c r="Y296" s="5"/>
      <c r="Z296" s="5"/>
      <c r="AA296" s="9"/>
      <c r="AB296" s="5"/>
      <c r="AC296" s="5"/>
      <c r="AD296" s="9"/>
      <c r="AE296" s="5"/>
      <c r="AF296" s="7" t="str">
        <f t="shared" si="28"/>
        <v/>
      </c>
      <c r="AG296" s="7" t="str">
        <f t="shared" si="29"/>
        <v/>
      </c>
      <c r="AH296" s="7" t="str">
        <f t="shared" si="30"/>
        <v/>
      </c>
      <c r="AI296" s="7" t="str">
        <f t="shared" si="31"/>
        <v/>
      </c>
      <c r="AJ296" s="7" t="str">
        <f t="shared" si="32"/>
        <v/>
      </c>
      <c r="AK296" s="7" t="str">
        <f t="shared" si="33"/>
        <v/>
      </c>
      <c r="AL296" s="10" t="str">
        <f t="shared" si="34"/>
        <v/>
      </c>
      <c r="AM296" s="15" t="str">
        <f>IF(OR($A296&lt;&gt;"",$B296&lt;&gt;""),IF(OR($A296="",$B296=""),"Isi tanggal dan ID PIC",IF(NOT(ISNUMBER($A296)),"Tanggal harus berupa tanggal Excel",IF(COUNTIFS(Master_PIC!$A$8:$A$73,$B296)&lt;&gt;1,"ID PIC tidak unik/terdaftar",IF(VLOOKUP($B296,Master_PIC!$A$8:$G$73,3,FALSE)&lt;&gt;"Sales","Jabatan tidak sesuai sheet",IF(OR($C296="",$D296="",$E296="",$F296=""),"Lengkapi master PIC",IF(COUNTIFS($A$8:$A$507,$A296,$B$8:$B$507,$B296)&gt;1,"Laporan ganda",IF(COUNTIFS(G296:P296,"Tidak Berlaku")&gt;0,"N/A hanya untuk kegiatan bersyarat",IF(SUM(AG296,AH296,AI296,AJ296,AK296)&lt;&gt;14,"Status kegiatan tidak valid",IF(AK296&gt;0,"Lengkapi status kegiatan",IF(AND(AJ296&gt;0,U296=""),"Isi alasan Tidak Berlaku",IF(AND(SUM(AH296,AI296)&gt;0,OR(U296="",V296="",W296="",X296="")),"Isi kendala dan tindak lanjut",IF(AND(Z296&lt;&gt;"Draft",Z296&lt;&gt;"Dikirim"),"Isi status laporan yang valid",IF(AND(AB296&lt;&gt;"",AB296&lt;&gt;"Belum Diperiksa",AB296&lt;&gt;"Disetujui",AB296&lt;&gt;"Perlu Perbaikan"),"Hasil review tidak valid",IF(AND(Z296="Dikirim",OR(Y296="",AA296="")),"Isi bukti dan waktu kirim",IF(AND(AB296="Disetujui",OR(Z296&lt;&gt;"Dikirim",AC296="",AD296="")),"Lengkapi pemeriksaan",IF(AND(AB296="Perlu Perbaikan",OR(AE296="",AC296="",AD296="")),"Isi pemeriksa dan catatan perbaikan","OK")))))))))))))))),"")</f>
        <v/>
      </c>
    </row>
    <row r="297" spans="1:39" ht="24.95" customHeight="1">
      <c r="A297" s="8"/>
      <c r="B297" s="6"/>
      <c r="C297" s="15" t="str">
        <f>IF(COUNTIFS(Master_PIC!$A$8:$A$73,$B297)=1,IF(VLOOKUP($B297,Master_PIC!$A$8:$G$73,2,FALSE)="","",VLOOKUP($B297,Master_PIC!$A$8:$G$73,2,FALSE)),"")</f>
        <v/>
      </c>
      <c r="D297" s="15" t="str">
        <f>IF(COUNTIFS(Master_PIC!$A$8:$A$73,$B297)=1,IF(VLOOKUP($B297,Master_PIC!$A$8:$G$73,4,FALSE)="","",VLOOKUP($B297,Master_PIC!$A$8:$G$73,4,FALSE)),"")</f>
        <v/>
      </c>
      <c r="E297" s="15" t="str">
        <f>IF(COUNTIFS(Master_PIC!$A$8:$A$73,$B297)=1,IF(VLOOKUP($B297,Master_PIC!$A$8:$G$73,5,FALSE)="","",VLOOKUP($B297,Master_PIC!$A$8:$G$73,5,FALSE)),"")</f>
        <v/>
      </c>
      <c r="F297" s="15" t="str">
        <f>IF(COUNTIFS(Master_PIC!$A$8:$A$73,$B297)=1,IF(VLOOKUP($B297,Master_PIC!$A$8:$G$73,6,FALSE)="","",VLOOKUP($B297,Master_PIC!$A$8:$G$73,6,FALSE)),"")</f>
        <v/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8"/>
      <c r="Y297" s="5"/>
      <c r="Z297" s="5"/>
      <c r="AA297" s="9"/>
      <c r="AB297" s="5"/>
      <c r="AC297" s="5"/>
      <c r="AD297" s="9"/>
      <c r="AE297" s="5"/>
      <c r="AF297" s="7" t="str">
        <f t="shared" si="28"/>
        <v/>
      </c>
      <c r="AG297" s="7" t="str">
        <f t="shared" si="29"/>
        <v/>
      </c>
      <c r="AH297" s="7" t="str">
        <f t="shared" si="30"/>
        <v/>
      </c>
      <c r="AI297" s="7" t="str">
        <f t="shared" si="31"/>
        <v/>
      </c>
      <c r="AJ297" s="7" t="str">
        <f t="shared" si="32"/>
        <v/>
      </c>
      <c r="AK297" s="7" t="str">
        <f t="shared" si="33"/>
        <v/>
      </c>
      <c r="AL297" s="10" t="str">
        <f t="shared" si="34"/>
        <v/>
      </c>
      <c r="AM297" s="15" t="str">
        <f>IF(OR($A297&lt;&gt;"",$B297&lt;&gt;""),IF(OR($A297="",$B297=""),"Isi tanggal dan ID PIC",IF(NOT(ISNUMBER($A297)),"Tanggal harus berupa tanggal Excel",IF(COUNTIFS(Master_PIC!$A$8:$A$73,$B297)&lt;&gt;1,"ID PIC tidak unik/terdaftar",IF(VLOOKUP($B297,Master_PIC!$A$8:$G$73,3,FALSE)&lt;&gt;"Sales","Jabatan tidak sesuai sheet",IF(OR($C297="",$D297="",$E297="",$F297=""),"Lengkapi master PIC",IF(COUNTIFS($A$8:$A$507,$A297,$B$8:$B$507,$B297)&gt;1,"Laporan ganda",IF(COUNTIFS(G297:P297,"Tidak Berlaku")&gt;0,"N/A hanya untuk kegiatan bersyarat",IF(SUM(AG297,AH297,AI297,AJ297,AK297)&lt;&gt;14,"Status kegiatan tidak valid",IF(AK297&gt;0,"Lengkapi status kegiatan",IF(AND(AJ297&gt;0,U297=""),"Isi alasan Tidak Berlaku",IF(AND(SUM(AH297,AI297)&gt;0,OR(U297="",V297="",W297="",X297="")),"Isi kendala dan tindak lanjut",IF(AND(Z297&lt;&gt;"Draft",Z297&lt;&gt;"Dikirim"),"Isi status laporan yang valid",IF(AND(AB297&lt;&gt;"",AB297&lt;&gt;"Belum Diperiksa",AB297&lt;&gt;"Disetujui",AB297&lt;&gt;"Perlu Perbaikan"),"Hasil review tidak valid",IF(AND(Z297="Dikirim",OR(Y297="",AA297="")),"Isi bukti dan waktu kirim",IF(AND(AB297="Disetujui",OR(Z297&lt;&gt;"Dikirim",AC297="",AD297="")),"Lengkapi pemeriksaan",IF(AND(AB297="Perlu Perbaikan",OR(AE297="",AC297="",AD297="")),"Isi pemeriksa dan catatan perbaikan","OK")))))))))))))))),"")</f>
        <v/>
      </c>
    </row>
    <row r="298" spans="1:39" ht="24.95" customHeight="1">
      <c r="A298" s="8"/>
      <c r="B298" s="6"/>
      <c r="C298" s="15" t="str">
        <f>IF(COUNTIFS(Master_PIC!$A$8:$A$73,$B298)=1,IF(VLOOKUP($B298,Master_PIC!$A$8:$G$73,2,FALSE)="","",VLOOKUP($B298,Master_PIC!$A$8:$G$73,2,FALSE)),"")</f>
        <v/>
      </c>
      <c r="D298" s="15" t="str">
        <f>IF(COUNTIFS(Master_PIC!$A$8:$A$73,$B298)=1,IF(VLOOKUP($B298,Master_PIC!$A$8:$G$73,4,FALSE)="","",VLOOKUP($B298,Master_PIC!$A$8:$G$73,4,FALSE)),"")</f>
        <v/>
      </c>
      <c r="E298" s="15" t="str">
        <f>IF(COUNTIFS(Master_PIC!$A$8:$A$73,$B298)=1,IF(VLOOKUP($B298,Master_PIC!$A$8:$G$73,5,FALSE)="","",VLOOKUP($B298,Master_PIC!$A$8:$G$73,5,FALSE)),"")</f>
        <v/>
      </c>
      <c r="F298" s="15" t="str">
        <f>IF(COUNTIFS(Master_PIC!$A$8:$A$73,$B298)=1,IF(VLOOKUP($B298,Master_PIC!$A$8:$G$73,6,FALSE)="","",VLOOKUP($B298,Master_PIC!$A$8:$G$73,6,FALSE)),"")</f>
        <v/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8"/>
      <c r="Y298" s="5"/>
      <c r="Z298" s="5"/>
      <c r="AA298" s="9"/>
      <c r="AB298" s="5"/>
      <c r="AC298" s="5"/>
      <c r="AD298" s="9"/>
      <c r="AE298" s="5"/>
      <c r="AF298" s="7" t="str">
        <f t="shared" si="28"/>
        <v/>
      </c>
      <c r="AG298" s="7" t="str">
        <f t="shared" si="29"/>
        <v/>
      </c>
      <c r="AH298" s="7" t="str">
        <f t="shared" si="30"/>
        <v/>
      </c>
      <c r="AI298" s="7" t="str">
        <f t="shared" si="31"/>
        <v/>
      </c>
      <c r="AJ298" s="7" t="str">
        <f t="shared" si="32"/>
        <v/>
      </c>
      <c r="AK298" s="7" t="str">
        <f t="shared" si="33"/>
        <v/>
      </c>
      <c r="AL298" s="10" t="str">
        <f t="shared" si="34"/>
        <v/>
      </c>
      <c r="AM298" s="15" t="str">
        <f>IF(OR($A298&lt;&gt;"",$B298&lt;&gt;""),IF(OR($A298="",$B298=""),"Isi tanggal dan ID PIC",IF(NOT(ISNUMBER($A298)),"Tanggal harus berupa tanggal Excel",IF(COUNTIFS(Master_PIC!$A$8:$A$73,$B298)&lt;&gt;1,"ID PIC tidak unik/terdaftar",IF(VLOOKUP($B298,Master_PIC!$A$8:$G$73,3,FALSE)&lt;&gt;"Sales","Jabatan tidak sesuai sheet",IF(OR($C298="",$D298="",$E298="",$F298=""),"Lengkapi master PIC",IF(COUNTIFS($A$8:$A$507,$A298,$B$8:$B$507,$B298)&gt;1,"Laporan ganda",IF(COUNTIFS(G298:P298,"Tidak Berlaku")&gt;0,"N/A hanya untuk kegiatan bersyarat",IF(SUM(AG298,AH298,AI298,AJ298,AK298)&lt;&gt;14,"Status kegiatan tidak valid",IF(AK298&gt;0,"Lengkapi status kegiatan",IF(AND(AJ298&gt;0,U298=""),"Isi alasan Tidak Berlaku",IF(AND(SUM(AH298,AI298)&gt;0,OR(U298="",V298="",W298="",X298="")),"Isi kendala dan tindak lanjut",IF(AND(Z298&lt;&gt;"Draft",Z298&lt;&gt;"Dikirim"),"Isi status laporan yang valid",IF(AND(AB298&lt;&gt;"",AB298&lt;&gt;"Belum Diperiksa",AB298&lt;&gt;"Disetujui",AB298&lt;&gt;"Perlu Perbaikan"),"Hasil review tidak valid",IF(AND(Z298="Dikirim",OR(Y298="",AA298="")),"Isi bukti dan waktu kirim",IF(AND(AB298="Disetujui",OR(Z298&lt;&gt;"Dikirim",AC298="",AD298="")),"Lengkapi pemeriksaan",IF(AND(AB298="Perlu Perbaikan",OR(AE298="",AC298="",AD298="")),"Isi pemeriksa dan catatan perbaikan","OK")))))))))))))))),"")</f>
        <v/>
      </c>
    </row>
    <row r="299" spans="1:39" ht="24.95" customHeight="1">
      <c r="A299" s="8"/>
      <c r="B299" s="6"/>
      <c r="C299" s="15" t="str">
        <f>IF(COUNTIFS(Master_PIC!$A$8:$A$73,$B299)=1,IF(VLOOKUP($B299,Master_PIC!$A$8:$G$73,2,FALSE)="","",VLOOKUP($B299,Master_PIC!$A$8:$G$73,2,FALSE)),"")</f>
        <v/>
      </c>
      <c r="D299" s="15" t="str">
        <f>IF(COUNTIFS(Master_PIC!$A$8:$A$73,$B299)=1,IF(VLOOKUP($B299,Master_PIC!$A$8:$G$73,4,FALSE)="","",VLOOKUP($B299,Master_PIC!$A$8:$G$73,4,FALSE)),"")</f>
        <v/>
      </c>
      <c r="E299" s="15" t="str">
        <f>IF(COUNTIFS(Master_PIC!$A$8:$A$73,$B299)=1,IF(VLOOKUP($B299,Master_PIC!$A$8:$G$73,5,FALSE)="","",VLOOKUP($B299,Master_PIC!$A$8:$G$73,5,FALSE)),"")</f>
        <v/>
      </c>
      <c r="F299" s="15" t="str">
        <f>IF(COUNTIFS(Master_PIC!$A$8:$A$73,$B299)=1,IF(VLOOKUP($B299,Master_PIC!$A$8:$G$73,6,FALSE)="","",VLOOKUP($B299,Master_PIC!$A$8:$G$73,6,FALSE)),"")</f>
        <v/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8"/>
      <c r="Y299" s="5"/>
      <c r="Z299" s="5"/>
      <c r="AA299" s="9"/>
      <c r="AB299" s="5"/>
      <c r="AC299" s="5"/>
      <c r="AD299" s="9"/>
      <c r="AE299" s="5"/>
      <c r="AF299" s="7" t="str">
        <f t="shared" si="28"/>
        <v/>
      </c>
      <c r="AG299" s="7" t="str">
        <f t="shared" si="29"/>
        <v/>
      </c>
      <c r="AH299" s="7" t="str">
        <f t="shared" si="30"/>
        <v/>
      </c>
      <c r="AI299" s="7" t="str">
        <f t="shared" si="31"/>
        <v/>
      </c>
      <c r="AJ299" s="7" t="str">
        <f t="shared" si="32"/>
        <v/>
      </c>
      <c r="AK299" s="7" t="str">
        <f t="shared" si="33"/>
        <v/>
      </c>
      <c r="AL299" s="10" t="str">
        <f t="shared" si="34"/>
        <v/>
      </c>
      <c r="AM299" s="15" t="str">
        <f>IF(OR($A299&lt;&gt;"",$B299&lt;&gt;""),IF(OR($A299="",$B299=""),"Isi tanggal dan ID PIC",IF(NOT(ISNUMBER($A299)),"Tanggal harus berupa tanggal Excel",IF(COUNTIFS(Master_PIC!$A$8:$A$73,$B299)&lt;&gt;1,"ID PIC tidak unik/terdaftar",IF(VLOOKUP($B299,Master_PIC!$A$8:$G$73,3,FALSE)&lt;&gt;"Sales","Jabatan tidak sesuai sheet",IF(OR($C299="",$D299="",$E299="",$F299=""),"Lengkapi master PIC",IF(COUNTIFS($A$8:$A$507,$A299,$B$8:$B$507,$B299)&gt;1,"Laporan ganda",IF(COUNTIFS(G299:P299,"Tidak Berlaku")&gt;0,"N/A hanya untuk kegiatan bersyarat",IF(SUM(AG299,AH299,AI299,AJ299,AK299)&lt;&gt;14,"Status kegiatan tidak valid",IF(AK299&gt;0,"Lengkapi status kegiatan",IF(AND(AJ299&gt;0,U299=""),"Isi alasan Tidak Berlaku",IF(AND(SUM(AH299,AI299)&gt;0,OR(U299="",V299="",W299="",X299="")),"Isi kendala dan tindak lanjut",IF(AND(Z299&lt;&gt;"Draft",Z299&lt;&gt;"Dikirim"),"Isi status laporan yang valid",IF(AND(AB299&lt;&gt;"",AB299&lt;&gt;"Belum Diperiksa",AB299&lt;&gt;"Disetujui",AB299&lt;&gt;"Perlu Perbaikan"),"Hasil review tidak valid",IF(AND(Z299="Dikirim",OR(Y299="",AA299="")),"Isi bukti dan waktu kirim",IF(AND(AB299="Disetujui",OR(Z299&lt;&gt;"Dikirim",AC299="",AD299="")),"Lengkapi pemeriksaan",IF(AND(AB299="Perlu Perbaikan",OR(AE299="",AC299="",AD299="")),"Isi pemeriksa dan catatan perbaikan","OK")))))))))))))))),"")</f>
        <v/>
      </c>
    </row>
    <row r="300" spans="1:39" ht="24.95" customHeight="1">
      <c r="A300" s="8"/>
      <c r="B300" s="6"/>
      <c r="C300" s="15" t="str">
        <f>IF(COUNTIFS(Master_PIC!$A$8:$A$73,$B300)=1,IF(VLOOKUP($B300,Master_PIC!$A$8:$G$73,2,FALSE)="","",VLOOKUP($B300,Master_PIC!$A$8:$G$73,2,FALSE)),"")</f>
        <v/>
      </c>
      <c r="D300" s="15" t="str">
        <f>IF(COUNTIFS(Master_PIC!$A$8:$A$73,$B300)=1,IF(VLOOKUP($B300,Master_PIC!$A$8:$G$73,4,FALSE)="","",VLOOKUP($B300,Master_PIC!$A$8:$G$73,4,FALSE)),"")</f>
        <v/>
      </c>
      <c r="E300" s="15" t="str">
        <f>IF(COUNTIFS(Master_PIC!$A$8:$A$73,$B300)=1,IF(VLOOKUP($B300,Master_PIC!$A$8:$G$73,5,FALSE)="","",VLOOKUP($B300,Master_PIC!$A$8:$G$73,5,FALSE)),"")</f>
        <v/>
      </c>
      <c r="F300" s="15" t="str">
        <f>IF(COUNTIFS(Master_PIC!$A$8:$A$73,$B300)=1,IF(VLOOKUP($B300,Master_PIC!$A$8:$G$73,6,FALSE)="","",VLOOKUP($B300,Master_PIC!$A$8:$G$73,6,FALSE)),"")</f>
        <v/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8"/>
      <c r="Y300" s="5"/>
      <c r="Z300" s="5"/>
      <c r="AA300" s="9"/>
      <c r="AB300" s="5"/>
      <c r="AC300" s="5"/>
      <c r="AD300" s="9"/>
      <c r="AE300" s="5"/>
      <c r="AF300" s="7" t="str">
        <f t="shared" si="28"/>
        <v/>
      </c>
      <c r="AG300" s="7" t="str">
        <f t="shared" si="29"/>
        <v/>
      </c>
      <c r="AH300" s="7" t="str">
        <f t="shared" si="30"/>
        <v/>
      </c>
      <c r="AI300" s="7" t="str">
        <f t="shared" si="31"/>
        <v/>
      </c>
      <c r="AJ300" s="7" t="str">
        <f t="shared" si="32"/>
        <v/>
      </c>
      <c r="AK300" s="7" t="str">
        <f t="shared" si="33"/>
        <v/>
      </c>
      <c r="AL300" s="10" t="str">
        <f t="shared" si="34"/>
        <v/>
      </c>
      <c r="AM300" s="15" t="str">
        <f>IF(OR($A300&lt;&gt;"",$B300&lt;&gt;""),IF(OR($A300="",$B300=""),"Isi tanggal dan ID PIC",IF(NOT(ISNUMBER($A300)),"Tanggal harus berupa tanggal Excel",IF(COUNTIFS(Master_PIC!$A$8:$A$73,$B300)&lt;&gt;1,"ID PIC tidak unik/terdaftar",IF(VLOOKUP($B300,Master_PIC!$A$8:$G$73,3,FALSE)&lt;&gt;"Sales","Jabatan tidak sesuai sheet",IF(OR($C300="",$D300="",$E300="",$F300=""),"Lengkapi master PIC",IF(COUNTIFS($A$8:$A$507,$A300,$B$8:$B$507,$B300)&gt;1,"Laporan ganda",IF(COUNTIFS(G300:P300,"Tidak Berlaku")&gt;0,"N/A hanya untuk kegiatan bersyarat",IF(SUM(AG300,AH300,AI300,AJ300,AK300)&lt;&gt;14,"Status kegiatan tidak valid",IF(AK300&gt;0,"Lengkapi status kegiatan",IF(AND(AJ300&gt;0,U300=""),"Isi alasan Tidak Berlaku",IF(AND(SUM(AH300,AI300)&gt;0,OR(U300="",V300="",W300="",X300="")),"Isi kendala dan tindak lanjut",IF(AND(Z300&lt;&gt;"Draft",Z300&lt;&gt;"Dikirim"),"Isi status laporan yang valid",IF(AND(AB300&lt;&gt;"",AB300&lt;&gt;"Belum Diperiksa",AB300&lt;&gt;"Disetujui",AB300&lt;&gt;"Perlu Perbaikan"),"Hasil review tidak valid",IF(AND(Z300="Dikirim",OR(Y300="",AA300="")),"Isi bukti dan waktu kirim",IF(AND(AB300="Disetujui",OR(Z300&lt;&gt;"Dikirim",AC300="",AD300="")),"Lengkapi pemeriksaan",IF(AND(AB300="Perlu Perbaikan",OR(AE300="",AC300="",AD300="")),"Isi pemeriksa dan catatan perbaikan","OK")))))))))))))))),"")</f>
        <v/>
      </c>
    </row>
    <row r="301" spans="1:39" ht="24.95" customHeight="1">
      <c r="A301" s="8"/>
      <c r="B301" s="6"/>
      <c r="C301" s="15" t="str">
        <f>IF(COUNTIFS(Master_PIC!$A$8:$A$73,$B301)=1,IF(VLOOKUP($B301,Master_PIC!$A$8:$G$73,2,FALSE)="","",VLOOKUP($B301,Master_PIC!$A$8:$G$73,2,FALSE)),"")</f>
        <v/>
      </c>
      <c r="D301" s="15" t="str">
        <f>IF(COUNTIFS(Master_PIC!$A$8:$A$73,$B301)=1,IF(VLOOKUP($B301,Master_PIC!$A$8:$G$73,4,FALSE)="","",VLOOKUP($B301,Master_PIC!$A$8:$G$73,4,FALSE)),"")</f>
        <v/>
      </c>
      <c r="E301" s="15" t="str">
        <f>IF(COUNTIFS(Master_PIC!$A$8:$A$73,$B301)=1,IF(VLOOKUP($B301,Master_PIC!$A$8:$G$73,5,FALSE)="","",VLOOKUP($B301,Master_PIC!$A$8:$G$73,5,FALSE)),"")</f>
        <v/>
      </c>
      <c r="F301" s="15" t="str">
        <f>IF(COUNTIFS(Master_PIC!$A$8:$A$73,$B301)=1,IF(VLOOKUP($B301,Master_PIC!$A$8:$G$73,6,FALSE)="","",VLOOKUP($B301,Master_PIC!$A$8:$G$73,6,FALSE)),"")</f>
        <v/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8"/>
      <c r="Y301" s="5"/>
      <c r="Z301" s="5"/>
      <c r="AA301" s="9"/>
      <c r="AB301" s="5"/>
      <c r="AC301" s="5"/>
      <c r="AD301" s="9"/>
      <c r="AE301" s="5"/>
      <c r="AF301" s="7" t="str">
        <f t="shared" si="28"/>
        <v/>
      </c>
      <c r="AG301" s="7" t="str">
        <f t="shared" si="29"/>
        <v/>
      </c>
      <c r="AH301" s="7" t="str">
        <f t="shared" si="30"/>
        <v/>
      </c>
      <c r="AI301" s="7" t="str">
        <f t="shared" si="31"/>
        <v/>
      </c>
      <c r="AJ301" s="7" t="str">
        <f t="shared" si="32"/>
        <v/>
      </c>
      <c r="AK301" s="7" t="str">
        <f t="shared" si="33"/>
        <v/>
      </c>
      <c r="AL301" s="10" t="str">
        <f t="shared" si="34"/>
        <v/>
      </c>
      <c r="AM301" s="15" t="str">
        <f>IF(OR($A301&lt;&gt;"",$B301&lt;&gt;""),IF(OR($A301="",$B301=""),"Isi tanggal dan ID PIC",IF(NOT(ISNUMBER($A301)),"Tanggal harus berupa tanggal Excel",IF(COUNTIFS(Master_PIC!$A$8:$A$73,$B301)&lt;&gt;1,"ID PIC tidak unik/terdaftar",IF(VLOOKUP($B301,Master_PIC!$A$8:$G$73,3,FALSE)&lt;&gt;"Sales","Jabatan tidak sesuai sheet",IF(OR($C301="",$D301="",$E301="",$F301=""),"Lengkapi master PIC",IF(COUNTIFS($A$8:$A$507,$A301,$B$8:$B$507,$B301)&gt;1,"Laporan ganda",IF(COUNTIFS(G301:P301,"Tidak Berlaku")&gt;0,"N/A hanya untuk kegiatan bersyarat",IF(SUM(AG301,AH301,AI301,AJ301,AK301)&lt;&gt;14,"Status kegiatan tidak valid",IF(AK301&gt;0,"Lengkapi status kegiatan",IF(AND(AJ301&gt;0,U301=""),"Isi alasan Tidak Berlaku",IF(AND(SUM(AH301,AI301)&gt;0,OR(U301="",V301="",W301="",X301="")),"Isi kendala dan tindak lanjut",IF(AND(Z301&lt;&gt;"Draft",Z301&lt;&gt;"Dikirim"),"Isi status laporan yang valid",IF(AND(AB301&lt;&gt;"",AB301&lt;&gt;"Belum Diperiksa",AB301&lt;&gt;"Disetujui",AB301&lt;&gt;"Perlu Perbaikan"),"Hasil review tidak valid",IF(AND(Z301="Dikirim",OR(Y301="",AA301="")),"Isi bukti dan waktu kirim",IF(AND(AB301="Disetujui",OR(Z301&lt;&gt;"Dikirim",AC301="",AD301="")),"Lengkapi pemeriksaan",IF(AND(AB301="Perlu Perbaikan",OR(AE301="",AC301="",AD301="")),"Isi pemeriksa dan catatan perbaikan","OK")))))))))))))))),"")</f>
        <v/>
      </c>
    </row>
    <row r="302" spans="1:39" ht="24.95" customHeight="1">
      <c r="A302" s="8"/>
      <c r="B302" s="6"/>
      <c r="C302" s="15" t="str">
        <f>IF(COUNTIFS(Master_PIC!$A$8:$A$73,$B302)=1,IF(VLOOKUP($B302,Master_PIC!$A$8:$G$73,2,FALSE)="","",VLOOKUP($B302,Master_PIC!$A$8:$G$73,2,FALSE)),"")</f>
        <v/>
      </c>
      <c r="D302" s="15" t="str">
        <f>IF(COUNTIFS(Master_PIC!$A$8:$A$73,$B302)=1,IF(VLOOKUP($B302,Master_PIC!$A$8:$G$73,4,FALSE)="","",VLOOKUP($B302,Master_PIC!$A$8:$G$73,4,FALSE)),"")</f>
        <v/>
      </c>
      <c r="E302" s="15" t="str">
        <f>IF(COUNTIFS(Master_PIC!$A$8:$A$73,$B302)=1,IF(VLOOKUP($B302,Master_PIC!$A$8:$G$73,5,FALSE)="","",VLOOKUP($B302,Master_PIC!$A$8:$G$73,5,FALSE)),"")</f>
        <v/>
      </c>
      <c r="F302" s="15" t="str">
        <f>IF(COUNTIFS(Master_PIC!$A$8:$A$73,$B302)=1,IF(VLOOKUP($B302,Master_PIC!$A$8:$G$73,6,FALSE)="","",VLOOKUP($B302,Master_PIC!$A$8:$G$73,6,FALSE)),"")</f>
        <v/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8"/>
      <c r="Y302" s="5"/>
      <c r="Z302" s="5"/>
      <c r="AA302" s="9"/>
      <c r="AB302" s="5"/>
      <c r="AC302" s="5"/>
      <c r="AD302" s="9"/>
      <c r="AE302" s="5"/>
      <c r="AF302" s="7" t="str">
        <f t="shared" si="28"/>
        <v/>
      </c>
      <c r="AG302" s="7" t="str">
        <f t="shared" si="29"/>
        <v/>
      </c>
      <c r="AH302" s="7" t="str">
        <f t="shared" si="30"/>
        <v/>
      </c>
      <c r="AI302" s="7" t="str">
        <f t="shared" si="31"/>
        <v/>
      </c>
      <c r="AJ302" s="7" t="str">
        <f t="shared" si="32"/>
        <v/>
      </c>
      <c r="AK302" s="7" t="str">
        <f t="shared" si="33"/>
        <v/>
      </c>
      <c r="AL302" s="10" t="str">
        <f t="shared" si="34"/>
        <v/>
      </c>
      <c r="AM302" s="15" t="str">
        <f>IF(OR($A302&lt;&gt;"",$B302&lt;&gt;""),IF(OR($A302="",$B302=""),"Isi tanggal dan ID PIC",IF(NOT(ISNUMBER($A302)),"Tanggal harus berupa tanggal Excel",IF(COUNTIFS(Master_PIC!$A$8:$A$73,$B302)&lt;&gt;1,"ID PIC tidak unik/terdaftar",IF(VLOOKUP($B302,Master_PIC!$A$8:$G$73,3,FALSE)&lt;&gt;"Sales","Jabatan tidak sesuai sheet",IF(OR($C302="",$D302="",$E302="",$F302=""),"Lengkapi master PIC",IF(COUNTIFS($A$8:$A$507,$A302,$B$8:$B$507,$B302)&gt;1,"Laporan ganda",IF(COUNTIFS(G302:P302,"Tidak Berlaku")&gt;0,"N/A hanya untuk kegiatan bersyarat",IF(SUM(AG302,AH302,AI302,AJ302,AK302)&lt;&gt;14,"Status kegiatan tidak valid",IF(AK302&gt;0,"Lengkapi status kegiatan",IF(AND(AJ302&gt;0,U302=""),"Isi alasan Tidak Berlaku",IF(AND(SUM(AH302,AI302)&gt;0,OR(U302="",V302="",W302="",X302="")),"Isi kendala dan tindak lanjut",IF(AND(Z302&lt;&gt;"Draft",Z302&lt;&gt;"Dikirim"),"Isi status laporan yang valid",IF(AND(AB302&lt;&gt;"",AB302&lt;&gt;"Belum Diperiksa",AB302&lt;&gt;"Disetujui",AB302&lt;&gt;"Perlu Perbaikan"),"Hasil review tidak valid",IF(AND(Z302="Dikirim",OR(Y302="",AA302="")),"Isi bukti dan waktu kirim",IF(AND(AB302="Disetujui",OR(Z302&lt;&gt;"Dikirim",AC302="",AD302="")),"Lengkapi pemeriksaan",IF(AND(AB302="Perlu Perbaikan",OR(AE302="",AC302="",AD302="")),"Isi pemeriksa dan catatan perbaikan","OK")))))))))))))))),"")</f>
        <v/>
      </c>
    </row>
    <row r="303" spans="1:39" ht="24.95" customHeight="1">
      <c r="A303" s="8"/>
      <c r="B303" s="6"/>
      <c r="C303" s="15" t="str">
        <f>IF(COUNTIFS(Master_PIC!$A$8:$A$73,$B303)=1,IF(VLOOKUP($B303,Master_PIC!$A$8:$G$73,2,FALSE)="","",VLOOKUP($B303,Master_PIC!$A$8:$G$73,2,FALSE)),"")</f>
        <v/>
      </c>
      <c r="D303" s="15" t="str">
        <f>IF(COUNTIFS(Master_PIC!$A$8:$A$73,$B303)=1,IF(VLOOKUP($B303,Master_PIC!$A$8:$G$73,4,FALSE)="","",VLOOKUP($B303,Master_PIC!$A$8:$G$73,4,FALSE)),"")</f>
        <v/>
      </c>
      <c r="E303" s="15" t="str">
        <f>IF(COUNTIFS(Master_PIC!$A$8:$A$73,$B303)=1,IF(VLOOKUP($B303,Master_PIC!$A$8:$G$73,5,FALSE)="","",VLOOKUP($B303,Master_PIC!$A$8:$G$73,5,FALSE)),"")</f>
        <v/>
      </c>
      <c r="F303" s="15" t="str">
        <f>IF(COUNTIFS(Master_PIC!$A$8:$A$73,$B303)=1,IF(VLOOKUP($B303,Master_PIC!$A$8:$G$73,6,FALSE)="","",VLOOKUP($B303,Master_PIC!$A$8:$G$73,6,FALSE)),"")</f>
        <v/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8"/>
      <c r="Y303" s="5"/>
      <c r="Z303" s="5"/>
      <c r="AA303" s="9"/>
      <c r="AB303" s="5"/>
      <c r="AC303" s="5"/>
      <c r="AD303" s="9"/>
      <c r="AE303" s="5"/>
      <c r="AF303" s="7" t="str">
        <f t="shared" si="28"/>
        <v/>
      </c>
      <c r="AG303" s="7" t="str">
        <f t="shared" si="29"/>
        <v/>
      </c>
      <c r="AH303" s="7" t="str">
        <f t="shared" si="30"/>
        <v/>
      </c>
      <c r="AI303" s="7" t="str">
        <f t="shared" si="31"/>
        <v/>
      </c>
      <c r="AJ303" s="7" t="str">
        <f t="shared" si="32"/>
        <v/>
      </c>
      <c r="AK303" s="7" t="str">
        <f t="shared" si="33"/>
        <v/>
      </c>
      <c r="AL303" s="10" t="str">
        <f t="shared" si="34"/>
        <v/>
      </c>
      <c r="AM303" s="15" t="str">
        <f>IF(OR($A303&lt;&gt;"",$B303&lt;&gt;""),IF(OR($A303="",$B303=""),"Isi tanggal dan ID PIC",IF(NOT(ISNUMBER($A303)),"Tanggal harus berupa tanggal Excel",IF(COUNTIFS(Master_PIC!$A$8:$A$73,$B303)&lt;&gt;1,"ID PIC tidak unik/terdaftar",IF(VLOOKUP($B303,Master_PIC!$A$8:$G$73,3,FALSE)&lt;&gt;"Sales","Jabatan tidak sesuai sheet",IF(OR($C303="",$D303="",$E303="",$F303=""),"Lengkapi master PIC",IF(COUNTIFS($A$8:$A$507,$A303,$B$8:$B$507,$B303)&gt;1,"Laporan ganda",IF(COUNTIFS(G303:P303,"Tidak Berlaku")&gt;0,"N/A hanya untuk kegiatan bersyarat",IF(SUM(AG303,AH303,AI303,AJ303,AK303)&lt;&gt;14,"Status kegiatan tidak valid",IF(AK303&gt;0,"Lengkapi status kegiatan",IF(AND(AJ303&gt;0,U303=""),"Isi alasan Tidak Berlaku",IF(AND(SUM(AH303,AI303)&gt;0,OR(U303="",V303="",W303="",X303="")),"Isi kendala dan tindak lanjut",IF(AND(Z303&lt;&gt;"Draft",Z303&lt;&gt;"Dikirim"),"Isi status laporan yang valid",IF(AND(AB303&lt;&gt;"",AB303&lt;&gt;"Belum Diperiksa",AB303&lt;&gt;"Disetujui",AB303&lt;&gt;"Perlu Perbaikan"),"Hasil review tidak valid",IF(AND(Z303="Dikirim",OR(Y303="",AA303="")),"Isi bukti dan waktu kirim",IF(AND(AB303="Disetujui",OR(Z303&lt;&gt;"Dikirim",AC303="",AD303="")),"Lengkapi pemeriksaan",IF(AND(AB303="Perlu Perbaikan",OR(AE303="",AC303="",AD303="")),"Isi pemeriksa dan catatan perbaikan","OK")))))))))))))))),"")</f>
        <v/>
      </c>
    </row>
    <row r="304" spans="1:39" ht="24.95" customHeight="1">
      <c r="A304" s="8"/>
      <c r="B304" s="6"/>
      <c r="C304" s="15" t="str">
        <f>IF(COUNTIFS(Master_PIC!$A$8:$A$73,$B304)=1,IF(VLOOKUP($B304,Master_PIC!$A$8:$G$73,2,FALSE)="","",VLOOKUP($B304,Master_PIC!$A$8:$G$73,2,FALSE)),"")</f>
        <v/>
      </c>
      <c r="D304" s="15" t="str">
        <f>IF(COUNTIFS(Master_PIC!$A$8:$A$73,$B304)=1,IF(VLOOKUP($B304,Master_PIC!$A$8:$G$73,4,FALSE)="","",VLOOKUP($B304,Master_PIC!$A$8:$G$73,4,FALSE)),"")</f>
        <v/>
      </c>
      <c r="E304" s="15" t="str">
        <f>IF(COUNTIFS(Master_PIC!$A$8:$A$73,$B304)=1,IF(VLOOKUP($B304,Master_PIC!$A$8:$G$73,5,FALSE)="","",VLOOKUP($B304,Master_PIC!$A$8:$G$73,5,FALSE)),"")</f>
        <v/>
      </c>
      <c r="F304" s="15" t="str">
        <f>IF(COUNTIFS(Master_PIC!$A$8:$A$73,$B304)=1,IF(VLOOKUP($B304,Master_PIC!$A$8:$G$73,6,FALSE)="","",VLOOKUP($B304,Master_PIC!$A$8:$G$73,6,FALSE)),"")</f>
        <v/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8"/>
      <c r="Y304" s="5"/>
      <c r="Z304" s="5"/>
      <c r="AA304" s="9"/>
      <c r="AB304" s="5"/>
      <c r="AC304" s="5"/>
      <c r="AD304" s="9"/>
      <c r="AE304" s="5"/>
      <c r="AF304" s="7" t="str">
        <f t="shared" si="28"/>
        <v/>
      </c>
      <c r="AG304" s="7" t="str">
        <f t="shared" si="29"/>
        <v/>
      </c>
      <c r="AH304" s="7" t="str">
        <f t="shared" si="30"/>
        <v/>
      </c>
      <c r="AI304" s="7" t="str">
        <f t="shared" si="31"/>
        <v/>
      </c>
      <c r="AJ304" s="7" t="str">
        <f t="shared" si="32"/>
        <v/>
      </c>
      <c r="AK304" s="7" t="str">
        <f t="shared" si="33"/>
        <v/>
      </c>
      <c r="AL304" s="10" t="str">
        <f t="shared" si="34"/>
        <v/>
      </c>
      <c r="AM304" s="15" t="str">
        <f>IF(OR($A304&lt;&gt;"",$B304&lt;&gt;""),IF(OR($A304="",$B304=""),"Isi tanggal dan ID PIC",IF(NOT(ISNUMBER($A304)),"Tanggal harus berupa tanggal Excel",IF(COUNTIFS(Master_PIC!$A$8:$A$73,$B304)&lt;&gt;1,"ID PIC tidak unik/terdaftar",IF(VLOOKUP($B304,Master_PIC!$A$8:$G$73,3,FALSE)&lt;&gt;"Sales","Jabatan tidak sesuai sheet",IF(OR($C304="",$D304="",$E304="",$F304=""),"Lengkapi master PIC",IF(COUNTIFS($A$8:$A$507,$A304,$B$8:$B$507,$B304)&gt;1,"Laporan ganda",IF(COUNTIFS(G304:P304,"Tidak Berlaku")&gt;0,"N/A hanya untuk kegiatan bersyarat",IF(SUM(AG304,AH304,AI304,AJ304,AK304)&lt;&gt;14,"Status kegiatan tidak valid",IF(AK304&gt;0,"Lengkapi status kegiatan",IF(AND(AJ304&gt;0,U304=""),"Isi alasan Tidak Berlaku",IF(AND(SUM(AH304,AI304)&gt;0,OR(U304="",V304="",W304="",X304="")),"Isi kendala dan tindak lanjut",IF(AND(Z304&lt;&gt;"Draft",Z304&lt;&gt;"Dikirim"),"Isi status laporan yang valid",IF(AND(AB304&lt;&gt;"",AB304&lt;&gt;"Belum Diperiksa",AB304&lt;&gt;"Disetujui",AB304&lt;&gt;"Perlu Perbaikan"),"Hasil review tidak valid",IF(AND(Z304="Dikirim",OR(Y304="",AA304="")),"Isi bukti dan waktu kirim",IF(AND(AB304="Disetujui",OR(Z304&lt;&gt;"Dikirim",AC304="",AD304="")),"Lengkapi pemeriksaan",IF(AND(AB304="Perlu Perbaikan",OR(AE304="",AC304="",AD304="")),"Isi pemeriksa dan catatan perbaikan","OK")))))))))))))))),"")</f>
        <v/>
      </c>
    </row>
    <row r="305" spans="1:39" ht="24.95" customHeight="1">
      <c r="A305" s="8"/>
      <c r="B305" s="6"/>
      <c r="C305" s="15" t="str">
        <f>IF(COUNTIFS(Master_PIC!$A$8:$A$73,$B305)=1,IF(VLOOKUP($B305,Master_PIC!$A$8:$G$73,2,FALSE)="","",VLOOKUP($B305,Master_PIC!$A$8:$G$73,2,FALSE)),"")</f>
        <v/>
      </c>
      <c r="D305" s="15" t="str">
        <f>IF(COUNTIFS(Master_PIC!$A$8:$A$73,$B305)=1,IF(VLOOKUP($B305,Master_PIC!$A$8:$G$73,4,FALSE)="","",VLOOKUP($B305,Master_PIC!$A$8:$G$73,4,FALSE)),"")</f>
        <v/>
      </c>
      <c r="E305" s="15" t="str">
        <f>IF(COUNTIFS(Master_PIC!$A$8:$A$73,$B305)=1,IF(VLOOKUP($B305,Master_PIC!$A$8:$G$73,5,FALSE)="","",VLOOKUP($B305,Master_PIC!$A$8:$G$73,5,FALSE)),"")</f>
        <v/>
      </c>
      <c r="F305" s="15" t="str">
        <f>IF(COUNTIFS(Master_PIC!$A$8:$A$73,$B305)=1,IF(VLOOKUP($B305,Master_PIC!$A$8:$G$73,6,FALSE)="","",VLOOKUP($B305,Master_PIC!$A$8:$G$73,6,FALSE)),"")</f>
        <v/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8"/>
      <c r="Y305" s="5"/>
      <c r="Z305" s="5"/>
      <c r="AA305" s="9"/>
      <c r="AB305" s="5"/>
      <c r="AC305" s="5"/>
      <c r="AD305" s="9"/>
      <c r="AE305" s="5"/>
      <c r="AF305" s="7" t="str">
        <f t="shared" si="28"/>
        <v/>
      </c>
      <c r="AG305" s="7" t="str">
        <f t="shared" si="29"/>
        <v/>
      </c>
      <c r="AH305" s="7" t="str">
        <f t="shared" si="30"/>
        <v/>
      </c>
      <c r="AI305" s="7" t="str">
        <f t="shared" si="31"/>
        <v/>
      </c>
      <c r="AJ305" s="7" t="str">
        <f t="shared" si="32"/>
        <v/>
      </c>
      <c r="AK305" s="7" t="str">
        <f t="shared" si="33"/>
        <v/>
      </c>
      <c r="AL305" s="10" t="str">
        <f t="shared" si="34"/>
        <v/>
      </c>
      <c r="AM305" s="15" t="str">
        <f>IF(OR($A305&lt;&gt;"",$B305&lt;&gt;""),IF(OR($A305="",$B305=""),"Isi tanggal dan ID PIC",IF(NOT(ISNUMBER($A305)),"Tanggal harus berupa tanggal Excel",IF(COUNTIFS(Master_PIC!$A$8:$A$73,$B305)&lt;&gt;1,"ID PIC tidak unik/terdaftar",IF(VLOOKUP($B305,Master_PIC!$A$8:$G$73,3,FALSE)&lt;&gt;"Sales","Jabatan tidak sesuai sheet",IF(OR($C305="",$D305="",$E305="",$F305=""),"Lengkapi master PIC",IF(COUNTIFS($A$8:$A$507,$A305,$B$8:$B$507,$B305)&gt;1,"Laporan ganda",IF(COUNTIFS(G305:P305,"Tidak Berlaku")&gt;0,"N/A hanya untuk kegiatan bersyarat",IF(SUM(AG305,AH305,AI305,AJ305,AK305)&lt;&gt;14,"Status kegiatan tidak valid",IF(AK305&gt;0,"Lengkapi status kegiatan",IF(AND(AJ305&gt;0,U305=""),"Isi alasan Tidak Berlaku",IF(AND(SUM(AH305,AI305)&gt;0,OR(U305="",V305="",W305="",X305="")),"Isi kendala dan tindak lanjut",IF(AND(Z305&lt;&gt;"Draft",Z305&lt;&gt;"Dikirim"),"Isi status laporan yang valid",IF(AND(AB305&lt;&gt;"",AB305&lt;&gt;"Belum Diperiksa",AB305&lt;&gt;"Disetujui",AB305&lt;&gt;"Perlu Perbaikan"),"Hasil review tidak valid",IF(AND(Z305="Dikirim",OR(Y305="",AA305="")),"Isi bukti dan waktu kirim",IF(AND(AB305="Disetujui",OR(Z305&lt;&gt;"Dikirim",AC305="",AD305="")),"Lengkapi pemeriksaan",IF(AND(AB305="Perlu Perbaikan",OR(AE305="",AC305="",AD305="")),"Isi pemeriksa dan catatan perbaikan","OK")))))))))))))))),"")</f>
        <v/>
      </c>
    </row>
    <row r="306" spans="1:39" ht="24.95" customHeight="1">
      <c r="A306" s="8"/>
      <c r="B306" s="6"/>
      <c r="C306" s="15" t="str">
        <f>IF(COUNTIFS(Master_PIC!$A$8:$A$73,$B306)=1,IF(VLOOKUP($B306,Master_PIC!$A$8:$G$73,2,FALSE)="","",VLOOKUP($B306,Master_PIC!$A$8:$G$73,2,FALSE)),"")</f>
        <v/>
      </c>
      <c r="D306" s="15" t="str">
        <f>IF(COUNTIFS(Master_PIC!$A$8:$A$73,$B306)=1,IF(VLOOKUP($B306,Master_PIC!$A$8:$G$73,4,FALSE)="","",VLOOKUP($B306,Master_PIC!$A$8:$G$73,4,FALSE)),"")</f>
        <v/>
      </c>
      <c r="E306" s="15" t="str">
        <f>IF(COUNTIFS(Master_PIC!$A$8:$A$73,$B306)=1,IF(VLOOKUP($B306,Master_PIC!$A$8:$G$73,5,FALSE)="","",VLOOKUP($B306,Master_PIC!$A$8:$G$73,5,FALSE)),"")</f>
        <v/>
      </c>
      <c r="F306" s="15" t="str">
        <f>IF(COUNTIFS(Master_PIC!$A$8:$A$73,$B306)=1,IF(VLOOKUP($B306,Master_PIC!$A$8:$G$73,6,FALSE)="","",VLOOKUP($B306,Master_PIC!$A$8:$G$73,6,FALSE)),"")</f>
        <v/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8"/>
      <c r="Y306" s="5"/>
      <c r="Z306" s="5"/>
      <c r="AA306" s="9"/>
      <c r="AB306" s="5"/>
      <c r="AC306" s="5"/>
      <c r="AD306" s="9"/>
      <c r="AE306" s="5"/>
      <c r="AF306" s="7" t="str">
        <f t="shared" si="28"/>
        <v/>
      </c>
      <c r="AG306" s="7" t="str">
        <f t="shared" si="29"/>
        <v/>
      </c>
      <c r="AH306" s="7" t="str">
        <f t="shared" si="30"/>
        <v/>
      </c>
      <c r="AI306" s="7" t="str">
        <f t="shared" si="31"/>
        <v/>
      </c>
      <c r="AJ306" s="7" t="str">
        <f t="shared" si="32"/>
        <v/>
      </c>
      <c r="AK306" s="7" t="str">
        <f t="shared" si="33"/>
        <v/>
      </c>
      <c r="AL306" s="10" t="str">
        <f t="shared" si="34"/>
        <v/>
      </c>
      <c r="AM306" s="15" t="str">
        <f>IF(OR($A306&lt;&gt;"",$B306&lt;&gt;""),IF(OR($A306="",$B306=""),"Isi tanggal dan ID PIC",IF(NOT(ISNUMBER($A306)),"Tanggal harus berupa tanggal Excel",IF(COUNTIFS(Master_PIC!$A$8:$A$73,$B306)&lt;&gt;1,"ID PIC tidak unik/terdaftar",IF(VLOOKUP($B306,Master_PIC!$A$8:$G$73,3,FALSE)&lt;&gt;"Sales","Jabatan tidak sesuai sheet",IF(OR($C306="",$D306="",$E306="",$F306=""),"Lengkapi master PIC",IF(COUNTIFS($A$8:$A$507,$A306,$B$8:$B$507,$B306)&gt;1,"Laporan ganda",IF(COUNTIFS(G306:P306,"Tidak Berlaku")&gt;0,"N/A hanya untuk kegiatan bersyarat",IF(SUM(AG306,AH306,AI306,AJ306,AK306)&lt;&gt;14,"Status kegiatan tidak valid",IF(AK306&gt;0,"Lengkapi status kegiatan",IF(AND(AJ306&gt;0,U306=""),"Isi alasan Tidak Berlaku",IF(AND(SUM(AH306,AI306)&gt;0,OR(U306="",V306="",W306="",X306="")),"Isi kendala dan tindak lanjut",IF(AND(Z306&lt;&gt;"Draft",Z306&lt;&gt;"Dikirim"),"Isi status laporan yang valid",IF(AND(AB306&lt;&gt;"",AB306&lt;&gt;"Belum Diperiksa",AB306&lt;&gt;"Disetujui",AB306&lt;&gt;"Perlu Perbaikan"),"Hasil review tidak valid",IF(AND(Z306="Dikirim",OR(Y306="",AA306="")),"Isi bukti dan waktu kirim",IF(AND(AB306="Disetujui",OR(Z306&lt;&gt;"Dikirim",AC306="",AD306="")),"Lengkapi pemeriksaan",IF(AND(AB306="Perlu Perbaikan",OR(AE306="",AC306="",AD306="")),"Isi pemeriksa dan catatan perbaikan","OK")))))))))))))))),"")</f>
        <v/>
      </c>
    </row>
    <row r="307" spans="1:39" ht="24.95" customHeight="1">
      <c r="A307" s="8"/>
      <c r="B307" s="6"/>
      <c r="C307" s="15" t="str">
        <f>IF(COUNTIFS(Master_PIC!$A$8:$A$73,$B307)=1,IF(VLOOKUP($B307,Master_PIC!$A$8:$G$73,2,FALSE)="","",VLOOKUP($B307,Master_PIC!$A$8:$G$73,2,FALSE)),"")</f>
        <v/>
      </c>
      <c r="D307" s="15" t="str">
        <f>IF(COUNTIFS(Master_PIC!$A$8:$A$73,$B307)=1,IF(VLOOKUP($B307,Master_PIC!$A$8:$G$73,4,FALSE)="","",VLOOKUP($B307,Master_PIC!$A$8:$G$73,4,FALSE)),"")</f>
        <v/>
      </c>
      <c r="E307" s="15" t="str">
        <f>IF(COUNTIFS(Master_PIC!$A$8:$A$73,$B307)=1,IF(VLOOKUP($B307,Master_PIC!$A$8:$G$73,5,FALSE)="","",VLOOKUP($B307,Master_PIC!$A$8:$G$73,5,FALSE)),"")</f>
        <v/>
      </c>
      <c r="F307" s="15" t="str">
        <f>IF(COUNTIFS(Master_PIC!$A$8:$A$73,$B307)=1,IF(VLOOKUP($B307,Master_PIC!$A$8:$G$73,6,FALSE)="","",VLOOKUP($B307,Master_PIC!$A$8:$G$73,6,FALSE)),"")</f>
        <v/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8"/>
      <c r="Y307" s="5"/>
      <c r="Z307" s="5"/>
      <c r="AA307" s="9"/>
      <c r="AB307" s="5"/>
      <c r="AC307" s="5"/>
      <c r="AD307" s="9"/>
      <c r="AE307" s="5"/>
      <c r="AF307" s="7" t="str">
        <f t="shared" si="28"/>
        <v/>
      </c>
      <c r="AG307" s="7" t="str">
        <f t="shared" si="29"/>
        <v/>
      </c>
      <c r="AH307" s="7" t="str">
        <f t="shared" si="30"/>
        <v/>
      </c>
      <c r="AI307" s="7" t="str">
        <f t="shared" si="31"/>
        <v/>
      </c>
      <c r="AJ307" s="7" t="str">
        <f t="shared" si="32"/>
        <v/>
      </c>
      <c r="AK307" s="7" t="str">
        <f t="shared" si="33"/>
        <v/>
      </c>
      <c r="AL307" s="10" t="str">
        <f t="shared" si="34"/>
        <v/>
      </c>
      <c r="AM307" s="15" t="str">
        <f>IF(OR($A307&lt;&gt;"",$B307&lt;&gt;""),IF(OR($A307="",$B307=""),"Isi tanggal dan ID PIC",IF(NOT(ISNUMBER($A307)),"Tanggal harus berupa tanggal Excel",IF(COUNTIFS(Master_PIC!$A$8:$A$73,$B307)&lt;&gt;1,"ID PIC tidak unik/terdaftar",IF(VLOOKUP($B307,Master_PIC!$A$8:$G$73,3,FALSE)&lt;&gt;"Sales","Jabatan tidak sesuai sheet",IF(OR($C307="",$D307="",$E307="",$F307=""),"Lengkapi master PIC",IF(COUNTIFS($A$8:$A$507,$A307,$B$8:$B$507,$B307)&gt;1,"Laporan ganda",IF(COUNTIFS(G307:P307,"Tidak Berlaku")&gt;0,"N/A hanya untuk kegiatan bersyarat",IF(SUM(AG307,AH307,AI307,AJ307,AK307)&lt;&gt;14,"Status kegiatan tidak valid",IF(AK307&gt;0,"Lengkapi status kegiatan",IF(AND(AJ307&gt;0,U307=""),"Isi alasan Tidak Berlaku",IF(AND(SUM(AH307,AI307)&gt;0,OR(U307="",V307="",W307="",X307="")),"Isi kendala dan tindak lanjut",IF(AND(Z307&lt;&gt;"Draft",Z307&lt;&gt;"Dikirim"),"Isi status laporan yang valid",IF(AND(AB307&lt;&gt;"",AB307&lt;&gt;"Belum Diperiksa",AB307&lt;&gt;"Disetujui",AB307&lt;&gt;"Perlu Perbaikan"),"Hasil review tidak valid",IF(AND(Z307="Dikirim",OR(Y307="",AA307="")),"Isi bukti dan waktu kirim",IF(AND(AB307="Disetujui",OR(Z307&lt;&gt;"Dikirim",AC307="",AD307="")),"Lengkapi pemeriksaan",IF(AND(AB307="Perlu Perbaikan",OR(AE307="",AC307="",AD307="")),"Isi pemeriksa dan catatan perbaikan","OK")))))))))))))))),"")</f>
        <v/>
      </c>
    </row>
    <row r="308" spans="1:39" ht="24.95" customHeight="1">
      <c r="A308" s="8"/>
      <c r="B308" s="6"/>
      <c r="C308" s="15" t="str">
        <f>IF(COUNTIFS(Master_PIC!$A$8:$A$73,$B308)=1,IF(VLOOKUP($B308,Master_PIC!$A$8:$G$73,2,FALSE)="","",VLOOKUP($B308,Master_PIC!$A$8:$G$73,2,FALSE)),"")</f>
        <v/>
      </c>
      <c r="D308" s="15" t="str">
        <f>IF(COUNTIFS(Master_PIC!$A$8:$A$73,$B308)=1,IF(VLOOKUP($B308,Master_PIC!$A$8:$G$73,4,FALSE)="","",VLOOKUP($B308,Master_PIC!$A$8:$G$73,4,FALSE)),"")</f>
        <v/>
      </c>
      <c r="E308" s="15" t="str">
        <f>IF(COUNTIFS(Master_PIC!$A$8:$A$73,$B308)=1,IF(VLOOKUP($B308,Master_PIC!$A$8:$G$73,5,FALSE)="","",VLOOKUP($B308,Master_PIC!$A$8:$G$73,5,FALSE)),"")</f>
        <v/>
      </c>
      <c r="F308" s="15" t="str">
        <f>IF(COUNTIFS(Master_PIC!$A$8:$A$73,$B308)=1,IF(VLOOKUP($B308,Master_PIC!$A$8:$G$73,6,FALSE)="","",VLOOKUP($B308,Master_PIC!$A$8:$G$73,6,FALSE)),"")</f>
        <v/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8"/>
      <c r="Y308" s="5"/>
      <c r="Z308" s="5"/>
      <c r="AA308" s="9"/>
      <c r="AB308" s="5"/>
      <c r="AC308" s="5"/>
      <c r="AD308" s="9"/>
      <c r="AE308" s="5"/>
      <c r="AF308" s="7" t="str">
        <f t="shared" si="28"/>
        <v/>
      </c>
      <c r="AG308" s="7" t="str">
        <f t="shared" si="29"/>
        <v/>
      </c>
      <c r="AH308" s="7" t="str">
        <f t="shared" si="30"/>
        <v/>
      </c>
      <c r="AI308" s="7" t="str">
        <f t="shared" si="31"/>
        <v/>
      </c>
      <c r="AJ308" s="7" t="str">
        <f t="shared" si="32"/>
        <v/>
      </c>
      <c r="AK308" s="7" t="str">
        <f t="shared" si="33"/>
        <v/>
      </c>
      <c r="AL308" s="10" t="str">
        <f t="shared" si="34"/>
        <v/>
      </c>
      <c r="AM308" s="15" t="str">
        <f>IF(OR($A308&lt;&gt;"",$B308&lt;&gt;""),IF(OR($A308="",$B308=""),"Isi tanggal dan ID PIC",IF(NOT(ISNUMBER($A308)),"Tanggal harus berupa tanggal Excel",IF(COUNTIFS(Master_PIC!$A$8:$A$73,$B308)&lt;&gt;1,"ID PIC tidak unik/terdaftar",IF(VLOOKUP($B308,Master_PIC!$A$8:$G$73,3,FALSE)&lt;&gt;"Sales","Jabatan tidak sesuai sheet",IF(OR($C308="",$D308="",$E308="",$F308=""),"Lengkapi master PIC",IF(COUNTIFS($A$8:$A$507,$A308,$B$8:$B$507,$B308)&gt;1,"Laporan ganda",IF(COUNTIFS(G308:P308,"Tidak Berlaku")&gt;0,"N/A hanya untuk kegiatan bersyarat",IF(SUM(AG308,AH308,AI308,AJ308,AK308)&lt;&gt;14,"Status kegiatan tidak valid",IF(AK308&gt;0,"Lengkapi status kegiatan",IF(AND(AJ308&gt;0,U308=""),"Isi alasan Tidak Berlaku",IF(AND(SUM(AH308,AI308)&gt;0,OR(U308="",V308="",W308="",X308="")),"Isi kendala dan tindak lanjut",IF(AND(Z308&lt;&gt;"Draft",Z308&lt;&gt;"Dikirim"),"Isi status laporan yang valid",IF(AND(AB308&lt;&gt;"",AB308&lt;&gt;"Belum Diperiksa",AB308&lt;&gt;"Disetujui",AB308&lt;&gt;"Perlu Perbaikan"),"Hasil review tidak valid",IF(AND(Z308="Dikirim",OR(Y308="",AA308="")),"Isi bukti dan waktu kirim",IF(AND(AB308="Disetujui",OR(Z308&lt;&gt;"Dikirim",AC308="",AD308="")),"Lengkapi pemeriksaan",IF(AND(AB308="Perlu Perbaikan",OR(AE308="",AC308="",AD308="")),"Isi pemeriksa dan catatan perbaikan","OK")))))))))))))))),"")</f>
        <v/>
      </c>
    </row>
    <row r="309" spans="1:39" ht="24.95" customHeight="1">
      <c r="A309" s="8"/>
      <c r="B309" s="6"/>
      <c r="C309" s="15" t="str">
        <f>IF(COUNTIFS(Master_PIC!$A$8:$A$73,$B309)=1,IF(VLOOKUP($B309,Master_PIC!$A$8:$G$73,2,FALSE)="","",VLOOKUP($B309,Master_PIC!$A$8:$G$73,2,FALSE)),"")</f>
        <v/>
      </c>
      <c r="D309" s="15" t="str">
        <f>IF(COUNTIFS(Master_PIC!$A$8:$A$73,$B309)=1,IF(VLOOKUP($B309,Master_PIC!$A$8:$G$73,4,FALSE)="","",VLOOKUP($B309,Master_PIC!$A$8:$G$73,4,FALSE)),"")</f>
        <v/>
      </c>
      <c r="E309" s="15" t="str">
        <f>IF(COUNTIFS(Master_PIC!$A$8:$A$73,$B309)=1,IF(VLOOKUP($B309,Master_PIC!$A$8:$G$73,5,FALSE)="","",VLOOKUP($B309,Master_PIC!$A$8:$G$73,5,FALSE)),"")</f>
        <v/>
      </c>
      <c r="F309" s="15" t="str">
        <f>IF(COUNTIFS(Master_PIC!$A$8:$A$73,$B309)=1,IF(VLOOKUP($B309,Master_PIC!$A$8:$G$73,6,FALSE)="","",VLOOKUP($B309,Master_PIC!$A$8:$G$73,6,FALSE)),"")</f>
        <v/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8"/>
      <c r="Y309" s="5"/>
      <c r="Z309" s="5"/>
      <c r="AA309" s="9"/>
      <c r="AB309" s="5"/>
      <c r="AC309" s="5"/>
      <c r="AD309" s="9"/>
      <c r="AE309" s="5"/>
      <c r="AF309" s="7" t="str">
        <f t="shared" si="28"/>
        <v/>
      </c>
      <c r="AG309" s="7" t="str">
        <f t="shared" si="29"/>
        <v/>
      </c>
      <c r="AH309" s="7" t="str">
        <f t="shared" si="30"/>
        <v/>
      </c>
      <c r="AI309" s="7" t="str">
        <f t="shared" si="31"/>
        <v/>
      </c>
      <c r="AJ309" s="7" t="str">
        <f t="shared" si="32"/>
        <v/>
      </c>
      <c r="AK309" s="7" t="str">
        <f t="shared" si="33"/>
        <v/>
      </c>
      <c r="AL309" s="10" t="str">
        <f t="shared" si="34"/>
        <v/>
      </c>
      <c r="AM309" s="15" t="str">
        <f>IF(OR($A309&lt;&gt;"",$B309&lt;&gt;""),IF(OR($A309="",$B309=""),"Isi tanggal dan ID PIC",IF(NOT(ISNUMBER($A309)),"Tanggal harus berupa tanggal Excel",IF(COUNTIFS(Master_PIC!$A$8:$A$73,$B309)&lt;&gt;1,"ID PIC tidak unik/terdaftar",IF(VLOOKUP($B309,Master_PIC!$A$8:$G$73,3,FALSE)&lt;&gt;"Sales","Jabatan tidak sesuai sheet",IF(OR($C309="",$D309="",$E309="",$F309=""),"Lengkapi master PIC",IF(COUNTIFS($A$8:$A$507,$A309,$B$8:$B$507,$B309)&gt;1,"Laporan ganda",IF(COUNTIFS(G309:P309,"Tidak Berlaku")&gt;0,"N/A hanya untuk kegiatan bersyarat",IF(SUM(AG309,AH309,AI309,AJ309,AK309)&lt;&gt;14,"Status kegiatan tidak valid",IF(AK309&gt;0,"Lengkapi status kegiatan",IF(AND(AJ309&gt;0,U309=""),"Isi alasan Tidak Berlaku",IF(AND(SUM(AH309,AI309)&gt;0,OR(U309="",V309="",W309="",X309="")),"Isi kendala dan tindak lanjut",IF(AND(Z309&lt;&gt;"Draft",Z309&lt;&gt;"Dikirim"),"Isi status laporan yang valid",IF(AND(AB309&lt;&gt;"",AB309&lt;&gt;"Belum Diperiksa",AB309&lt;&gt;"Disetujui",AB309&lt;&gt;"Perlu Perbaikan"),"Hasil review tidak valid",IF(AND(Z309="Dikirim",OR(Y309="",AA309="")),"Isi bukti dan waktu kirim",IF(AND(AB309="Disetujui",OR(Z309&lt;&gt;"Dikirim",AC309="",AD309="")),"Lengkapi pemeriksaan",IF(AND(AB309="Perlu Perbaikan",OR(AE309="",AC309="",AD309="")),"Isi pemeriksa dan catatan perbaikan","OK")))))))))))))))),"")</f>
        <v/>
      </c>
    </row>
    <row r="310" spans="1:39" ht="24.95" customHeight="1">
      <c r="A310" s="8"/>
      <c r="B310" s="6"/>
      <c r="C310" s="15" t="str">
        <f>IF(COUNTIFS(Master_PIC!$A$8:$A$73,$B310)=1,IF(VLOOKUP($B310,Master_PIC!$A$8:$G$73,2,FALSE)="","",VLOOKUP($B310,Master_PIC!$A$8:$G$73,2,FALSE)),"")</f>
        <v/>
      </c>
      <c r="D310" s="15" t="str">
        <f>IF(COUNTIFS(Master_PIC!$A$8:$A$73,$B310)=1,IF(VLOOKUP($B310,Master_PIC!$A$8:$G$73,4,FALSE)="","",VLOOKUP($B310,Master_PIC!$A$8:$G$73,4,FALSE)),"")</f>
        <v/>
      </c>
      <c r="E310" s="15" t="str">
        <f>IF(COUNTIFS(Master_PIC!$A$8:$A$73,$B310)=1,IF(VLOOKUP($B310,Master_PIC!$A$8:$G$73,5,FALSE)="","",VLOOKUP($B310,Master_PIC!$A$8:$G$73,5,FALSE)),"")</f>
        <v/>
      </c>
      <c r="F310" s="15" t="str">
        <f>IF(COUNTIFS(Master_PIC!$A$8:$A$73,$B310)=1,IF(VLOOKUP($B310,Master_PIC!$A$8:$G$73,6,FALSE)="","",VLOOKUP($B310,Master_PIC!$A$8:$G$73,6,FALSE)),"")</f>
        <v/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8"/>
      <c r="Y310" s="5"/>
      <c r="Z310" s="5"/>
      <c r="AA310" s="9"/>
      <c r="AB310" s="5"/>
      <c r="AC310" s="5"/>
      <c r="AD310" s="9"/>
      <c r="AE310" s="5"/>
      <c r="AF310" s="7" t="str">
        <f t="shared" si="28"/>
        <v/>
      </c>
      <c r="AG310" s="7" t="str">
        <f t="shared" si="29"/>
        <v/>
      </c>
      <c r="AH310" s="7" t="str">
        <f t="shared" si="30"/>
        <v/>
      </c>
      <c r="AI310" s="7" t="str">
        <f t="shared" si="31"/>
        <v/>
      </c>
      <c r="AJ310" s="7" t="str">
        <f t="shared" si="32"/>
        <v/>
      </c>
      <c r="AK310" s="7" t="str">
        <f t="shared" si="33"/>
        <v/>
      </c>
      <c r="AL310" s="10" t="str">
        <f t="shared" si="34"/>
        <v/>
      </c>
      <c r="AM310" s="15" t="str">
        <f>IF(OR($A310&lt;&gt;"",$B310&lt;&gt;""),IF(OR($A310="",$B310=""),"Isi tanggal dan ID PIC",IF(NOT(ISNUMBER($A310)),"Tanggal harus berupa tanggal Excel",IF(COUNTIFS(Master_PIC!$A$8:$A$73,$B310)&lt;&gt;1,"ID PIC tidak unik/terdaftar",IF(VLOOKUP($B310,Master_PIC!$A$8:$G$73,3,FALSE)&lt;&gt;"Sales","Jabatan tidak sesuai sheet",IF(OR($C310="",$D310="",$E310="",$F310=""),"Lengkapi master PIC",IF(COUNTIFS($A$8:$A$507,$A310,$B$8:$B$507,$B310)&gt;1,"Laporan ganda",IF(COUNTIFS(G310:P310,"Tidak Berlaku")&gt;0,"N/A hanya untuk kegiatan bersyarat",IF(SUM(AG310,AH310,AI310,AJ310,AK310)&lt;&gt;14,"Status kegiatan tidak valid",IF(AK310&gt;0,"Lengkapi status kegiatan",IF(AND(AJ310&gt;0,U310=""),"Isi alasan Tidak Berlaku",IF(AND(SUM(AH310,AI310)&gt;0,OR(U310="",V310="",W310="",X310="")),"Isi kendala dan tindak lanjut",IF(AND(Z310&lt;&gt;"Draft",Z310&lt;&gt;"Dikirim"),"Isi status laporan yang valid",IF(AND(AB310&lt;&gt;"",AB310&lt;&gt;"Belum Diperiksa",AB310&lt;&gt;"Disetujui",AB310&lt;&gt;"Perlu Perbaikan"),"Hasil review tidak valid",IF(AND(Z310="Dikirim",OR(Y310="",AA310="")),"Isi bukti dan waktu kirim",IF(AND(AB310="Disetujui",OR(Z310&lt;&gt;"Dikirim",AC310="",AD310="")),"Lengkapi pemeriksaan",IF(AND(AB310="Perlu Perbaikan",OR(AE310="",AC310="",AD310="")),"Isi pemeriksa dan catatan perbaikan","OK")))))))))))))))),"")</f>
        <v/>
      </c>
    </row>
    <row r="311" spans="1:39" ht="24.95" customHeight="1">
      <c r="A311" s="8"/>
      <c r="B311" s="6"/>
      <c r="C311" s="15" t="str">
        <f>IF(COUNTIFS(Master_PIC!$A$8:$A$73,$B311)=1,IF(VLOOKUP($B311,Master_PIC!$A$8:$G$73,2,FALSE)="","",VLOOKUP($B311,Master_PIC!$A$8:$G$73,2,FALSE)),"")</f>
        <v/>
      </c>
      <c r="D311" s="15" t="str">
        <f>IF(COUNTIFS(Master_PIC!$A$8:$A$73,$B311)=1,IF(VLOOKUP($B311,Master_PIC!$A$8:$G$73,4,FALSE)="","",VLOOKUP($B311,Master_PIC!$A$8:$G$73,4,FALSE)),"")</f>
        <v/>
      </c>
      <c r="E311" s="15" t="str">
        <f>IF(COUNTIFS(Master_PIC!$A$8:$A$73,$B311)=1,IF(VLOOKUP($B311,Master_PIC!$A$8:$G$73,5,FALSE)="","",VLOOKUP($B311,Master_PIC!$A$8:$G$73,5,FALSE)),"")</f>
        <v/>
      </c>
      <c r="F311" s="15" t="str">
        <f>IF(COUNTIFS(Master_PIC!$A$8:$A$73,$B311)=1,IF(VLOOKUP($B311,Master_PIC!$A$8:$G$73,6,FALSE)="","",VLOOKUP($B311,Master_PIC!$A$8:$G$73,6,FALSE)),"")</f>
        <v/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8"/>
      <c r="Y311" s="5"/>
      <c r="Z311" s="5"/>
      <c r="AA311" s="9"/>
      <c r="AB311" s="5"/>
      <c r="AC311" s="5"/>
      <c r="AD311" s="9"/>
      <c r="AE311" s="5"/>
      <c r="AF311" s="7" t="str">
        <f t="shared" si="28"/>
        <v/>
      </c>
      <c r="AG311" s="7" t="str">
        <f t="shared" si="29"/>
        <v/>
      </c>
      <c r="AH311" s="7" t="str">
        <f t="shared" si="30"/>
        <v/>
      </c>
      <c r="AI311" s="7" t="str">
        <f t="shared" si="31"/>
        <v/>
      </c>
      <c r="AJ311" s="7" t="str">
        <f t="shared" si="32"/>
        <v/>
      </c>
      <c r="AK311" s="7" t="str">
        <f t="shared" si="33"/>
        <v/>
      </c>
      <c r="AL311" s="10" t="str">
        <f t="shared" si="34"/>
        <v/>
      </c>
      <c r="AM311" s="15" t="str">
        <f>IF(OR($A311&lt;&gt;"",$B311&lt;&gt;""),IF(OR($A311="",$B311=""),"Isi tanggal dan ID PIC",IF(NOT(ISNUMBER($A311)),"Tanggal harus berupa tanggal Excel",IF(COUNTIFS(Master_PIC!$A$8:$A$73,$B311)&lt;&gt;1,"ID PIC tidak unik/terdaftar",IF(VLOOKUP($B311,Master_PIC!$A$8:$G$73,3,FALSE)&lt;&gt;"Sales","Jabatan tidak sesuai sheet",IF(OR($C311="",$D311="",$E311="",$F311=""),"Lengkapi master PIC",IF(COUNTIFS($A$8:$A$507,$A311,$B$8:$B$507,$B311)&gt;1,"Laporan ganda",IF(COUNTIFS(G311:P311,"Tidak Berlaku")&gt;0,"N/A hanya untuk kegiatan bersyarat",IF(SUM(AG311,AH311,AI311,AJ311,AK311)&lt;&gt;14,"Status kegiatan tidak valid",IF(AK311&gt;0,"Lengkapi status kegiatan",IF(AND(AJ311&gt;0,U311=""),"Isi alasan Tidak Berlaku",IF(AND(SUM(AH311,AI311)&gt;0,OR(U311="",V311="",W311="",X311="")),"Isi kendala dan tindak lanjut",IF(AND(Z311&lt;&gt;"Draft",Z311&lt;&gt;"Dikirim"),"Isi status laporan yang valid",IF(AND(AB311&lt;&gt;"",AB311&lt;&gt;"Belum Diperiksa",AB311&lt;&gt;"Disetujui",AB311&lt;&gt;"Perlu Perbaikan"),"Hasil review tidak valid",IF(AND(Z311="Dikirim",OR(Y311="",AA311="")),"Isi bukti dan waktu kirim",IF(AND(AB311="Disetujui",OR(Z311&lt;&gt;"Dikirim",AC311="",AD311="")),"Lengkapi pemeriksaan",IF(AND(AB311="Perlu Perbaikan",OR(AE311="",AC311="",AD311="")),"Isi pemeriksa dan catatan perbaikan","OK")))))))))))))))),"")</f>
        <v/>
      </c>
    </row>
    <row r="312" spans="1:39" ht="24.95" customHeight="1">
      <c r="A312" s="8"/>
      <c r="B312" s="6"/>
      <c r="C312" s="15" t="str">
        <f>IF(COUNTIFS(Master_PIC!$A$8:$A$73,$B312)=1,IF(VLOOKUP($B312,Master_PIC!$A$8:$G$73,2,FALSE)="","",VLOOKUP($B312,Master_PIC!$A$8:$G$73,2,FALSE)),"")</f>
        <v/>
      </c>
      <c r="D312" s="15" t="str">
        <f>IF(COUNTIFS(Master_PIC!$A$8:$A$73,$B312)=1,IF(VLOOKUP($B312,Master_PIC!$A$8:$G$73,4,FALSE)="","",VLOOKUP($B312,Master_PIC!$A$8:$G$73,4,FALSE)),"")</f>
        <v/>
      </c>
      <c r="E312" s="15" t="str">
        <f>IF(COUNTIFS(Master_PIC!$A$8:$A$73,$B312)=1,IF(VLOOKUP($B312,Master_PIC!$A$8:$G$73,5,FALSE)="","",VLOOKUP($B312,Master_PIC!$A$8:$G$73,5,FALSE)),"")</f>
        <v/>
      </c>
      <c r="F312" s="15" t="str">
        <f>IF(COUNTIFS(Master_PIC!$A$8:$A$73,$B312)=1,IF(VLOOKUP($B312,Master_PIC!$A$8:$G$73,6,FALSE)="","",VLOOKUP($B312,Master_PIC!$A$8:$G$73,6,FALSE)),"")</f>
        <v/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8"/>
      <c r="Y312" s="5"/>
      <c r="Z312" s="5"/>
      <c r="AA312" s="9"/>
      <c r="AB312" s="5"/>
      <c r="AC312" s="5"/>
      <c r="AD312" s="9"/>
      <c r="AE312" s="5"/>
      <c r="AF312" s="7" t="str">
        <f t="shared" si="28"/>
        <v/>
      </c>
      <c r="AG312" s="7" t="str">
        <f t="shared" si="29"/>
        <v/>
      </c>
      <c r="AH312" s="7" t="str">
        <f t="shared" si="30"/>
        <v/>
      </c>
      <c r="AI312" s="7" t="str">
        <f t="shared" si="31"/>
        <v/>
      </c>
      <c r="AJ312" s="7" t="str">
        <f t="shared" si="32"/>
        <v/>
      </c>
      <c r="AK312" s="7" t="str">
        <f t="shared" si="33"/>
        <v/>
      </c>
      <c r="AL312" s="10" t="str">
        <f t="shared" si="34"/>
        <v/>
      </c>
      <c r="AM312" s="15" t="str">
        <f>IF(OR($A312&lt;&gt;"",$B312&lt;&gt;""),IF(OR($A312="",$B312=""),"Isi tanggal dan ID PIC",IF(NOT(ISNUMBER($A312)),"Tanggal harus berupa tanggal Excel",IF(COUNTIFS(Master_PIC!$A$8:$A$73,$B312)&lt;&gt;1,"ID PIC tidak unik/terdaftar",IF(VLOOKUP($B312,Master_PIC!$A$8:$G$73,3,FALSE)&lt;&gt;"Sales","Jabatan tidak sesuai sheet",IF(OR($C312="",$D312="",$E312="",$F312=""),"Lengkapi master PIC",IF(COUNTIFS($A$8:$A$507,$A312,$B$8:$B$507,$B312)&gt;1,"Laporan ganda",IF(COUNTIFS(G312:P312,"Tidak Berlaku")&gt;0,"N/A hanya untuk kegiatan bersyarat",IF(SUM(AG312,AH312,AI312,AJ312,AK312)&lt;&gt;14,"Status kegiatan tidak valid",IF(AK312&gt;0,"Lengkapi status kegiatan",IF(AND(AJ312&gt;0,U312=""),"Isi alasan Tidak Berlaku",IF(AND(SUM(AH312,AI312)&gt;0,OR(U312="",V312="",W312="",X312="")),"Isi kendala dan tindak lanjut",IF(AND(Z312&lt;&gt;"Draft",Z312&lt;&gt;"Dikirim"),"Isi status laporan yang valid",IF(AND(AB312&lt;&gt;"",AB312&lt;&gt;"Belum Diperiksa",AB312&lt;&gt;"Disetujui",AB312&lt;&gt;"Perlu Perbaikan"),"Hasil review tidak valid",IF(AND(Z312="Dikirim",OR(Y312="",AA312="")),"Isi bukti dan waktu kirim",IF(AND(AB312="Disetujui",OR(Z312&lt;&gt;"Dikirim",AC312="",AD312="")),"Lengkapi pemeriksaan",IF(AND(AB312="Perlu Perbaikan",OR(AE312="",AC312="",AD312="")),"Isi pemeriksa dan catatan perbaikan","OK")))))))))))))))),"")</f>
        <v/>
      </c>
    </row>
    <row r="313" spans="1:39" ht="24.95" customHeight="1">
      <c r="A313" s="8"/>
      <c r="B313" s="6"/>
      <c r="C313" s="15" t="str">
        <f>IF(COUNTIFS(Master_PIC!$A$8:$A$73,$B313)=1,IF(VLOOKUP($B313,Master_PIC!$A$8:$G$73,2,FALSE)="","",VLOOKUP($B313,Master_PIC!$A$8:$G$73,2,FALSE)),"")</f>
        <v/>
      </c>
      <c r="D313" s="15" t="str">
        <f>IF(COUNTIFS(Master_PIC!$A$8:$A$73,$B313)=1,IF(VLOOKUP($B313,Master_PIC!$A$8:$G$73,4,FALSE)="","",VLOOKUP($B313,Master_PIC!$A$8:$G$73,4,FALSE)),"")</f>
        <v/>
      </c>
      <c r="E313" s="15" t="str">
        <f>IF(COUNTIFS(Master_PIC!$A$8:$A$73,$B313)=1,IF(VLOOKUP($B313,Master_PIC!$A$8:$G$73,5,FALSE)="","",VLOOKUP($B313,Master_PIC!$A$8:$G$73,5,FALSE)),"")</f>
        <v/>
      </c>
      <c r="F313" s="15" t="str">
        <f>IF(COUNTIFS(Master_PIC!$A$8:$A$73,$B313)=1,IF(VLOOKUP($B313,Master_PIC!$A$8:$G$73,6,FALSE)="","",VLOOKUP($B313,Master_PIC!$A$8:$G$73,6,FALSE)),"")</f>
        <v/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8"/>
      <c r="Y313" s="5"/>
      <c r="Z313" s="5"/>
      <c r="AA313" s="9"/>
      <c r="AB313" s="5"/>
      <c r="AC313" s="5"/>
      <c r="AD313" s="9"/>
      <c r="AE313" s="5"/>
      <c r="AF313" s="7" t="str">
        <f t="shared" si="28"/>
        <v/>
      </c>
      <c r="AG313" s="7" t="str">
        <f t="shared" si="29"/>
        <v/>
      </c>
      <c r="AH313" s="7" t="str">
        <f t="shared" si="30"/>
        <v/>
      </c>
      <c r="AI313" s="7" t="str">
        <f t="shared" si="31"/>
        <v/>
      </c>
      <c r="AJ313" s="7" t="str">
        <f t="shared" si="32"/>
        <v/>
      </c>
      <c r="AK313" s="7" t="str">
        <f t="shared" si="33"/>
        <v/>
      </c>
      <c r="AL313" s="10" t="str">
        <f t="shared" si="34"/>
        <v/>
      </c>
      <c r="AM313" s="15" t="str">
        <f>IF(OR($A313&lt;&gt;"",$B313&lt;&gt;""),IF(OR($A313="",$B313=""),"Isi tanggal dan ID PIC",IF(NOT(ISNUMBER($A313)),"Tanggal harus berupa tanggal Excel",IF(COUNTIFS(Master_PIC!$A$8:$A$73,$B313)&lt;&gt;1,"ID PIC tidak unik/terdaftar",IF(VLOOKUP($B313,Master_PIC!$A$8:$G$73,3,FALSE)&lt;&gt;"Sales","Jabatan tidak sesuai sheet",IF(OR($C313="",$D313="",$E313="",$F313=""),"Lengkapi master PIC",IF(COUNTIFS($A$8:$A$507,$A313,$B$8:$B$507,$B313)&gt;1,"Laporan ganda",IF(COUNTIFS(G313:P313,"Tidak Berlaku")&gt;0,"N/A hanya untuk kegiatan bersyarat",IF(SUM(AG313,AH313,AI313,AJ313,AK313)&lt;&gt;14,"Status kegiatan tidak valid",IF(AK313&gt;0,"Lengkapi status kegiatan",IF(AND(AJ313&gt;0,U313=""),"Isi alasan Tidak Berlaku",IF(AND(SUM(AH313,AI313)&gt;0,OR(U313="",V313="",W313="",X313="")),"Isi kendala dan tindak lanjut",IF(AND(Z313&lt;&gt;"Draft",Z313&lt;&gt;"Dikirim"),"Isi status laporan yang valid",IF(AND(AB313&lt;&gt;"",AB313&lt;&gt;"Belum Diperiksa",AB313&lt;&gt;"Disetujui",AB313&lt;&gt;"Perlu Perbaikan"),"Hasil review tidak valid",IF(AND(Z313="Dikirim",OR(Y313="",AA313="")),"Isi bukti dan waktu kirim",IF(AND(AB313="Disetujui",OR(Z313&lt;&gt;"Dikirim",AC313="",AD313="")),"Lengkapi pemeriksaan",IF(AND(AB313="Perlu Perbaikan",OR(AE313="",AC313="",AD313="")),"Isi pemeriksa dan catatan perbaikan","OK")))))))))))))))),"")</f>
        <v/>
      </c>
    </row>
    <row r="314" spans="1:39" ht="24.95" customHeight="1">
      <c r="A314" s="8"/>
      <c r="B314" s="6"/>
      <c r="C314" s="15" t="str">
        <f>IF(COUNTIFS(Master_PIC!$A$8:$A$73,$B314)=1,IF(VLOOKUP($B314,Master_PIC!$A$8:$G$73,2,FALSE)="","",VLOOKUP($B314,Master_PIC!$A$8:$G$73,2,FALSE)),"")</f>
        <v/>
      </c>
      <c r="D314" s="15" t="str">
        <f>IF(COUNTIFS(Master_PIC!$A$8:$A$73,$B314)=1,IF(VLOOKUP($B314,Master_PIC!$A$8:$G$73,4,FALSE)="","",VLOOKUP($B314,Master_PIC!$A$8:$G$73,4,FALSE)),"")</f>
        <v/>
      </c>
      <c r="E314" s="15" t="str">
        <f>IF(COUNTIFS(Master_PIC!$A$8:$A$73,$B314)=1,IF(VLOOKUP($B314,Master_PIC!$A$8:$G$73,5,FALSE)="","",VLOOKUP($B314,Master_PIC!$A$8:$G$73,5,FALSE)),"")</f>
        <v/>
      </c>
      <c r="F314" s="15" t="str">
        <f>IF(COUNTIFS(Master_PIC!$A$8:$A$73,$B314)=1,IF(VLOOKUP($B314,Master_PIC!$A$8:$G$73,6,FALSE)="","",VLOOKUP($B314,Master_PIC!$A$8:$G$73,6,FALSE)),"")</f>
        <v/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8"/>
      <c r="Y314" s="5"/>
      <c r="Z314" s="5"/>
      <c r="AA314" s="9"/>
      <c r="AB314" s="5"/>
      <c r="AC314" s="5"/>
      <c r="AD314" s="9"/>
      <c r="AE314" s="5"/>
      <c r="AF314" s="7" t="str">
        <f t="shared" si="28"/>
        <v/>
      </c>
      <c r="AG314" s="7" t="str">
        <f t="shared" si="29"/>
        <v/>
      </c>
      <c r="AH314" s="7" t="str">
        <f t="shared" si="30"/>
        <v/>
      </c>
      <c r="AI314" s="7" t="str">
        <f t="shared" si="31"/>
        <v/>
      </c>
      <c r="AJ314" s="7" t="str">
        <f t="shared" si="32"/>
        <v/>
      </c>
      <c r="AK314" s="7" t="str">
        <f t="shared" si="33"/>
        <v/>
      </c>
      <c r="AL314" s="10" t="str">
        <f t="shared" si="34"/>
        <v/>
      </c>
      <c r="AM314" s="15" t="str">
        <f>IF(OR($A314&lt;&gt;"",$B314&lt;&gt;""),IF(OR($A314="",$B314=""),"Isi tanggal dan ID PIC",IF(NOT(ISNUMBER($A314)),"Tanggal harus berupa tanggal Excel",IF(COUNTIFS(Master_PIC!$A$8:$A$73,$B314)&lt;&gt;1,"ID PIC tidak unik/terdaftar",IF(VLOOKUP($B314,Master_PIC!$A$8:$G$73,3,FALSE)&lt;&gt;"Sales","Jabatan tidak sesuai sheet",IF(OR($C314="",$D314="",$E314="",$F314=""),"Lengkapi master PIC",IF(COUNTIFS($A$8:$A$507,$A314,$B$8:$B$507,$B314)&gt;1,"Laporan ganda",IF(COUNTIFS(G314:P314,"Tidak Berlaku")&gt;0,"N/A hanya untuk kegiatan bersyarat",IF(SUM(AG314,AH314,AI314,AJ314,AK314)&lt;&gt;14,"Status kegiatan tidak valid",IF(AK314&gt;0,"Lengkapi status kegiatan",IF(AND(AJ314&gt;0,U314=""),"Isi alasan Tidak Berlaku",IF(AND(SUM(AH314,AI314)&gt;0,OR(U314="",V314="",W314="",X314="")),"Isi kendala dan tindak lanjut",IF(AND(Z314&lt;&gt;"Draft",Z314&lt;&gt;"Dikirim"),"Isi status laporan yang valid",IF(AND(AB314&lt;&gt;"",AB314&lt;&gt;"Belum Diperiksa",AB314&lt;&gt;"Disetujui",AB314&lt;&gt;"Perlu Perbaikan"),"Hasil review tidak valid",IF(AND(Z314="Dikirim",OR(Y314="",AA314="")),"Isi bukti dan waktu kirim",IF(AND(AB314="Disetujui",OR(Z314&lt;&gt;"Dikirim",AC314="",AD314="")),"Lengkapi pemeriksaan",IF(AND(AB314="Perlu Perbaikan",OR(AE314="",AC314="",AD314="")),"Isi pemeriksa dan catatan perbaikan","OK")))))))))))))))),"")</f>
        <v/>
      </c>
    </row>
    <row r="315" spans="1:39" ht="24.95" customHeight="1">
      <c r="A315" s="8"/>
      <c r="B315" s="6"/>
      <c r="C315" s="15" t="str">
        <f>IF(COUNTIFS(Master_PIC!$A$8:$A$73,$B315)=1,IF(VLOOKUP($B315,Master_PIC!$A$8:$G$73,2,FALSE)="","",VLOOKUP($B315,Master_PIC!$A$8:$G$73,2,FALSE)),"")</f>
        <v/>
      </c>
      <c r="D315" s="15" t="str">
        <f>IF(COUNTIFS(Master_PIC!$A$8:$A$73,$B315)=1,IF(VLOOKUP($B315,Master_PIC!$A$8:$G$73,4,FALSE)="","",VLOOKUP($B315,Master_PIC!$A$8:$G$73,4,FALSE)),"")</f>
        <v/>
      </c>
      <c r="E315" s="15" t="str">
        <f>IF(COUNTIFS(Master_PIC!$A$8:$A$73,$B315)=1,IF(VLOOKUP($B315,Master_PIC!$A$8:$G$73,5,FALSE)="","",VLOOKUP($B315,Master_PIC!$A$8:$G$73,5,FALSE)),"")</f>
        <v/>
      </c>
      <c r="F315" s="15" t="str">
        <f>IF(COUNTIFS(Master_PIC!$A$8:$A$73,$B315)=1,IF(VLOOKUP($B315,Master_PIC!$A$8:$G$73,6,FALSE)="","",VLOOKUP($B315,Master_PIC!$A$8:$G$73,6,FALSE)),"")</f>
        <v/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8"/>
      <c r="Y315" s="5"/>
      <c r="Z315" s="5"/>
      <c r="AA315" s="9"/>
      <c r="AB315" s="5"/>
      <c r="AC315" s="5"/>
      <c r="AD315" s="9"/>
      <c r="AE315" s="5"/>
      <c r="AF315" s="7" t="str">
        <f t="shared" si="28"/>
        <v/>
      </c>
      <c r="AG315" s="7" t="str">
        <f t="shared" si="29"/>
        <v/>
      </c>
      <c r="AH315" s="7" t="str">
        <f t="shared" si="30"/>
        <v/>
      </c>
      <c r="AI315" s="7" t="str">
        <f t="shared" si="31"/>
        <v/>
      </c>
      <c r="AJ315" s="7" t="str">
        <f t="shared" si="32"/>
        <v/>
      </c>
      <c r="AK315" s="7" t="str">
        <f t="shared" si="33"/>
        <v/>
      </c>
      <c r="AL315" s="10" t="str">
        <f t="shared" si="34"/>
        <v/>
      </c>
      <c r="AM315" s="15" t="str">
        <f>IF(OR($A315&lt;&gt;"",$B315&lt;&gt;""),IF(OR($A315="",$B315=""),"Isi tanggal dan ID PIC",IF(NOT(ISNUMBER($A315)),"Tanggal harus berupa tanggal Excel",IF(COUNTIFS(Master_PIC!$A$8:$A$73,$B315)&lt;&gt;1,"ID PIC tidak unik/terdaftar",IF(VLOOKUP($B315,Master_PIC!$A$8:$G$73,3,FALSE)&lt;&gt;"Sales","Jabatan tidak sesuai sheet",IF(OR($C315="",$D315="",$E315="",$F315=""),"Lengkapi master PIC",IF(COUNTIFS($A$8:$A$507,$A315,$B$8:$B$507,$B315)&gt;1,"Laporan ganda",IF(COUNTIFS(G315:P315,"Tidak Berlaku")&gt;0,"N/A hanya untuk kegiatan bersyarat",IF(SUM(AG315,AH315,AI315,AJ315,AK315)&lt;&gt;14,"Status kegiatan tidak valid",IF(AK315&gt;0,"Lengkapi status kegiatan",IF(AND(AJ315&gt;0,U315=""),"Isi alasan Tidak Berlaku",IF(AND(SUM(AH315,AI315)&gt;0,OR(U315="",V315="",W315="",X315="")),"Isi kendala dan tindak lanjut",IF(AND(Z315&lt;&gt;"Draft",Z315&lt;&gt;"Dikirim"),"Isi status laporan yang valid",IF(AND(AB315&lt;&gt;"",AB315&lt;&gt;"Belum Diperiksa",AB315&lt;&gt;"Disetujui",AB315&lt;&gt;"Perlu Perbaikan"),"Hasil review tidak valid",IF(AND(Z315="Dikirim",OR(Y315="",AA315="")),"Isi bukti dan waktu kirim",IF(AND(AB315="Disetujui",OR(Z315&lt;&gt;"Dikirim",AC315="",AD315="")),"Lengkapi pemeriksaan",IF(AND(AB315="Perlu Perbaikan",OR(AE315="",AC315="",AD315="")),"Isi pemeriksa dan catatan perbaikan","OK")))))))))))))))),"")</f>
        <v/>
      </c>
    </row>
    <row r="316" spans="1:39" ht="24.95" customHeight="1">
      <c r="A316" s="8"/>
      <c r="B316" s="6"/>
      <c r="C316" s="15" t="str">
        <f>IF(COUNTIFS(Master_PIC!$A$8:$A$73,$B316)=1,IF(VLOOKUP($B316,Master_PIC!$A$8:$G$73,2,FALSE)="","",VLOOKUP($B316,Master_PIC!$A$8:$G$73,2,FALSE)),"")</f>
        <v/>
      </c>
      <c r="D316" s="15" t="str">
        <f>IF(COUNTIFS(Master_PIC!$A$8:$A$73,$B316)=1,IF(VLOOKUP($B316,Master_PIC!$A$8:$G$73,4,FALSE)="","",VLOOKUP($B316,Master_PIC!$A$8:$G$73,4,FALSE)),"")</f>
        <v/>
      </c>
      <c r="E316" s="15" t="str">
        <f>IF(COUNTIFS(Master_PIC!$A$8:$A$73,$B316)=1,IF(VLOOKUP($B316,Master_PIC!$A$8:$G$73,5,FALSE)="","",VLOOKUP($B316,Master_PIC!$A$8:$G$73,5,FALSE)),"")</f>
        <v/>
      </c>
      <c r="F316" s="15" t="str">
        <f>IF(COUNTIFS(Master_PIC!$A$8:$A$73,$B316)=1,IF(VLOOKUP($B316,Master_PIC!$A$8:$G$73,6,FALSE)="","",VLOOKUP($B316,Master_PIC!$A$8:$G$73,6,FALSE)),"")</f>
        <v/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8"/>
      <c r="Y316" s="5"/>
      <c r="Z316" s="5"/>
      <c r="AA316" s="9"/>
      <c r="AB316" s="5"/>
      <c r="AC316" s="5"/>
      <c r="AD316" s="9"/>
      <c r="AE316" s="5"/>
      <c r="AF316" s="7" t="str">
        <f t="shared" si="28"/>
        <v/>
      </c>
      <c r="AG316" s="7" t="str">
        <f t="shared" si="29"/>
        <v/>
      </c>
      <c r="AH316" s="7" t="str">
        <f t="shared" si="30"/>
        <v/>
      </c>
      <c r="AI316" s="7" t="str">
        <f t="shared" si="31"/>
        <v/>
      </c>
      <c r="AJ316" s="7" t="str">
        <f t="shared" si="32"/>
        <v/>
      </c>
      <c r="AK316" s="7" t="str">
        <f t="shared" si="33"/>
        <v/>
      </c>
      <c r="AL316" s="10" t="str">
        <f t="shared" si="34"/>
        <v/>
      </c>
      <c r="AM316" s="15" t="str">
        <f>IF(OR($A316&lt;&gt;"",$B316&lt;&gt;""),IF(OR($A316="",$B316=""),"Isi tanggal dan ID PIC",IF(NOT(ISNUMBER($A316)),"Tanggal harus berupa tanggal Excel",IF(COUNTIFS(Master_PIC!$A$8:$A$73,$B316)&lt;&gt;1,"ID PIC tidak unik/terdaftar",IF(VLOOKUP($B316,Master_PIC!$A$8:$G$73,3,FALSE)&lt;&gt;"Sales","Jabatan tidak sesuai sheet",IF(OR($C316="",$D316="",$E316="",$F316=""),"Lengkapi master PIC",IF(COUNTIFS($A$8:$A$507,$A316,$B$8:$B$507,$B316)&gt;1,"Laporan ganda",IF(COUNTIFS(G316:P316,"Tidak Berlaku")&gt;0,"N/A hanya untuk kegiatan bersyarat",IF(SUM(AG316,AH316,AI316,AJ316,AK316)&lt;&gt;14,"Status kegiatan tidak valid",IF(AK316&gt;0,"Lengkapi status kegiatan",IF(AND(AJ316&gt;0,U316=""),"Isi alasan Tidak Berlaku",IF(AND(SUM(AH316,AI316)&gt;0,OR(U316="",V316="",W316="",X316="")),"Isi kendala dan tindak lanjut",IF(AND(Z316&lt;&gt;"Draft",Z316&lt;&gt;"Dikirim"),"Isi status laporan yang valid",IF(AND(AB316&lt;&gt;"",AB316&lt;&gt;"Belum Diperiksa",AB316&lt;&gt;"Disetujui",AB316&lt;&gt;"Perlu Perbaikan"),"Hasil review tidak valid",IF(AND(Z316="Dikirim",OR(Y316="",AA316="")),"Isi bukti dan waktu kirim",IF(AND(AB316="Disetujui",OR(Z316&lt;&gt;"Dikirim",AC316="",AD316="")),"Lengkapi pemeriksaan",IF(AND(AB316="Perlu Perbaikan",OR(AE316="",AC316="",AD316="")),"Isi pemeriksa dan catatan perbaikan","OK")))))))))))))))),"")</f>
        <v/>
      </c>
    </row>
    <row r="317" spans="1:39" ht="24.95" customHeight="1">
      <c r="A317" s="8"/>
      <c r="B317" s="6"/>
      <c r="C317" s="15" t="str">
        <f>IF(COUNTIFS(Master_PIC!$A$8:$A$73,$B317)=1,IF(VLOOKUP($B317,Master_PIC!$A$8:$G$73,2,FALSE)="","",VLOOKUP($B317,Master_PIC!$A$8:$G$73,2,FALSE)),"")</f>
        <v/>
      </c>
      <c r="D317" s="15" t="str">
        <f>IF(COUNTIFS(Master_PIC!$A$8:$A$73,$B317)=1,IF(VLOOKUP($B317,Master_PIC!$A$8:$G$73,4,FALSE)="","",VLOOKUP($B317,Master_PIC!$A$8:$G$73,4,FALSE)),"")</f>
        <v/>
      </c>
      <c r="E317" s="15" t="str">
        <f>IF(COUNTIFS(Master_PIC!$A$8:$A$73,$B317)=1,IF(VLOOKUP($B317,Master_PIC!$A$8:$G$73,5,FALSE)="","",VLOOKUP($B317,Master_PIC!$A$8:$G$73,5,FALSE)),"")</f>
        <v/>
      </c>
      <c r="F317" s="15" t="str">
        <f>IF(COUNTIFS(Master_PIC!$A$8:$A$73,$B317)=1,IF(VLOOKUP($B317,Master_PIC!$A$8:$G$73,6,FALSE)="","",VLOOKUP($B317,Master_PIC!$A$8:$G$73,6,FALSE)),"")</f>
        <v/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8"/>
      <c r="Y317" s="5"/>
      <c r="Z317" s="5"/>
      <c r="AA317" s="9"/>
      <c r="AB317" s="5"/>
      <c r="AC317" s="5"/>
      <c r="AD317" s="9"/>
      <c r="AE317" s="5"/>
      <c r="AF317" s="7" t="str">
        <f t="shared" si="28"/>
        <v/>
      </c>
      <c r="AG317" s="7" t="str">
        <f t="shared" si="29"/>
        <v/>
      </c>
      <c r="AH317" s="7" t="str">
        <f t="shared" si="30"/>
        <v/>
      </c>
      <c r="AI317" s="7" t="str">
        <f t="shared" si="31"/>
        <v/>
      </c>
      <c r="AJ317" s="7" t="str">
        <f t="shared" si="32"/>
        <v/>
      </c>
      <c r="AK317" s="7" t="str">
        <f t="shared" si="33"/>
        <v/>
      </c>
      <c r="AL317" s="10" t="str">
        <f t="shared" si="34"/>
        <v/>
      </c>
      <c r="AM317" s="15" t="str">
        <f>IF(OR($A317&lt;&gt;"",$B317&lt;&gt;""),IF(OR($A317="",$B317=""),"Isi tanggal dan ID PIC",IF(NOT(ISNUMBER($A317)),"Tanggal harus berupa tanggal Excel",IF(COUNTIFS(Master_PIC!$A$8:$A$73,$B317)&lt;&gt;1,"ID PIC tidak unik/terdaftar",IF(VLOOKUP($B317,Master_PIC!$A$8:$G$73,3,FALSE)&lt;&gt;"Sales","Jabatan tidak sesuai sheet",IF(OR($C317="",$D317="",$E317="",$F317=""),"Lengkapi master PIC",IF(COUNTIFS($A$8:$A$507,$A317,$B$8:$B$507,$B317)&gt;1,"Laporan ganda",IF(COUNTIFS(G317:P317,"Tidak Berlaku")&gt;0,"N/A hanya untuk kegiatan bersyarat",IF(SUM(AG317,AH317,AI317,AJ317,AK317)&lt;&gt;14,"Status kegiatan tidak valid",IF(AK317&gt;0,"Lengkapi status kegiatan",IF(AND(AJ317&gt;0,U317=""),"Isi alasan Tidak Berlaku",IF(AND(SUM(AH317,AI317)&gt;0,OR(U317="",V317="",W317="",X317="")),"Isi kendala dan tindak lanjut",IF(AND(Z317&lt;&gt;"Draft",Z317&lt;&gt;"Dikirim"),"Isi status laporan yang valid",IF(AND(AB317&lt;&gt;"",AB317&lt;&gt;"Belum Diperiksa",AB317&lt;&gt;"Disetujui",AB317&lt;&gt;"Perlu Perbaikan"),"Hasil review tidak valid",IF(AND(Z317="Dikirim",OR(Y317="",AA317="")),"Isi bukti dan waktu kirim",IF(AND(AB317="Disetujui",OR(Z317&lt;&gt;"Dikirim",AC317="",AD317="")),"Lengkapi pemeriksaan",IF(AND(AB317="Perlu Perbaikan",OR(AE317="",AC317="",AD317="")),"Isi pemeriksa dan catatan perbaikan","OK")))))))))))))))),"")</f>
        <v/>
      </c>
    </row>
    <row r="318" spans="1:39" ht="24.95" customHeight="1">
      <c r="A318" s="8"/>
      <c r="B318" s="6"/>
      <c r="C318" s="15" t="str">
        <f>IF(COUNTIFS(Master_PIC!$A$8:$A$73,$B318)=1,IF(VLOOKUP($B318,Master_PIC!$A$8:$G$73,2,FALSE)="","",VLOOKUP($B318,Master_PIC!$A$8:$G$73,2,FALSE)),"")</f>
        <v/>
      </c>
      <c r="D318" s="15" t="str">
        <f>IF(COUNTIFS(Master_PIC!$A$8:$A$73,$B318)=1,IF(VLOOKUP($B318,Master_PIC!$A$8:$G$73,4,FALSE)="","",VLOOKUP($B318,Master_PIC!$A$8:$G$73,4,FALSE)),"")</f>
        <v/>
      </c>
      <c r="E318" s="15" t="str">
        <f>IF(COUNTIFS(Master_PIC!$A$8:$A$73,$B318)=1,IF(VLOOKUP($B318,Master_PIC!$A$8:$G$73,5,FALSE)="","",VLOOKUP($B318,Master_PIC!$A$8:$G$73,5,FALSE)),"")</f>
        <v/>
      </c>
      <c r="F318" s="15" t="str">
        <f>IF(COUNTIFS(Master_PIC!$A$8:$A$73,$B318)=1,IF(VLOOKUP($B318,Master_PIC!$A$8:$G$73,6,FALSE)="","",VLOOKUP($B318,Master_PIC!$A$8:$G$73,6,FALSE)),"")</f>
        <v/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8"/>
      <c r="Y318" s="5"/>
      <c r="Z318" s="5"/>
      <c r="AA318" s="9"/>
      <c r="AB318" s="5"/>
      <c r="AC318" s="5"/>
      <c r="AD318" s="9"/>
      <c r="AE318" s="5"/>
      <c r="AF318" s="7" t="str">
        <f t="shared" si="28"/>
        <v/>
      </c>
      <c r="AG318" s="7" t="str">
        <f t="shared" si="29"/>
        <v/>
      </c>
      <c r="AH318" s="7" t="str">
        <f t="shared" si="30"/>
        <v/>
      </c>
      <c r="AI318" s="7" t="str">
        <f t="shared" si="31"/>
        <v/>
      </c>
      <c r="AJ318" s="7" t="str">
        <f t="shared" si="32"/>
        <v/>
      </c>
      <c r="AK318" s="7" t="str">
        <f t="shared" si="33"/>
        <v/>
      </c>
      <c r="AL318" s="10" t="str">
        <f t="shared" si="34"/>
        <v/>
      </c>
      <c r="AM318" s="15" t="str">
        <f>IF(OR($A318&lt;&gt;"",$B318&lt;&gt;""),IF(OR($A318="",$B318=""),"Isi tanggal dan ID PIC",IF(NOT(ISNUMBER($A318)),"Tanggal harus berupa tanggal Excel",IF(COUNTIFS(Master_PIC!$A$8:$A$73,$B318)&lt;&gt;1,"ID PIC tidak unik/terdaftar",IF(VLOOKUP($B318,Master_PIC!$A$8:$G$73,3,FALSE)&lt;&gt;"Sales","Jabatan tidak sesuai sheet",IF(OR($C318="",$D318="",$E318="",$F318=""),"Lengkapi master PIC",IF(COUNTIFS($A$8:$A$507,$A318,$B$8:$B$507,$B318)&gt;1,"Laporan ganda",IF(COUNTIFS(G318:P318,"Tidak Berlaku")&gt;0,"N/A hanya untuk kegiatan bersyarat",IF(SUM(AG318,AH318,AI318,AJ318,AK318)&lt;&gt;14,"Status kegiatan tidak valid",IF(AK318&gt;0,"Lengkapi status kegiatan",IF(AND(AJ318&gt;0,U318=""),"Isi alasan Tidak Berlaku",IF(AND(SUM(AH318,AI318)&gt;0,OR(U318="",V318="",W318="",X318="")),"Isi kendala dan tindak lanjut",IF(AND(Z318&lt;&gt;"Draft",Z318&lt;&gt;"Dikirim"),"Isi status laporan yang valid",IF(AND(AB318&lt;&gt;"",AB318&lt;&gt;"Belum Diperiksa",AB318&lt;&gt;"Disetujui",AB318&lt;&gt;"Perlu Perbaikan"),"Hasil review tidak valid",IF(AND(Z318="Dikirim",OR(Y318="",AA318="")),"Isi bukti dan waktu kirim",IF(AND(AB318="Disetujui",OR(Z318&lt;&gt;"Dikirim",AC318="",AD318="")),"Lengkapi pemeriksaan",IF(AND(AB318="Perlu Perbaikan",OR(AE318="",AC318="",AD318="")),"Isi pemeriksa dan catatan perbaikan","OK")))))))))))))))),"")</f>
        <v/>
      </c>
    </row>
    <row r="319" spans="1:39" ht="24.95" customHeight="1">
      <c r="A319" s="8"/>
      <c r="B319" s="6"/>
      <c r="C319" s="15" t="str">
        <f>IF(COUNTIFS(Master_PIC!$A$8:$A$73,$B319)=1,IF(VLOOKUP($B319,Master_PIC!$A$8:$G$73,2,FALSE)="","",VLOOKUP($B319,Master_PIC!$A$8:$G$73,2,FALSE)),"")</f>
        <v/>
      </c>
      <c r="D319" s="15" t="str">
        <f>IF(COUNTIFS(Master_PIC!$A$8:$A$73,$B319)=1,IF(VLOOKUP($B319,Master_PIC!$A$8:$G$73,4,FALSE)="","",VLOOKUP($B319,Master_PIC!$A$8:$G$73,4,FALSE)),"")</f>
        <v/>
      </c>
      <c r="E319" s="15" t="str">
        <f>IF(COUNTIFS(Master_PIC!$A$8:$A$73,$B319)=1,IF(VLOOKUP($B319,Master_PIC!$A$8:$G$73,5,FALSE)="","",VLOOKUP($B319,Master_PIC!$A$8:$G$73,5,FALSE)),"")</f>
        <v/>
      </c>
      <c r="F319" s="15" t="str">
        <f>IF(COUNTIFS(Master_PIC!$A$8:$A$73,$B319)=1,IF(VLOOKUP($B319,Master_PIC!$A$8:$G$73,6,FALSE)="","",VLOOKUP($B319,Master_PIC!$A$8:$G$73,6,FALSE)),"")</f>
        <v/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8"/>
      <c r="Y319" s="5"/>
      <c r="Z319" s="5"/>
      <c r="AA319" s="9"/>
      <c r="AB319" s="5"/>
      <c r="AC319" s="5"/>
      <c r="AD319" s="9"/>
      <c r="AE319" s="5"/>
      <c r="AF319" s="7" t="str">
        <f t="shared" si="28"/>
        <v/>
      </c>
      <c r="AG319" s="7" t="str">
        <f t="shared" si="29"/>
        <v/>
      </c>
      <c r="AH319" s="7" t="str">
        <f t="shared" si="30"/>
        <v/>
      </c>
      <c r="AI319" s="7" t="str">
        <f t="shared" si="31"/>
        <v/>
      </c>
      <c r="AJ319" s="7" t="str">
        <f t="shared" si="32"/>
        <v/>
      </c>
      <c r="AK319" s="7" t="str">
        <f t="shared" si="33"/>
        <v/>
      </c>
      <c r="AL319" s="10" t="str">
        <f t="shared" si="34"/>
        <v/>
      </c>
      <c r="AM319" s="15" t="str">
        <f>IF(OR($A319&lt;&gt;"",$B319&lt;&gt;""),IF(OR($A319="",$B319=""),"Isi tanggal dan ID PIC",IF(NOT(ISNUMBER($A319)),"Tanggal harus berupa tanggal Excel",IF(COUNTIFS(Master_PIC!$A$8:$A$73,$B319)&lt;&gt;1,"ID PIC tidak unik/terdaftar",IF(VLOOKUP($B319,Master_PIC!$A$8:$G$73,3,FALSE)&lt;&gt;"Sales","Jabatan tidak sesuai sheet",IF(OR($C319="",$D319="",$E319="",$F319=""),"Lengkapi master PIC",IF(COUNTIFS($A$8:$A$507,$A319,$B$8:$B$507,$B319)&gt;1,"Laporan ganda",IF(COUNTIFS(G319:P319,"Tidak Berlaku")&gt;0,"N/A hanya untuk kegiatan bersyarat",IF(SUM(AG319,AH319,AI319,AJ319,AK319)&lt;&gt;14,"Status kegiatan tidak valid",IF(AK319&gt;0,"Lengkapi status kegiatan",IF(AND(AJ319&gt;0,U319=""),"Isi alasan Tidak Berlaku",IF(AND(SUM(AH319,AI319)&gt;0,OR(U319="",V319="",W319="",X319="")),"Isi kendala dan tindak lanjut",IF(AND(Z319&lt;&gt;"Draft",Z319&lt;&gt;"Dikirim"),"Isi status laporan yang valid",IF(AND(AB319&lt;&gt;"",AB319&lt;&gt;"Belum Diperiksa",AB319&lt;&gt;"Disetujui",AB319&lt;&gt;"Perlu Perbaikan"),"Hasil review tidak valid",IF(AND(Z319="Dikirim",OR(Y319="",AA319="")),"Isi bukti dan waktu kirim",IF(AND(AB319="Disetujui",OR(Z319&lt;&gt;"Dikirim",AC319="",AD319="")),"Lengkapi pemeriksaan",IF(AND(AB319="Perlu Perbaikan",OR(AE319="",AC319="",AD319="")),"Isi pemeriksa dan catatan perbaikan","OK")))))))))))))))),"")</f>
        <v/>
      </c>
    </row>
    <row r="320" spans="1:39" ht="24.95" customHeight="1">
      <c r="A320" s="8"/>
      <c r="B320" s="6"/>
      <c r="C320" s="15" t="str">
        <f>IF(COUNTIFS(Master_PIC!$A$8:$A$73,$B320)=1,IF(VLOOKUP($B320,Master_PIC!$A$8:$G$73,2,FALSE)="","",VLOOKUP($B320,Master_PIC!$A$8:$G$73,2,FALSE)),"")</f>
        <v/>
      </c>
      <c r="D320" s="15" t="str">
        <f>IF(COUNTIFS(Master_PIC!$A$8:$A$73,$B320)=1,IF(VLOOKUP($B320,Master_PIC!$A$8:$G$73,4,FALSE)="","",VLOOKUP($B320,Master_PIC!$A$8:$G$73,4,FALSE)),"")</f>
        <v/>
      </c>
      <c r="E320" s="15" t="str">
        <f>IF(COUNTIFS(Master_PIC!$A$8:$A$73,$B320)=1,IF(VLOOKUP($B320,Master_PIC!$A$8:$G$73,5,FALSE)="","",VLOOKUP($B320,Master_PIC!$A$8:$G$73,5,FALSE)),"")</f>
        <v/>
      </c>
      <c r="F320" s="15" t="str">
        <f>IF(COUNTIFS(Master_PIC!$A$8:$A$73,$B320)=1,IF(VLOOKUP($B320,Master_PIC!$A$8:$G$73,6,FALSE)="","",VLOOKUP($B320,Master_PIC!$A$8:$G$73,6,FALSE)),"")</f>
        <v/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8"/>
      <c r="Y320" s="5"/>
      <c r="Z320" s="5"/>
      <c r="AA320" s="9"/>
      <c r="AB320" s="5"/>
      <c r="AC320" s="5"/>
      <c r="AD320" s="9"/>
      <c r="AE320" s="5"/>
      <c r="AF320" s="7" t="str">
        <f t="shared" si="28"/>
        <v/>
      </c>
      <c r="AG320" s="7" t="str">
        <f t="shared" si="29"/>
        <v/>
      </c>
      <c r="AH320" s="7" t="str">
        <f t="shared" si="30"/>
        <v/>
      </c>
      <c r="AI320" s="7" t="str">
        <f t="shared" si="31"/>
        <v/>
      </c>
      <c r="AJ320" s="7" t="str">
        <f t="shared" si="32"/>
        <v/>
      </c>
      <c r="AK320" s="7" t="str">
        <f t="shared" si="33"/>
        <v/>
      </c>
      <c r="AL320" s="10" t="str">
        <f t="shared" si="34"/>
        <v/>
      </c>
      <c r="AM320" s="15" t="str">
        <f>IF(OR($A320&lt;&gt;"",$B320&lt;&gt;""),IF(OR($A320="",$B320=""),"Isi tanggal dan ID PIC",IF(NOT(ISNUMBER($A320)),"Tanggal harus berupa tanggal Excel",IF(COUNTIFS(Master_PIC!$A$8:$A$73,$B320)&lt;&gt;1,"ID PIC tidak unik/terdaftar",IF(VLOOKUP($B320,Master_PIC!$A$8:$G$73,3,FALSE)&lt;&gt;"Sales","Jabatan tidak sesuai sheet",IF(OR($C320="",$D320="",$E320="",$F320=""),"Lengkapi master PIC",IF(COUNTIFS($A$8:$A$507,$A320,$B$8:$B$507,$B320)&gt;1,"Laporan ganda",IF(COUNTIFS(G320:P320,"Tidak Berlaku")&gt;0,"N/A hanya untuk kegiatan bersyarat",IF(SUM(AG320,AH320,AI320,AJ320,AK320)&lt;&gt;14,"Status kegiatan tidak valid",IF(AK320&gt;0,"Lengkapi status kegiatan",IF(AND(AJ320&gt;0,U320=""),"Isi alasan Tidak Berlaku",IF(AND(SUM(AH320,AI320)&gt;0,OR(U320="",V320="",W320="",X320="")),"Isi kendala dan tindak lanjut",IF(AND(Z320&lt;&gt;"Draft",Z320&lt;&gt;"Dikirim"),"Isi status laporan yang valid",IF(AND(AB320&lt;&gt;"",AB320&lt;&gt;"Belum Diperiksa",AB320&lt;&gt;"Disetujui",AB320&lt;&gt;"Perlu Perbaikan"),"Hasil review tidak valid",IF(AND(Z320="Dikirim",OR(Y320="",AA320="")),"Isi bukti dan waktu kirim",IF(AND(AB320="Disetujui",OR(Z320&lt;&gt;"Dikirim",AC320="",AD320="")),"Lengkapi pemeriksaan",IF(AND(AB320="Perlu Perbaikan",OR(AE320="",AC320="",AD320="")),"Isi pemeriksa dan catatan perbaikan","OK")))))))))))))))),"")</f>
        <v/>
      </c>
    </row>
    <row r="321" spans="1:39" ht="24.95" customHeight="1">
      <c r="A321" s="8"/>
      <c r="B321" s="6"/>
      <c r="C321" s="15" t="str">
        <f>IF(COUNTIFS(Master_PIC!$A$8:$A$73,$B321)=1,IF(VLOOKUP($B321,Master_PIC!$A$8:$G$73,2,FALSE)="","",VLOOKUP($B321,Master_PIC!$A$8:$G$73,2,FALSE)),"")</f>
        <v/>
      </c>
      <c r="D321" s="15" t="str">
        <f>IF(COUNTIFS(Master_PIC!$A$8:$A$73,$B321)=1,IF(VLOOKUP($B321,Master_PIC!$A$8:$G$73,4,FALSE)="","",VLOOKUP($B321,Master_PIC!$A$8:$G$73,4,FALSE)),"")</f>
        <v/>
      </c>
      <c r="E321" s="15" t="str">
        <f>IF(COUNTIFS(Master_PIC!$A$8:$A$73,$B321)=1,IF(VLOOKUP($B321,Master_PIC!$A$8:$G$73,5,FALSE)="","",VLOOKUP($B321,Master_PIC!$A$8:$G$73,5,FALSE)),"")</f>
        <v/>
      </c>
      <c r="F321" s="15" t="str">
        <f>IF(COUNTIFS(Master_PIC!$A$8:$A$73,$B321)=1,IF(VLOOKUP($B321,Master_PIC!$A$8:$G$73,6,FALSE)="","",VLOOKUP($B321,Master_PIC!$A$8:$G$73,6,FALSE)),"")</f>
        <v/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8"/>
      <c r="Y321" s="5"/>
      <c r="Z321" s="5"/>
      <c r="AA321" s="9"/>
      <c r="AB321" s="5"/>
      <c r="AC321" s="5"/>
      <c r="AD321" s="9"/>
      <c r="AE321" s="5"/>
      <c r="AF321" s="7" t="str">
        <f t="shared" si="28"/>
        <v/>
      </c>
      <c r="AG321" s="7" t="str">
        <f t="shared" si="29"/>
        <v/>
      </c>
      <c r="AH321" s="7" t="str">
        <f t="shared" si="30"/>
        <v/>
      </c>
      <c r="AI321" s="7" t="str">
        <f t="shared" si="31"/>
        <v/>
      </c>
      <c r="AJ321" s="7" t="str">
        <f t="shared" si="32"/>
        <v/>
      </c>
      <c r="AK321" s="7" t="str">
        <f t="shared" si="33"/>
        <v/>
      </c>
      <c r="AL321" s="10" t="str">
        <f t="shared" si="34"/>
        <v/>
      </c>
      <c r="AM321" s="15" t="str">
        <f>IF(OR($A321&lt;&gt;"",$B321&lt;&gt;""),IF(OR($A321="",$B321=""),"Isi tanggal dan ID PIC",IF(NOT(ISNUMBER($A321)),"Tanggal harus berupa tanggal Excel",IF(COUNTIFS(Master_PIC!$A$8:$A$73,$B321)&lt;&gt;1,"ID PIC tidak unik/terdaftar",IF(VLOOKUP($B321,Master_PIC!$A$8:$G$73,3,FALSE)&lt;&gt;"Sales","Jabatan tidak sesuai sheet",IF(OR($C321="",$D321="",$E321="",$F321=""),"Lengkapi master PIC",IF(COUNTIFS($A$8:$A$507,$A321,$B$8:$B$507,$B321)&gt;1,"Laporan ganda",IF(COUNTIFS(G321:P321,"Tidak Berlaku")&gt;0,"N/A hanya untuk kegiatan bersyarat",IF(SUM(AG321,AH321,AI321,AJ321,AK321)&lt;&gt;14,"Status kegiatan tidak valid",IF(AK321&gt;0,"Lengkapi status kegiatan",IF(AND(AJ321&gt;0,U321=""),"Isi alasan Tidak Berlaku",IF(AND(SUM(AH321,AI321)&gt;0,OR(U321="",V321="",W321="",X321="")),"Isi kendala dan tindak lanjut",IF(AND(Z321&lt;&gt;"Draft",Z321&lt;&gt;"Dikirim"),"Isi status laporan yang valid",IF(AND(AB321&lt;&gt;"",AB321&lt;&gt;"Belum Diperiksa",AB321&lt;&gt;"Disetujui",AB321&lt;&gt;"Perlu Perbaikan"),"Hasil review tidak valid",IF(AND(Z321="Dikirim",OR(Y321="",AA321="")),"Isi bukti dan waktu kirim",IF(AND(AB321="Disetujui",OR(Z321&lt;&gt;"Dikirim",AC321="",AD321="")),"Lengkapi pemeriksaan",IF(AND(AB321="Perlu Perbaikan",OR(AE321="",AC321="",AD321="")),"Isi pemeriksa dan catatan perbaikan","OK")))))))))))))))),"")</f>
        <v/>
      </c>
    </row>
    <row r="322" spans="1:39" ht="24.95" customHeight="1">
      <c r="A322" s="8"/>
      <c r="B322" s="6"/>
      <c r="C322" s="15" t="str">
        <f>IF(COUNTIFS(Master_PIC!$A$8:$A$73,$B322)=1,IF(VLOOKUP($B322,Master_PIC!$A$8:$G$73,2,FALSE)="","",VLOOKUP($B322,Master_PIC!$A$8:$G$73,2,FALSE)),"")</f>
        <v/>
      </c>
      <c r="D322" s="15" t="str">
        <f>IF(COUNTIFS(Master_PIC!$A$8:$A$73,$B322)=1,IF(VLOOKUP($B322,Master_PIC!$A$8:$G$73,4,FALSE)="","",VLOOKUP($B322,Master_PIC!$A$8:$G$73,4,FALSE)),"")</f>
        <v/>
      </c>
      <c r="E322" s="15" t="str">
        <f>IF(COUNTIFS(Master_PIC!$A$8:$A$73,$B322)=1,IF(VLOOKUP($B322,Master_PIC!$A$8:$G$73,5,FALSE)="","",VLOOKUP($B322,Master_PIC!$A$8:$G$73,5,FALSE)),"")</f>
        <v/>
      </c>
      <c r="F322" s="15" t="str">
        <f>IF(COUNTIFS(Master_PIC!$A$8:$A$73,$B322)=1,IF(VLOOKUP($B322,Master_PIC!$A$8:$G$73,6,FALSE)="","",VLOOKUP($B322,Master_PIC!$A$8:$G$73,6,FALSE)),"")</f>
        <v/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8"/>
      <c r="Y322" s="5"/>
      <c r="Z322" s="5"/>
      <c r="AA322" s="9"/>
      <c r="AB322" s="5"/>
      <c r="AC322" s="5"/>
      <c r="AD322" s="9"/>
      <c r="AE322" s="5"/>
      <c r="AF322" s="7" t="str">
        <f t="shared" si="28"/>
        <v/>
      </c>
      <c r="AG322" s="7" t="str">
        <f t="shared" si="29"/>
        <v/>
      </c>
      <c r="AH322" s="7" t="str">
        <f t="shared" si="30"/>
        <v/>
      </c>
      <c r="AI322" s="7" t="str">
        <f t="shared" si="31"/>
        <v/>
      </c>
      <c r="AJ322" s="7" t="str">
        <f t="shared" si="32"/>
        <v/>
      </c>
      <c r="AK322" s="7" t="str">
        <f t="shared" si="33"/>
        <v/>
      </c>
      <c r="AL322" s="10" t="str">
        <f t="shared" si="34"/>
        <v/>
      </c>
      <c r="AM322" s="15" t="str">
        <f>IF(OR($A322&lt;&gt;"",$B322&lt;&gt;""),IF(OR($A322="",$B322=""),"Isi tanggal dan ID PIC",IF(NOT(ISNUMBER($A322)),"Tanggal harus berupa tanggal Excel",IF(COUNTIFS(Master_PIC!$A$8:$A$73,$B322)&lt;&gt;1,"ID PIC tidak unik/terdaftar",IF(VLOOKUP($B322,Master_PIC!$A$8:$G$73,3,FALSE)&lt;&gt;"Sales","Jabatan tidak sesuai sheet",IF(OR($C322="",$D322="",$E322="",$F322=""),"Lengkapi master PIC",IF(COUNTIFS($A$8:$A$507,$A322,$B$8:$B$507,$B322)&gt;1,"Laporan ganda",IF(COUNTIFS(G322:P322,"Tidak Berlaku")&gt;0,"N/A hanya untuk kegiatan bersyarat",IF(SUM(AG322,AH322,AI322,AJ322,AK322)&lt;&gt;14,"Status kegiatan tidak valid",IF(AK322&gt;0,"Lengkapi status kegiatan",IF(AND(AJ322&gt;0,U322=""),"Isi alasan Tidak Berlaku",IF(AND(SUM(AH322,AI322)&gt;0,OR(U322="",V322="",W322="",X322="")),"Isi kendala dan tindak lanjut",IF(AND(Z322&lt;&gt;"Draft",Z322&lt;&gt;"Dikirim"),"Isi status laporan yang valid",IF(AND(AB322&lt;&gt;"",AB322&lt;&gt;"Belum Diperiksa",AB322&lt;&gt;"Disetujui",AB322&lt;&gt;"Perlu Perbaikan"),"Hasil review tidak valid",IF(AND(Z322="Dikirim",OR(Y322="",AA322="")),"Isi bukti dan waktu kirim",IF(AND(AB322="Disetujui",OR(Z322&lt;&gt;"Dikirim",AC322="",AD322="")),"Lengkapi pemeriksaan",IF(AND(AB322="Perlu Perbaikan",OR(AE322="",AC322="",AD322="")),"Isi pemeriksa dan catatan perbaikan","OK")))))))))))))))),"")</f>
        <v/>
      </c>
    </row>
    <row r="323" spans="1:39" ht="24.95" customHeight="1">
      <c r="A323" s="8"/>
      <c r="B323" s="6"/>
      <c r="C323" s="15" t="str">
        <f>IF(COUNTIFS(Master_PIC!$A$8:$A$73,$B323)=1,IF(VLOOKUP($B323,Master_PIC!$A$8:$G$73,2,FALSE)="","",VLOOKUP($B323,Master_PIC!$A$8:$G$73,2,FALSE)),"")</f>
        <v/>
      </c>
      <c r="D323" s="15" t="str">
        <f>IF(COUNTIFS(Master_PIC!$A$8:$A$73,$B323)=1,IF(VLOOKUP($B323,Master_PIC!$A$8:$G$73,4,FALSE)="","",VLOOKUP($B323,Master_PIC!$A$8:$G$73,4,FALSE)),"")</f>
        <v/>
      </c>
      <c r="E323" s="15" t="str">
        <f>IF(COUNTIFS(Master_PIC!$A$8:$A$73,$B323)=1,IF(VLOOKUP($B323,Master_PIC!$A$8:$G$73,5,FALSE)="","",VLOOKUP($B323,Master_PIC!$A$8:$G$73,5,FALSE)),"")</f>
        <v/>
      </c>
      <c r="F323" s="15" t="str">
        <f>IF(COUNTIFS(Master_PIC!$A$8:$A$73,$B323)=1,IF(VLOOKUP($B323,Master_PIC!$A$8:$G$73,6,FALSE)="","",VLOOKUP($B323,Master_PIC!$A$8:$G$73,6,FALSE)),"")</f>
        <v/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8"/>
      <c r="Y323" s="5"/>
      <c r="Z323" s="5"/>
      <c r="AA323" s="9"/>
      <c r="AB323" s="5"/>
      <c r="AC323" s="5"/>
      <c r="AD323" s="9"/>
      <c r="AE323" s="5"/>
      <c r="AF323" s="7" t="str">
        <f t="shared" si="28"/>
        <v/>
      </c>
      <c r="AG323" s="7" t="str">
        <f t="shared" si="29"/>
        <v/>
      </c>
      <c r="AH323" s="7" t="str">
        <f t="shared" si="30"/>
        <v/>
      </c>
      <c r="AI323" s="7" t="str">
        <f t="shared" si="31"/>
        <v/>
      </c>
      <c r="AJ323" s="7" t="str">
        <f t="shared" si="32"/>
        <v/>
      </c>
      <c r="AK323" s="7" t="str">
        <f t="shared" si="33"/>
        <v/>
      </c>
      <c r="AL323" s="10" t="str">
        <f t="shared" si="34"/>
        <v/>
      </c>
      <c r="AM323" s="15" t="str">
        <f>IF(OR($A323&lt;&gt;"",$B323&lt;&gt;""),IF(OR($A323="",$B323=""),"Isi tanggal dan ID PIC",IF(NOT(ISNUMBER($A323)),"Tanggal harus berupa tanggal Excel",IF(COUNTIFS(Master_PIC!$A$8:$A$73,$B323)&lt;&gt;1,"ID PIC tidak unik/terdaftar",IF(VLOOKUP($B323,Master_PIC!$A$8:$G$73,3,FALSE)&lt;&gt;"Sales","Jabatan tidak sesuai sheet",IF(OR($C323="",$D323="",$E323="",$F323=""),"Lengkapi master PIC",IF(COUNTIFS($A$8:$A$507,$A323,$B$8:$B$507,$B323)&gt;1,"Laporan ganda",IF(COUNTIFS(G323:P323,"Tidak Berlaku")&gt;0,"N/A hanya untuk kegiatan bersyarat",IF(SUM(AG323,AH323,AI323,AJ323,AK323)&lt;&gt;14,"Status kegiatan tidak valid",IF(AK323&gt;0,"Lengkapi status kegiatan",IF(AND(AJ323&gt;0,U323=""),"Isi alasan Tidak Berlaku",IF(AND(SUM(AH323,AI323)&gt;0,OR(U323="",V323="",W323="",X323="")),"Isi kendala dan tindak lanjut",IF(AND(Z323&lt;&gt;"Draft",Z323&lt;&gt;"Dikirim"),"Isi status laporan yang valid",IF(AND(AB323&lt;&gt;"",AB323&lt;&gt;"Belum Diperiksa",AB323&lt;&gt;"Disetujui",AB323&lt;&gt;"Perlu Perbaikan"),"Hasil review tidak valid",IF(AND(Z323="Dikirim",OR(Y323="",AA323="")),"Isi bukti dan waktu kirim",IF(AND(AB323="Disetujui",OR(Z323&lt;&gt;"Dikirim",AC323="",AD323="")),"Lengkapi pemeriksaan",IF(AND(AB323="Perlu Perbaikan",OR(AE323="",AC323="",AD323="")),"Isi pemeriksa dan catatan perbaikan","OK")))))))))))))))),"")</f>
        <v/>
      </c>
    </row>
    <row r="324" spans="1:39" ht="24.95" customHeight="1">
      <c r="A324" s="8"/>
      <c r="B324" s="6"/>
      <c r="C324" s="15" t="str">
        <f>IF(COUNTIFS(Master_PIC!$A$8:$A$73,$B324)=1,IF(VLOOKUP($B324,Master_PIC!$A$8:$G$73,2,FALSE)="","",VLOOKUP($B324,Master_PIC!$A$8:$G$73,2,FALSE)),"")</f>
        <v/>
      </c>
      <c r="D324" s="15" t="str">
        <f>IF(COUNTIFS(Master_PIC!$A$8:$A$73,$B324)=1,IF(VLOOKUP($B324,Master_PIC!$A$8:$G$73,4,FALSE)="","",VLOOKUP($B324,Master_PIC!$A$8:$G$73,4,FALSE)),"")</f>
        <v/>
      </c>
      <c r="E324" s="15" t="str">
        <f>IF(COUNTIFS(Master_PIC!$A$8:$A$73,$B324)=1,IF(VLOOKUP($B324,Master_PIC!$A$8:$G$73,5,FALSE)="","",VLOOKUP($B324,Master_PIC!$A$8:$G$73,5,FALSE)),"")</f>
        <v/>
      </c>
      <c r="F324" s="15" t="str">
        <f>IF(COUNTIFS(Master_PIC!$A$8:$A$73,$B324)=1,IF(VLOOKUP($B324,Master_PIC!$A$8:$G$73,6,FALSE)="","",VLOOKUP($B324,Master_PIC!$A$8:$G$73,6,FALSE)),"")</f>
        <v/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8"/>
      <c r="Y324" s="5"/>
      <c r="Z324" s="5"/>
      <c r="AA324" s="9"/>
      <c r="AB324" s="5"/>
      <c r="AC324" s="5"/>
      <c r="AD324" s="9"/>
      <c r="AE324" s="5"/>
      <c r="AF324" s="7" t="str">
        <f t="shared" si="28"/>
        <v/>
      </c>
      <c r="AG324" s="7" t="str">
        <f t="shared" si="29"/>
        <v/>
      </c>
      <c r="AH324" s="7" t="str">
        <f t="shared" si="30"/>
        <v/>
      </c>
      <c r="AI324" s="7" t="str">
        <f t="shared" si="31"/>
        <v/>
      </c>
      <c r="AJ324" s="7" t="str">
        <f t="shared" si="32"/>
        <v/>
      </c>
      <c r="AK324" s="7" t="str">
        <f t="shared" si="33"/>
        <v/>
      </c>
      <c r="AL324" s="10" t="str">
        <f t="shared" si="34"/>
        <v/>
      </c>
      <c r="AM324" s="15" t="str">
        <f>IF(OR($A324&lt;&gt;"",$B324&lt;&gt;""),IF(OR($A324="",$B324=""),"Isi tanggal dan ID PIC",IF(NOT(ISNUMBER($A324)),"Tanggal harus berupa tanggal Excel",IF(COUNTIFS(Master_PIC!$A$8:$A$73,$B324)&lt;&gt;1,"ID PIC tidak unik/terdaftar",IF(VLOOKUP($B324,Master_PIC!$A$8:$G$73,3,FALSE)&lt;&gt;"Sales","Jabatan tidak sesuai sheet",IF(OR($C324="",$D324="",$E324="",$F324=""),"Lengkapi master PIC",IF(COUNTIFS($A$8:$A$507,$A324,$B$8:$B$507,$B324)&gt;1,"Laporan ganda",IF(COUNTIFS(G324:P324,"Tidak Berlaku")&gt;0,"N/A hanya untuk kegiatan bersyarat",IF(SUM(AG324,AH324,AI324,AJ324,AK324)&lt;&gt;14,"Status kegiatan tidak valid",IF(AK324&gt;0,"Lengkapi status kegiatan",IF(AND(AJ324&gt;0,U324=""),"Isi alasan Tidak Berlaku",IF(AND(SUM(AH324,AI324)&gt;0,OR(U324="",V324="",W324="",X324="")),"Isi kendala dan tindak lanjut",IF(AND(Z324&lt;&gt;"Draft",Z324&lt;&gt;"Dikirim"),"Isi status laporan yang valid",IF(AND(AB324&lt;&gt;"",AB324&lt;&gt;"Belum Diperiksa",AB324&lt;&gt;"Disetujui",AB324&lt;&gt;"Perlu Perbaikan"),"Hasil review tidak valid",IF(AND(Z324="Dikirim",OR(Y324="",AA324="")),"Isi bukti dan waktu kirim",IF(AND(AB324="Disetujui",OR(Z324&lt;&gt;"Dikirim",AC324="",AD324="")),"Lengkapi pemeriksaan",IF(AND(AB324="Perlu Perbaikan",OR(AE324="",AC324="",AD324="")),"Isi pemeriksa dan catatan perbaikan","OK")))))))))))))))),"")</f>
        <v/>
      </c>
    </row>
    <row r="325" spans="1:39" ht="24.95" customHeight="1">
      <c r="A325" s="8"/>
      <c r="B325" s="6"/>
      <c r="C325" s="15" t="str">
        <f>IF(COUNTIFS(Master_PIC!$A$8:$A$73,$B325)=1,IF(VLOOKUP($B325,Master_PIC!$A$8:$G$73,2,FALSE)="","",VLOOKUP($B325,Master_PIC!$A$8:$G$73,2,FALSE)),"")</f>
        <v/>
      </c>
      <c r="D325" s="15" t="str">
        <f>IF(COUNTIFS(Master_PIC!$A$8:$A$73,$B325)=1,IF(VLOOKUP($B325,Master_PIC!$A$8:$G$73,4,FALSE)="","",VLOOKUP($B325,Master_PIC!$A$8:$G$73,4,FALSE)),"")</f>
        <v/>
      </c>
      <c r="E325" s="15" t="str">
        <f>IF(COUNTIFS(Master_PIC!$A$8:$A$73,$B325)=1,IF(VLOOKUP($B325,Master_PIC!$A$8:$G$73,5,FALSE)="","",VLOOKUP($B325,Master_PIC!$A$8:$G$73,5,FALSE)),"")</f>
        <v/>
      </c>
      <c r="F325" s="15" t="str">
        <f>IF(COUNTIFS(Master_PIC!$A$8:$A$73,$B325)=1,IF(VLOOKUP($B325,Master_PIC!$A$8:$G$73,6,FALSE)="","",VLOOKUP($B325,Master_PIC!$A$8:$G$73,6,FALSE)),"")</f>
        <v/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8"/>
      <c r="Y325" s="5"/>
      <c r="Z325" s="5"/>
      <c r="AA325" s="9"/>
      <c r="AB325" s="5"/>
      <c r="AC325" s="5"/>
      <c r="AD325" s="9"/>
      <c r="AE325" s="5"/>
      <c r="AF325" s="7" t="str">
        <f t="shared" si="28"/>
        <v/>
      </c>
      <c r="AG325" s="7" t="str">
        <f t="shared" si="29"/>
        <v/>
      </c>
      <c r="AH325" s="7" t="str">
        <f t="shared" si="30"/>
        <v/>
      </c>
      <c r="AI325" s="7" t="str">
        <f t="shared" si="31"/>
        <v/>
      </c>
      <c r="AJ325" s="7" t="str">
        <f t="shared" si="32"/>
        <v/>
      </c>
      <c r="AK325" s="7" t="str">
        <f t="shared" si="33"/>
        <v/>
      </c>
      <c r="AL325" s="10" t="str">
        <f t="shared" si="34"/>
        <v/>
      </c>
      <c r="AM325" s="15" t="str">
        <f>IF(OR($A325&lt;&gt;"",$B325&lt;&gt;""),IF(OR($A325="",$B325=""),"Isi tanggal dan ID PIC",IF(NOT(ISNUMBER($A325)),"Tanggal harus berupa tanggal Excel",IF(COUNTIFS(Master_PIC!$A$8:$A$73,$B325)&lt;&gt;1,"ID PIC tidak unik/terdaftar",IF(VLOOKUP($B325,Master_PIC!$A$8:$G$73,3,FALSE)&lt;&gt;"Sales","Jabatan tidak sesuai sheet",IF(OR($C325="",$D325="",$E325="",$F325=""),"Lengkapi master PIC",IF(COUNTIFS($A$8:$A$507,$A325,$B$8:$B$507,$B325)&gt;1,"Laporan ganda",IF(COUNTIFS(G325:P325,"Tidak Berlaku")&gt;0,"N/A hanya untuk kegiatan bersyarat",IF(SUM(AG325,AH325,AI325,AJ325,AK325)&lt;&gt;14,"Status kegiatan tidak valid",IF(AK325&gt;0,"Lengkapi status kegiatan",IF(AND(AJ325&gt;0,U325=""),"Isi alasan Tidak Berlaku",IF(AND(SUM(AH325,AI325)&gt;0,OR(U325="",V325="",W325="",X325="")),"Isi kendala dan tindak lanjut",IF(AND(Z325&lt;&gt;"Draft",Z325&lt;&gt;"Dikirim"),"Isi status laporan yang valid",IF(AND(AB325&lt;&gt;"",AB325&lt;&gt;"Belum Diperiksa",AB325&lt;&gt;"Disetujui",AB325&lt;&gt;"Perlu Perbaikan"),"Hasil review tidak valid",IF(AND(Z325="Dikirim",OR(Y325="",AA325="")),"Isi bukti dan waktu kirim",IF(AND(AB325="Disetujui",OR(Z325&lt;&gt;"Dikirim",AC325="",AD325="")),"Lengkapi pemeriksaan",IF(AND(AB325="Perlu Perbaikan",OR(AE325="",AC325="",AD325="")),"Isi pemeriksa dan catatan perbaikan","OK")))))))))))))))),"")</f>
        <v/>
      </c>
    </row>
    <row r="326" spans="1:39" ht="24.95" customHeight="1">
      <c r="A326" s="8"/>
      <c r="B326" s="6"/>
      <c r="C326" s="15" t="str">
        <f>IF(COUNTIFS(Master_PIC!$A$8:$A$73,$B326)=1,IF(VLOOKUP($B326,Master_PIC!$A$8:$G$73,2,FALSE)="","",VLOOKUP($B326,Master_PIC!$A$8:$G$73,2,FALSE)),"")</f>
        <v/>
      </c>
      <c r="D326" s="15" t="str">
        <f>IF(COUNTIFS(Master_PIC!$A$8:$A$73,$B326)=1,IF(VLOOKUP($B326,Master_PIC!$A$8:$G$73,4,FALSE)="","",VLOOKUP($B326,Master_PIC!$A$8:$G$73,4,FALSE)),"")</f>
        <v/>
      </c>
      <c r="E326" s="15" t="str">
        <f>IF(COUNTIFS(Master_PIC!$A$8:$A$73,$B326)=1,IF(VLOOKUP($B326,Master_PIC!$A$8:$G$73,5,FALSE)="","",VLOOKUP($B326,Master_PIC!$A$8:$G$73,5,FALSE)),"")</f>
        <v/>
      </c>
      <c r="F326" s="15" t="str">
        <f>IF(COUNTIFS(Master_PIC!$A$8:$A$73,$B326)=1,IF(VLOOKUP($B326,Master_PIC!$A$8:$G$73,6,FALSE)="","",VLOOKUP($B326,Master_PIC!$A$8:$G$73,6,FALSE)),"")</f>
        <v/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8"/>
      <c r="Y326" s="5"/>
      <c r="Z326" s="5"/>
      <c r="AA326" s="9"/>
      <c r="AB326" s="5"/>
      <c r="AC326" s="5"/>
      <c r="AD326" s="9"/>
      <c r="AE326" s="5"/>
      <c r="AF326" s="7" t="str">
        <f t="shared" si="28"/>
        <v/>
      </c>
      <c r="AG326" s="7" t="str">
        <f t="shared" si="29"/>
        <v/>
      </c>
      <c r="AH326" s="7" t="str">
        <f t="shared" si="30"/>
        <v/>
      </c>
      <c r="AI326" s="7" t="str">
        <f t="shared" si="31"/>
        <v/>
      </c>
      <c r="AJ326" s="7" t="str">
        <f t="shared" si="32"/>
        <v/>
      </c>
      <c r="AK326" s="7" t="str">
        <f t="shared" si="33"/>
        <v/>
      </c>
      <c r="AL326" s="10" t="str">
        <f t="shared" si="34"/>
        <v/>
      </c>
      <c r="AM326" s="15" t="str">
        <f>IF(OR($A326&lt;&gt;"",$B326&lt;&gt;""),IF(OR($A326="",$B326=""),"Isi tanggal dan ID PIC",IF(NOT(ISNUMBER($A326)),"Tanggal harus berupa tanggal Excel",IF(COUNTIFS(Master_PIC!$A$8:$A$73,$B326)&lt;&gt;1,"ID PIC tidak unik/terdaftar",IF(VLOOKUP($B326,Master_PIC!$A$8:$G$73,3,FALSE)&lt;&gt;"Sales","Jabatan tidak sesuai sheet",IF(OR($C326="",$D326="",$E326="",$F326=""),"Lengkapi master PIC",IF(COUNTIFS($A$8:$A$507,$A326,$B$8:$B$507,$B326)&gt;1,"Laporan ganda",IF(COUNTIFS(G326:P326,"Tidak Berlaku")&gt;0,"N/A hanya untuk kegiatan bersyarat",IF(SUM(AG326,AH326,AI326,AJ326,AK326)&lt;&gt;14,"Status kegiatan tidak valid",IF(AK326&gt;0,"Lengkapi status kegiatan",IF(AND(AJ326&gt;0,U326=""),"Isi alasan Tidak Berlaku",IF(AND(SUM(AH326,AI326)&gt;0,OR(U326="",V326="",W326="",X326="")),"Isi kendala dan tindak lanjut",IF(AND(Z326&lt;&gt;"Draft",Z326&lt;&gt;"Dikirim"),"Isi status laporan yang valid",IF(AND(AB326&lt;&gt;"",AB326&lt;&gt;"Belum Diperiksa",AB326&lt;&gt;"Disetujui",AB326&lt;&gt;"Perlu Perbaikan"),"Hasil review tidak valid",IF(AND(Z326="Dikirim",OR(Y326="",AA326="")),"Isi bukti dan waktu kirim",IF(AND(AB326="Disetujui",OR(Z326&lt;&gt;"Dikirim",AC326="",AD326="")),"Lengkapi pemeriksaan",IF(AND(AB326="Perlu Perbaikan",OR(AE326="",AC326="",AD326="")),"Isi pemeriksa dan catatan perbaikan","OK")))))))))))))))),"")</f>
        <v/>
      </c>
    </row>
    <row r="327" spans="1:39" ht="24.95" customHeight="1">
      <c r="A327" s="8"/>
      <c r="B327" s="6"/>
      <c r="C327" s="15" t="str">
        <f>IF(COUNTIFS(Master_PIC!$A$8:$A$73,$B327)=1,IF(VLOOKUP($B327,Master_PIC!$A$8:$G$73,2,FALSE)="","",VLOOKUP($B327,Master_PIC!$A$8:$G$73,2,FALSE)),"")</f>
        <v/>
      </c>
      <c r="D327" s="15" t="str">
        <f>IF(COUNTIFS(Master_PIC!$A$8:$A$73,$B327)=1,IF(VLOOKUP($B327,Master_PIC!$A$8:$G$73,4,FALSE)="","",VLOOKUP($B327,Master_PIC!$A$8:$G$73,4,FALSE)),"")</f>
        <v/>
      </c>
      <c r="E327" s="15" t="str">
        <f>IF(COUNTIFS(Master_PIC!$A$8:$A$73,$B327)=1,IF(VLOOKUP($B327,Master_PIC!$A$8:$G$73,5,FALSE)="","",VLOOKUP($B327,Master_PIC!$A$8:$G$73,5,FALSE)),"")</f>
        <v/>
      </c>
      <c r="F327" s="15" t="str">
        <f>IF(COUNTIFS(Master_PIC!$A$8:$A$73,$B327)=1,IF(VLOOKUP($B327,Master_PIC!$A$8:$G$73,6,FALSE)="","",VLOOKUP($B327,Master_PIC!$A$8:$G$73,6,FALSE)),"")</f>
        <v/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8"/>
      <c r="Y327" s="5"/>
      <c r="Z327" s="5"/>
      <c r="AA327" s="9"/>
      <c r="AB327" s="5"/>
      <c r="AC327" s="5"/>
      <c r="AD327" s="9"/>
      <c r="AE327" s="5"/>
      <c r="AF327" s="7" t="str">
        <f t="shared" si="28"/>
        <v/>
      </c>
      <c r="AG327" s="7" t="str">
        <f t="shared" si="29"/>
        <v/>
      </c>
      <c r="AH327" s="7" t="str">
        <f t="shared" si="30"/>
        <v/>
      </c>
      <c r="AI327" s="7" t="str">
        <f t="shared" si="31"/>
        <v/>
      </c>
      <c r="AJ327" s="7" t="str">
        <f t="shared" si="32"/>
        <v/>
      </c>
      <c r="AK327" s="7" t="str">
        <f t="shared" si="33"/>
        <v/>
      </c>
      <c r="AL327" s="10" t="str">
        <f t="shared" si="34"/>
        <v/>
      </c>
      <c r="AM327" s="15" t="str">
        <f>IF(OR($A327&lt;&gt;"",$B327&lt;&gt;""),IF(OR($A327="",$B327=""),"Isi tanggal dan ID PIC",IF(NOT(ISNUMBER($A327)),"Tanggal harus berupa tanggal Excel",IF(COUNTIFS(Master_PIC!$A$8:$A$73,$B327)&lt;&gt;1,"ID PIC tidak unik/terdaftar",IF(VLOOKUP($B327,Master_PIC!$A$8:$G$73,3,FALSE)&lt;&gt;"Sales","Jabatan tidak sesuai sheet",IF(OR($C327="",$D327="",$E327="",$F327=""),"Lengkapi master PIC",IF(COUNTIFS($A$8:$A$507,$A327,$B$8:$B$507,$B327)&gt;1,"Laporan ganda",IF(COUNTIFS(G327:P327,"Tidak Berlaku")&gt;0,"N/A hanya untuk kegiatan bersyarat",IF(SUM(AG327,AH327,AI327,AJ327,AK327)&lt;&gt;14,"Status kegiatan tidak valid",IF(AK327&gt;0,"Lengkapi status kegiatan",IF(AND(AJ327&gt;0,U327=""),"Isi alasan Tidak Berlaku",IF(AND(SUM(AH327,AI327)&gt;0,OR(U327="",V327="",W327="",X327="")),"Isi kendala dan tindak lanjut",IF(AND(Z327&lt;&gt;"Draft",Z327&lt;&gt;"Dikirim"),"Isi status laporan yang valid",IF(AND(AB327&lt;&gt;"",AB327&lt;&gt;"Belum Diperiksa",AB327&lt;&gt;"Disetujui",AB327&lt;&gt;"Perlu Perbaikan"),"Hasil review tidak valid",IF(AND(Z327="Dikirim",OR(Y327="",AA327="")),"Isi bukti dan waktu kirim",IF(AND(AB327="Disetujui",OR(Z327&lt;&gt;"Dikirim",AC327="",AD327="")),"Lengkapi pemeriksaan",IF(AND(AB327="Perlu Perbaikan",OR(AE327="",AC327="",AD327="")),"Isi pemeriksa dan catatan perbaikan","OK")))))))))))))))),"")</f>
        <v/>
      </c>
    </row>
    <row r="328" spans="1:39" ht="24.95" customHeight="1">
      <c r="A328" s="8"/>
      <c r="B328" s="6"/>
      <c r="C328" s="15" t="str">
        <f>IF(COUNTIFS(Master_PIC!$A$8:$A$73,$B328)=1,IF(VLOOKUP($B328,Master_PIC!$A$8:$G$73,2,FALSE)="","",VLOOKUP($B328,Master_PIC!$A$8:$G$73,2,FALSE)),"")</f>
        <v/>
      </c>
      <c r="D328" s="15" t="str">
        <f>IF(COUNTIFS(Master_PIC!$A$8:$A$73,$B328)=1,IF(VLOOKUP($B328,Master_PIC!$A$8:$G$73,4,FALSE)="","",VLOOKUP($B328,Master_PIC!$A$8:$G$73,4,FALSE)),"")</f>
        <v/>
      </c>
      <c r="E328" s="15" t="str">
        <f>IF(COUNTIFS(Master_PIC!$A$8:$A$73,$B328)=1,IF(VLOOKUP($B328,Master_PIC!$A$8:$G$73,5,FALSE)="","",VLOOKUP($B328,Master_PIC!$A$8:$G$73,5,FALSE)),"")</f>
        <v/>
      </c>
      <c r="F328" s="15" t="str">
        <f>IF(COUNTIFS(Master_PIC!$A$8:$A$73,$B328)=1,IF(VLOOKUP($B328,Master_PIC!$A$8:$G$73,6,FALSE)="","",VLOOKUP($B328,Master_PIC!$A$8:$G$73,6,FALSE)),"")</f>
        <v/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8"/>
      <c r="Y328" s="5"/>
      <c r="Z328" s="5"/>
      <c r="AA328" s="9"/>
      <c r="AB328" s="5"/>
      <c r="AC328" s="5"/>
      <c r="AD328" s="9"/>
      <c r="AE328" s="5"/>
      <c r="AF328" s="7" t="str">
        <f t="shared" ref="AF328:AF391" si="35">IF(OR($A328&lt;&gt;"",$B328&lt;&gt;""),14-AJ328,"")</f>
        <v/>
      </c>
      <c r="AG328" s="7" t="str">
        <f t="shared" ref="AG328:AG391" si="36">IF(OR($A328&lt;&gt;"",$B328&lt;&gt;""),COUNTIFS(G328:T328,"Selesai"),"")</f>
        <v/>
      </c>
      <c r="AH328" s="7" t="str">
        <f t="shared" ref="AH328:AH391" si="37">IF(OR($A328&lt;&gt;"",$B328&lt;&gt;""),COUNTIFS(G328:T328,"Proses"),"")</f>
        <v/>
      </c>
      <c r="AI328" s="7" t="str">
        <f t="shared" ref="AI328:AI391" si="38">IF(OR($A328&lt;&gt;"",$B328&lt;&gt;""),COUNTIFS(G328:T328,"Belum"),"")</f>
        <v/>
      </c>
      <c r="AJ328" s="7" t="str">
        <f t="shared" ref="AJ328:AJ391" si="39">IF(OR($A328&lt;&gt;"",$B328&lt;&gt;""),COUNTIFS(G328:T328,"Tidak Berlaku"),"")</f>
        <v/>
      </c>
      <c r="AK328" s="7" t="str">
        <f t="shared" ref="AK328:AK391" si="40">IF(OR($A328&lt;&gt;"",$B328&lt;&gt;""),COUNTBLANK(G328:T328),"")</f>
        <v/>
      </c>
      <c r="AL328" s="10" t="str">
        <f t="shared" ref="AL328:AL391" si="41">IF(OR($A328&lt;&gt;"",$B328&lt;&gt;""),IF(AF328=0,"n.a.",AG328/AF328),"")</f>
        <v/>
      </c>
      <c r="AM328" s="15" t="str">
        <f>IF(OR($A328&lt;&gt;"",$B328&lt;&gt;""),IF(OR($A328="",$B328=""),"Isi tanggal dan ID PIC",IF(NOT(ISNUMBER($A328)),"Tanggal harus berupa tanggal Excel",IF(COUNTIFS(Master_PIC!$A$8:$A$73,$B328)&lt;&gt;1,"ID PIC tidak unik/terdaftar",IF(VLOOKUP($B328,Master_PIC!$A$8:$G$73,3,FALSE)&lt;&gt;"Sales","Jabatan tidak sesuai sheet",IF(OR($C328="",$D328="",$E328="",$F328=""),"Lengkapi master PIC",IF(COUNTIFS($A$8:$A$507,$A328,$B$8:$B$507,$B328)&gt;1,"Laporan ganda",IF(COUNTIFS(G328:P328,"Tidak Berlaku")&gt;0,"N/A hanya untuk kegiatan bersyarat",IF(SUM(AG328,AH328,AI328,AJ328,AK328)&lt;&gt;14,"Status kegiatan tidak valid",IF(AK328&gt;0,"Lengkapi status kegiatan",IF(AND(AJ328&gt;0,U328=""),"Isi alasan Tidak Berlaku",IF(AND(SUM(AH328,AI328)&gt;0,OR(U328="",V328="",W328="",X328="")),"Isi kendala dan tindak lanjut",IF(AND(Z328&lt;&gt;"Draft",Z328&lt;&gt;"Dikirim"),"Isi status laporan yang valid",IF(AND(AB328&lt;&gt;"",AB328&lt;&gt;"Belum Diperiksa",AB328&lt;&gt;"Disetujui",AB328&lt;&gt;"Perlu Perbaikan"),"Hasil review tidak valid",IF(AND(Z328="Dikirim",OR(Y328="",AA328="")),"Isi bukti dan waktu kirim",IF(AND(AB328="Disetujui",OR(Z328&lt;&gt;"Dikirim",AC328="",AD328="")),"Lengkapi pemeriksaan",IF(AND(AB328="Perlu Perbaikan",OR(AE328="",AC328="",AD328="")),"Isi pemeriksa dan catatan perbaikan","OK")))))))))))))))),"")</f>
        <v/>
      </c>
    </row>
    <row r="329" spans="1:39" ht="24.95" customHeight="1">
      <c r="A329" s="8"/>
      <c r="B329" s="6"/>
      <c r="C329" s="15" t="str">
        <f>IF(COUNTIFS(Master_PIC!$A$8:$A$73,$B329)=1,IF(VLOOKUP($B329,Master_PIC!$A$8:$G$73,2,FALSE)="","",VLOOKUP($B329,Master_PIC!$A$8:$G$73,2,FALSE)),"")</f>
        <v/>
      </c>
      <c r="D329" s="15" t="str">
        <f>IF(COUNTIFS(Master_PIC!$A$8:$A$73,$B329)=1,IF(VLOOKUP($B329,Master_PIC!$A$8:$G$73,4,FALSE)="","",VLOOKUP($B329,Master_PIC!$A$8:$G$73,4,FALSE)),"")</f>
        <v/>
      </c>
      <c r="E329" s="15" t="str">
        <f>IF(COUNTIFS(Master_PIC!$A$8:$A$73,$B329)=1,IF(VLOOKUP($B329,Master_PIC!$A$8:$G$73,5,FALSE)="","",VLOOKUP($B329,Master_PIC!$A$8:$G$73,5,FALSE)),"")</f>
        <v/>
      </c>
      <c r="F329" s="15" t="str">
        <f>IF(COUNTIFS(Master_PIC!$A$8:$A$73,$B329)=1,IF(VLOOKUP($B329,Master_PIC!$A$8:$G$73,6,FALSE)="","",VLOOKUP($B329,Master_PIC!$A$8:$G$73,6,FALSE)),"")</f>
        <v/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8"/>
      <c r="Y329" s="5"/>
      <c r="Z329" s="5"/>
      <c r="AA329" s="9"/>
      <c r="AB329" s="5"/>
      <c r="AC329" s="5"/>
      <c r="AD329" s="9"/>
      <c r="AE329" s="5"/>
      <c r="AF329" s="7" t="str">
        <f t="shared" si="35"/>
        <v/>
      </c>
      <c r="AG329" s="7" t="str">
        <f t="shared" si="36"/>
        <v/>
      </c>
      <c r="AH329" s="7" t="str">
        <f t="shared" si="37"/>
        <v/>
      </c>
      <c r="AI329" s="7" t="str">
        <f t="shared" si="38"/>
        <v/>
      </c>
      <c r="AJ329" s="7" t="str">
        <f t="shared" si="39"/>
        <v/>
      </c>
      <c r="AK329" s="7" t="str">
        <f t="shared" si="40"/>
        <v/>
      </c>
      <c r="AL329" s="10" t="str">
        <f t="shared" si="41"/>
        <v/>
      </c>
      <c r="AM329" s="15" t="str">
        <f>IF(OR($A329&lt;&gt;"",$B329&lt;&gt;""),IF(OR($A329="",$B329=""),"Isi tanggal dan ID PIC",IF(NOT(ISNUMBER($A329)),"Tanggal harus berupa tanggal Excel",IF(COUNTIFS(Master_PIC!$A$8:$A$73,$B329)&lt;&gt;1,"ID PIC tidak unik/terdaftar",IF(VLOOKUP($B329,Master_PIC!$A$8:$G$73,3,FALSE)&lt;&gt;"Sales","Jabatan tidak sesuai sheet",IF(OR($C329="",$D329="",$E329="",$F329=""),"Lengkapi master PIC",IF(COUNTIFS($A$8:$A$507,$A329,$B$8:$B$507,$B329)&gt;1,"Laporan ganda",IF(COUNTIFS(G329:P329,"Tidak Berlaku")&gt;0,"N/A hanya untuk kegiatan bersyarat",IF(SUM(AG329,AH329,AI329,AJ329,AK329)&lt;&gt;14,"Status kegiatan tidak valid",IF(AK329&gt;0,"Lengkapi status kegiatan",IF(AND(AJ329&gt;0,U329=""),"Isi alasan Tidak Berlaku",IF(AND(SUM(AH329,AI329)&gt;0,OR(U329="",V329="",W329="",X329="")),"Isi kendala dan tindak lanjut",IF(AND(Z329&lt;&gt;"Draft",Z329&lt;&gt;"Dikirim"),"Isi status laporan yang valid",IF(AND(AB329&lt;&gt;"",AB329&lt;&gt;"Belum Diperiksa",AB329&lt;&gt;"Disetujui",AB329&lt;&gt;"Perlu Perbaikan"),"Hasil review tidak valid",IF(AND(Z329="Dikirim",OR(Y329="",AA329="")),"Isi bukti dan waktu kirim",IF(AND(AB329="Disetujui",OR(Z329&lt;&gt;"Dikirim",AC329="",AD329="")),"Lengkapi pemeriksaan",IF(AND(AB329="Perlu Perbaikan",OR(AE329="",AC329="",AD329="")),"Isi pemeriksa dan catatan perbaikan","OK")))))))))))))))),"")</f>
        <v/>
      </c>
    </row>
    <row r="330" spans="1:39" ht="24.95" customHeight="1">
      <c r="A330" s="8"/>
      <c r="B330" s="6"/>
      <c r="C330" s="15" t="str">
        <f>IF(COUNTIFS(Master_PIC!$A$8:$A$73,$B330)=1,IF(VLOOKUP($B330,Master_PIC!$A$8:$G$73,2,FALSE)="","",VLOOKUP($B330,Master_PIC!$A$8:$G$73,2,FALSE)),"")</f>
        <v/>
      </c>
      <c r="D330" s="15" t="str">
        <f>IF(COUNTIFS(Master_PIC!$A$8:$A$73,$B330)=1,IF(VLOOKUP($B330,Master_PIC!$A$8:$G$73,4,FALSE)="","",VLOOKUP($B330,Master_PIC!$A$8:$G$73,4,FALSE)),"")</f>
        <v/>
      </c>
      <c r="E330" s="15" t="str">
        <f>IF(COUNTIFS(Master_PIC!$A$8:$A$73,$B330)=1,IF(VLOOKUP($B330,Master_PIC!$A$8:$G$73,5,FALSE)="","",VLOOKUP($B330,Master_PIC!$A$8:$G$73,5,FALSE)),"")</f>
        <v/>
      </c>
      <c r="F330" s="15" t="str">
        <f>IF(COUNTIFS(Master_PIC!$A$8:$A$73,$B330)=1,IF(VLOOKUP($B330,Master_PIC!$A$8:$G$73,6,FALSE)="","",VLOOKUP($B330,Master_PIC!$A$8:$G$73,6,FALSE)),"")</f>
        <v/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8"/>
      <c r="Y330" s="5"/>
      <c r="Z330" s="5"/>
      <c r="AA330" s="9"/>
      <c r="AB330" s="5"/>
      <c r="AC330" s="5"/>
      <c r="AD330" s="9"/>
      <c r="AE330" s="5"/>
      <c r="AF330" s="7" t="str">
        <f t="shared" si="35"/>
        <v/>
      </c>
      <c r="AG330" s="7" t="str">
        <f t="shared" si="36"/>
        <v/>
      </c>
      <c r="AH330" s="7" t="str">
        <f t="shared" si="37"/>
        <v/>
      </c>
      <c r="AI330" s="7" t="str">
        <f t="shared" si="38"/>
        <v/>
      </c>
      <c r="AJ330" s="7" t="str">
        <f t="shared" si="39"/>
        <v/>
      </c>
      <c r="AK330" s="7" t="str">
        <f t="shared" si="40"/>
        <v/>
      </c>
      <c r="AL330" s="10" t="str">
        <f t="shared" si="41"/>
        <v/>
      </c>
      <c r="AM330" s="15" t="str">
        <f>IF(OR($A330&lt;&gt;"",$B330&lt;&gt;""),IF(OR($A330="",$B330=""),"Isi tanggal dan ID PIC",IF(NOT(ISNUMBER($A330)),"Tanggal harus berupa tanggal Excel",IF(COUNTIFS(Master_PIC!$A$8:$A$73,$B330)&lt;&gt;1,"ID PIC tidak unik/terdaftar",IF(VLOOKUP($B330,Master_PIC!$A$8:$G$73,3,FALSE)&lt;&gt;"Sales","Jabatan tidak sesuai sheet",IF(OR($C330="",$D330="",$E330="",$F330=""),"Lengkapi master PIC",IF(COUNTIFS($A$8:$A$507,$A330,$B$8:$B$507,$B330)&gt;1,"Laporan ganda",IF(COUNTIFS(G330:P330,"Tidak Berlaku")&gt;0,"N/A hanya untuk kegiatan bersyarat",IF(SUM(AG330,AH330,AI330,AJ330,AK330)&lt;&gt;14,"Status kegiatan tidak valid",IF(AK330&gt;0,"Lengkapi status kegiatan",IF(AND(AJ330&gt;0,U330=""),"Isi alasan Tidak Berlaku",IF(AND(SUM(AH330,AI330)&gt;0,OR(U330="",V330="",W330="",X330="")),"Isi kendala dan tindak lanjut",IF(AND(Z330&lt;&gt;"Draft",Z330&lt;&gt;"Dikirim"),"Isi status laporan yang valid",IF(AND(AB330&lt;&gt;"",AB330&lt;&gt;"Belum Diperiksa",AB330&lt;&gt;"Disetujui",AB330&lt;&gt;"Perlu Perbaikan"),"Hasil review tidak valid",IF(AND(Z330="Dikirim",OR(Y330="",AA330="")),"Isi bukti dan waktu kirim",IF(AND(AB330="Disetujui",OR(Z330&lt;&gt;"Dikirim",AC330="",AD330="")),"Lengkapi pemeriksaan",IF(AND(AB330="Perlu Perbaikan",OR(AE330="",AC330="",AD330="")),"Isi pemeriksa dan catatan perbaikan","OK")))))))))))))))),"")</f>
        <v/>
      </c>
    </row>
    <row r="331" spans="1:39" ht="24.95" customHeight="1">
      <c r="A331" s="8"/>
      <c r="B331" s="6"/>
      <c r="C331" s="15" t="str">
        <f>IF(COUNTIFS(Master_PIC!$A$8:$A$73,$B331)=1,IF(VLOOKUP($B331,Master_PIC!$A$8:$G$73,2,FALSE)="","",VLOOKUP($B331,Master_PIC!$A$8:$G$73,2,FALSE)),"")</f>
        <v/>
      </c>
      <c r="D331" s="15" t="str">
        <f>IF(COUNTIFS(Master_PIC!$A$8:$A$73,$B331)=1,IF(VLOOKUP($B331,Master_PIC!$A$8:$G$73,4,FALSE)="","",VLOOKUP($B331,Master_PIC!$A$8:$G$73,4,FALSE)),"")</f>
        <v/>
      </c>
      <c r="E331" s="15" t="str">
        <f>IF(COUNTIFS(Master_PIC!$A$8:$A$73,$B331)=1,IF(VLOOKUP($B331,Master_PIC!$A$8:$G$73,5,FALSE)="","",VLOOKUP($B331,Master_PIC!$A$8:$G$73,5,FALSE)),"")</f>
        <v/>
      </c>
      <c r="F331" s="15" t="str">
        <f>IF(COUNTIFS(Master_PIC!$A$8:$A$73,$B331)=1,IF(VLOOKUP($B331,Master_PIC!$A$8:$G$73,6,FALSE)="","",VLOOKUP($B331,Master_PIC!$A$8:$G$73,6,FALSE)),"")</f>
        <v/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8"/>
      <c r="Y331" s="5"/>
      <c r="Z331" s="5"/>
      <c r="AA331" s="9"/>
      <c r="AB331" s="5"/>
      <c r="AC331" s="5"/>
      <c r="AD331" s="9"/>
      <c r="AE331" s="5"/>
      <c r="AF331" s="7" t="str">
        <f t="shared" si="35"/>
        <v/>
      </c>
      <c r="AG331" s="7" t="str">
        <f t="shared" si="36"/>
        <v/>
      </c>
      <c r="AH331" s="7" t="str">
        <f t="shared" si="37"/>
        <v/>
      </c>
      <c r="AI331" s="7" t="str">
        <f t="shared" si="38"/>
        <v/>
      </c>
      <c r="AJ331" s="7" t="str">
        <f t="shared" si="39"/>
        <v/>
      </c>
      <c r="AK331" s="7" t="str">
        <f t="shared" si="40"/>
        <v/>
      </c>
      <c r="AL331" s="10" t="str">
        <f t="shared" si="41"/>
        <v/>
      </c>
      <c r="AM331" s="15" t="str">
        <f>IF(OR($A331&lt;&gt;"",$B331&lt;&gt;""),IF(OR($A331="",$B331=""),"Isi tanggal dan ID PIC",IF(NOT(ISNUMBER($A331)),"Tanggal harus berupa tanggal Excel",IF(COUNTIFS(Master_PIC!$A$8:$A$73,$B331)&lt;&gt;1,"ID PIC tidak unik/terdaftar",IF(VLOOKUP($B331,Master_PIC!$A$8:$G$73,3,FALSE)&lt;&gt;"Sales","Jabatan tidak sesuai sheet",IF(OR($C331="",$D331="",$E331="",$F331=""),"Lengkapi master PIC",IF(COUNTIFS($A$8:$A$507,$A331,$B$8:$B$507,$B331)&gt;1,"Laporan ganda",IF(COUNTIFS(G331:P331,"Tidak Berlaku")&gt;0,"N/A hanya untuk kegiatan bersyarat",IF(SUM(AG331,AH331,AI331,AJ331,AK331)&lt;&gt;14,"Status kegiatan tidak valid",IF(AK331&gt;0,"Lengkapi status kegiatan",IF(AND(AJ331&gt;0,U331=""),"Isi alasan Tidak Berlaku",IF(AND(SUM(AH331,AI331)&gt;0,OR(U331="",V331="",W331="",X331="")),"Isi kendala dan tindak lanjut",IF(AND(Z331&lt;&gt;"Draft",Z331&lt;&gt;"Dikirim"),"Isi status laporan yang valid",IF(AND(AB331&lt;&gt;"",AB331&lt;&gt;"Belum Diperiksa",AB331&lt;&gt;"Disetujui",AB331&lt;&gt;"Perlu Perbaikan"),"Hasil review tidak valid",IF(AND(Z331="Dikirim",OR(Y331="",AA331="")),"Isi bukti dan waktu kirim",IF(AND(AB331="Disetujui",OR(Z331&lt;&gt;"Dikirim",AC331="",AD331="")),"Lengkapi pemeriksaan",IF(AND(AB331="Perlu Perbaikan",OR(AE331="",AC331="",AD331="")),"Isi pemeriksa dan catatan perbaikan","OK")))))))))))))))),"")</f>
        <v/>
      </c>
    </row>
    <row r="332" spans="1:39" ht="24.95" customHeight="1">
      <c r="A332" s="8"/>
      <c r="B332" s="6"/>
      <c r="C332" s="15" t="str">
        <f>IF(COUNTIFS(Master_PIC!$A$8:$A$73,$B332)=1,IF(VLOOKUP($B332,Master_PIC!$A$8:$G$73,2,FALSE)="","",VLOOKUP($B332,Master_PIC!$A$8:$G$73,2,FALSE)),"")</f>
        <v/>
      </c>
      <c r="D332" s="15" t="str">
        <f>IF(COUNTIFS(Master_PIC!$A$8:$A$73,$B332)=1,IF(VLOOKUP($B332,Master_PIC!$A$8:$G$73,4,FALSE)="","",VLOOKUP($B332,Master_PIC!$A$8:$G$73,4,FALSE)),"")</f>
        <v/>
      </c>
      <c r="E332" s="15" t="str">
        <f>IF(COUNTIFS(Master_PIC!$A$8:$A$73,$B332)=1,IF(VLOOKUP($B332,Master_PIC!$A$8:$G$73,5,FALSE)="","",VLOOKUP($B332,Master_PIC!$A$8:$G$73,5,FALSE)),"")</f>
        <v/>
      </c>
      <c r="F332" s="15" t="str">
        <f>IF(COUNTIFS(Master_PIC!$A$8:$A$73,$B332)=1,IF(VLOOKUP($B332,Master_PIC!$A$8:$G$73,6,FALSE)="","",VLOOKUP($B332,Master_PIC!$A$8:$G$73,6,FALSE)),"")</f>
        <v/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8"/>
      <c r="Y332" s="5"/>
      <c r="Z332" s="5"/>
      <c r="AA332" s="9"/>
      <c r="AB332" s="5"/>
      <c r="AC332" s="5"/>
      <c r="AD332" s="9"/>
      <c r="AE332" s="5"/>
      <c r="AF332" s="7" t="str">
        <f t="shared" si="35"/>
        <v/>
      </c>
      <c r="AG332" s="7" t="str">
        <f t="shared" si="36"/>
        <v/>
      </c>
      <c r="AH332" s="7" t="str">
        <f t="shared" si="37"/>
        <v/>
      </c>
      <c r="AI332" s="7" t="str">
        <f t="shared" si="38"/>
        <v/>
      </c>
      <c r="AJ332" s="7" t="str">
        <f t="shared" si="39"/>
        <v/>
      </c>
      <c r="AK332" s="7" t="str">
        <f t="shared" si="40"/>
        <v/>
      </c>
      <c r="AL332" s="10" t="str">
        <f t="shared" si="41"/>
        <v/>
      </c>
      <c r="AM332" s="15" t="str">
        <f>IF(OR($A332&lt;&gt;"",$B332&lt;&gt;""),IF(OR($A332="",$B332=""),"Isi tanggal dan ID PIC",IF(NOT(ISNUMBER($A332)),"Tanggal harus berupa tanggal Excel",IF(COUNTIFS(Master_PIC!$A$8:$A$73,$B332)&lt;&gt;1,"ID PIC tidak unik/terdaftar",IF(VLOOKUP($B332,Master_PIC!$A$8:$G$73,3,FALSE)&lt;&gt;"Sales","Jabatan tidak sesuai sheet",IF(OR($C332="",$D332="",$E332="",$F332=""),"Lengkapi master PIC",IF(COUNTIFS($A$8:$A$507,$A332,$B$8:$B$507,$B332)&gt;1,"Laporan ganda",IF(COUNTIFS(G332:P332,"Tidak Berlaku")&gt;0,"N/A hanya untuk kegiatan bersyarat",IF(SUM(AG332,AH332,AI332,AJ332,AK332)&lt;&gt;14,"Status kegiatan tidak valid",IF(AK332&gt;0,"Lengkapi status kegiatan",IF(AND(AJ332&gt;0,U332=""),"Isi alasan Tidak Berlaku",IF(AND(SUM(AH332,AI332)&gt;0,OR(U332="",V332="",W332="",X332="")),"Isi kendala dan tindak lanjut",IF(AND(Z332&lt;&gt;"Draft",Z332&lt;&gt;"Dikirim"),"Isi status laporan yang valid",IF(AND(AB332&lt;&gt;"",AB332&lt;&gt;"Belum Diperiksa",AB332&lt;&gt;"Disetujui",AB332&lt;&gt;"Perlu Perbaikan"),"Hasil review tidak valid",IF(AND(Z332="Dikirim",OR(Y332="",AA332="")),"Isi bukti dan waktu kirim",IF(AND(AB332="Disetujui",OR(Z332&lt;&gt;"Dikirim",AC332="",AD332="")),"Lengkapi pemeriksaan",IF(AND(AB332="Perlu Perbaikan",OR(AE332="",AC332="",AD332="")),"Isi pemeriksa dan catatan perbaikan","OK")))))))))))))))),"")</f>
        <v/>
      </c>
    </row>
    <row r="333" spans="1:39" ht="24.95" customHeight="1">
      <c r="A333" s="8"/>
      <c r="B333" s="6"/>
      <c r="C333" s="15" t="str">
        <f>IF(COUNTIFS(Master_PIC!$A$8:$A$73,$B333)=1,IF(VLOOKUP($B333,Master_PIC!$A$8:$G$73,2,FALSE)="","",VLOOKUP($B333,Master_PIC!$A$8:$G$73,2,FALSE)),"")</f>
        <v/>
      </c>
      <c r="D333" s="15" t="str">
        <f>IF(COUNTIFS(Master_PIC!$A$8:$A$73,$B333)=1,IF(VLOOKUP($B333,Master_PIC!$A$8:$G$73,4,FALSE)="","",VLOOKUP($B333,Master_PIC!$A$8:$G$73,4,FALSE)),"")</f>
        <v/>
      </c>
      <c r="E333" s="15" t="str">
        <f>IF(COUNTIFS(Master_PIC!$A$8:$A$73,$B333)=1,IF(VLOOKUP($B333,Master_PIC!$A$8:$G$73,5,FALSE)="","",VLOOKUP($B333,Master_PIC!$A$8:$G$73,5,FALSE)),"")</f>
        <v/>
      </c>
      <c r="F333" s="15" t="str">
        <f>IF(COUNTIFS(Master_PIC!$A$8:$A$73,$B333)=1,IF(VLOOKUP($B333,Master_PIC!$A$8:$G$73,6,FALSE)="","",VLOOKUP($B333,Master_PIC!$A$8:$G$73,6,FALSE)),"")</f>
        <v/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8"/>
      <c r="Y333" s="5"/>
      <c r="Z333" s="5"/>
      <c r="AA333" s="9"/>
      <c r="AB333" s="5"/>
      <c r="AC333" s="5"/>
      <c r="AD333" s="9"/>
      <c r="AE333" s="5"/>
      <c r="AF333" s="7" t="str">
        <f t="shared" si="35"/>
        <v/>
      </c>
      <c r="AG333" s="7" t="str">
        <f t="shared" si="36"/>
        <v/>
      </c>
      <c r="AH333" s="7" t="str">
        <f t="shared" si="37"/>
        <v/>
      </c>
      <c r="AI333" s="7" t="str">
        <f t="shared" si="38"/>
        <v/>
      </c>
      <c r="AJ333" s="7" t="str">
        <f t="shared" si="39"/>
        <v/>
      </c>
      <c r="AK333" s="7" t="str">
        <f t="shared" si="40"/>
        <v/>
      </c>
      <c r="AL333" s="10" t="str">
        <f t="shared" si="41"/>
        <v/>
      </c>
      <c r="AM333" s="15" t="str">
        <f>IF(OR($A333&lt;&gt;"",$B333&lt;&gt;""),IF(OR($A333="",$B333=""),"Isi tanggal dan ID PIC",IF(NOT(ISNUMBER($A333)),"Tanggal harus berupa tanggal Excel",IF(COUNTIFS(Master_PIC!$A$8:$A$73,$B333)&lt;&gt;1,"ID PIC tidak unik/terdaftar",IF(VLOOKUP($B333,Master_PIC!$A$8:$G$73,3,FALSE)&lt;&gt;"Sales","Jabatan tidak sesuai sheet",IF(OR($C333="",$D333="",$E333="",$F333=""),"Lengkapi master PIC",IF(COUNTIFS($A$8:$A$507,$A333,$B$8:$B$507,$B333)&gt;1,"Laporan ganda",IF(COUNTIFS(G333:P333,"Tidak Berlaku")&gt;0,"N/A hanya untuk kegiatan bersyarat",IF(SUM(AG333,AH333,AI333,AJ333,AK333)&lt;&gt;14,"Status kegiatan tidak valid",IF(AK333&gt;0,"Lengkapi status kegiatan",IF(AND(AJ333&gt;0,U333=""),"Isi alasan Tidak Berlaku",IF(AND(SUM(AH333,AI333)&gt;0,OR(U333="",V333="",W333="",X333="")),"Isi kendala dan tindak lanjut",IF(AND(Z333&lt;&gt;"Draft",Z333&lt;&gt;"Dikirim"),"Isi status laporan yang valid",IF(AND(AB333&lt;&gt;"",AB333&lt;&gt;"Belum Diperiksa",AB333&lt;&gt;"Disetujui",AB333&lt;&gt;"Perlu Perbaikan"),"Hasil review tidak valid",IF(AND(Z333="Dikirim",OR(Y333="",AA333="")),"Isi bukti dan waktu kirim",IF(AND(AB333="Disetujui",OR(Z333&lt;&gt;"Dikirim",AC333="",AD333="")),"Lengkapi pemeriksaan",IF(AND(AB333="Perlu Perbaikan",OR(AE333="",AC333="",AD333="")),"Isi pemeriksa dan catatan perbaikan","OK")))))))))))))))),"")</f>
        <v/>
      </c>
    </row>
    <row r="334" spans="1:39" ht="24.95" customHeight="1">
      <c r="A334" s="8"/>
      <c r="B334" s="6"/>
      <c r="C334" s="15" t="str">
        <f>IF(COUNTIFS(Master_PIC!$A$8:$A$73,$B334)=1,IF(VLOOKUP($B334,Master_PIC!$A$8:$G$73,2,FALSE)="","",VLOOKUP($B334,Master_PIC!$A$8:$G$73,2,FALSE)),"")</f>
        <v/>
      </c>
      <c r="D334" s="15" t="str">
        <f>IF(COUNTIFS(Master_PIC!$A$8:$A$73,$B334)=1,IF(VLOOKUP($B334,Master_PIC!$A$8:$G$73,4,FALSE)="","",VLOOKUP($B334,Master_PIC!$A$8:$G$73,4,FALSE)),"")</f>
        <v/>
      </c>
      <c r="E334" s="15" t="str">
        <f>IF(COUNTIFS(Master_PIC!$A$8:$A$73,$B334)=1,IF(VLOOKUP($B334,Master_PIC!$A$8:$G$73,5,FALSE)="","",VLOOKUP($B334,Master_PIC!$A$8:$G$73,5,FALSE)),"")</f>
        <v/>
      </c>
      <c r="F334" s="15" t="str">
        <f>IF(COUNTIFS(Master_PIC!$A$8:$A$73,$B334)=1,IF(VLOOKUP($B334,Master_PIC!$A$8:$G$73,6,FALSE)="","",VLOOKUP($B334,Master_PIC!$A$8:$G$73,6,FALSE)),"")</f>
        <v/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8"/>
      <c r="Y334" s="5"/>
      <c r="Z334" s="5"/>
      <c r="AA334" s="9"/>
      <c r="AB334" s="5"/>
      <c r="AC334" s="5"/>
      <c r="AD334" s="9"/>
      <c r="AE334" s="5"/>
      <c r="AF334" s="7" t="str">
        <f t="shared" si="35"/>
        <v/>
      </c>
      <c r="AG334" s="7" t="str">
        <f t="shared" si="36"/>
        <v/>
      </c>
      <c r="AH334" s="7" t="str">
        <f t="shared" si="37"/>
        <v/>
      </c>
      <c r="AI334" s="7" t="str">
        <f t="shared" si="38"/>
        <v/>
      </c>
      <c r="AJ334" s="7" t="str">
        <f t="shared" si="39"/>
        <v/>
      </c>
      <c r="AK334" s="7" t="str">
        <f t="shared" si="40"/>
        <v/>
      </c>
      <c r="AL334" s="10" t="str">
        <f t="shared" si="41"/>
        <v/>
      </c>
      <c r="AM334" s="15" t="str">
        <f>IF(OR($A334&lt;&gt;"",$B334&lt;&gt;""),IF(OR($A334="",$B334=""),"Isi tanggal dan ID PIC",IF(NOT(ISNUMBER($A334)),"Tanggal harus berupa tanggal Excel",IF(COUNTIFS(Master_PIC!$A$8:$A$73,$B334)&lt;&gt;1,"ID PIC tidak unik/terdaftar",IF(VLOOKUP($B334,Master_PIC!$A$8:$G$73,3,FALSE)&lt;&gt;"Sales","Jabatan tidak sesuai sheet",IF(OR($C334="",$D334="",$E334="",$F334=""),"Lengkapi master PIC",IF(COUNTIFS($A$8:$A$507,$A334,$B$8:$B$507,$B334)&gt;1,"Laporan ganda",IF(COUNTIFS(G334:P334,"Tidak Berlaku")&gt;0,"N/A hanya untuk kegiatan bersyarat",IF(SUM(AG334,AH334,AI334,AJ334,AK334)&lt;&gt;14,"Status kegiatan tidak valid",IF(AK334&gt;0,"Lengkapi status kegiatan",IF(AND(AJ334&gt;0,U334=""),"Isi alasan Tidak Berlaku",IF(AND(SUM(AH334,AI334)&gt;0,OR(U334="",V334="",W334="",X334="")),"Isi kendala dan tindak lanjut",IF(AND(Z334&lt;&gt;"Draft",Z334&lt;&gt;"Dikirim"),"Isi status laporan yang valid",IF(AND(AB334&lt;&gt;"",AB334&lt;&gt;"Belum Diperiksa",AB334&lt;&gt;"Disetujui",AB334&lt;&gt;"Perlu Perbaikan"),"Hasil review tidak valid",IF(AND(Z334="Dikirim",OR(Y334="",AA334="")),"Isi bukti dan waktu kirim",IF(AND(AB334="Disetujui",OR(Z334&lt;&gt;"Dikirim",AC334="",AD334="")),"Lengkapi pemeriksaan",IF(AND(AB334="Perlu Perbaikan",OR(AE334="",AC334="",AD334="")),"Isi pemeriksa dan catatan perbaikan","OK")))))))))))))))),"")</f>
        <v/>
      </c>
    </row>
    <row r="335" spans="1:39" ht="24.95" customHeight="1">
      <c r="A335" s="8"/>
      <c r="B335" s="6"/>
      <c r="C335" s="15" t="str">
        <f>IF(COUNTIFS(Master_PIC!$A$8:$A$73,$B335)=1,IF(VLOOKUP($B335,Master_PIC!$A$8:$G$73,2,FALSE)="","",VLOOKUP($B335,Master_PIC!$A$8:$G$73,2,FALSE)),"")</f>
        <v/>
      </c>
      <c r="D335" s="15" t="str">
        <f>IF(COUNTIFS(Master_PIC!$A$8:$A$73,$B335)=1,IF(VLOOKUP($B335,Master_PIC!$A$8:$G$73,4,FALSE)="","",VLOOKUP($B335,Master_PIC!$A$8:$G$73,4,FALSE)),"")</f>
        <v/>
      </c>
      <c r="E335" s="15" t="str">
        <f>IF(COUNTIFS(Master_PIC!$A$8:$A$73,$B335)=1,IF(VLOOKUP($B335,Master_PIC!$A$8:$G$73,5,FALSE)="","",VLOOKUP($B335,Master_PIC!$A$8:$G$73,5,FALSE)),"")</f>
        <v/>
      </c>
      <c r="F335" s="15" t="str">
        <f>IF(COUNTIFS(Master_PIC!$A$8:$A$73,$B335)=1,IF(VLOOKUP($B335,Master_PIC!$A$8:$G$73,6,FALSE)="","",VLOOKUP($B335,Master_PIC!$A$8:$G$73,6,FALSE)),"")</f>
        <v/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8"/>
      <c r="Y335" s="5"/>
      <c r="Z335" s="5"/>
      <c r="AA335" s="9"/>
      <c r="AB335" s="5"/>
      <c r="AC335" s="5"/>
      <c r="AD335" s="9"/>
      <c r="AE335" s="5"/>
      <c r="AF335" s="7" t="str">
        <f t="shared" si="35"/>
        <v/>
      </c>
      <c r="AG335" s="7" t="str">
        <f t="shared" si="36"/>
        <v/>
      </c>
      <c r="AH335" s="7" t="str">
        <f t="shared" si="37"/>
        <v/>
      </c>
      <c r="AI335" s="7" t="str">
        <f t="shared" si="38"/>
        <v/>
      </c>
      <c r="AJ335" s="7" t="str">
        <f t="shared" si="39"/>
        <v/>
      </c>
      <c r="AK335" s="7" t="str">
        <f t="shared" si="40"/>
        <v/>
      </c>
      <c r="AL335" s="10" t="str">
        <f t="shared" si="41"/>
        <v/>
      </c>
      <c r="AM335" s="15" t="str">
        <f>IF(OR($A335&lt;&gt;"",$B335&lt;&gt;""),IF(OR($A335="",$B335=""),"Isi tanggal dan ID PIC",IF(NOT(ISNUMBER($A335)),"Tanggal harus berupa tanggal Excel",IF(COUNTIFS(Master_PIC!$A$8:$A$73,$B335)&lt;&gt;1,"ID PIC tidak unik/terdaftar",IF(VLOOKUP($B335,Master_PIC!$A$8:$G$73,3,FALSE)&lt;&gt;"Sales","Jabatan tidak sesuai sheet",IF(OR($C335="",$D335="",$E335="",$F335=""),"Lengkapi master PIC",IF(COUNTIFS($A$8:$A$507,$A335,$B$8:$B$507,$B335)&gt;1,"Laporan ganda",IF(COUNTIFS(G335:P335,"Tidak Berlaku")&gt;0,"N/A hanya untuk kegiatan bersyarat",IF(SUM(AG335,AH335,AI335,AJ335,AK335)&lt;&gt;14,"Status kegiatan tidak valid",IF(AK335&gt;0,"Lengkapi status kegiatan",IF(AND(AJ335&gt;0,U335=""),"Isi alasan Tidak Berlaku",IF(AND(SUM(AH335,AI335)&gt;0,OR(U335="",V335="",W335="",X335="")),"Isi kendala dan tindak lanjut",IF(AND(Z335&lt;&gt;"Draft",Z335&lt;&gt;"Dikirim"),"Isi status laporan yang valid",IF(AND(AB335&lt;&gt;"",AB335&lt;&gt;"Belum Diperiksa",AB335&lt;&gt;"Disetujui",AB335&lt;&gt;"Perlu Perbaikan"),"Hasil review tidak valid",IF(AND(Z335="Dikirim",OR(Y335="",AA335="")),"Isi bukti dan waktu kirim",IF(AND(AB335="Disetujui",OR(Z335&lt;&gt;"Dikirim",AC335="",AD335="")),"Lengkapi pemeriksaan",IF(AND(AB335="Perlu Perbaikan",OR(AE335="",AC335="",AD335="")),"Isi pemeriksa dan catatan perbaikan","OK")))))))))))))))),"")</f>
        <v/>
      </c>
    </row>
    <row r="336" spans="1:39" ht="24.95" customHeight="1">
      <c r="A336" s="8"/>
      <c r="B336" s="6"/>
      <c r="C336" s="15" t="str">
        <f>IF(COUNTIFS(Master_PIC!$A$8:$A$73,$B336)=1,IF(VLOOKUP($B336,Master_PIC!$A$8:$G$73,2,FALSE)="","",VLOOKUP($B336,Master_PIC!$A$8:$G$73,2,FALSE)),"")</f>
        <v/>
      </c>
      <c r="D336" s="15" t="str">
        <f>IF(COUNTIFS(Master_PIC!$A$8:$A$73,$B336)=1,IF(VLOOKUP($B336,Master_PIC!$A$8:$G$73,4,FALSE)="","",VLOOKUP($B336,Master_PIC!$A$8:$G$73,4,FALSE)),"")</f>
        <v/>
      </c>
      <c r="E336" s="15" t="str">
        <f>IF(COUNTIFS(Master_PIC!$A$8:$A$73,$B336)=1,IF(VLOOKUP($B336,Master_PIC!$A$8:$G$73,5,FALSE)="","",VLOOKUP($B336,Master_PIC!$A$8:$G$73,5,FALSE)),"")</f>
        <v/>
      </c>
      <c r="F336" s="15" t="str">
        <f>IF(COUNTIFS(Master_PIC!$A$8:$A$73,$B336)=1,IF(VLOOKUP($B336,Master_PIC!$A$8:$G$73,6,FALSE)="","",VLOOKUP($B336,Master_PIC!$A$8:$G$73,6,FALSE)),"")</f>
        <v/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8"/>
      <c r="Y336" s="5"/>
      <c r="Z336" s="5"/>
      <c r="AA336" s="9"/>
      <c r="AB336" s="5"/>
      <c r="AC336" s="5"/>
      <c r="AD336" s="9"/>
      <c r="AE336" s="5"/>
      <c r="AF336" s="7" t="str">
        <f t="shared" si="35"/>
        <v/>
      </c>
      <c r="AG336" s="7" t="str">
        <f t="shared" si="36"/>
        <v/>
      </c>
      <c r="AH336" s="7" t="str">
        <f t="shared" si="37"/>
        <v/>
      </c>
      <c r="AI336" s="7" t="str">
        <f t="shared" si="38"/>
        <v/>
      </c>
      <c r="AJ336" s="7" t="str">
        <f t="shared" si="39"/>
        <v/>
      </c>
      <c r="AK336" s="7" t="str">
        <f t="shared" si="40"/>
        <v/>
      </c>
      <c r="AL336" s="10" t="str">
        <f t="shared" si="41"/>
        <v/>
      </c>
      <c r="AM336" s="15" t="str">
        <f>IF(OR($A336&lt;&gt;"",$B336&lt;&gt;""),IF(OR($A336="",$B336=""),"Isi tanggal dan ID PIC",IF(NOT(ISNUMBER($A336)),"Tanggal harus berupa tanggal Excel",IF(COUNTIFS(Master_PIC!$A$8:$A$73,$B336)&lt;&gt;1,"ID PIC tidak unik/terdaftar",IF(VLOOKUP($B336,Master_PIC!$A$8:$G$73,3,FALSE)&lt;&gt;"Sales","Jabatan tidak sesuai sheet",IF(OR($C336="",$D336="",$E336="",$F336=""),"Lengkapi master PIC",IF(COUNTIFS($A$8:$A$507,$A336,$B$8:$B$507,$B336)&gt;1,"Laporan ganda",IF(COUNTIFS(G336:P336,"Tidak Berlaku")&gt;0,"N/A hanya untuk kegiatan bersyarat",IF(SUM(AG336,AH336,AI336,AJ336,AK336)&lt;&gt;14,"Status kegiatan tidak valid",IF(AK336&gt;0,"Lengkapi status kegiatan",IF(AND(AJ336&gt;0,U336=""),"Isi alasan Tidak Berlaku",IF(AND(SUM(AH336,AI336)&gt;0,OR(U336="",V336="",W336="",X336="")),"Isi kendala dan tindak lanjut",IF(AND(Z336&lt;&gt;"Draft",Z336&lt;&gt;"Dikirim"),"Isi status laporan yang valid",IF(AND(AB336&lt;&gt;"",AB336&lt;&gt;"Belum Diperiksa",AB336&lt;&gt;"Disetujui",AB336&lt;&gt;"Perlu Perbaikan"),"Hasil review tidak valid",IF(AND(Z336="Dikirim",OR(Y336="",AA336="")),"Isi bukti dan waktu kirim",IF(AND(AB336="Disetujui",OR(Z336&lt;&gt;"Dikirim",AC336="",AD336="")),"Lengkapi pemeriksaan",IF(AND(AB336="Perlu Perbaikan",OR(AE336="",AC336="",AD336="")),"Isi pemeriksa dan catatan perbaikan","OK")))))))))))))))),"")</f>
        <v/>
      </c>
    </row>
    <row r="337" spans="1:39" ht="24.95" customHeight="1">
      <c r="A337" s="8"/>
      <c r="B337" s="6"/>
      <c r="C337" s="15" t="str">
        <f>IF(COUNTIFS(Master_PIC!$A$8:$A$73,$B337)=1,IF(VLOOKUP($B337,Master_PIC!$A$8:$G$73,2,FALSE)="","",VLOOKUP($B337,Master_PIC!$A$8:$G$73,2,FALSE)),"")</f>
        <v/>
      </c>
      <c r="D337" s="15" t="str">
        <f>IF(COUNTIFS(Master_PIC!$A$8:$A$73,$B337)=1,IF(VLOOKUP($B337,Master_PIC!$A$8:$G$73,4,FALSE)="","",VLOOKUP($B337,Master_PIC!$A$8:$G$73,4,FALSE)),"")</f>
        <v/>
      </c>
      <c r="E337" s="15" t="str">
        <f>IF(COUNTIFS(Master_PIC!$A$8:$A$73,$B337)=1,IF(VLOOKUP($B337,Master_PIC!$A$8:$G$73,5,FALSE)="","",VLOOKUP($B337,Master_PIC!$A$8:$G$73,5,FALSE)),"")</f>
        <v/>
      </c>
      <c r="F337" s="15" t="str">
        <f>IF(COUNTIFS(Master_PIC!$A$8:$A$73,$B337)=1,IF(VLOOKUP($B337,Master_PIC!$A$8:$G$73,6,FALSE)="","",VLOOKUP($B337,Master_PIC!$A$8:$G$73,6,FALSE)),"")</f>
        <v/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8"/>
      <c r="Y337" s="5"/>
      <c r="Z337" s="5"/>
      <c r="AA337" s="9"/>
      <c r="AB337" s="5"/>
      <c r="AC337" s="5"/>
      <c r="AD337" s="9"/>
      <c r="AE337" s="5"/>
      <c r="AF337" s="7" t="str">
        <f t="shared" si="35"/>
        <v/>
      </c>
      <c r="AG337" s="7" t="str">
        <f t="shared" si="36"/>
        <v/>
      </c>
      <c r="AH337" s="7" t="str">
        <f t="shared" si="37"/>
        <v/>
      </c>
      <c r="AI337" s="7" t="str">
        <f t="shared" si="38"/>
        <v/>
      </c>
      <c r="AJ337" s="7" t="str">
        <f t="shared" si="39"/>
        <v/>
      </c>
      <c r="AK337" s="7" t="str">
        <f t="shared" si="40"/>
        <v/>
      </c>
      <c r="AL337" s="10" t="str">
        <f t="shared" si="41"/>
        <v/>
      </c>
      <c r="AM337" s="15" t="str">
        <f>IF(OR($A337&lt;&gt;"",$B337&lt;&gt;""),IF(OR($A337="",$B337=""),"Isi tanggal dan ID PIC",IF(NOT(ISNUMBER($A337)),"Tanggal harus berupa tanggal Excel",IF(COUNTIFS(Master_PIC!$A$8:$A$73,$B337)&lt;&gt;1,"ID PIC tidak unik/terdaftar",IF(VLOOKUP($B337,Master_PIC!$A$8:$G$73,3,FALSE)&lt;&gt;"Sales","Jabatan tidak sesuai sheet",IF(OR($C337="",$D337="",$E337="",$F337=""),"Lengkapi master PIC",IF(COUNTIFS($A$8:$A$507,$A337,$B$8:$B$507,$B337)&gt;1,"Laporan ganda",IF(COUNTIFS(G337:P337,"Tidak Berlaku")&gt;0,"N/A hanya untuk kegiatan bersyarat",IF(SUM(AG337,AH337,AI337,AJ337,AK337)&lt;&gt;14,"Status kegiatan tidak valid",IF(AK337&gt;0,"Lengkapi status kegiatan",IF(AND(AJ337&gt;0,U337=""),"Isi alasan Tidak Berlaku",IF(AND(SUM(AH337,AI337)&gt;0,OR(U337="",V337="",W337="",X337="")),"Isi kendala dan tindak lanjut",IF(AND(Z337&lt;&gt;"Draft",Z337&lt;&gt;"Dikirim"),"Isi status laporan yang valid",IF(AND(AB337&lt;&gt;"",AB337&lt;&gt;"Belum Diperiksa",AB337&lt;&gt;"Disetujui",AB337&lt;&gt;"Perlu Perbaikan"),"Hasil review tidak valid",IF(AND(Z337="Dikirim",OR(Y337="",AA337="")),"Isi bukti dan waktu kirim",IF(AND(AB337="Disetujui",OR(Z337&lt;&gt;"Dikirim",AC337="",AD337="")),"Lengkapi pemeriksaan",IF(AND(AB337="Perlu Perbaikan",OR(AE337="",AC337="",AD337="")),"Isi pemeriksa dan catatan perbaikan","OK")))))))))))))))),"")</f>
        <v/>
      </c>
    </row>
    <row r="338" spans="1:39" ht="24.95" customHeight="1">
      <c r="A338" s="8"/>
      <c r="B338" s="6"/>
      <c r="C338" s="15" t="str">
        <f>IF(COUNTIFS(Master_PIC!$A$8:$A$73,$B338)=1,IF(VLOOKUP($B338,Master_PIC!$A$8:$G$73,2,FALSE)="","",VLOOKUP($B338,Master_PIC!$A$8:$G$73,2,FALSE)),"")</f>
        <v/>
      </c>
      <c r="D338" s="15" t="str">
        <f>IF(COUNTIFS(Master_PIC!$A$8:$A$73,$B338)=1,IF(VLOOKUP($B338,Master_PIC!$A$8:$G$73,4,FALSE)="","",VLOOKUP($B338,Master_PIC!$A$8:$G$73,4,FALSE)),"")</f>
        <v/>
      </c>
      <c r="E338" s="15" t="str">
        <f>IF(COUNTIFS(Master_PIC!$A$8:$A$73,$B338)=1,IF(VLOOKUP($B338,Master_PIC!$A$8:$G$73,5,FALSE)="","",VLOOKUP($B338,Master_PIC!$A$8:$G$73,5,FALSE)),"")</f>
        <v/>
      </c>
      <c r="F338" s="15" t="str">
        <f>IF(COUNTIFS(Master_PIC!$A$8:$A$73,$B338)=1,IF(VLOOKUP($B338,Master_PIC!$A$8:$G$73,6,FALSE)="","",VLOOKUP($B338,Master_PIC!$A$8:$G$73,6,FALSE)),"")</f>
        <v/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8"/>
      <c r="Y338" s="5"/>
      <c r="Z338" s="5"/>
      <c r="AA338" s="9"/>
      <c r="AB338" s="5"/>
      <c r="AC338" s="5"/>
      <c r="AD338" s="9"/>
      <c r="AE338" s="5"/>
      <c r="AF338" s="7" t="str">
        <f t="shared" si="35"/>
        <v/>
      </c>
      <c r="AG338" s="7" t="str">
        <f t="shared" si="36"/>
        <v/>
      </c>
      <c r="AH338" s="7" t="str">
        <f t="shared" si="37"/>
        <v/>
      </c>
      <c r="AI338" s="7" t="str">
        <f t="shared" si="38"/>
        <v/>
      </c>
      <c r="AJ338" s="7" t="str">
        <f t="shared" si="39"/>
        <v/>
      </c>
      <c r="AK338" s="7" t="str">
        <f t="shared" si="40"/>
        <v/>
      </c>
      <c r="AL338" s="10" t="str">
        <f t="shared" si="41"/>
        <v/>
      </c>
      <c r="AM338" s="15" t="str">
        <f>IF(OR($A338&lt;&gt;"",$B338&lt;&gt;""),IF(OR($A338="",$B338=""),"Isi tanggal dan ID PIC",IF(NOT(ISNUMBER($A338)),"Tanggal harus berupa tanggal Excel",IF(COUNTIFS(Master_PIC!$A$8:$A$73,$B338)&lt;&gt;1,"ID PIC tidak unik/terdaftar",IF(VLOOKUP($B338,Master_PIC!$A$8:$G$73,3,FALSE)&lt;&gt;"Sales","Jabatan tidak sesuai sheet",IF(OR($C338="",$D338="",$E338="",$F338=""),"Lengkapi master PIC",IF(COUNTIFS($A$8:$A$507,$A338,$B$8:$B$507,$B338)&gt;1,"Laporan ganda",IF(COUNTIFS(G338:P338,"Tidak Berlaku")&gt;0,"N/A hanya untuk kegiatan bersyarat",IF(SUM(AG338,AH338,AI338,AJ338,AK338)&lt;&gt;14,"Status kegiatan tidak valid",IF(AK338&gt;0,"Lengkapi status kegiatan",IF(AND(AJ338&gt;0,U338=""),"Isi alasan Tidak Berlaku",IF(AND(SUM(AH338,AI338)&gt;0,OR(U338="",V338="",W338="",X338="")),"Isi kendala dan tindak lanjut",IF(AND(Z338&lt;&gt;"Draft",Z338&lt;&gt;"Dikirim"),"Isi status laporan yang valid",IF(AND(AB338&lt;&gt;"",AB338&lt;&gt;"Belum Diperiksa",AB338&lt;&gt;"Disetujui",AB338&lt;&gt;"Perlu Perbaikan"),"Hasil review tidak valid",IF(AND(Z338="Dikirim",OR(Y338="",AA338="")),"Isi bukti dan waktu kirim",IF(AND(AB338="Disetujui",OR(Z338&lt;&gt;"Dikirim",AC338="",AD338="")),"Lengkapi pemeriksaan",IF(AND(AB338="Perlu Perbaikan",OR(AE338="",AC338="",AD338="")),"Isi pemeriksa dan catatan perbaikan","OK")))))))))))))))),"")</f>
        <v/>
      </c>
    </row>
    <row r="339" spans="1:39" ht="24.95" customHeight="1">
      <c r="A339" s="8"/>
      <c r="B339" s="6"/>
      <c r="C339" s="15" t="str">
        <f>IF(COUNTIFS(Master_PIC!$A$8:$A$73,$B339)=1,IF(VLOOKUP($B339,Master_PIC!$A$8:$G$73,2,FALSE)="","",VLOOKUP($B339,Master_PIC!$A$8:$G$73,2,FALSE)),"")</f>
        <v/>
      </c>
      <c r="D339" s="15" t="str">
        <f>IF(COUNTIFS(Master_PIC!$A$8:$A$73,$B339)=1,IF(VLOOKUP($B339,Master_PIC!$A$8:$G$73,4,FALSE)="","",VLOOKUP($B339,Master_PIC!$A$8:$G$73,4,FALSE)),"")</f>
        <v/>
      </c>
      <c r="E339" s="15" t="str">
        <f>IF(COUNTIFS(Master_PIC!$A$8:$A$73,$B339)=1,IF(VLOOKUP($B339,Master_PIC!$A$8:$G$73,5,FALSE)="","",VLOOKUP($B339,Master_PIC!$A$8:$G$73,5,FALSE)),"")</f>
        <v/>
      </c>
      <c r="F339" s="15" t="str">
        <f>IF(COUNTIFS(Master_PIC!$A$8:$A$73,$B339)=1,IF(VLOOKUP($B339,Master_PIC!$A$8:$G$73,6,FALSE)="","",VLOOKUP($B339,Master_PIC!$A$8:$G$73,6,FALSE)),"")</f>
        <v/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8"/>
      <c r="Y339" s="5"/>
      <c r="Z339" s="5"/>
      <c r="AA339" s="9"/>
      <c r="AB339" s="5"/>
      <c r="AC339" s="5"/>
      <c r="AD339" s="9"/>
      <c r="AE339" s="5"/>
      <c r="AF339" s="7" t="str">
        <f t="shared" si="35"/>
        <v/>
      </c>
      <c r="AG339" s="7" t="str">
        <f t="shared" si="36"/>
        <v/>
      </c>
      <c r="AH339" s="7" t="str">
        <f t="shared" si="37"/>
        <v/>
      </c>
      <c r="AI339" s="7" t="str">
        <f t="shared" si="38"/>
        <v/>
      </c>
      <c r="AJ339" s="7" t="str">
        <f t="shared" si="39"/>
        <v/>
      </c>
      <c r="AK339" s="7" t="str">
        <f t="shared" si="40"/>
        <v/>
      </c>
      <c r="AL339" s="10" t="str">
        <f t="shared" si="41"/>
        <v/>
      </c>
      <c r="AM339" s="15" t="str">
        <f>IF(OR($A339&lt;&gt;"",$B339&lt;&gt;""),IF(OR($A339="",$B339=""),"Isi tanggal dan ID PIC",IF(NOT(ISNUMBER($A339)),"Tanggal harus berupa tanggal Excel",IF(COUNTIFS(Master_PIC!$A$8:$A$73,$B339)&lt;&gt;1,"ID PIC tidak unik/terdaftar",IF(VLOOKUP($B339,Master_PIC!$A$8:$G$73,3,FALSE)&lt;&gt;"Sales","Jabatan tidak sesuai sheet",IF(OR($C339="",$D339="",$E339="",$F339=""),"Lengkapi master PIC",IF(COUNTIFS($A$8:$A$507,$A339,$B$8:$B$507,$B339)&gt;1,"Laporan ganda",IF(COUNTIFS(G339:P339,"Tidak Berlaku")&gt;0,"N/A hanya untuk kegiatan bersyarat",IF(SUM(AG339,AH339,AI339,AJ339,AK339)&lt;&gt;14,"Status kegiatan tidak valid",IF(AK339&gt;0,"Lengkapi status kegiatan",IF(AND(AJ339&gt;0,U339=""),"Isi alasan Tidak Berlaku",IF(AND(SUM(AH339,AI339)&gt;0,OR(U339="",V339="",W339="",X339="")),"Isi kendala dan tindak lanjut",IF(AND(Z339&lt;&gt;"Draft",Z339&lt;&gt;"Dikirim"),"Isi status laporan yang valid",IF(AND(AB339&lt;&gt;"",AB339&lt;&gt;"Belum Diperiksa",AB339&lt;&gt;"Disetujui",AB339&lt;&gt;"Perlu Perbaikan"),"Hasil review tidak valid",IF(AND(Z339="Dikirim",OR(Y339="",AA339="")),"Isi bukti dan waktu kirim",IF(AND(AB339="Disetujui",OR(Z339&lt;&gt;"Dikirim",AC339="",AD339="")),"Lengkapi pemeriksaan",IF(AND(AB339="Perlu Perbaikan",OR(AE339="",AC339="",AD339="")),"Isi pemeriksa dan catatan perbaikan","OK")))))))))))))))),"")</f>
        <v/>
      </c>
    </row>
    <row r="340" spans="1:39" ht="24.95" customHeight="1">
      <c r="A340" s="8"/>
      <c r="B340" s="6"/>
      <c r="C340" s="15" t="str">
        <f>IF(COUNTIFS(Master_PIC!$A$8:$A$73,$B340)=1,IF(VLOOKUP($B340,Master_PIC!$A$8:$G$73,2,FALSE)="","",VLOOKUP($B340,Master_PIC!$A$8:$G$73,2,FALSE)),"")</f>
        <v/>
      </c>
      <c r="D340" s="15" t="str">
        <f>IF(COUNTIFS(Master_PIC!$A$8:$A$73,$B340)=1,IF(VLOOKUP($B340,Master_PIC!$A$8:$G$73,4,FALSE)="","",VLOOKUP($B340,Master_PIC!$A$8:$G$73,4,FALSE)),"")</f>
        <v/>
      </c>
      <c r="E340" s="15" t="str">
        <f>IF(COUNTIFS(Master_PIC!$A$8:$A$73,$B340)=1,IF(VLOOKUP($B340,Master_PIC!$A$8:$G$73,5,FALSE)="","",VLOOKUP($B340,Master_PIC!$A$8:$G$73,5,FALSE)),"")</f>
        <v/>
      </c>
      <c r="F340" s="15" t="str">
        <f>IF(COUNTIFS(Master_PIC!$A$8:$A$73,$B340)=1,IF(VLOOKUP($B340,Master_PIC!$A$8:$G$73,6,FALSE)="","",VLOOKUP($B340,Master_PIC!$A$8:$G$73,6,FALSE)),"")</f>
        <v/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8"/>
      <c r="Y340" s="5"/>
      <c r="Z340" s="5"/>
      <c r="AA340" s="9"/>
      <c r="AB340" s="5"/>
      <c r="AC340" s="5"/>
      <c r="AD340" s="9"/>
      <c r="AE340" s="5"/>
      <c r="AF340" s="7" t="str">
        <f t="shared" si="35"/>
        <v/>
      </c>
      <c r="AG340" s="7" t="str">
        <f t="shared" si="36"/>
        <v/>
      </c>
      <c r="AH340" s="7" t="str">
        <f t="shared" si="37"/>
        <v/>
      </c>
      <c r="AI340" s="7" t="str">
        <f t="shared" si="38"/>
        <v/>
      </c>
      <c r="AJ340" s="7" t="str">
        <f t="shared" si="39"/>
        <v/>
      </c>
      <c r="AK340" s="7" t="str">
        <f t="shared" si="40"/>
        <v/>
      </c>
      <c r="AL340" s="10" t="str">
        <f t="shared" si="41"/>
        <v/>
      </c>
      <c r="AM340" s="15" t="str">
        <f>IF(OR($A340&lt;&gt;"",$B340&lt;&gt;""),IF(OR($A340="",$B340=""),"Isi tanggal dan ID PIC",IF(NOT(ISNUMBER($A340)),"Tanggal harus berupa tanggal Excel",IF(COUNTIFS(Master_PIC!$A$8:$A$73,$B340)&lt;&gt;1,"ID PIC tidak unik/terdaftar",IF(VLOOKUP($B340,Master_PIC!$A$8:$G$73,3,FALSE)&lt;&gt;"Sales","Jabatan tidak sesuai sheet",IF(OR($C340="",$D340="",$E340="",$F340=""),"Lengkapi master PIC",IF(COUNTIFS($A$8:$A$507,$A340,$B$8:$B$507,$B340)&gt;1,"Laporan ganda",IF(COUNTIFS(G340:P340,"Tidak Berlaku")&gt;0,"N/A hanya untuk kegiatan bersyarat",IF(SUM(AG340,AH340,AI340,AJ340,AK340)&lt;&gt;14,"Status kegiatan tidak valid",IF(AK340&gt;0,"Lengkapi status kegiatan",IF(AND(AJ340&gt;0,U340=""),"Isi alasan Tidak Berlaku",IF(AND(SUM(AH340,AI340)&gt;0,OR(U340="",V340="",W340="",X340="")),"Isi kendala dan tindak lanjut",IF(AND(Z340&lt;&gt;"Draft",Z340&lt;&gt;"Dikirim"),"Isi status laporan yang valid",IF(AND(AB340&lt;&gt;"",AB340&lt;&gt;"Belum Diperiksa",AB340&lt;&gt;"Disetujui",AB340&lt;&gt;"Perlu Perbaikan"),"Hasil review tidak valid",IF(AND(Z340="Dikirim",OR(Y340="",AA340="")),"Isi bukti dan waktu kirim",IF(AND(AB340="Disetujui",OR(Z340&lt;&gt;"Dikirim",AC340="",AD340="")),"Lengkapi pemeriksaan",IF(AND(AB340="Perlu Perbaikan",OR(AE340="",AC340="",AD340="")),"Isi pemeriksa dan catatan perbaikan","OK")))))))))))))))),"")</f>
        <v/>
      </c>
    </row>
    <row r="341" spans="1:39" ht="24.95" customHeight="1">
      <c r="A341" s="8"/>
      <c r="B341" s="6"/>
      <c r="C341" s="15" t="str">
        <f>IF(COUNTIFS(Master_PIC!$A$8:$A$73,$B341)=1,IF(VLOOKUP($B341,Master_PIC!$A$8:$G$73,2,FALSE)="","",VLOOKUP($B341,Master_PIC!$A$8:$G$73,2,FALSE)),"")</f>
        <v/>
      </c>
      <c r="D341" s="15" t="str">
        <f>IF(COUNTIFS(Master_PIC!$A$8:$A$73,$B341)=1,IF(VLOOKUP($B341,Master_PIC!$A$8:$G$73,4,FALSE)="","",VLOOKUP($B341,Master_PIC!$A$8:$G$73,4,FALSE)),"")</f>
        <v/>
      </c>
      <c r="E341" s="15" t="str">
        <f>IF(COUNTIFS(Master_PIC!$A$8:$A$73,$B341)=1,IF(VLOOKUP($B341,Master_PIC!$A$8:$G$73,5,FALSE)="","",VLOOKUP($B341,Master_PIC!$A$8:$G$73,5,FALSE)),"")</f>
        <v/>
      </c>
      <c r="F341" s="15" t="str">
        <f>IF(COUNTIFS(Master_PIC!$A$8:$A$73,$B341)=1,IF(VLOOKUP($B341,Master_PIC!$A$8:$G$73,6,FALSE)="","",VLOOKUP($B341,Master_PIC!$A$8:$G$73,6,FALSE)),"")</f>
        <v/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8"/>
      <c r="Y341" s="5"/>
      <c r="Z341" s="5"/>
      <c r="AA341" s="9"/>
      <c r="AB341" s="5"/>
      <c r="AC341" s="5"/>
      <c r="AD341" s="9"/>
      <c r="AE341" s="5"/>
      <c r="AF341" s="7" t="str">
        <f t="shared" si="35"/>
        <v/>
      </c>
      <c r="AG341" s="7" t="str">
        <f t="shared" si="36"/>
        <v/>
      </c>
      <c r="AH341" s="7" t="str">
        <f t="shared" si="37"/>
        <v/>
      </c>
      <c r="AI341" s="7" t="str">
        <f t="shared" si="38"/>
        <v/>
      </c>
      <c r="AJ341" s="7" t="str">
        <f t="shared" si="39"/>
        <v/>
      </c>
      <c r="AK341" s="7" t="str">
        <f t="shared" si="40"/>
        <v/>
      </c>
      <c r="AL341" s="10" t="str">
        <f t="shared" si="41"/>
        <v/>
      </c>
      <c r="AM341" s="15" t="str">
        <f>IF(OR($A341&lt;&gt;"",$B341&lt;&gt;""),IF(OR($A341="",$B341=""),"Isi tanggal dan ID PIC",IF(NOT(ISNUMBER($A341)),"Tanggal harus berupa tanggal Excel",IF(COUNTIFS(Master_PIC!$A$8:$A$73,$B341)&lt;&gt;1,"ID PIC tidak unik/terdaftar",IF(VLOOKUP($B341,Master_PIC!$A$8:$G$73,3,FALSE)&lt;&gt;"Sales","Jabatan tidak sesuai sheet",IF(OR($C341="",$D341="",$E341="",$F341=""),"Lengkapi master PIC",IF(COUNTIFS($A$8:$A$507,$A341,$B$8:$B$507,$B341)&gt;1,"Laporan ganda",IF(COUNTIFS(G341:P341,"Tidak Berlaku")&gt;0,"N/A hanya untuk kegiatan bersyarat",IF(SUM(AG341,AH341,AI341,AJ341,AK341)&lt;&gt;14,"Status kegiatan tidak valid",IF(AK341&gt;0,"Lengkapi status kegiatan",IF(AND(AJ341&gt;0,U341=""),"Isi alasan Tidak Berlaku",IF(AND(SUM(AH341,AI341)&gt;0,OR(U341="",V341="",W341="",X341="")),"Isi kendala dan tindak lanjut",IF(AND(Z341&lt;&gt;"Draft",Z341&lt;&gt;"Dikirim"),"Isi status laporan yang valid",IF(AND(AB341&lt;&gt;"",AB341&lt;&gt;"Belum Diperiksa",AB341&lt;&gt;"Disetujui",AB341&lt;&gt;"Perlu Perbaikan"),"Hasil review tidak valid",IF(AND(Z341="Dikirim",OR(Y341="",AA341="")),"Isi bukti dan waktu kirim",IF(AND(AB341="Disetujui",OR(Z341&lt;&gt;"Dikirim",AC341="",AD341="")),"Lengkapi pemeriksaan",IF(AND(AB341="Perlu Perbaikan",OR(AE341="",AC341="",AD341="")),"Isi pemeriksa dan catatan perbaikan","OK")))))))))))))))),"")</f>
        <v/>
      </c>
    </row>
    <row r="342" spans="1:39" ht="24.95" customHeight="1">
      <c r="A342" s="8"/>
      <c r="B342" s="6"/>
      <c r="C342" s="15" t="str">
        <f>IF(COUNTIFS(Master_PIC!$A$8:$A$73,$B342)=1,IF(VLOOKUP($B342,Master_PIC!$A$8:$G$73,2,FALSE)="","",VLOOKUP($B342,Master_PIC!$A$8:$G$73,2,FALSE)),"")</f>
        <v/>
      </c>
      <c r="D342" s="15" t="str">
        <f>IF(COUNTIFS(Master_PIC!$A$8:$A$73,$B342)=1,IF(VLOOKUP($B342,Master_PIC!$A$8:$G$73,4,FALSE)="","",VLOOKUP($B342,Master_PIC!$A$8:$G$73,4,FALSE)),"")</f>
        <v/>
      </c>
      <c r="E342" s="15" t="str">
        <f>IF(COUNTIFS(Master_PIC!$A$8:$A$73,$B342)=1,IF(VLOOKUP($B342,Master_PIC!$A$8:$G$73,5,FALSE)="","",VLOOKUP($B342,Master_PIC!$A$8:$G$73,5,FALSE)),"")</f>
        <v/>
      </c>
      <c r="F342" s="15" t="str">
        <f>IF(COUNTIFS(Master_PIC!$A$8:$A$73,$B342)=1,IF(VLOOKUP($B342,Master_PIC!$A$8:$G$73,6,FALSE)="","",VLOOKUP($B342,Master_PIC!$A$8:$G$73,6,FALSE)),"")</f>
        <v/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8"/>
      <c r="Y342" s="5"/>
      <c r="Z342" s="5"/>
      <c r="AA342" s="9"/>
      <c r="AB342" s="5"/>
      <c r="AC342" s="5"/>
      <c r="AD342" s="9"/>
      <c r="AE342" s="5"/>
      <c r="AF342" s="7" t="str">
        <f t="shared" si="35"/>
        <v/>
      </c>
      <c r="AG342" s="7" t="str">
        <f t="shared" si="36"/>
        <v/>
      </c>
      <c r="AH342" s="7" t="str">
        <f t="shared" si="37"/>
        <v/>
      </c>
      <c r="AI342" s="7" t="str">
        <f t="shared" si="38"/>
        <v/>
      </c>
      <c r="AJ342" s="7" t="str">
        <f t="shared" si="39"/>
        <v/>
      </c>
      <c r="AK342" s="7" t="str">
        <f t="shared" si="40"/>
        <v/>
      </c>
      <c r="AL342" s="10" t="str">
        <f t="shared" si="41"/>
        <v/>
      </c>
      <c r="AM342" s="15" t="str">
        <f>IF(OR($A342&lt;&gt;"",$B342&lt;&gt;""),IF(OR($A342="",$B342=""),"Isi tanggal dan ID PIC",IF(NOT(ISNUMBER($A342)),"Tanggal harus berupa tanggal Excel",IF(COUNTIFS(Master_PIC!$A$8:$A$73,$B342)&lt;&gt;1,"ID PIC tidak unik/terdaftar",IF(VLOOKUP($B342,Master_PIC!$A$8:$G$73,3,FALSE)&lt;&gt;"Sales","Jabatan tidak sesuai sheet",IF(OR($C342="",$D342="",$E342="",$F342=""),"Lengkapi master PIC",IF(COUNTIFS($A$8:$A$507,$A342,$B$8:$B$507,$B342)&gt;1,"Laporan ganda",IF(COUNTIFS(G342:P342,"Tidak Berlaku")&gt;0,"N/A hanya untuk kegiatan bersyarat",IF(SUM(AG342,AH342,AI342,AJ342,AK342)&lt;&gt;14,"Status kegiatan tidak valid",IF(AK342&gt;0,"Lengkapi status kegiatan",IF(AND(AJ342&gt;0,U342=""),"Isi alasan Tidak Berlaku",IF(AND(SUM(AH342,AI342)&gt;0,OR(U342="",V342="",W342="",X342="")),"Isi kendala dan tindak lanjut",IF(AND(Z342&lt;&gt;"Draft",Z342&lt;&gt;"Dikirim"),"Isi status laporan yang valid",IF(AND(AB342&lt;&gt;"",AB342&lt;&gt;"Belum Diperiksa",AB342&lt;&gt;"Disetujui",AB342&lt;&gt;"Perlu Perbaikan"),"Hasil review tidak valid",IF(AND(Z342="Dikirim",OR(Y342="",AA342="")),"Isi bukti dan waktu kirim",IF(AND(AB342="Disetujui",OR(Z342&lt;&gt;"Dikirim",AC342="",AD342="")),"Lengkapi pemeriksaan",IF(AND(AB342="Perlu Perbaikan",OR(AE342="",AC342="",AD342="")),"Isi pemeriksa dan catatan perbaikan","OK")))))))))))))))),"")</f>
        <v/>
      </c>
    </row>
    <row r="343" spans="1:39" ht="24.95" customHeight="1">
      <c r="A343" s="8"/>
      <c r="B343" s="6"/>
      <c r="C343" s="15" t="str">
        <f>IF(COUNTIFS(Master_PIC!$A$8:$A$73,$B343)=1,IF(VLOOKUP($B343,Master_PIC!$A$8:$G$73,2,FALSE)="","",VLOOKUP($B343,Master_PIC!$A$8:$G$73,2,FALSE)),"")</f>
        <v/>
      </c>
      <c r="D343" s="15" t="str">
        <f>IF(COUNTIFS(Master_PIC!$A$8:$A$73,$B343)=1,IF(VLOOKUP($B343,Master_PIC!$A$8:$G$73,4,FALSE)="","",VLOOKUP($B343,Master_PIC!$A$8:$G$73,4,FALSE)),"")</f>
        <v/>
      </c>
      <c r="E343" s="15" t="str">
        <f>IF(COUNTIFS(Master_PIC!$A$8:$A$73,$B343)=1,IF(VLOOKUP($B343,Master_PIC!$A$8:$G$73,5,FALSE)="","",VLOOKUP($B343,Master_PIC!$A$8:$G$73,5,FALSE)),"")</f>
        <v/>
      </c>
      <c r="F343" s="15" t="str">
        <f>IF(COUNTIFS(Master_PIC!$A$8:$A$73,$B343)=1,IF(VLOOKUP($B343,Master_PIC!$A$8:$G$73,6,FALSE)="","",VLOOKUP($B343,Master_PIC!$A$8:$G$73,6,FALSE)),"")</f>
        <v/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8"/>
      <c r="Y343" s="5"/>
      <c r="Z343" s="5"/>
      <c r="AA343" s="9"/>
      <c r="AB343" s="5"/>
      <c r="AC343" s="5"/>
      <c r="AD343" s="9"/>
      <c r="AE343" s="5"/>
      <c r="AF343" s="7" t="str">
        <f t="shared" si="35"/>
        <v/>
      </c>
      <c r="AG343" s="7" t="str">
        <f t="shared" si="36"/>
        <v/>
      </c>
      <c r="AH343" s="7" t="str">
        <f t="shared" si="37"/>
        <v/>
      </c>
      <c r="AI343" s="7" t="str">
        <f t="shared" si="38"/>
        <v/>
      </c>
      <c r="AJ343" s="7" t="str">
        <f t="shared" si="39"/>
        <v/>
      </c>
      <c r="AK343" s="7" t="str">
        <f t="shared" si="40"/>
        <v/>
      </c>
      <c r="AL343" s="10" t="str">
        <f t="shared" si="41"/>
        <v/>
      </c>
      <c r="AM343" s="15" t="str">
        <f>IF(OR($A343&lt;&gt;"",$B343&lt;&gt;""),IF(OR($A343="",$B343=""),"Isi tanggal dan ID PIC",IF(NOT(ISNUMBER($A343)),"Tanggal harus berupa tanggal Excel",IF(COUNTIFS(Master_PIC!$A$8:$A$73,$B343)&lt;&gt;1,"ID PIC tidak unik/terdaftar",IF(VLOOKUP($B343,Master_PIC!$A$8:$G$73,3,FALSE)&lt;&gt;"Sales","Jabatan tidak sesuai sheet",IF(OR($C343="",$D343="",$E343="",$F343=""),"Lengkapi master PIC",IF(COUNTIFS($A$8:$A$507,$A343,$B$8:$B$507,$B343)&gt;1,"Laporan ganda",IF(COUNTIFS(G343:P343,"Tidak Berlaku")&gt;0,"N/A hanya untuk kegiatan bersyarat",IF(SUM(AG343,AH343,AI343,AJ343,AK343)&lt;&gt;14,"Status kegiatan tidak valid",IF(AK343&gt;0,"Lengkapi status kegiatan",IF(AND(AJ343&gt;0,U343=""),"Isi alasan Tidak Berlaku",IF(AND(SUM(AH343,AI343)&gt;0,OR(U343="",V343="",W343="",X343="")),"Isi kendala dan tindak lanjut",IF(AND(Z343&lt;&gt;"Draft",Z343&lt;&gt;"Dikirim"),"Isi status laporan yang valid",IF(AND(AB343&lt;&gt;"",AB343&lt;&gt;"Belum Diperiksa",AB343&lt;&gt;"Disetujui",AB343&lt;&gt;"Perlu Perbaikan"),"Hasil review tidak valid",IF(AND(Z343="Dikirim",OR(Y343="",AA343="")),"Isi bukti dan waktu kirim",IF(AND(AB343="Disetujui",OR(Z343&lt;&gt;"Dikirim",AC343="",AD343="")),"Lengkapi pemeriksaan",IF(AND(AB343="Perlu Perbaikan",OR(AE343="",AC343="",AD343="")),"Isi pemeriksa dan catatan perbaikan","OK")))))))))))))))),"")</f>
        <v/>
      </c>
    </row>
    <row r="344" spans="1:39" ht="24.95" customHeight="1">
      <c r="A344" s="8"/>
      <c r="B344" s="6"/>
      <c r="C344" s="15" t="str">
        <f>IF(COUNTIFS(Master_PIC!$A$8:$A$73,$B344)=1,IF(VLOOKUP($B344,Master_PIC!$A$8:$G$73,2,FALSE)="","",VLOOKUP($B344,Master_PIC!$A$8:$G$73,2,FALSE)),"")</f>
        <v/>
      </c>
      <c r="D344" s="15" t="str">
        <f>IF(COUNTIFS(Master_PIC!$A$8:$A$73,$B344)=1,IF(VLOOKUP($B344,Master_PIC!$A$8:$G$73,4,FALSE)="","",VLOOKUP($B344,Master_PIC!$A$8:$G$73,4,FALSE)),"")</f>
        <v/>
      </c>
      <c r="E344" s="15" t="str">
        <f>IF(COUNTIFS(Master_PIC!$A$8:$A$73,$B344)=1,IF(VLOOKUP($B344,Master_PIC!$A$8:$G$73,5,FALSE)="","",VLOOKUP($B344,Master_PIC!$A$8:$G$73,5,FALSE)),"")</f>
        <v/>
      </c>
      <c r="F344" s="15" t="str">
        <f>IF(COUNTIFS(Master_PIC!$A$8:$A$73,$B344)=1,IF(VLOOKUP($B344,Master_PIC!$A$8:$G$73,6,FALSE)="","",VLOOKUP($B344,Master_PIC!$A$8:$G$73,6,FALSE)),"")</f>
        <v/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8"/>
      <c r="Y344" s="5"/>
      <c r="Z344" s="5"/>
      <c r="AA344" s="9"/>
      <c r="AB344" s="5"/>
      <c r="AC344" s="5"/>
      <c r="AD344" s="9"/>
      <c r="AE344" s="5"/>
      <c r="AF344" s="7" t="str">
        <f t="shared" si="35"/>
        <v/>
      </c>
      <c r="AG344" s="7" t="str">
        <f t="shared" si="36"/>
        <v/>
      </c>
      <c r="AH344" s="7" t="str">
        <f t="shared" si="37"/>
        <v/>
      </c>
      <c r="AI344" s="7" t="str">
        <f t="shared" si="38"/>
        <v/>
      </c>
      <c r="AJ344" s="7" t="str">
        <f t="shared" si="39"/>
        <v/>
      </c>
      <c r="AK344" s="7" t="str">
        <f t="shared" si="40"/>
        <v/>
      </c>
      <c r="AL344" s="10" t="str">
        <f t="shared" si="41"/>
        <v/>
      </c>
      <c r="AM344" s="15" t="str">
        <f>IF(OR($A344&lt;&gt;"",$B344&lt;&gt;""),IF(OR($A344="",$B344=""),"Isi tanggal dan ID PIC",IF(NOT(ISNUMBER($A344)),"Tanggal harus berupa tanggal Excel",IF(COUNTIFS(Master_PIC!$A$8:$A$73,$B344)&lt;&gt;1,"ID PIC tidak unik/terdaftar",IF(VLOOKUP($B344,Master_PIC!$A$8:$G$73,3,FALSE)&lt;&gt;"Sales","Jabatan tidak sesuai sheet",IF(OR($C344="",$D344="",$E344="",$F344=""),"Lengkapi master PIC",IF(COUNTIFS($A$8:$A$507,$A344,$B$8:$B$507,$B344)&gt;1,"Laporan ganda",IF(COUNTIFS(G344:P344,"Tidak Berlaku")&gt;0,"N/A hanya untuk kegiatan bersyarat",IF(SUM(AG344,AH344,AI344,AJ344,AK344)&lt;&gt;14,"Status kegiatan tidak valid",IF(AK344&gt;0,"Lengkapi status kegiatan",IF(AND(AJ344&gt;0,U344=""),"Isi alasan Tidak Berlaku",IF(AND(SUM(AH344,AI344)&gt;0,OR(U344="",V344="",W344="",X344="")),"Isi kendala dan tindak lanjut",IF(AND(Z344&lt;&gt;"Draft",Z344&lt;&gt;"Dikirim"),"Isi status laporan yang valid",IF(AND(AB344&lt;&gt;"",AB344&lt;&gt;"Belum Diperiksa",AB344&lt;&gt;"Disetujui",AB344&lt;&gt;"Perlu Perbaikan"),"Hasil review tidak valid",IF(AND(Z344="Dikirim",OR(Y344="",AA344="")),"Isi bukti dan waktu kirim",IF(AND(AB344="Disetujui",OR(Z344&lt;&gt;"Dikirim",AC344="",AD344="")),"Lengkapi pemeriksaan",IF(AND(AB344="Perlu Perbaikan",OR(AE344="",AC344="",AD344="")),"Isi pemeriksa dan catatan perbaikan","OK")))))))))))))))),"")</f>
        <v/>
      </c>
    </row>
    <row r="345" spans="1:39" ht="24.95" customHeight="1">
      <c r="A345" s="8"/>
      <c r="B345" s="6"/>
      <c r="C345" s="15" t="str">
        <f>IF(COUNTIFS(Master_PIC!$A$8:$A$73,$B345)=1,IF(VLOOKUP($B345,Master_PIC!$A$8:$G$73,2,FALSE)="","",VLOOKUP($B345,Master_PIC!$A$8:$G$73,2,FALSE)),"")</f>
        <v/>
      </c>
      <c r="D345" s="15" t="str">
        <f>IF(COUNTIFS(Master_PIC!$A$8:$A$73,$B345)=1,IF(VLOOKUP($B345,Master_PIC!$A$8:$G$73,4,FALSE)="","",VLOOKUP($B345,Master_PIC!$A$8:$G$73,4,FALSE)),"")</f>
        <v/>
      </c>
      <c r="E345" s="15" t="str">
        <f>IF(COUNTIFS(Master_PIC!$A$8:$A$73,$B345)=1,IF(VLOOKUP($B345,Master_PIC!$A$8:$G$73,5,FALSE)="","",VLOOKUP($B345,Master_PIC!$A$8:$G$73,5,FALSE)),"")</f>
        <v/>
      </c>
      <c r="F345" s="15" t="str">
        <f>IF(COUNTIFS(Master_PIC!$A$8:$A$73,$B345)=1,IF(VLOOKUP($B345,Master_PIC!$A$8:$G$73,6,FALSE)="","",VLOOKUP($B345,Master_PIC!$A$8:$G$73,6,FALSE)),"")</f>
        <v/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8"/>
      <c r="Y345" s="5"/>
      <c r="Z345" s="5"/>
      <c r="AA345" s="9"/>
      <c r="AB345" s="5"/>
      <c r="AC345" s="5"/>
      <c r="AD345" s="9"/>
      <c r="AE345" s="5"/>
      <c r="AF345" s="7" t="str">
        <f t="shared" si="35"/>
        <v/>
      </c>
      <c r="AG345" s="7" t="str">
        <f t="shared" si="36"/>
        <v/>
      </c>
      <c r="AH345" s="7" t="str">
        <f t="shared" si="37"/>
        <v/>
      </c>
      <c r="AI345" s="7" t="str">
        <f t="shared" si="38"/>
        <v/>
      </c>
      <c r="AJ345" s="7" t="str">
        <f t="shared" si="39"/>
        <v/>
      </c>
      <c r="AK345" s="7" t="str">
        <f t="shared" si="40"/>
        <v/>
      </c>
      <c r="AL345" s="10" t="str">
        <f t="shared" si="41"/>
        <v/>
      </c>
      <c r="AM345" s="15" t="str">
        <f>IF(OR($A345&lt;&gt;"",$B345&lt;&gt;""),IF(OR($A345="",$B345=""),"Isi tanggal dan ID PIC",IF(NOT(ISNUMBER($A345)),"Tanggal harus berupa tanggal Excel",IF(COUNTIFS(Master_PIC!$A$8:$A$73,$B345)&lt;&gt;1,"ID PIC tidak unik/terdaftar",IF(VLOOKUP($B345,Master_PIC!$A$8:$G$73,3,FALSE)&lt;&gt;"Sales","Jabatan tidak sesuai sheet",IF(OR($C345="",$D345="",$E345="",$F345=""),"Lengkapi master PIC",IF(COUNTIFS($A$8:$A$507,$A345,$B$8:$B$507,$B345)&gt;1,"Laporan ganda",IF(COUNTIFS(G345:P345,"Tidak Berlaku")&gt;0,"N/A hanya untuk kegiatan bersyarat",IF(SUM(AG345,AH345,AI345,AJ345,AK345)&lt;&gt;14,"Status kegiatan tidak valid",IF(AK345&gt;0,"Lengkapi status kegiatan",IF(AND(AJ345&gt;0,U345=""),"Isi alasan Tidak Berlaku",IF(AND(SUM(AH345,AI345)&gt;0,OR(U345="",V345="",W345="",X345="")),"Isi kendala dan tindak lanjut",IF(AND(Z345&lt;&gt;"Draft",Z345&lt;&gt;"Dikirim"),"Isi status laporan yang valid",IF(AND(AB345&lt;&gt;"",AB345&lt;&gt;"Belum Diperiksa",AB345&lt;&gt;"Disetujui",AB345&lt;&gt;"Perlu Perbaikan"),"Hasil review tidak valid",IF(AND(Z345="Dikirim",OR(Y345="",AA345="")),"Isi bukti dan waktu kirim",IF(AND(AB345="Disetujui",OR(Z345&lt;&gt;"Dikirim",AC345="",AD345="")),"Lengkapi pemeriksaan",IF(AND(AB345="Perlu Perbaikan",OR(AE345="",AC345="",AD345="")),"Isi pemeriksa dan catatan perbaikan","OK")))))))))))))))),"")</f>
        <v/>
      </c>
    </row>
    <row r="346" spans="1:39" ht="24.95" customHeight="1">
      <c r="A346" s="8"/>
      <c r="B346" s="6"/>
      <c r="C346" s="15" t="str">
        <f>IF(COUNTIFS(Master_PIC!$A$8:$A$73,$B346)=1,IF(VLOOKUP($B346,Master_PIC!$A$8:$G$73,2,FALSE)="","",VLOOKUP($B346,Master_PIC!$A$8:$G$73,2,FALSE)),"")</f>
        <v/>
      </c>
      <c r="D346" s="15" t="str">
        <f>IF(COUNTIFS(Master_PIC!$A$8:$A$73,$B346)=1,IF(VLOOKUP($B346,Master_PIC!$A$8:$G$73,4,FALSE)="","",VLOOKUP($B346,Master_PIC!$A$8:$G$73,4,FALSE)),"")</f>
        <v/>
      </c>
      <c r="E346" s="15" t="str">
        <f>IF(COUNTIFS(Master_PIC!$A$8:$A$73,$B346)=1,IF(VLOOKUP($B346,Master_PIC!$A$8:$G$73,5,FALSE)="","",VLOOKUP($B346,Master_PIC!$A$8:$G$73,5,FALSE)),"")</f>
        <v/>
      </c>
      <c r="F346" s="15" t="str">
        <f>IF(COUNTIFS(Master_PIC!$A$8:$A$73,$B346)=1,IF(VLOOKUP($B346,Master_PIC!$A$8:$G$73,6,FALSE)="","",VLOOKUP($B346,Master_PIC!$A$8:$G$73,6,FALSE)),"")</f>
        <v/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8"/>
      <c r="Y346" s="5"/>
      <c r="Z346" s="5"/>
      <c r="AA346" s="9"/>
      <c r="AB346" s="5"/>
      <c r="AC346" s="5"/>
      <c r="AD346" s="9"/>
      <c r="AE346" s="5"/>
      <c r="AF346" s="7" t="str">
        <f t="shared" si="35"/>
        <v/>
      </c>
      <c r="AG346" s="7" t="str">
        <f t="shared" si="36"/>
        <v/>
      </c>
      <c r="AH346" s="7" t="str">
        <f t="shared" si="37"/>
        <v/>
      </c>
      <c r="AI346" s="7" t="str">
        <f t="shared" si="38"/>
        <v/>
      </c>
      <c r="AJ346" s="7" t="str">
        <f t="shared" si="39"/>
        <v/>
      </c>
      <c r="AK346" s="7" t="str">
        <f t="shared" si="40"/>
        <v/>
      </c>
      <c r="AL346" s="10" t="str">
        <f t="shared" si="41"/>
        <v/>
      </c>
      <c r="AM346" s="15" t="str">
        <f>IF(OR($A346&lt;&gt;"",$B346&lt;&gt;""),IF(OR($A346="",$B346=""),"Isi tanggal dan ID PIC",IF(NOT(ISNUMBER($A346)),"Tanggal harus berupa tanggal Excel",IF(COUNTIFS(Master_PIC!$A$8:$A$73,$B346)&lt;&gt;1,"ID PIC tidak unik/terdaftar",IF(VLOOKUP($B346,Master_PIC!$A$8:$G$73,3,FALSE)&lt;&gt;"Sales","Jabatan tidak sesuai sheet",IF(OR($C346="",$D346="",$E346="",$F346=""),"Lengkapi master PIC",IF(COUNTIFS($A$8:$A$507,$A346,$B$8:$B$507,$B346)&gt;1,"Laporan ganda",IF(COUNTIFS(G346:P346,"Tidak Berlaku")&gt;0,"N/A hanya untuk kegiatan bersyarat",IF(SUM(AG346,AH346,AI346,AJ346,AK346)&lt;&gt;14,"Status kegiatan tidak valid",IF(AK346&gt;0,"Lengkapi status kegiatan",IF(AND(AJ346&gt;0,U346=""),"Isi alasan Tidak Berlaku",IF(AND(SUM(AH346,AI346)&gt;0,OR(U346="",V346="",W346="",X346="")),"Isi kendala dan tindak lanjut",IF(AND(Z346&lt;&gt;"Draft",Z346&lt;&gt;"Dikirim"),"Isi status laporan yang valid",IF(AND(AB346&lt;&gt;"",AB346&lt;&gt;"Belum Diperiksa",AB346&lt;&gt;"Disetujui",AB346&lt;&gt;"Perlu Perbaikan"),"Hasil review tidak valid",IF(AND(Z346="Dikirim",OR(Y346="",AA346="")),"Isi bukti dan waktu kirim",IF(AND(AB346="Disetujui",OR(Z346&lt;&gt;"Dikirim",AC346="",AD346="")),"Lengkapi pemeriksaan",IF(AND(AB346="Perlu Perbaikan",OR(AE346="",AC346="",AD346="")),"Isi pemeriksa dan catatan perbaikan","OK")))))))))))))))),"")</f>
        <v/>
      </c>
    </row>
    <row r="347" spans="1:39" ht="24.95" customHeight="1">
      <c r="A347" s="8"/>
      <c r="B347" s="6"/>
      <c r="C347" s="15" t="str">
        <f>IF(COUNTIFS(Master_PIC!$A$8:$A$73,$B347)=1,IF(VLOOKUP($B347,Master_PIC!$A$8:$G$73,2,FALSE)="","",VLOOKUP($B347,Master_PIC!$A$8:$G$73,2,FALSE)),"")</f>
        <v/>
      </c>
      <c r="D347" s="15" t="str">
        <f>IF(COUNTIFS(Master_PIC!$A$8:$A$73,$B347)=1,IF(VLOOKUP($B347,Master_PIC!$A$8:$G$73,4,FALSE)="","",VLOOKUP($B347,Master_PIC!$A$8:$G$73,4,FALSE)),"")</f>
        <v/>
      </c>
      <c r="E347" s="15" t="str">
        <f>IF(COUNTIFS(Master_PIC!$A$8:$A$73,$B347)=1,IF(VLOOKUP($B347,Master_PIC!$A$8:$G$73,5,FALSE)="","",VLOOKUP($B347,Master_PIC!$A$8:$G$73,5,FALSE)),"")</f>
        <v/>
      </c>
      <c r="F347" s="15" t="str">
        <f>IF(COUNTIFS(Master_PIC!$A$8:$A$73,$B347)=1,IF(VLOOKUP($B347,Master_PIC!$A$8:$G$73,6,FALSE)="","",VLOOKUP($B347,Master_PIC!$A$8:$G$73,6,FALSE)),"")</f>
        <v/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8"/>
      <c r="Y347" s="5"/>
      <c r="Z347" s="5"/>
      <c r="AA347" s="9"/>
      <c r="AB347" s="5"/>
      <c r="AC347" s="5"/>
      <c r="AD347" s="9"/>
      <c r="AE347" s="5"/>
      <c r="AF347" s="7" t="str">
        <f t="shared" si="35"/>
        <v/>
      </c>
      <c r="AG347" s="7" t="str">
        <f t="shared" si="36"/>
        <v/>
      </c>
      <c r="AH347" s="7" t="str">
        <f t="shared" si="37"/>
        <v/>
      </c>
      <c r="AI347" s="7" t="str">
        <f t="shared" si="38"/>
        <v/>
      </c>
      <c r="AJ347" s="7" t="str">
        <f t="shared" si="39"/>
        <v/>
      </c>
      <c r="AK347" s="7" t="str">
        <f t="shared" si="40"/>
        <v/>
      </c>
      <c r="AL347" s="10" t="str">
        <f t="shared" si="41"/>
        <v/>
      </c>
      <c r="AM347" s="15" t="str">
        <f>IF(OR($A347&lt;&gt;"",$B347&lt;&gt;""),IF(OR($A347="",$B347=""),"Isi tanggal dan ID PIC",IF(NOT(ISNUMBER($A347)),"Tanggal harus berupa tanggal Excel",IF(COUNTIFS(Master_PIC!$A$8:$A$73,$B347)&lt;&gt;1,"ID PIC tidak unik/terdaftar",IF(VLOOKUP($B347,Master_PIC!$A$8:$G$73,3,FALSE)&lt;&gt;"Sales","Jabatan tidak sesuai sheet",IF(OR($C347="",$D347="",$E347="",$F347=""),"Lengkapi master PIC",IF(COUNTIFS($A$8:$A$507,$A347,$B$8:$B$507,$B347)&gt;1,"Laporan ganda",IF(COUNTIFS(G347:P347,"Tidak Berlaku")&gt;0,"N/A hanya untuk kegiatan bersyarat",IF(SUM(AG347,AH347,AI347,AJ347,AK347)&lt;&gt;14,"Status kegiatan tidak valid",IF(AK347&gt;0,"Lengkapi status kegiatan",IF(AND(AJ347&gt;0,U347=""),"Isi alasan Tidak Berlaku",IF(AND(SUM(AH347,AI347)&gt;0,OR(U347="",V347="",W347="",X347="")),"Isi kendala dan tindak lanjut",IF(AND(Z347&lt;&gt;"Draft",Z347&lt;&gt;"Dikirim"),"Isi status laporan yang valid",IF(AND(AB347&lt;&gt;"",AB347&lt;&gt;"Belum Diperiksa",AB347&lt;&gt;"Disetujui",AB347&lt;&gt;"Perlu Perbaikan"),"Hasil review tidak valid",IF(AND(Z347="Dikirim",OR(Y347="",AA347="")),"Isi bukti dan waktu kirim",IF(AND(AB347="Disetujui",OR(Z347&lt;&gt;"Dikirim",AC347="",AD347="")),"Lengkapi pemeriksaan",IF(AND(AB347="Perlu Perbaikan",OR(AE347="",AC347="",AD347="")),"Isi pemeriksa dan catatan perbaikan","OK")))))))))))))))),"")</f>
        <v/>
      </c>
    </row>
    <row r="348" spans="1:39" ht="24.95" customHeight="1">
      <c r="A348" s="8"/>
      <c r="B348" s="6"/>
      <c r="C348" s="15" t="str">
        <f>IF(COUNTIFS(Master_PIC!$A$8:$A$73,$B348)=1,IF(VLOOKUP($B348,Master_PIC!$A$8:$G$73,2,FALSE)="","",VLOOKUP($B348,Master_PIC!$A$8:$G$73,2,FALSE)),"")</f>
        <v/>
      </c>
      <c r="D348" s="15" t="str">
        <f>IF(COUNTIFS(Master_PIC!$A$8:$A$73,$B348)=1,IF(VLOOKUP($B348,Master_PIC!$A$8:$G$73,4,FALSE)="","",VLOOKUP($B348,Master_PIC!$A$8:$G$73,4,FALSE)),"")</f>
        <v/>
      </c>
      <c r="E348" s="15" t="str">
        <f>IF(COUNTIFS(Master_PIC!$A$8:$A$73,$B348)=1,IF(VLOOKUP($B348,Master_PIC!$A$8:$G$73,5,FALSE)="","",VLOOKUP($B348,Master_PIC!$A$8:$G$73,5,FALSE)),"")</f>
        <v/>
      </c>
      <c r="F348" s="15" t="str">
        <f>IF(COUNTIFS(Master_PIC!$A$8:$A$73,$B348)=1,IF(VLOOKUP($B348,Master_PIC!$A$8:$G$73,6,FALSE)="","",VLOOKUP($B348,Master_PIC!$A$8:$G$73,6,FALSE)),"")</f>
        <v/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8"/>
      <c r="Y348" s="5"/>
      <c r="Z348" s="5"/>
      <c r="AA348" s="9"/>
      <c r="AB348" s="5"/>
      <c r="AC348" s="5"/>
      <c r="AD348" s="9"/>
      <c r="AE348" s="5"/>
      <c r="AF348" s="7" t="str">
        <f t="shared" si="35"/>
        <v/>
      </c>
      <c r="AG348" s="7" t="str">
        <f t="shared" si="36"/>
        <v/>
      </c>
      <c r="AH348" s="7" t="str">
        <f t="shared" si="37"/>
        <v/>
      </c>
      <c r="AI348" s="7" t="str">
        <f t="shared" si="38"/>
        <v/>
      </c>
      <c r="AJ348" s="7" t="str">
        <f t="shared" si="39"/>
        <v/>
      </c>
      <c r="AK348" s="7" t="str">
        <f t="shared" si="40"/>
        <v/>
      </c>
      <c r="AL348" s="10" t="str">
        <f t="shared" si="41"/>
        <v/>
      </c>
      <c r="AM348" s="15" t="str">
        <f>IF(OR($A348&lt;&gt;"",$B348&lt;&gt;""),IF(OR($A348="",$B348=""),"Isi tanggal dan ID PIC",IF(NOT(ISNUMBER($A348)),"Tanggal harus berupa tanggal Excel",IF(COUNTIFS(Master_PIC!$A$8:$A$73,$B348)&lt;&gt;1,"ID PIC tidak unik/terdaftar",IF(VLOOKUP($B348,Master_PIC!$A$8:$G$73,3,FALSE)&lt;&gt;"Sales","Jabatan tidak sesuai sheet",IF(OR($C348="",$D348="",$E348="",$F348=""),"Lengkapi master PIC",IF(COUNTIFS($A$8:$A$507,$A348,$B$8:$B$507,$B348)&gt;1,"Laporan ganda",IF(COUNTIFS(G348:P348,"Tidak Berlaku")&gt;0,"N/A hanya untuk kegiatan bersyarat",IF(SUM(AG348,AH348,AI348,AJ348,AK348)&lt;&gt;14,"Status kegiatan tidak valid",IF(AK348&gt;0,"Lengkapi status kegiatan",IF(AND(AJ348&gt;0,U348=""),"Isi alasan Tidak Berlaku",IF(AND(SUM(AH348,AI348)&gt;0,OR(U348="",V348="",W348="",X348="")),"Isi kendala dan tindak lanjut",IF(AND(Z348&lt;&gt;"Draft",Z348&lt;&gt;"Dikirim"),"Isi status laporan yang valid",IF(AND(AB348&lt;&gt;"",AB348&lt;&gt;"Belum Diperiksa",AB348&lt;&gt;"Disetujui",AB348&lt;&gt;"Perlu Perbaikan"),"Hasil review tidak valid",IF(AND(Z348="Dikirim",OR(Y348="",AA348="")),"Isi bukti dan waktu kirim",IF(AND(AB348="Disetujui",OR(Z348&lt;&gt;"Dikirim",AC348="",AD348="")),"Lengkapi pemeriksaan",IF(AND(AB348="Perlu Perbaikan",OR(AE348="",AC348="",AD348="")),"Isi pemeriksa dan catatan perbaikan","OK")))))))))))))))),"")</f>
        <v/>
      </c>
    </row>
    <row r="349" spans="1:39" ht="24.95" customHeight="1">
      <c r="A349" s="8"/>
      <c r="B349" s="6"/>
      <c r="C349" s="15" t="str">
        <f>IF(COUNTIFS(Master_PIC!$A$8:$A$73,$B349)=1,IF(VLOOKUP($B349,Master_PIC!$A$8:$G$73,2,FALSE)="","",VLOOKUP($B349,Master_PIC!$A$8:$G$73,2,FALSE)),"")</f>
        <v/>
      </c>
      <c r="D349" s="15" t="str">
        <f>IF(COUNTIFS(Master_PIC!$A$8:$A$73,$B349)=1,IF(VLOOKUP($B349,Master_PIC!$A$8:$G$73,4,FALSE)="","",VLOOKUP($B349,Master_PIC!$A$8:$G$73,4,FALSE)),"")</f>
        <v/>
      </c>
      <c r="E349" s="15" t="str">
        <f>IF(COUNTIFS(Master_PIC!$A$8:$A$73,$B349)=1,IF(VLOOKUP($B349,Master_PIC!$A$8:$G$73,5,FALSE)="","",VLOOKUP($B349,Master_PIC!$A$8:$G$73,5,FALSE)),"")</f>
        <v/>
      </c>
      <c r="F349" s="15" t="str">
        <f>IF(COUNTIFS(Master_PIC!$A$8:$A$73,$B349)=1,IF(VLOOKUP($B349,Master_PIC!$A$8:$G$73,6,FALSE)="","",VLOOKUP($B349,Master_PIC!$A$8:$G$73,6,FALSE)),"")</f>
        <v/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8"/>
      <c r="Y349" s="5"/>
      <c r="Z349" s="5"/>
      <c r="AA349" s="9"/>
      <c r="AB349" s="5"/>
      <c r="AC349" s="5"/>
      <c r="AD349" s="9"/>
      <c r="AE349" s="5"/>
      <c r="AF349" s="7" t="str">
        <f t="shared" si="35"/>
        <v/>
      </c>
      <c r="AG349" s="7" t="str">
        <f t="shared" si="36"/>
        <v/>
      </c>
      <c r="AH349" s="7" t="str">
        <f t="shared" si="37"/>
        <v/>
      </c>
      <c r="AI349" s="7" t="str">
        <f t="shared" si="38"/>
        <v/>
      </c>
      <c r="AJ349" s="7" t="str">
        <f t="shared" si="39"/>
        <v/>
      </c>
      <c r="AK349" s="7" t="str">
        <f t="shared" si="40"/>
        <v/>
      </c>
      <c r="AL349" s="10" t="str">
        <f t="shared" si="41"/>
        <v/>
      </c>
      <c r="AM349" s="15" t="str">
        <f>IF(OR($A349&lt;&gt;"",$B349&lt;&gt;""),IF(OR($A349="",$B349=""),"Isi tanggal dan ID PIC",IF(NOT(ISNUMBER($A349)),"Tanggal harus berupa tanggal Excel",IF(COUNTIFS(Master_PIC!$A$8:$A$73,$B349)&lt;&gt;1,"ID PIC tidak unik/terdaftar",IF(VLOOKUP($B349,Master_PIC!$A$8:$G$73,3,FALSE)&lt;&gt;"Sales","Jabatan tidak sesuai sheet",IF(OR($C349="",$D349="",$E349="",$F349=""),"Lengkapi master PIC",IF(COUNTIFS($A$8:$A$507,$A349,$B$8:$B$507,$B349)&gt;1,"Laporan ganda",IF(COUNTIFS(G349:P349,"Tidak Berlaku")&gt;0,"N/A hanya untuk kegiatan bersyarat",IF(SUM(AG349,AH349,AI349,AJ349,AK349)&lt;&gt;14,"Status kegiatan tidak valid",IF(AK349&gt;0,"Lengkapi status kegiatan",IF(AND(AJ349&gt;0,U349=""),"Isi alasan Tidak Berlaku",IF(AND(SUM(AH349,AI349)&gt;0,OR(U349="",V349="",W349="",X349="")),"Isi kendala dan tindak lanjut",IF(AND(Z349&lt;&gt;"Draft",Z349&lt;&gt;"Dikirim"),"Isi status laporan yang valid",IF(AND(AB349&lt;&gt;"",AB349&lt;&gt;"Belum Diperiksa",AB349&lt;&gt;"Disetujui",AB349&lt;&gt;"Perlu Perbaikan"),"Hasil review tidak valid",IF(AND(Z349="Dikirim",OR(Y349="",AA349="")),"Isi bukti dan waktu kirim",IF(AND(AB349="Disetujui",OR(Z349&lt;&gt;"Dikirim",AC349="",AD349="")),"Lengkapi pemeriksaan",IF(AND(AB349="Perlu Perbaikan",OR(AE349="",AC349="",AD349="")),"Isi pemeriksa dan catatan perbaikan","OK")))))))))))))))),"")</f>
        <v/>
      </c>
    </row>
    <row r="350" spans="1:39" ht="24.95" customHeight="1">
      <c r="A350" s="8"/>
      <c r="B350" s="6"/>
      <c r="C350" s="15" t="str">
        <f>IF(COUNTIFS(Master_PIC!$A$8:$A$73,$B350)=1,IF(VLOOKUP($B350,Master_PIC!$A$8:$G$73,2,FALSE)="","",VLOOKUP($B350,Master_PIC!$A$8:$G$73,2,FALSE)),"")</f>
        <v/>
      </c>
      <c r="D350" s="15" t="str">
        <f>IF(COUNTIFS(Master_PIC!$A$8:$A$73,$B350)=1,IF(VLOOKUP($B350,Master_PIC!$A$8:$G$73,4,FALSE)="","",VLOOKUP($B350,Master_PIC!$A$8:$G$73,4,FALSE)),"")</f>
        <v/>
      </c>
      <c r="E350" s="15" t="str">
        <f>IF(COUNTIFS(Master_PIC!$A$8:$A$73,$B350)=1,IF(VLOOKUP($B350,Master_PIC!$A$8:$G$73,5,FALSE)="","",VLOOKUP($B350,Master_PIC!$A$8:$G$73,5,FALSE)),"")</f>
        <v/>
      </c>
      <c r="F350" s="15" t="str">
        <f>IF(COUNTIFS(Master_PIC!$A$8:$A$73,$B350)=1,IF(VLOOKUP($B350,Master_PIC!$A$8:$G$73,6,FALSE)="","",VLOOKUP($B350,Master_PIC!$A$8:$G$73,6,FALSE)),"")</f>
        <v/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8"/>
      <c r="Y350" s="5"/>
      <c r="Z350" s="5"/>
      <c r="AA350" s="9"/>
      <c r="AB350" s="5"/>
      <c r="AC350" s="5"/>
      <c r="AD350" s="9"/>
      <c r="AE350" s="5"/>
      <c r="AF350" s="7" t="str">
        <f t="shared" si="35"/>
        <v/>
      </c>
      <c r="AG350" s="7" t="str">
        <f t="shared" si="36"/>
        <v/>
      </c>
      <c r="AH350" s="7" t="str">
        <f t="shared" si="37"/>
        <v/>
      </c>
      <c r="AI350" s="7" t="str">
        <f t="shared" si="38"/>
        <v/>
      </c>
      <c r="AJ350" s="7" t="str">
        <f t="shared" si="39"/>
        <v/>
      </c>
      <c r="AK350" s="7" t="str">
        <f t="shared" si="40"/>
        <v/>
      </c>
      <c r="AL350" s="10" t="str">
        <f t="shared" si="41"/>
        <v/>
      </c>
      <c r="AM350" s="15" t="str">
        <f>IF(OR($A350&lt;&gt;"",$B350&lt;&gt;""),IF(OR($A350="",$B350=""),"Isi tanggal dan ID PIC",IF(NOT(ISNUMBER($A350)),"Tanggal harus berupa tanggal Excel",IF(COUNTIFS(Master_PIC!$A$8:$A$73,$B350)&lt;&gt;1,"ID PIC tidak unik/terdaftar",IF(VLOOKUP($B350,Master_PIC!$A$8:$G$73,3,FALSE)&lt;&gt;"Sales","Jabatan tidak sesuai sheet",IF(OR($C350="",$D350="",$E350="",$F350=""),"Lengkapi master PIC",IF(COUNTIFS($A$8:$A$507,$A350,$B$8:$B$507,$B350)&gt;1,"Laporan ganda",IF(COUNTIFS(G350:P350,"Tidak Berlaku")&gt;0,"N/A hanya untuk kegiatan bersyarat",IF(SUM(AG350,AH350,AI350,AJ350,AK350)&lt;&gt;14,"Status kegiatan tidak valid",IF(AK350&gt;0,"Lengkapi status kegiatan",IF(AND(AJ350&gt;0,U350=""),"Isi alasan Tidak Berlaku",IF(AND(SUM(AH350,AI350)&gt;0,OR(U350="",V350="",W350="",X350="")),"Isi kendala dan tindak lanjut",IF(AND(Z350&lt;&gt;"Draft",Z350&lt;&gt;"Dikirim"),"Isi status laporan yang valid",IF(AND(AB350&lt;&gt;"",AB350&lt;&gt;"Belum Diperiksa",AB350&lt;&gt;"Disetujui",AB350&lt;&gt;"Perlu Perbaikan"),"Hasil review tidak valid",IF(AND(Z350="Dikirim",OR(Y350="",AA350="")),"Isi bukti dan waktu kirim",IF(AND(AB350="Disetujui",OR(Z350&lt;&gt;"Dikirim",AC350="",AD350="")),"Lengkapi pemeriksaan",IF(AND(AB350="Perlu Perbaikan",OR(AE350="",AC350="",AD350="")),"Isi pemeriksa dan catatan perbaikan","OK")))))))))))))))),"")</f>
        <v/>
      </c>
    </row>
    <row r="351" spans="1:39" ht="24.95" customHeight="1">
      <c r="A351" s="8"/>
      <c r="B351" s="6"/>
      <c r="C351" s="15" t="str">
        <f>IF(COUNTIFS(Master_PIC!$A$8:$A$73,$B351)=1,IF(VLOOKUP($B351,Master_PIC!$A$8:$G$73,2,FALSE)="","",VLOOKUP($B351,Master_PIC!$A$8:$G$73,2,FALSE)),"")</f>
        <v/>
      </c>
      <c r="D351" s="15" t="str">
        <f>IF(COUNTIFS(Master_PIC!$A$8:$A$73,$B351)=1,IF(VLOOKUP($B351,Master_PIC!$A$8:$G$73,4,FALSE)="","",VLOOKUP($B351,Master_PIC!$A$8:$G$73,4,FALSE)),"")</f>
        <v/>
      </c>
      <c r="E351" s="15" t="str">
        <f>IF(COUNTIFS(Master_PIC!$A$8:$A$73,$B351)=1,IF(VLOOKUP($B351,Master_PIC!$A$8:$G$73,5,FALSE)="","",VLOOKUP($B351,Master_PIC!$A$8:$G$73,5,FALSE)),"")</f>
        <v/>
      </c>
      <c r="F351" s="15" t="str">
        <f>IF(COUNTIFS(Master_PIC!$A$8:$A$73,$B351)=1,IF(VLOOKUP($B351,Master_PIC!$A$8:$G$73,6,FALSE)="","",VLOOKUP($B351,Master_PIC!$A$8:$G$73,6,FALSE)),"")</f>
        <v/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8"/>
      <c r="Y351" s="5"/>
      <c r="Z351" s="5"/>
      <c r="AA351" s="9"/>
      <c r="AB351" s="5"/>
      <c r="AC351" s="5"/>
      <c r="AD351" s="9"/>
      <c r="AE351" s="5"/>
      <c r="AF351" s="7" t="str">
        <f t="shared" si="35"/>
        <v/>
      </c>
      <c r="AG351" s="7" t="str">
        <f t="shared" si="36"/>
        <v/>
      </c>
      <c r="AH351" s="7" t="str">
        <f t="shared" si="37"/>
        <v/>
      </c>
      <c r="AI351" s="7" t="str">
        <f t="shared" si="38"/>
        <v/>
      </c>
      <c r="AJ351" s="7" t="str">
        <f t="shared" si="39"/>
        <v/>
      </c>
      <c r="AK351" s="7" t="str">
        <f t="shared" si="40"/>
        <v/>
      </c>
      <c r="AL351" s="10" t="str">
        <f t="shared" si="41"/>
        <v/>
      </c>
      <c r="AM351" s="15" t="str">
        <f>IF(OR($A351&lt;&gt;"",$B351&lt;&gt;""),IF(OR($A351="",$B351=""),"Isi tanggal dan ID PIC",IF(NOT(ISNUMBER($A351)),"Tanggal harus berupa tanggal Excel",IF(COUNTIFS(Master_PIC!$A$8:$A$73,$B351)&lt;&gt;1,"ID PIC tidak unik/terdaftar",IF(VLOOKUP($B351,Master_PIC!$A$8:$G$73,3,FALSE)&lt;&gt;"Sales","Jabatan tidak sesuai sheet",IF(OR($C351="",$D351="",$E351="",$F351=""),"Lengkapi master PIC",IF(COUNTIFS($A$8:$A$507,$A351,$B$8:$B$507,$B351)&gt;1,"Laporan ganda",IF(COUNTIFS(G351:P351,"Tidak Berlaku")&gt;0,"N/A hanya untuk kegiatan bersyarat",IF(SUM(AG351,AH351,AI351,AJ351,AK351)&lt;&gt;14,"Status kegiatan tidak valid",IF(AK351&gt;0,"Lengkapi status kegiatan",IF(AND(AJ351&gt;0,U351=""),"Isi alasan Tidak Berlaku",IF(AND(SUM(AH351,AI351)&gt;0,OR(U351="",V351="",W351="",X351="")),"Isi kendala dan tindak lanjut",IF(AND(Z351&lt;&gt;"Draft",Z351&lt;&gt;"Dikirim"),"Isi status laporan yang valid",IF(AND(AB351&lt;&gt;"",AB351&lt;&gt;"Belum Diperiksa",AB351&lt;&gt;"Disetujui",AB351&lt;&gt;"Perlu Perbaikan"),"Hasil review tidak valid",IF(AND(Z351="Dikirim",OR(Y351="",AA351="")),"Isi bukti dan waktu kirim",IF(AND(AB351="Disetujui",OR(Z351&lt;&gt;"Dikirim",AC351="",AD351="")),"Lengkapi pemeriksaan",IF(AND(AB351="Perlu Perbaikan",OR(AE351="",AC351="",AD351="")),"Isi pemeriksa dan catatan perbaikan","OK")))))))))))))))),"")</f>
        <v/>
      </c>
    </row>
    <row r="352" spans="1:39" ht="24.95" customHeight="1">
      <c r="A352" s="8"/>
      <c r="B352" s="6"/>
      <c r="C352" s="15" t="str">
        <f>IF(COUNTIFS(Master_PIC!$A$8:$A$73,$B352)=1,IF(VLOOKUP($B352,Master_PIC!$A$8:$G$73,2,FALSE)="","",VLOOKUP($B352,Master_PIC!$A$8:$G$73,2,FALSE)),"")</f>
        <v/>
      </c>
      <c r="D352" s="15" t="str">
        <f>IF(COUNTIFS(Master_PIC!$A$8:$A$73,$B352)=1,IF(VLOOKUP($B352,Master_PIC!$A$8:$G$73,4,FALSE)="","",VLOOKUP($B352,Master_PIC!$A$8:$G$73,4,FALSE)),"")</f>
        <v/>
      </c>
      <c r="E352" s="15" t="str">
        <f>IF(COUNTIFS(Master_PIC!$A$8:$A$73,$B352)=1,IF(VLOOKUP($B352,Master_PIC!$A$8:$G$73,5,FALSE)="","",VLOOKUP($B352,Master_PIC!$A$8:$G$73,5,FALSE)),"")</f>
        <v/>
      </c>
      <c r="F352" s="15" t="str">
        <f>IF(COUNTIFS(Master_PIC!$A$8:$A$73,$B352)=1,IF(VLOOKUP($B352,Master_PIC!$A$8:$G$73,6,FALSE)="","",VLOOKUP($B352,Master_PIC!$A$8:$G$73,6,FALSE)),"")</f>
        <v/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8"/>
      <c r="Y352" s="5"/>
      <c r="Z352" s="5"/>
      <c r="AA352" s="9"/>
      <c r="AB352" s="5"/>
      <c r="AC352" s="5"/>
      <c r="AD352" s="9"/>
      <c r="AE352" s="5"/>
      <c r="AF352" s="7" t="str">
        <f t="shared" si="35"/>
        <v/>
      </c>
      <c r="AG352" s="7" t="str">
        <f t="shared" si="36"/>
        <v/>
      </c>
      <c r="AH352" s="7" t="str">
        <f t="shared" si="37"/>
        <v/>
      </c>
      <c r="AI352" s="7" t="str">
        <f t="shared" si="38"/>
        <v/>
      </c>
      <c r="AJ352" s="7" t="str">
        <f t="shared" si="39"/>
        <v/>
      </c>
      <c r="AK352" s="7" t="str">
        <f t="shared" si="40"/>
        <v/>
      </c>
      <c r="AL352" s="10" t="str">
        <f t="shared" si="41"/>
        <v/>
      </c>
      <c r="AM352" s="15" t="str">
        <f>IF(OR($A352&lt;&gt;"",$B352&lt;&gt;""),IF(OR($A352="",$B352=""),"Isi tanggal dan ID PIC",IF(NOT(ISNUMBER($A352)),"Tanggal harus berupa tanggal Excel",IF(COUNTIFS(Master_PIC!$A$8:$A$73,$B352)&lt;&gt;1,"ID PIC tidak unik/terdaftar",IF(VLOOKUP($B352,Master_PIC!$A$8:$G$73,3,FALSE)&lt;&gt;"Sales","Jabatan tidak sesuai sheet",IF(OR($C352="",$D352="",$E352="",$F352=""),"Lengkapi master PIC",IF(COUNTIFS($A$8:$A$507,$A352,$B$8:$B$507,$B352)&gt;1,"Laporan ganda",IF(COUNTIFS(G352:P352,"Tidak Berlaku")&gt;0,"N/A hanya untuk kegiatan bersyarat",IF(SUM(AG352,AH352,AI352,AJ352,AK352)&lt;&gt;14,"Status kegiatan tidak valid",IF(AK352&gt;0,"Lengkapi status kegiatan",IF(AND(AJ352&gt;0,U352=""),"Isi alasan Tidak Berlaku",IF(AND(SUM(AH352,AI352)&gt;0,OR(U352="",V352="",W352="",X352="")),"Isi kendala dan tindak lanjut",IF(AND(Z352&lt;&gt;"Draft",Z352&lt;&gt;"Dikirim"),"Isi status laporan yang valid",IF(AND(AB352&lt;&gt;"",AB352&lt;&gt;"Belum Diperiksa",AB352&lt;&gt;"Disetujui",AB352&lt;&gt;"Perlu Perbaikan"),"Hasil review tidak valid",IF(AND(Z352="Dikirim",OR(Y352="",AA352="")),"Isi bukti dan waktu kirim",IF(AND(AB352="Disetujui",OR(Z352&lt;&gt;"Dikirim",AC352="",AD352="")),"Lengkapi pemeriksaan",IF(AND(AB352="Perlu Perbaikan",OR(AE352="",AC352="",AD352="")),"Isi pemeriksa dan catatan perbaikan","OK")))))))))))))))),"")</f>
        <v/>
      </c>
    </row>
    <row r="353" spans="1:39" ht="24.95" customHeight="1">
      <c r="A353" s="8"/>
      <c r="B353" s="6"/>
      <c r="C353" s="15" t="str">
        <f>IF(COUNTIFS(Master_PIC!$A$8:$A$73,$B353)=1,IF(VLOOKUP($B353,Master_PIC!$A$8:$G$73,2,FALSE)="","",VLOOKUP($B353,Master_PIC!$A$8:$G$73,2,FALSE)),"")</f>
        <v/>
      </c>
      <c r="D353" s="15" t="str">
        <f>IF(COUNTIFS(Master_PIC!$A$8:$A$73,$B353)=1,IF(VLOOKUP($B353,Master_PIC!$A$8:$G$73,4,FALSE)="","",VLOOKUP($B353,Master_PIC!$A$8:$G$73,4,FALSE)),"")</f>
        <v/>
      </c>
      <c r="E353" s="15" t="str">
        <f>IF(COUNTIFS(Master_PIC!$A$8:$A$73,$B353)=1,IF(VLOOKUP($B353,Master_PIC!$A$8:$G$73,5,FALSE)="","",VLOOKUP($B353,Master_PIC!$A$8:$G$73,5,FALSE)),"")</f>
        <v/>
      </c>
      <c r="F353" s="15" t="str">
        <f>IF(COUNTIFS(Master_PIC!$A$8:$A$73,$B353)=1,IF(VLOOKUP($B353,Master_PIC!$A$8:$G$73,6,FALSE)="","",VLOOKUP($B353,Master_PIC!$A$8:$G$73,6,FALSE)),"")</f>
        <v/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8"/>
      <c r="Y353" s="5"/>
      <c r="Z353" s="5"/>
      <c r="AA353" s="9"/>
      <c r="AB353" s="5"/>
      <c r="AC353" s="5"/>
      <c r="AD353" s="9"/>
      <c r="AE353" s="5"/>
      <c r="AF353" s="7" t="str">
        <f t="shared" si="35"/>
        <v/>
      </c>
      <c r="AG353" s="7" t="str">
        <f t="shared" si="36"/>
        <v/>
      </c>
      <c r="AH353" s="7" t="str">
        <f t="shared" si="37"/>
        <v/>
      </c>
      <c r="AI353" s="7" t="str">
        <f t="shared" si="38"/>
        <v/>
      </c>
      <c r="AJ353" s="7" t="str">
        <f t="shared" si="39"/>
        <v/>
      </c>
      <c r="AK353" s="7" t="str">
        <f t="shared" si="40"/>
        <v/>
      </c>
      <c r="AL353" s="10" t="str">
        <f t="shared" si="41"/>
        <v/>
      </c>
      <c r="AM353" s="15" t="str">
        <f>IF(OR($A353&lt;&gt;"",$B353&lt;&gt;""),IF(OR($A353="",$B353=""),"Isi tanggal dan ID PIC",IF(NOT(ISNUMBER($A353)),"Tanggal harus berupa tanggal Excel",IF(COUNTIFS(Master_PIC!$A$8:$A$73,$B353)&lt;&gt;1,"ID PIC tidak unik/terdaftar",IF(VLOOKUP($B353,Master_PIC!$A$8:$G$73,3,FALSE)&lt;&gt;"Sales","Jabatan tidak sesuai sheet",IF(OR($C353="",$D353="",$E353="",$F353=""),"Lengkapi master PIC",IF(COUNTIFS($A$8:$A$507,$A353,$B$8:$B$507,$B353)&gt;1,"Laporan ganda",IF(COUNTIFS(G353:P353,"Tidak Berlaku")&gt;0,"N/A hanya untuk kegiatan bersyarat",IF(SUM(AG353,AH353,AI353,AJ353,AK353)&lt;&gt;14,"Status kegiatan tidak valid",IF(AK353&gt;0,"Lengkapi status kegiatan",IF(AND(AJ353&gt;0,U353=""),"Isi alasan Tidak Berlaku",IF(AND(SUM(AH353,AI353)&gt;0,OR(U353="",V353="",W353="",X353="")),"Isi kendala dan tindak lanjut",IF(AND(Z353&lt;&gt;"Draft",Z353&lt;&gt;"Dikirim"),"Isi status laporan yang valid",IF(AND(AB353&lt;&gt;"",AB353&lt;&gt;"Belum Diperiksa",AB353&lt;&gt;"Disetujui",AB353&lt;&gt;"Perlu Perbaikan"),"Hasil review tidak valid",IF(AND(Z353="Dikirim",OR(Y353="",AA353="")),"Isi bukti dan waktu kirim",IF(AND(AB353="Disetujui",OR(Z353&lt;&gt;"Dikirim",AC353="",AD353="")),"Lengkapi pemeriksaan",IF(AND(AB353="Perlu Perbaikan",OR(AE353="",AC353="",AD353="")),"Isi pemeriksa dan catatan perbaikan","OK")))))))))))))))),"")</f>
        <v/>
      </c>
    </row>
    <row r="354" spans="1:39" ht="24.95" customHeight="1">
      <c r="A354" s="8"/>
      <c r="B354" s="6"/>
      <c r="C354" s="15" t="str">
        <f>IF(COUNTIFS(Master_PIC!$A$8:$A$73,$B354)=1,IF(VLOOKUP($B354,Master_PIC!$A$8:$G$73,2,FALSE)="","",VLOOKUP($B354,Master_PIC!$A$8:$G$73,2,FALSE)),"")</f>
        <v/>
      </c>
      <c r="D354" s="15" t="str">
        <f>IF(COUNTIFS(Master_PIC!$A$8:$A$73,$B354)=1,IF(VLOOKUP($B354,Master_PIC!$A$8:$G$73,4,FALSE)="","",VLOOKUP($B354,Master_PIC!$A$8:$G$73,4,FALSE)),"")</f>
        <v/>
      </c>
      <c r="E354" s="15" t="str">
        <f>IF(COUNTIFS(Master_PIC!$A$8:$A$73,$B354)=1,IF(VLOOKUP($B354,Master_PIC!$A$8:$G$73,5,FALSE)="","",VLOOKUP($B354,Master_PIC!$A$8:$G$73,5,FALSE)),"")</f>
        <v/>
      </c>
      <c r="F354" s="15" t="str">
        <f>IF(COUNTIFS(Master_PIC!$A$8:$A$73,$B354)=1,IF(VLOOKUP($B354,Master_PIC!$A$8:$G$73,6,FALSE)="","",VLOOKUP($B354,Master_PIC!$A$8:$G$73,6,FALSE)),"")</f>
        <v/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8"/>
      <c r="Y354" s="5"/>
      <c r="Z354" s="5"/>
      <c r="AA354" s="9"/>
      <c r="AB354" s="5"/>
      <c r="AC354" s="5"/>
      <c r="AD354" s="9"/>
      <c r="AE354" s="5"/>
      <c r="AF354" s="7" t="str">
        <f t="shared" si="35"/>
        <v/>
      </c>
      <c r="AG354" s="7" t="str">
        <f t="shared" si="36"/>
        <v/>
      </c>
      <c r="AH354" s="7" t="str">
        <f t="shared" si="37"/>
        <v/>
      </c>
      <c r="AI354" s="7" t="str">
        <f t="shared" si="38"/>
        <v/>
      </c>
      <c r="AJ354" s="7" t="str">
        <f t="shared" si="39"/>
        <v/>
      </c>
      <c r="AK354" s="7" t="str">
        <f t="shared" si="40"/>
        <v/>
      </c>
      <c r="AL354" s="10" t="str">
        <f t="shared" si="41"/>
        <v/>
      </c>
      <c r="AM354" s="15" t="str">
        <f>IF(OR($A354&lt;&gt;"",$B354&lt;&gt;""),IF(OR($A354="",$B354=""),"Isi tanggal dan ID PIC",IF(NOT(ISNUMBER($A354)),"Tanggal harus berupa tanggal Excel",IF(COUNTIFS(Master_PIC!$A$8:$A$73,$B354)&lt;&gt;1,"ID PIC tidak unik/terdaftar",IF(VLOOKUP($B354,Master_PIC!$A$8:$G$73,3,FALSE)&lt;&gt;"Sales","Jabatan tidak sesuai sheet",IF(OR($C354="",$D354="",$E354="",$F354=""),"Lengkapi master PIC",IF(COUNTIFS($A$8:$A$507,$A354,$B$8:$B$507,$B354)&gt;1,"Laporan ganda",IF(COUNTIFS(G354:P354,"Tidak Berlaku")&gt;0,"N/A hanya untuk kegiatan bersyarat",IF(SUM(AG354,AH354,AI354,AJ354,AK354)&lt;&gt;14,"Status kegiatan tidak valid",IF(AK354&gt;0,"Lengkapi status kegiatan",IF(AND(AJ354&gt;0,U354=""),"Isi alasan Tidak Berlaku",IF(AND(SUM(AH354,AI354)&gt;0,OR(U354="",V354="",W354="",X354="")),"Isi kendala dan tindak lanjut",IF(AND(Z354&lt;&gt;"Draft",Z354&lt;&gt;"Dikirim"),"Isi status laporan yang valid",IF(AND(AB354&lt;&gt;"",AB354&lt;&gt;"Belum Diperiksa",AB354&lt;&gt;"Disetujui",AB354&lt;&gt;"Perlu Perbaikan"),"Hasil review tidak valid",IF(AND(Z354="Dikirim",OR(Y354="",AA354="")),"Isi bukti dan waktu kirim",IF(AND(AB354="Disetujui",OR(Z354&lt;&gt;"Dikirim",AC354="",AD354="")),"Lengkapi pemeriksaan",IF(AND(AB354="Perlu Perbaikan",OR(AE354="",AC354="",AD354="")),"Isi pemeriksa dan catatan perbaikan","OK")))))))))))))))),"")</f>
        <v/>
      </c>
    </row>
    <row r="355" spans="1:39" ht="24.95" customHeight="1">
      <c r="A355" s="8"/>
      <c r="B355" s="6"/>
      <c r="C355" s="15" t="str">
        <f>IF(COUNTIFS(Master_PIC!$A$8:$A$73,$B355)=1,IF(VLOOKUP($B355,Master_PIC!$A$8:$G$73,2,FALSE)="","",VLOOKUP($B355,Master_PIC!$A$8:$G$73,2,FALSE)),"")</f>
        <v/>
      </c>
      <c r="D355" s="15" t="str">
        <f>IF(COUNTIFS(Master_PIC!$A$8:$A$73,$B355)=1,IF(VLOOKUP($B355,Master_PIC!$A$8:$G$73,4,FALSE)="","",VLOOKUP($B355,Master_PIC!$A$8:$G$73,4,FALSE)),"")</f>
        <v/>
      </c>
      <c r="E355" s="15" t="str">
        <f>IF(COUNTIFS(Master_PIC!$A$8:$A$73,$B355)=1,IF(VLOOKUP($B355,Master_PIC!$A$8:$G$73,5,FALSE)="","",VLOOKUP($B355,Master_PIC!$A$8:$G$73,5,FALSE)),"")</f>
        <v/>
      </c>
      <c r="F355" s="15" t="str">
        <f>IF(COUNTIFS(Master_PIC!$A$8:$A$73,$B355)=1,IF(VLOOKUP($B355,Master_PIC!$A$8:$G$73,6,FALSE)="","",VLOOKUP($B355,Master_PIC!$A$8:$G$73,6,FALSE)),"")</f>
        <v/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8"/>
      <c r="Y355" s="5"/>
      <c r="Z355" s="5"/>
      <c r="AA355" s="9"/>
      <c r="AB355" s="5"/>
      <c r="AC355" s="5"/>
      <c r="AD355" s="9"/>
      <c r="AE355" s="5"/>
      <c r="AF355" s="7" t="str">
        <f t="shared" si="35"/>
        <v/>
      </c>
      <c r="AG355" s="7" t="str">
        <f t="shared" si="36"/>
        <v/>
      </c>
      <c r="AH355" s="7" t="str">
        <f t="shared" si="37"/>
        <v/>
      </c>
      <c r="AI355" s="7" t="str">
        <f t="shared" si="38"/>
        <v/>
      </c>
      <c r="AJ355" s="7" t="str">
        <f t="shared" si="39"/>
        <v/>
      </c>
      <c r="AK355" s="7" t="str">
        <f t="shared" si="40"/>
        <v/>
      </c>
      <c r="AL355" s="10" t="str">
        <f t="shared" si="41"/>
        <v/>
      </c>
      <c r="AM355" s="15" t="str">
        <f>IF(OR($A355&lt;&gt;"",$B355&lt;&gt;""),IF(OR($A355="",$B355=""),"Isi tanggal dan ID PIC",IF(NOT(ISNUMBER($A355)),"Tanggal harus berupa tanggal Excel",IF(COUNTIFS(Master_PIC!$A$8:$A$73,$B355)&lt;&gt;1,"ID PIC tidak unik/terdaftar",IF(VLOOKUP($B355,Master_PIC!$A$8:$G$73,3,FALSE)&lt;&gt;"Sales","Jabatan tidak sesuai sheet",IF(OR($C355="",$D355="",$E355="",$F355=""),"Lengkapi master PIC",IF(COUNTIFS($A$8:$A$507,$A355,$B$8:$B$507,$B355)&gt;1,"Laporan ganda",IF(COUNTIFS(G355:P355,"Tidak Berlaku")&gt;0,"N/A hanya untuk kegiatan bersyarat",IF(SUM(AG355,AH355,AI355,AJ355,AK355)&lt;&gt;14,"Status kegiatan tidak valid",IF(AK355&gt;0,"Lengkapi status kegiatan",IF(AND(AJ355&gt;0,U355=""),"Isi alasan Tidak Berlaku",IF(AND(SUM(AH355,AI355)&gt;0,OR(U355="",V355="",W355="",X355="")),"Isi kendala dan tindak lanjut",IF(AND(Z355&lt;&gt;"Draft",Z355&lt;&gt;"Dikirim"),"Isi status laporan yang valid",IF(AND(AB355&lt;&gt;"",AB355&lt;&gt;"Belum Diperiksa",AB355&lt;&gt;"Disetujui",AB355&lt;&gt;"Perlu Perbaikan"),"Hasil review tidak valid",IF(AND(Z355="Dikirim",OR(Y355="",AA355="")),"Isi bukti dan waktu kirim",IF(AND(AB355="Disetujui",OR(Z355&lt;&gt;"Dikirim",AC355="",AD355="")),"Lengkapi pemeriksaan",IF(AND(AB355="Perlu Perbaikan",OR(AE355="",AC355="",AD355="")),"Isi pemeriksa dan catatan perbaikan","OK")))))))))))))))),"")</f>
        <v/>
      </c>
    </row>
    <row r="356" spans="1:39" ht="24.95" customHeight="1">
      <c r="A356" s="8"/>
      <c r="B356" s="6"/>
      <c r="C356" s="15" t="str">
        <f>IF(COUNTIFS(Master_PIC!$A$8:$A$73,$B356)=1,IF(VLOOKUP($B356,Master_PIC!$A$8:$G$73,2,FALSE)="","",VLOOKUP($B356,Master_PIC!$A$8:$G$73,2,FALSE)),"")</f>
        <v/>
      </c>
      <c r="D356" s="15" t="str">
        <f>IF(COUNTIFS(Master_PIC!$A$8:$A$73,$B356)=1,IF(VLOOKUP($B356,Master_PIC!$A$8:$G$73,4,FALSE)="","",VLOOKUP($B356,Master_PIC!$A$8:$G$73,4,FALSE)),"")</f>
        <v/>
      </c>
      <c r="E356" s="15" t="str">
        <f>IF(COUNTIFS(Master_PIC!$A$8:$A$73,$B356)=1,IF(VLOOKUP($B356,Master_PIC!$A$8:$G$73,5,FALSE)="","",VLOOKUP($B356,Master_PIC!$A$8:$G$73,5,FALSE)),"")</f>
        <v/>
      </c>
      <c r="F356" s="15" t="str">
        <f>IF(COUNTIFS(Master_PIC!$A$8:$A$73,$B356)=1,IF(VLOOKUP($B356,Master_PIC!$A$8:$G$73,6,FALSE)="","",VLOOKUP($B356,Master_PIC!$A$8:$G$73,6,FALSE)),"")</f>
        <v/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8"/>
      <c r="Y356" s="5"/>
      <c r="Z356" s="5"/>
      <c r="AA356" s="9"/>
      <c r="AB356" s="5"/>
      <c r="AC356" s="5"/>
      <c r="AD356" s="9"/>
      <c r="AE356" s="5"/>
      <c r="AF356" s="7" t="str">
        <f t="shared" si="35"/>
        <v/>
      </c>
      <c r="AG356" s="7" t="str">
        <f t="shared" si="36"/>
        <v/>
      </c>
      <c r="AH356" s="7" t="str">
        <f t="shared" si="37"/>
        <v/>
      </c>
      <c r="AI356" s="7" t="str">
        <f t="shared" si="38"/>
        <v/>
      </c>
      <c r="AJ356" s="7" t="str">
        <f t="shared" si="39"/>
        <v/>
      </c>
      <c r="AK356" s="7" t="str">
        <f t="shared" si="40"/>
        <v/>
      </c>
      <c r="AL356" s="10" t="str">
        <f t="shared" si="41"/>
        <v/>
      </c>
      <c r="AM356" s="15" t="str">
        <f>IF(OR($A356&lt;&gt;"",$B356&lt;&gt;""),IF(OR($A356="",$B356=""),"Isi tanggal dan ID PIC",IF(NOT(ISNUMBER($A356)),"Tanggal harus berupa tanggal Excel",IF(COUNTIFS(Master_PIC!$A$8:$A$73,$B356)&lt;&gt;1,"ID PIC tidak unik/terdaftar",IF(VLOOKUP($B356,Master_PIC!$A$8:$G$73,3,FALSE)&lt;&gt;"Sales","Jabatan tidak sesuai sheet",IF(OR($C356="",$D356="",$E356="",$F356=""),"Lengkapi master PIC",IF(COUNTIFS($A$8:$A$507,$A356,$B$8:$B$507,$B356)&gt;1,"Laporan ganda",IF(COUNTIFS(G356:P356,"Tidak Berlaku")&gt;0,"N/A hanya untuk kegiatan bersyarat",IF(SUM(AG356,AH356,AI356,AJ356,AK356)&lt;&gt;14,"Status kegiatan tidak valid",IF(AK356&gt;0,"Lengkapi status kegiatan",IF(AND(AJ356&gt;0,U356=""),"Isi alasan Tidak Berlaku",IF(AND(SUM(AH356,AI356)&gt;0,OR(U356="",V356="",W356="",X356="")),"Isi kendala dan tindak lanjut",IF(AND(Z356&lt;&gt;"Draft",Z356&lt;&gt;"Dikirim"),"Isi status laporan yang valid",IF(AND(AB356&lt;&gt;"",AB356&lt;&gt;"Belum Diperiksa",AB356&lt;&gt;"Disetujui",AB356&lt;&gt;"Perlu Perbaikan"),"Hasil review tidak valid",IF(AND(Z356="Dikirim",OR(Y356="",AA356="")),"Isi bukti dan waktu kirim",IF(AND(AB356="Disetujui",OR(Z356&lt;&gt;"Dikirim",AC356="",AD356="")),"Lengkapi pemeriksaan",IF(AND(AB356="Perlu Perbaikan",OR(AE356="",AC356="",AD356="")),"Isi pemeriksa dan catatan perbaikan","OK")))))))))))))))),"")</f>
        <v/>
      </c>
    </row>
    <row r="357" spans="1:39" ht="24.95" customHeight="1">
      <c r="A357" s="8"/>
      <c r="B357" s="6"/>
      <c r="C357" s="15" t="str">
        <f>IF(COUNTIFS(Master_PIC!$A$8:$A$73,$B357)=1,IF(VLOOKUP($B357,Master_PIC!$A$8:$G$73,2,FALSE)="","",VLOOKUP($B357,Master_PIC!$A$8:$G$73,2,FALSE)),"")</f>
        <v/>
      </c>
      <c r="D357" s="15" t="str">
        <f>IF(COUNTIFS(Master_PIC!$A$8:$A$73,$B357)=1,IF(VLOOKUP($B357,Master_PIC!$A$8:$G$73,4,FALSE)="","",VLOOKUP($B357,Master_PIC!$A$8:$G$73,4,FALSE)),"")</f>
        <v/>
      </c>
      <c r="E357" s="15" t="str">
        <f>IF(COUNTIFS(Master_PIC!$A$8:$A$73,$B357)=1,IF(VLOOKUP($B357,Master_PIC!$A$8:$G$73,5,FALSE)="","",VLOOKUP($B357,Master_PIC!$A$8:$G$73,5,FALSE)),"")</f>
        <v/>
      </c>
      <c r="F357" s="15" t="str">
        <f>IF(COUNTIFS(Master_PIC!$A$8:$A$73,$B357)=1,IF(VLOOKUP($B357,Master_PIC!$A$8:$G$73,6,FALSE)="","",VLOOKUP($B357,Master_PIC!$A$8:$G$73,6,FALSE)),"")</f>
        <v/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8"/>
      <c r="Y357" s="5"/>
      <c r="Z357" s="5"/>
      <c r="AA357" s="9"/>
      <c r="AB357" s="5"/>
      <c r="AC357" s="5"/>
      <c r="AD357" s="9"/>
      <c r="AE357" s="5"/>
      <c r="AF357" s="7" t="str">
        <f t="shared" si="35"/>
        <v/>
      </c>
      <c r="AG357" s="7" t="str">
        <f t="shared" si="36"/>
        <v/>
      </c>
      <c r="AH357" s="7" t="str">
        <f t="shared" si="37"/>
        <v/>
      </c>
      <c r="AI357" s="7" t="str">
        <f t="shared" si="38"/>
        <v/>
      </c>
      <c r="AJ357" s="7" t="str">
        <f t="shared" si="39"/>
        <v/>
      </c>
      <c r="AK357" s="7" t="str">
        <f t="shared" si="40"/>
        <v/>
      </c>
      <c r="AL357" s="10" t="str">
        <f t="shared" si="41"/>
        <v/>
      </c>
      <c r="AM357" s="15" t="str">
        <f>IF(OR($A357&lt;&gt;"",$B357&lt;&gt;""),IF(OR($A357="",$B357=""),"Isi tanggal dan ID PIC",IF(NOT(ISNUMBER($A357)),"Tanggal harus berupa tanggal Excel",IF(COUNTIFS(Master_PIC!$A$8:$A$73,$B357)&lt;&gt;1,"ID PIC tidak unik/terdaftar",IF(VLOOKUP($B357,Master_PIC!$A$8:$G$73,3,FALSE)&lt;&gt;"Sales","Jabatan tidak sesuai sheet",IF(OR($C357="",$D357="",$E357="",$F357=""),"Lengkapi master PIC",IF(COUNTIFS($A$8:$A$507,$A357,$B$8:$B$507,$B357)&gt;1,"Laporan ganda",IF(COUNTIFS(G357:P357,"Tidak Berlaku")&gt;0,"N/A hanya untuk kegiatan bersyarat",IF(SUM(AG357,AH357,AI357,AJ357,AK357)&lt;&gt;14,"Status kegiatan tidak valid",IF(AK357&gt;0,"Lengkapi status kegiatan",IF(AND(AJ357&gt;0,U357=""),"Isi alasan Tidak Berlaku",IF(AND(SUM(AH357,AI357)&gt;0,OR(U357="",V357="",W357="",X357="")),"Isi kendala dan tindak lanjut",IF(AND(Z357&lt;&gt;"Draft",Z357&lt;&gt;"Dikirim"),"Isi status laporan yang valid",IF(AND(AB357&lt;&gt;"",AB357&lt;&gt;"Belum Diperiksa",AB357&lt;&gt;"Disetujui",AB357&lt;&gt;"Perlu Perbaikan"),"Hasil review tidak valid",IF(AND(Z357="Dikirim",OR(Y357="",AA357="")),"Isi bukti dan waktu kirim",IF(AND(AB357="Disetujui",OR(Z357&lt;&gt;"Dikirim",AC357="",AD357="")),"Lengkapi pemeriksaan",IF(AND(AB357="Perlu Perbaikan",OR(AE357="",AC357="",AD357="")),"Isi pemeriksa dan catatan perbaikan","OK")))))))))))))))),"")</f>
        <v/>
      </c>
    </row>
    <row r="358" spans="1:39" ht="24.95" customHeight="1">
      <c r="A358" s="8"/>
      <c r="B358" s="6"/>
      <c r="C358" s="15" t="str">
        <f>IF(COUNTIFS(Master_PIC!$A$8:$A$73,$B358)=1,IF(VLOOKUP($B358,Master_PIC!$A$8:$G$73,2,FALSE)="","",VLOOKUP($B358,Master_PIC!$A$8:$G$73,2,FALSE)),"")</f>
        <v/>
      </c>
      <c r="D358" s="15" t="str">
        <f>IF(COUNTIFS(Master_PIC!$A$8:$A$73,$B358)=1,IF(VLOOKUP($B358,Master_PIC!$A$8:$G$73,4,FALSE)="","",VLOOKUP($B358,Master_PIC!$A$8:$G$73,4,FALSE)),"")</f>
        <v/>
      </c>
      <c r="E358" s="15" t="str">
        <f>IF(COUNTIFS(Master_PIC!$A$8:$A$73,$B358)=1,IF(VLOOKUP($B358,Master_PIC!$A$8:$G$73,5,FALSE)="","",VLOOKUP($B358,Master_PIC!$A$8:$G$73,5,FALSE)),"")</f>
        <v/>
      </c>
      <c r="F358" s="15" t="str">
        <f>IF(COUNTIFS(Master_PIC!$A$8:$A$73,$B358)=1,IF(VLOOKUP($B358,Master_PIC!$A$8:$G$73,6,FALSE)="","",VLOOKUP($B358,Master_PIC!$A$8:$G$73,6,FALSE)),"")</f>
        <v/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8"/>
      <c r="Y358" s="5"/>
      <c r="Z358" s="5"/>
      <c r="AA358" s="9"/>
      <c r="AB358" s="5"/>
      <c r="AC358" s="5"/>
      <c r="AD358" s="9"/>
      <c r="AE358" s="5"/>
      <c r="AF358" s="7" t="str">
        <f t="shared" si="35"/>
        <v/>
      </c>
      <c r="AG358" s="7" t="str">
        <f t="shared" si="36"/>
        <v/>
      </c>
      <c r="AH358" s="7" t="str">
        <f t="shared" si="37"/>
        <v/>
      </c>
      <c r="AI358" s="7" t="str">
        <f t="shared" si="38"/>
        <v/>
      </c>
      <c r="AJ358" s="7" t="str">
        <f t="shared" si="39"/>
        <v/>
      </c>
      <c r="AK358" s="7" t="str">
        <f t="shared" si="40"/>
        <v/>
      </c>
      <c r="AL358" s="10" t="str">
        <f t="shared" si="41"/>
        <v/>
      </c>
      <c r="AM358" s="15" t="str">
        <f>IF(OR($A358&lt;&gt;"",$B358&lt;&gt;""),IF(OR($A358="",$B358=""),"Isi tanggal dan ID PIC",IF(NOT(ISNUMBER($A358)),"Tanggal harus berupa tanggal Excel",IF(COUNTIFS(Master_PIC!$A$8:$A$73,$B358)&lt;&gt;1,"ID PIC tidak unik/terdaftar",IF(VLOOKUP($B358,Master_PIC!$A$8:$G$73,3,FALSE)&lt;&gt;"Sales","Jabatan tidak sesuai sheet",IF(OR($C358="",$D358="",$E358="",$F358=""),"Lengkapi master PIC",IF(COUNTIFS($A$8:$A$507,$A358,$B$8:$B$507,$B358)&gt;1,"Laporan ganda",IF(COUNTIFS(G358:P358,"Tidak Berlaku")&gt;0,"N/A hanya untuk kegiatan bersyarat",IF(SUM(AG358,AH358,AI358,AJ358,AK358)&lt;&gt;14,"Status kegiatan tidak valid",IF(AK358&gt;0,"Lengkapi status kegiatan",IF(AND(AJ358&gt;0,U358=""),"Isi alasan Tidak Berlaku",IF(AND(SUM(AH358,AI358)&gt;0,OR(U358="",V358="",W358="",X358="")),"Isi kendala dan tindak lanjut",IF(AND(Z358&lt;&gt;"Draft",Z358&lt;&gt;"Dikirim"),"Isi status laporan yang valid",IF(AND(AB358&lt;&gt;"",AB358&lt;&gt;"Belum Diperiksa",AB358&lt;&gt;"Disetujui",AB358&lt;&gt;"Perlu Perbaikan"),"Hasil review tidak valid",IF(AND(Z358="Dikirim",OR(Y358="",AA358="")),"Isi bukti dan waktu kirim",IF(AND(AB358="Disetujui",OR(Z358&lt;&gt;"Dikirim",AC358="",AD358="")),"Lengkapi pemeriksaan",IF(AND(AB358="Perlu Perbaikan",OR(AE358="",AC358="",AD358="")),"Isi pemeriksa dan catatan perbaikan","OK")))))))))))))))),"")</f>
        <v/>
      </c>
    </row>
    <row r="359" spans="1:39" ht="24.95" customHeight="1">
      <c r="A359" s="8"/>
      <c r="B359" s="6"/>
      <c r="C359" s="15" t="str">
        <f>IF(COUNTIFS(Master_PIC!$A$8:$A$73,$B359)=1,IF(VLOOKUP($B359,Master_PIC!$A$8:$G$73,2,FALSE)="","",VLOOKUP($B359,Master_PIC!$A$8:$G$73,2,FALSE)),"")</f>
        <v/>
      </c>
      <c r="D359" s="15" t="str">
        <f>IF(COUNTIFS(Master_PIC!$A$8:$A$73,$B359)=1,IF(VLOOKUP($B359,Master_PIC!$A$8:$G$73,4,FALSE)="","",VLOOKUP($B359,Master_PIC!$A$8:$G$73,4,FALSE)),"")</f>
        <v/>
      </c>
      <c r="E359" s="15" t="str">
        <f>IF(COUNTIFS(Master_PIC!$A$8:$A$73,$B359)=1,IF(VLOOKUP($B359,Master_PIC!$A$8:$G$73,5,FALSE)="","",VLOOKUP($B359,Master_PIC!$A$8:$G$73,5,FALSE)),"")</f>
        <v/>
      </c>
      <c r="F359" s="15" t="str">
        <f>IF(COUNTIFS(Master_PIC!$A$8:$A$73,$B359)=1,IF(VLOOKUP($B359,Master_PIC!$A$8:$G$73,6,FALSE)="","",VLOOKUP($B359,Master_PIC!$A$8:$G$73,6,FALSE)),"")</f>
        <v/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8"/>
      <c r="Y359" s="5"/>
      <c r="Z359" s="5"/>
      <c r="AA359" s="9"/>
      <c r="AB359" s="5"/>
      <c r="AC359" s="5"/>
      <c r="AD359" s="9"/>
      <c r="AE359" s="5"/>
      <c r="AF359" s="7" t="str">
        <f t="shared" si="35"/>
        <v/>
      </c>
      <c r="AG359" s="7" t="str">
        <f t="shared" si="36"/>
        <v/>
      </c>
      <c r="AH359" s="7" t="str">
        <f t="shared" si="37"/>
        <v/>
      </c>
      <c r="AI359" s="7" t="str">
        <f t="shared" si="38"/>
        <v/>
      </c>
      <c r="AJ359" s="7" t="str">
        <f t="shared" si="39"/>
        <v/>
      </c>
      <c r="AK359" s="7" t="str">
        <f t="shared" si="40"/>
        <v/>
      </c>
      <c r="AL359" s="10" t="str">
        <f t="shared" si="41"/>
        <v/>
      </c>
      <c r="AM359" s="15" t="str">
        <f>IF(OR($A359&lt;&gt;"",$B359&lt;&gt;""),IF(OR($A359="",$B359=""),"Isi tanggal dan ID PIC",IF(NOT(ISNUMBER($A359)),"Tanggal harus berupa tanggal Excel",IF(COUNTIFS(Master_PIC!$A$8:$A$73,$B359)&lt;&gt;1,"ID PIC tidak unik/terdaftar",IF(VLOOKUP($B359,Master_PIC!$A$8:$G$73,3,FALSE)&lt;&gt;"Sales","Jabatan tidak sesuai sheet",IF(OR($C359="",$D359="",$E359="",$F359=""),"Lengkapi master PIC",IF(COUNTIFS($A$8:$A$507,$A359,$B$8:$B$507,$B359)&gt;1,"Laporan ganda",IF(COUNTIFS(G359:P359,"Tidak Berlaku")&gt;0,"N/A hanya untuk kegiatan bersyarat",IF(SUM(AG359,AH359,AI359,AJ359,AK359)&lt;&gt;14,"Status kegiatan tidak valid",IF(AK359&gt;0,"Lengkapi status kegiatan",IF(AND(AJ359&gt;0,U359=""),"Isi alasan Tidak Berlaku",IF(AND(SUM(AH359,AI359)&gt;0,OR(U359="",V359="",W359="",X359="")),"Isi kendala dan tindak lanjut",IF(AND(Z359&lt;&gt;"Draft",Z359&lt;&gt;"Dikirim"),"Isi status laporan yang valid",IF(AND(AB359&lt;&gt;"",AB359&lt;&gt;"Belum Diperiksa",AB359&lt;&gt;"Disetujui",AB359&lt;&gt;"Perlu Perbaikan"),"Hasil review tidak valid",IF(AND(Z359="Dikirim",OR(Y359="",AA359="")),"Isi bukti dan waktu kirim",IF(AND(AB359="Disetujui",OR(Z359&lt;&gt;"Dikirim",AC359="",AD359="")),"Lengkapi pemeriksaan",IF(AND(AB359="Perlu Perbaikan",OR(AE359="",AC359="",AD359="")),"Isi pemeriksa dan catatan perbaikan","OK")))))))))))))))),"")</f>
        <v/>
      </c>
    </row>
    <row r="360" spans="1:39" ht="24.95" customHeight="1">
      <c r="A360" s="8"/>
      <c r="B360" s="6"/>
      <c r="C360" s="15" t="str">
        <f>IF(COUNTIFS(Master_PIC!$A$8:$A$73,$B360)=1,IF(VLOOKUP($B360,Master_PIC!$A$8:$G$73,2,FALSE)="","",VLOOKUP($B360,Master_PIC!$A$8:$G$73,2,FALSE)),"")</f>
        <v/>
      </c>
      <c r="D360" s="15" t="str">
        <f>IF(COUNTIFS(Master_PIC!$A$8:$A$73,$B360)=1,IF(VLOOKUP($B360,Master_PIC!$A$8:$G$73,4,FALSE)="","",VLOOKUP($B360,Master_PIC!$A$8:$G$73,4,FALSE)),"")</f>
        <v/>
      </c>
      <c r="E360" s="15" t="str">
        <f>IF(COUNTIFS(Master_PIC!$A$8:$A$73,$B360)=1,IF(VLOOKUP($B360,Master_PIC!$A$8:$G$73,5,FALSE)="","",VLOOKUP($B360,Master_PIC!$A$8:$G$73,5,FALSE)),"")</f>
        <v/>
      </c>
      <c r="F360" s="15" t="str">
        <f>IF(COUNTIFS(Master_PIC!$A$8:$A$73,$B360)=1,IF(VLOOKUP($B360,Master_PIC!$A$8:$G$73,6,FALSE)="","",VLOOKUP($B360,Master_PIC!$A$8:$G$73,6,FALSE)),"")</f>
        <v/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8"/>
      <c r="Y360" s="5"/>
      <c r="Z360" s="5"/>
      <c r="AA360" s="9"/>
      <c r="AB360" s="5"/>
      <c r="AC360" s="5"/>
      <c r="AD360" s="9"/>
      <c r="AE360" s="5"/>
      <c r="AF360" s="7" t="str">
        <f t="shared" si="35"/>
        <v/>
      </c>
      <c r="AG360" s="7" t="str">
        <f t="shared" si="36"/>
        <v/>
      </c>
      <c r="AH360" s="7" t="str">
        <f t="shared" si="37"/>
        <v/>
      </c>
      <c r="AI360" s="7" t="str">
        <f t="shared" si="38"/>
        <v/>
      </c>
      <c r="AJ360" s="7" t="str">
        <f t="shared" si="39"/>
        <v/>
      </c>
      <c r="AK360" s="7" t="str">
        <f t="shared" si="40"/>
        <v/>
      </c>
      <c r="AL360" s="10" t="str">
        <f t="shared" si="41"/>
        <v/>
      </c>
      <c r="AM360" s="15" t="str">
        <f>IF(OR($A360&lt;&gt;"",$B360&lt;&gt;""),IF(OR($A360="",$B360=""),"Isi tanggal dan ID PIC",IF(NOT(ISNUMBER($A360)),"Tanggal harus berupa tanggal Excel",IF(COUNTIFS(Master_PIC!$A$8:$A$73,$B360)&lt;&gt;1,"ID PIC tidak unik/terdaftar",IF(VLOOKUP($B360,Master_PIC!$A$8:$G$73,3,FALSE)&lt;&gt;"Sales","Jabatan tidak sesuai sheet",IF(OR($C360="",$D360="",$E360="",$F360=""),"Lengkapi master PIC",IF(COUNTIFS($A$8:$A$507,$A360,$B$8:$B$507,$B360)&gt;1,"Laporan ganda",IF(COUNTIFS(G360:P360,"Tidak Berlaku")&gt;0,"N/A hanya untuk kegiatan bersyarat",IF(SUM(AG360,AH360,AI360,AJ360,AK360)&lt;&gt;14,"Status kegiatan tidak valid",IF(AK360&gt;0,"Lengkapi status kegiatan",IF(AND(AJ360&gt;0,U360=""),"Isi alasan Tidak Berlaku",IF(AND(SUM(AH360,AI360)&gt;0,OR(U360="",V360="",W360="",X360="")),"Isi kendala dan tindak lanjut",IF(AND(Z360&lt;&gt;"Draft",Z360&lt;&gt;"Dikirim"),"Isi status laporan yang valid",IF(AND(AB360&lt;&gt;"",AB360&lt;&gt;"Belum Diperiksa",AB360&lt;&gt;"Disetujui",AB360&lt;&gt;"Perlu Perbaikan"),"Hasil review tidak valid",IF(AND(Z360="Dikirim",OR(Y360="",AA360="")),"Isi bukti dan waktu kirim",IF(AND(AB360="Disetujui",OR(Z360&lt;&gt;"Dikirim",AC360="",AD360="")),"Lengkapi pemeriksaan",IF(AND(AB360="Perlu Perbaikan",OR(AE360="",AC360="",AD360="")),"Isi pemeriksa dan catatan perbaikan","OK")))))))))))))))),"")</f>
        <v/>
      </c>
    </row>
    <row r="361" spans="1:39" ht="24.95" customHeight="1">
      <c r="A361" s="8"/>
      <c r="B361" s="6"/>
      <c r="C361" s="15" t="str">
        <f>IF(COUNTIFS(Master_PIC!$A$8:$A$73,$B361)=1,IF(VLOOKUP($B361,Master_PIC!$A$8:$G$73,2,FALSE)="","",VLOOKUP($B361,Master_PIC!$A$8:$G$73,2,FALSE)),"")</f>
        <v/>
      </c>
      <c r="D361" s="15" t="str">
        <f>IF(COUNTIFS(Master_PIC!$A$8:$A$73,$B361)=1,IF(VLOOKUP($B361,Master_PIC!$A$8:$G$73,4,FALSE)="","",VLOOKUP($B361,Master_PIC!$A$8:$G$73,4,FALSE)),"")</f>
        <v/>
      </c>
      <c r="E361" s="15" t="str">
        <f>IF(COUNTIFS(Master_PIC!$A$8:$A$73,$B361)=1,IF(VLOOKUP($B361,Master_PIC!$A$8:$G$73,5,FALSE)="","",VLOOKUP($B361,Master_PIC!$A$8:$G$73,5,FALSE)),"")</f>
        <v/>
      </c>
      <c r="F361" s="15" t="str">
        <f>IF(COUNTIFS(Master_PIC!$A$8:$A$73,$B361)=1,IF(VLOOKUP($B361,Master_PIC!$A$8:$G$73,6,FALSE)="","",VLOOKUP($B361,Master_PIC!$A$8:$G$73,6,FALSE)),"")</f>
        <v/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8"/>
      <c r="Y361" s="5"/>
      <c r="Z361" s="5"/>
      <c r="AA361" s="9"/>
      <c r="AB361" s="5"/>
      <c r="AC361" s="5"/>
      <c r="AD361" s="9"/>
      <c r="AE361" s="5"/>
      <c r="AF361" s="7" t="str">
        <f t="shared" si="35"/>
        <v/>
      </c>
      <c r="AG361" s="7" t="str">
        <f t="shared" si="36"/>
        <v/>
      </c>
      <c r="AH361" s="7" t="str">
        <f t="shared" si="37"/>
        <v/>
      </c>
      <c r="AI361" s="7" t="str">
        <f t="shared" si="38"/>
        <v/>
      </c>
      <c r="AJ361" s="7" t="str">
        <f t="shared" si="39"/>
        <v/>
      </c>
      <c r="AK361" s="7" t="str">
        <f t="shared" si="40"/>
        <v/>
      </c>
      <c r="AL361" s="10" t="str">
        <f t="shared" si="41"/>
        <v/>
      </c>
      <c r="AM361" s="15" t="str">
        <f>IF(OR($A361&lt;&gt;"",$B361&lt;&gt;""),IF(OR($A361="",$B361=""),"Isi tanggal dan ID PIC",IF(NOT(ISNUMBER($A361)),"Tanggal harus berupa tanggal Excel",IF(COUNTIFS(Master_PIC!$A$8:$A$73,$B361)&lt;&gt;1,"ID PIC tidak unik/terdaftar",IF(VLOOKUP($B361,Master_PIC!$A$8:$G$73,3,FALSE)&lt;&gt;"Sales","Jabatan tidak sesuai sheet",IF(OR($C361="",$D361="",$E361="",$F361=""),"Lengkapi master PIC",IF(COUNTIFS($A$8:$A$507,$A361,$B$8:$B$507,$B361)&gt;1,"Laporan ganda",IF(COUNTIFS(G361:P361,"Tidak Berlaku")&gt;0,"N/A hanya untuk kegiatan bersyarat",IF(SUM(AG361,AH361,AI361,AJ361,AK361)&lt;&gt;14,"Status kegiatan tidak valid",IF(AK361&gt;0,"Lengkapi status kegiatan",IF(AND(AJ361&gt;0,U361=""),"Isi alasan Tidak Berlaku",IF(AND(SUM(AH361,AI361)&gt;0,OR(U361="",V361="",W361="",X361="")),"Isi kendala dan tindak lanjut",IF(AND(Z361&lt;&gt;"Draft",Z361&lt;&gt;"Dikirim"),"Isi status laporan yang valid",IF(AND(AB361&lt;&gt;"",AB361&lt;&gt;"Belum Diperiksa",AB361&lt;&gt;"Disetujui",AB361&lt;&gt;"Perlu Perbaikan"),"Hasil review tidak valid",IF(AND(Z361="Dikirim",OR(Y361="",AA361="")),"Isi bukti dan waktu kirim",IF(AND(AB361="Disetujui",OR(Z361&lt;&gt;"Dikirim",AC361="",AD361="")),"Lengkapi pemeriksaan",IF(AND(AB361="Perlu Perbaikan",OR(AE361="",AC361="",AD361="")),"Isi pemeriksa dan catatan perbaikan","OK")))))))))))))))),"")</f>
        <v/>
      </c>
    </row>
    <row r="362" spans="1:39" ht="24.95" customHeight="1">
      <c r="A362" s="8"/>
      <c r="B362" s="6"/>
      <c r="C362" s="15" t="str">
        <f>IF(COUNTIFS(Master_PIC!$A$8:$A$73,$B362)=1,IF(VLOOKUP($B362,Master_PIC!$A$8:$G$73,2,FALSE)="","",VLOOKUP($B362,Master_PIC!$A$8:$G$73,2,FALSE)),"")</f>
        <v/>
      </c>
      <c r="D362" s="15" t="str">
        <f>IF(COUNTIFS(Master_PIC!$A$8:$A$73,$B362)=1,IF(VLOOKUP($B362,Master_PIC!$A$8:$G$73,4,FALSE)="","",VLOOKUP($B362,Master_PIC!$A$8:$G$73,4,FALSE)),"")</f>
        <v/>
      </c>
      <c r="E362" s="15" t="str">
        <f>IF(COUNTIFS(Master_PIC!$A$8:$A$73,$B362)=1,IF(VLOOKUP($B362,Master_PIC!$A$8:$G$73,5,FALSE)="","",VLOOKUP($B362,Master_PIC!$A$8:$G$73,5,FALSE)),"")</f>
        <v/>
      </c>
      <c r="F362" s="15" t="str">
        <f>IF(COUNTIFS(Master_PIC!$A$8:$A$73,$B362)=1,IF(VLOOKUP($B362,Master_PIC!$A$8:$G$73,6,FALSE)="","",VLOOKUP($B362,Master_PIC!$A$8:$G$73,6,FALSE)),"")</f>
        <v/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8"/>
      <c r="Y362" s="5"/>
      <c r="Z362" s="5"/>
      <c r="AA362" s="9"/>
      <c r="AB362" s="5"/>
      <c r="AC362" s="5"/>
      <c r="AD362" s="9"/>
      <c r="AE362" s="5"/>
      <c r="AF362" s="7" t="str">
        <f t="shared" si="35"/>
        <v/>
      </c>
      <c r="AG362" s="7" t="str">
        <f t="shared" si="36"/>
        <v/>
      </c>
      <c r="AH362" s="7" t="str">
        <f t="shared" si="37"/>
        <v/>
      </c>
      <c r="AI362" s="7" t="str">
        <f t="shared" si="38"/>
        <v/>
      </c>
      <c r="AJ362" s="7" t="str">
        <f t="shared" si="39"/>
        <v/>
      </c>
      <c r="AK362" s="7" t="str">
        <f t="shared" si="40"/>
        <v/>
      </c>
      <c r="AL362" s="10" t="str">
        <f t="shared" si="41"/>
        <v/>
      </c>
      <c r="AM362" s="15" t="str">
        <f>IF(OR($A362&lt;&gt;"",$B362&lt;&gt;""),IF(OR($A362="",$B362=""),"Isi tanggal dan ID PIC",IF(NOT(ISNUMBER($A362)),"Tanggal harus berupa tanggal Excel",IF(COUNTIFS(Master_PIC!$A$8:$A$73,$B362)&lt;&gt;1,"ID PIC tidak unik/terdaftar",IF(VLOOKUP($B362,Master_PIC!$A$8:$G$73,3,FALSE)&lt;&gt;"Sales","Jabatan tidak sesuai sheet",IF(OR($C362="",$D362="",$E362="",$F362=""),"Lengkapi master PIC",IF(COUNTIFS($A$8:$A$507,$A362,$B$8:$B$507,$B362)&gt;1,"Laporan ganda",IF(COUNTIFS(G362:P362,"Tidak Berlaku")&gt;0,"N/A hanya untuk kegiatan bersyarat",IF(SUM(AG362,AH362,AI362,AJ362,AK362)&lt;&gt;14,"Status kegiatan tidak valid",IF(AK362&gt;0,"Lengkapi status kegiatan",IF(AND(AJ362&gt;0,U362=""),"Isi alasan Tidak Berlaku",IF(AND(SUM(AH362,AI362)&gt;0,OR(U362="",V362="",W362="",X362="")),"Isi kendala dan tindak lanjut",IF(AND(Z362&lt;&gt;"Draft",Z362&lt;&gt;"Dikirim"),"Isi status laporan yang valid",IF(AND(AB362&lt;&gt;"",AB362&lt;&gt;"Belum Diperiksa",AB362&lt;&gt;"Disetujui",AB362&lt;&gt;"Perlu Perbaikan"),"Hasil review tidak valid",IF(AND(Z362="Dikirim",OR(Y362="",AA362="")),"Isi bukti dan waktu kirim",IF(AND(AB362="Disetujui",OR(Z362&lt;&gt;"Dikirim",AC362="",AD362="")),"Lengkapi pemeriksaan",IF(AND(AB362="Perlu Perbaikan",OR(AE362="",AC362="",AD362="")),"Isi pemeriksa dan catatan perbaikan","OK")))))))))))))))),"")</f>
        <v/>
      </c>
    </row>
    <row r="363" spans="1:39" ht="24.95" customHeight="1">
      <c r="A363" s="8"/>
      <c r="B363" s="6"/>
      <c r="C363" s="15" t="str">
        <f>IF(COUNTIFS(Master_PIC!$A$8:$A$73,$B363)=1,IF(VLOOKUP($B363,Master_PIC!$A$8:$G$73,2,FALSE)="","",VLOOKUP($B363,Master_PIC!$A$8:$G$73,2,FALSE)),"")</f>
        <v/>
      </c>
      <c r="D363" s="15" t="str">
        <f>IF(COUNTIFS(Master_PIC!$A$8:$A$73,$B363)=1,IF(VLOOKUP($B363,Master_PIC!$A$8:$G$73,4,FALSE)="","",VLOOKUP($B363,Master_PIC!$A$8:$G$73,4,FALSE)),"")</f>
        <v/>
      </c>
      <c r="E363" s="15" t="str">
        <f>IF(COUNTIFS(Master_PIC!$A$8:$A$73,$B363)=1,IF(VLOOKUP($B363,Master_PIC!$A$8:$G$73,5,FALSE)="","",VLOOKUP($B363,Master_PIC!$A$8:$G$73,5,FALSE)),"")</f>
        <v/>
      </c>
      <c r="F363" s="15" t="str">
        <f>IF(COUNTIFS(Master_PIC!$A$8:$A$73,$B363)=1,IF(VLOOKUP($B363,Master_PIC!$A$8:$G$73,6,FALSE)="","",VLOOKUP($B363,Master_PIC!$A$8:$G$73,6,FALSE)),"")</f>
        <v/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8"/>
      <c r="Y363" s="5"/>
      <c r="Z363" s="5"/>
      <c r="AA363" s="9"/>
      <c r="AB363" s="5"/>
      <c r="AC363" s="5"/>
      <c r="AD363" s="9"/>
      <c r="AE363" s="5"/>
      <c r="AF363" s="7" t="str">
        <f t="shared" si="35"/>
        <v/>
      </c>
      <c r="AG363" s="7" t="str">
        <f t="shared" si="36"/>
        <v/>
      </c>
      <c r="AH363" s="7" t="str">
        <f t="shared" si="37"/>
        <v/>
      </c>
      <c r="AI363" s="7" t="str">
        <f t="shared" si="38"/>
        <v/>
      </c>
      <c r="AJ363" s="7" t="str">
        <f t="shared" si="39"/>
        <v/>
      </c>
      <c r="AK363" s="7" t="str">
        <f t="shared" si="40"/>
        <v/>
      </c>
      <c r="AL363" s="10" t="str">
        <f t="shared" si="41"/>
        <v/>
      </c>
      <c r="AM363" s="15" t="str">
        <f>IF(OR($A363&lt;&gt;"",$B363&lt;&gt;""),IF(OR($A363="",$B363=""),"Isi tanggal dan ID PIC",IF(NOT(ISNUMBER($A363)),"Tanggal harus berupa tanggal Excel",IF(COUNTIFS(Master_PIC!$A$8:$A$73,$B363)&lt;&gt;1,"ID PIC tidak unik/terdaftar",IF(VLOOKUP($B363,Master_PIC!$A$8:$G$73,3,FALSE)&lt;&gt;"Sales","Jabatan tidak sesuai sheet",IF(OR($C363="",$D363="",$E363="",$F363=""),"Lengkapi master PIC",IF(COUNTIFS($A$8:$A$507,$A363,$B$8:$B$507,$B363)&gt;1,"Laporan ganda",IF(COUNTIFS(G363:P363,"Tidak Berlaku")&gt;0,"N/A hanya untuk kegiatan bersyarat",IF(SUM(AG363,AH363,AI363,AJ363,AK363)&lt;&gt;14,"Status kegiatan tidak valid",IF(AK363&gt;0,"Lengkapi status kegiatan",IF(AND(AJ363&gt;0,U363=""),"Isi alasan Tidak Berlaku",IF(AND(SUM(AH363,AI363)&gt;0,OR(U363="",V363="",W363="",X363="")),"Isi kendala dan tindak lanjut",IF(AND(Z363&lt;&gt;"Draft",Z363&lt;&gt;"Dikirim"),"Isi status laporan yang valid",IF(AND(AB363&lt;&gt;"",AB363&lt;&gt;"Belum Diperiksa",AB363&lt;&gt;"Disetujui",AB363&lt;&gt;"Perlu Perbaikan"),"Hasil review tidak valid",IF(AND(Z363="Dikirim",OR(Y363="",AA363="")),"Isi bukti dan waktu kirim",IF(AND(AB363="Disetujui",OR(Z363&lt;&gt;"Dikirim",AC363="",AD363="")),"Lengkapi pemeriksaan",IF(AND(AB363="Perlu Perbaikan",OR(AE363="",AC363="",AD363="")),"Isi pemeriksa dan catatan perbaikan","OK")))))))))))))))),"")</f>
        <v/>
      </c>
    </row>
    <row r="364" spans="1:39" ht="24.95" customHeight="1">
      <c r="A364" s="8"/>
      <c r="B364" s="6"/>
      <c r="C364" s="15" t="str">
        <f>IF(COUNTIFS(Master_PIC!$A$8:$A$73,$B364)=1,IF(VLOOKUP($B364,Master_PIC!$A$8:$G$73,2,FALSE)="","",VLOOKUP($B364,Master_PIC!$A$8:$G$73,2,FALSE)),"")</f>
        <v/>
      </c>
      <c r="D364" s="15" t="str">
        <f>IF(COUNTIFS(Master_PIC!$A$8:$A$73,$B364)=1,IF(VLOOKUP($B364,Master_PIC!$A$8:$G$73,4,FALSE)="","",VLOOKUP($B364,Master_PIC!$A$8:$G$73,4,FALSE)),"")</f>
        <v/>
      </c>
      <c r="E364" s="15" t="str">
        <f>IF(COUNTIFS(Master_PIC!$A$8:$A$73,$B364)=1,IF(VLOOKUP($B364,Master_PIC!$A$8:$G$73,5,FALSE)="","",VLOOKUP($B364,Master_PIC!$A$8:$G$73,5,FALSE)),"")</f>
        <v/>
      </c>
      <c r="F364" s="15" t="str">
        <f>IF(COUNTIFS(Master_PIC!$A$8:$A$73,$B364)=1,IF(VLOOKUP($B364,Master_PIC!$A$8:$G$73,6,FALSE)="","",VLOOKUP($B364,Master_PIC!$A$8:$G$73,6,FALSE)),"")</f>
        <v/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8"/>
      <c r="Y364" s="5"/>
      <c r="Z364" s="5"/>
      <c r="AA364" s="9"/>
      <c r="AB364" s="5"/>
      <c r="AC364" s="5"/>
      <c r="AD364" s="9"/>
      <c r="AE364" s="5"/>
      <c r="AF364" s="7" t="str">
        <f t="shared" si="35"/>
        <v/>
      </c>
      <c r="AG364" s="7" t="str">
        <f t="shared" si="36"/>
        <v/>
      </c>
      <c r="AH364" s="7" t="str">
        <f t="shared" si="37"/>
        <v/>
      </c>
      <c r="AI364" s="7" t="str">
        <f t="shared" si="38"/>
        <v/>
      </c>
      <c r="AJ364" s="7" t="str">
        <f t="shared" si="39"/>
        <v/>
      </c>
      <c r="AK364" s="7" t="str">
        <f t="shared" si="40"/>
        <v/>
      </c>
      <c r="AL364" s="10" t="str">
        <f t="shared" si="41"/>
        <v/>
      </c>
      <c r="AM364" s="15" t="str">
        <f>IF(OR($A364&lt;&gt;"",$B364&lt;&gt;""),IF(OR($A364="",$B364=""),"Isi tanggal dan ID PIC",IF(NOT(ISNUMBER($A364)),"Tanggal harus berupa tanggal Excel",IF(COUNTIFS(Master_PIC!$A$8:$A$73,$B364)&lt;&gt;1,"ID PIC tidak unik/terdaftar",IF(VLOOKUP($B364,Master_PIC!$A$8:$G$73,3,FALSE)&lt;&gt;"Sales","Jabatan tidak sesuai sheet",IF(OR($C364="",$D364="",$E364="",$F364=""),"Lengkapi master PIC",IF(COUNTIFS($A$8:$A$507,$A364,$B$8:$B$507,$B364)&gt;1,"Laporan ganda",IF(COUNTIFS(G364:P364,"Tidak Berlaku")&gt;0,"N/A hanya untuk kegiatan bersyarat",IF(SUM(AG364,AH364,AI364,AJ364,AK364)&lt;&gt;14,"Status kegiatan tidak valid",IF(AK364&gt;0,"Lengkapi status kegiatan",IF(AND(AJ364&gt;0,U364=""),"Isi alasan Tidak Berlaku",IF(AND(SUM(AH364,AI364)&gt;0,OR(U364="",V364="",W364="",X364="")),"Isi kendala dan tindak lanjut",IF(AND(Z364&lt;&gt;"Draft",Z364&lt;&gt;"Dikirim"),"Isi status laporan yang valid",IF(AND(AB364&lt;&gt;"",AB364&lt;&gt;"Belum Diperiksa",AB364&lt;&gt;"Disetujui",AB364&lt;&gt;"Perlu Perbaikan"),"Hasil review tidak valid",IF(AND(Z364="Dikirim",OR(Y364="",AA364="")),"Isi bukti dan waktu kirim",IF(AND(AB364="Disetujui",OR(Z364&lt;&gt;"Dikirim",AC364="",AD364="")),"Lengkapi pemeriksaan",IF(AND(AB364="Perlu Perbaikan",OR(AE364="",AC364="",AD364="")),"Isi pemeriksa dan catatan perbaikan","OK")))))))))))))))),"")</f>
        <v/>
      </c>
    </row>
    <row r="365" spans="1:39" ht="24.95" customHeight="1">
      <c r="A365" s="8"/>
      <c r="B365" s="6"/>
      <c r="C365" s="15" t="str">
        <f>IF(COUNTIFS(Master_PIC!$A$8:$A$73,$B365)=1,IF(VLOOKUP($B365,Master_PIC!$A$8:$G$73,2,FALSE)="","",VLOOKUP($B365,Master_PIC!$A$8:$G$73,2,FALSE)),"")</f>
        <v/>
      </c>
      <c r="D365" s="15" t="str">
        <f>IF(COUNTIFS(Master_PIC!$A$8:$A$73,$B365)=1,IF(VLOOKUP($B365,Master_PIC!$A$8:$G$73,4,FALSE)="","",VLOOKUP($B365,Master_PIC!$A$8:$G$73,4,FALSE)),"")</f>
        <v/>
      </c>
      <c r="E365" s="15" t="str">
        <f>IF(COUNTIFS(Master_PIC!$A$8:$A$73,$B365)=1,IF(VLOOKUP($B365,Master_PIC!$A$8:$G$73,5,FALSE)="","",VLOOKUP($B365,Master_PIC!$A$8:$G$73,5,FALSE)),"")</f>
        <v/>
      </c>
      <c r="F365" s="15" t="str">
        <f>IF(COUNTIFS(Master_PIC!$A$8:$A$73,$B365)=1,IF(VLOOKUP($B365,Master_PIC!$A$8:$G$73,6,FALSE)="","",VLOOKUP($B365,Master_PIC!$A$8:$G$73,6,FALSE)),"")</f>
        <v/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8"/>
      <c r="Y365" s="5"/>
      <c r="Z365" s="5"/>
      <c r="AA365" s="9"/>
      <c r="AB365" s="5"/>
      <c r="AC365" s="5"/>
      <c r="AD365" s="9"/>
      <c r="AE365" s="5"/>
      <c r="AF365" s="7" t="str">
        <f t="shared" si="35"/>
        <v/>
      </c>
      <c r="AG365" s="7" t="str">
        <f t="shared" si="36"/>
        <v/>
      </c>
      <c r="AH365" s="7" t="str">
        <f t="shared" si="37"/>
        <v/>
      </c>
      <c r="AI365" s="7" t="str">
        <f t="shared" si="38"/>
        <v/>
      </c>
      <c r="AJ365" s="7" t="str">
        <f t="shared" si="39"/>
        <v/>
      </c>
      <c r="AK365" s="7" t="str">
        <f t="shared" si="40"/>
        <v/>
      </c>
      <c r="AL365" s="10" t="str">
        <f t="shared" si="41"/>
        <v/>
      </c>
      <c r="AM365" s="15" t="str">
        <f>IF(OR($A365&lt;&gt;"",$B365&lt;&gt;""),IF(OR($A365="",$B365=""),"Isi tanggal dan ID PIC",IF(NOT(ISNUMBER($A365)),"Tanggal harus berupa tanggal Excel",IF(COUNTIFS(Master_PIC!$A$8:$A$73,$B365)&lt;&gt;1,"ID PIC tidak unik/terdaftar",IF(VLOOKUP($B365,Master_PIC!$A$8:$G$73,3,FALSE)&lt;&gt;"Sales","Jabatan tidak sesuai sheet",IF(OR($C365="",$D365="",$E365="",$F365=""),"Lengkapi master PIC",IF(COUNTIFS($A$8:$A$507,$A365,$B$8:$B$507,$B365)&gt;1,"Laporan ganda",IF(COUNTIFS(G365:P365,"Tidak Berlaku")&gt;0,"N/A hanya untuk kegiatan bersyarat",IF(SUM(AG365,AH365,AI365,AJ365,AK365)&lt;&gt;14,"Status kegiatan tidak valid",IF(AK365&gt;0,"Lengkapi status kegiatan",IF(AND(AJ365&gt;0,U365=""),"Isi alasan Tidak Berlaku",IF(AND(SUM(AH365,AI365)&gt;0,OR(U365="",V365="",W365="",X365="")),"Isi kendala dan tindak lanjut",IF(AND(Z365&lt;&gt;"Draft",Z365&lt;&gt;"Dikirim"),"Isi status laporan yang valid",IF(AND(AB365&lt;&gt;"",AB365&lt;&gt;"Belum Diperiksa",AB365&lt;&gt;"Disetujui",AB365&lt;&gt;"Perlu Perbaikan"),"Hasil review tidak valid",IF(AND(Z365="Dikirim",OR(Y365="",AA365="")),"Isi bukti dan waktu kirim",IF(AND(AB365="Disetujui",OR(Z365&lt;&gt;"Dikirim",AC365="",AD365="")),"Lengkapi pemeriksaan",IF(AND(AB365="Perlu Perbaikan",OR(AE365="",AC365="",AD365="")),"Isi pemeriksa dan catatan perbaikan","OK")))))))))))))))),"")</f>
        <v/>
      </c>
    </row>
    <row r="366" spans="1:39" ht="24.95" customHeight="1">
      <c r="A366" s="8"/>
      <c r="B366" s="6"/>
      <c r="C366" s="15" t="str">
        <f>IF(COUNTIFS(Master_PIC!$A$8:$A$73,$B366)=1,IF(VLOOKUP($B366,Master_PIC!$A$8:$G$73,2,FALSE)="","",VLOOKUP($B366,Master_PIC!$A$8:$G$73,2,FALSE)),"")</f>
        <v/>
      </c>
      <c r="D366" s="15" t="str">
        <f>IF(COUNTIFS(Master_PIC!$A$8:$A$73,$B366)=1,IF(VLOOKUP($B366,Master_PIC!$A$8:$G$73,4,FALSE)="","",VLOOKUP($B366,Master_PIC!$A$8:$G$73,4,FALSE)),"")</f>
        <v/>
      </c>
      <c r="E366" s="15" t="str">
        <f>IF(COUNTIFS(Master_PIC!$A$8:$A$73,$B366)=1,IF(VLOOKUP($B366,Master_PIC!$A$8:$G$73,5,FALSE)="","",VLOOKUP($B366,Master_PIC!$A$8:$G$73,5,FALSE)),"")</f>
        <v/>
      </c>
      <c r="F366" s="15" t="str">
        <f>IF(COUNTIFS(Master_PIC!$A$8:$A$73,$B366)=1,IF(VLOOKUP($B366,Master_PIC!$A$8:$G$73,6,FALSE)="","",VLOOKUP($B366,Master_PIC!$A$8:$G$73,6,FALSE)),"")</f>
        <v/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8"/>
      <c r="Y366" s="5"/>
      <c r="Z366" s="5"/>
      <c r="AA366" s="9"/>
      <c r="AB366" s="5"/>
      <c r="AC366" s="5"/>
      <c r="AD366" s="9"/>
      <c r="AE366" s="5"/>
      <c r="AF366" s="7" t="str">
        <f t="shared" si="35"/>
        <v/>
      </c>
      <c r="AG366" s="7" t="str">
        <f t="shared" si="36"/>
        <v/>
      </c>
      <c r="AH366" s="7" t="str">
        <f t="shared" si="37"/>
        <v/>
      </c>
      <c r="AI366" s="7" t="str">
        <f t="shared" si="38"/>
        <v/>
      </c>
      <c r="AJ366" s="7" t="str">
        <f t="shared" si="39"/>
        <v/>
      </c>
      <c r="AK366" s="7" t="str">
        <f t="shared" si="40"/>
        <v/>
      </c>
      <c r="AL366" s="10" t="str">
        <f t="shared" si="41"/>
        <v/>
      </c>
      <c r="AM366" s="15" t="str">
        <f>IF(OR($A366&lt;&gt;"",$B366&lt;&gt;""),IF(OR($A366="",$B366=""),"Isi tanggal dan ID PIC",IF(NOT(ISNUMBER($A366)),"Tanggal harus berupa tanggal Excel",IF(COUNTIFS(Master_PIC!$A$8:$A$73,$B366)&lt;&gt;1,"ID PIC tidak unik/terdaftar",IF(VLOOKUP($B366,Master_PIC!$A$8:$G$73,3,FALSE)&lt;&gt;"Sales","Jabatan tidak sesuai sheet",IF(OR($C366="",$D366="",$E366="",$F366=""),"Lengkapi master PIC",IF(COUNTIFS($A$8:$A$507,$A366,$B$8:$B$507,$B366)&gt;1,"Laporan ganda",IF(COUNTIFS(G366:P366,"Tidak Berlaku")&gt;0,"N/A hanya untuk kegiatan bersyarat",IF(SUM(AG366,AH366,AI366,AJ366,AK366)&lt;&gt;14,"Status kegiatan tidak valid",IF(AK366&gt;0,"Lengkapi status kegiatan",IF(AND(AJ366&gt;0,U366=""),"Isi alasan Tidak Berlaku",IF(AND(SUM(AH366,AI366)&gt;0,OR(U366="",V366="",W366="",X366="")),"Isi kendala dan tindak lanjut",IF(AND(Z366&lt;&gt;"Draft",Z366&lt;&gt;"Dikirim"),"Isi status laporan yang valid",IF(AND(AB366&lt;&gt;"",AB366&lt;&gt;"Belum Diperiksa",AB366&lt;&gt;"Disetujui",AB366&lt;&gt;"Perlu Perbaikan"),"Hasil review tidak valid",IF(AND(Z366="Dikirim",OR(Y366="",AA366="")),"Isi bukti dan waktu kirim",IF(AND(AB366="Disetujui",OR(Z366&lt;&gt;"Dikirim",AC366="",AD366="")),"Lengkapi pemeriksaan",IF(AND(AB366="Perlu Perbaikan",OR(AE366="",AC366="",AD366="")),"Isi pemeriksa dan catatan perbaikan","OK")))))))))))))))),"")</f>
        <v/>
      </c>
    </row>
    <row r="367" spans="1:39" ht="24.95" customHeight="1">
      <c r="A367" s="8"/>
      <c r="B367" s="6"/>
      <c r="C367" s="15" t="str">
        <f>IF(COUNTIFS(Master_PIC!$A$8:$A$73,$B367)=1,IF(VLOOKUP($B367,Master_PIC!$A$8:$G$73,2,FALSE)="","",VLOOKUP($B367,Master_PIC!$A$8:$G$73,2,FALSE)),"")</f>
        <v/>
      </c>
      <c r="D367" s="15" t="str">
        <f>IF(COUNTIFS(Master_PIC!$A$8:$A$73,$B367)=1,IF(VLOOKUP($B367,Master_PIC!$A$8:$G$73,4,FALSE)="","",VLOOKUP($B367,Master_PIC!$A$8:$G$73,4,FALSE)),"")</f>
        <v/>
      </c>
      <c r="E367" s="15" t="str">
        <f>IF(COUNTIFS(Master_PIC!$A$8:$A$73,$B367)=1,IF(VLOOKUP($B367,Master_PIC!$A$8:$G$73,5,FALSE)="","",VLOOKUP($B367,Master_PIC!$A$8:$G$73,5,FALSE)),"")</f>
        <v/>
      </c>
      <c r="F367" s="15" t="str">
        <f>IF(COUNTIFS(Master_PIC!$A$8:$A$73,$B367)=1,IF(VLOOKUP($B367,Master_PIC!$A$8:$G$73,6,FALSE)="","",VLOOKUP($B367,Master_PIC!$A$8:$G$73,6,FALSE)),"")</f>
        <v/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8"/>
      <c r="Y367" s="5"/>
      <c r="Z367" s="5"/>
      <c r="AA367" s="9"/>
      <c r="AB367" s="5"/>
      <c r="AC367" s="5"/>
      <c r="AD367" s="9"/>
      <c r="AE367" s="5"/>
      <c r="AF367" s="7" t="str">
        <f t="shared" si="35"/>
        <v/>
      </c>
      <c r="AG367" s="7" t="str">
        <f t="shared" si="36"/>
        <v/>
      </c>
      <c r="AH367" s="7" t="str">
        <f t="shared" si="37"/>
        <v/>
      </c>
      <c r="AI367" s="7" t="str">
        <f t="shared" si="38"/>
        <v/>
      </c>
      <c r="AJ367" s="7" t="str">
        <f t="shared" si="39"/>
        <v/>
      </c>
      <c r="AK367" s="7" t="str">
        <f t="shared" si="40"/>
        <v/>
      </c>
      <c r="AL367" s="10" t="str">
        <f t="shared" si="41"/>
        <v/>
      </c>
      <c r="AM367" s="15" t="str">
        <f>IF(OR($A367&lt;&gt;"",$B367&lt;&gt;""),IF(OR($A367="",$B367=""),"Isi tanggal dan ID PIC",IF(NOT(ISNUMBER($A367)),"Tanggal harus berupa tanggal Excel",IF(COUNTIFS(Master_PIC!$A$8:$A$73,$B367)&lt;&gt;1,"ID PIC tidak unik/terdaftar",IF(VLOOKUP($B367,Master_PIC!$A$8:$G$73,3,FALSE)&lt;&gt;"Sales","Jabatan tidak sesuai sheet",IF(OR($C367="",$D367="",$E367="",$F367=""),"Lengkapi master PIC",IF(COUNTIFS($A$8:$A$507,$A367,$B$8:$B$507,$B367)&gt;1,"Laporan ganda",IF(COUNTIFS(G367:P367,"Tidak Berlaku")&gt;0,"N/A hanya untuk kegiatan bersyarat",IF(SUM(AG367,AH367,AI367,AJ367,AK367)&lt;&gt;14,"Status kegiatan tidak valid",IF(AK367&gt;0,"Lengkapi status kegiatan",IF(AND(AJ367&gt;0,U367=""),"Isi alasan Tidak Berlaku",IF(AND(SUM(AH367,AI367)&gt;0,OR(U367="",V367="",W367="",X367="")),"Isi kendala dan tindak lanjut",IF(AND(Z367&lt;&gt;"Draft",Z367&lt;&gt;"Dikirim"),"Isi status laporan yang valid",IF(AND(AB367&lt;&gt;"",AB367&lt;&gt;"Belum Diperiksa",AB367&lt;&gt;"Disetujui",AB367&lt;&gt;"Perlu Perbaikan"),"Hasil review tidak valid",IF(AND(Z367="Dikirim",OR(Y367="",AA367="")),"Isi bukti dan waktu kirim",IF(AND(AB367="Disetujui",OR(Z367&lt;&gt;"Dikirim",AC367="",AD367="")),"Lengkapi pemeriksaan",IF(AND(AB367="Perlu Perbaikan",OR(AE367="",AC367="",AD367="")),"Isi pemeriksa dan catatan perbaikan","OK")))))))))))))))),"")</f>
        <v/>
      </c>
    </row>
    <row r="368" spans="1:39" ht="24.95" customHeight="1">
      <c r="A368" s="8"/>
      <c r="B368" s="6"/>
      <c r="C368" s="15" t="str">
        <f>IF(COUNTIFS(Master_PIC!$A$8:$A$73,$B368)=1,IF(VLOOKUP($B368,Master_PIC!$A$8:$G$73,2,FALSE)="","",VLOOKUP($B368,Master_PIC!$A$8:$G$73,2,FALSE)),"")</f>
        <v/>
      </c>
      <c r="D368" s="15" t="str">
        <f>IF(COUNTIFS(Master_PIC!$A$8:$A$73,$B368)=1,IF(VLOOKUP($B368,Master_PIC!$A$8:$G$73,4,FALSE)="","",VLOOKUP($B368,Master_PIC!$A$8:$G$73,4,FALSE)),"")</f>
        <v/>
      </c>
      <c r="E368" s="15" t="str">
        <f>IF(COUNTIFS(Master_PIC!$A$8:$A$73,$B368)=1,IF(VLOOKUP($B368,Master_PIC!$A$8:$G$73,5,FALSE)="","",VLOOKUP($B368,Master_PIC!$A$8:$G$73,5,FALSE)),"")</f>
        <v/>
      </c>
      <c r="F368" s="15" t="str">
        <f>IF(COUNTIFS(Master_PIC!$A$8:$A$73,$B368)=1,IF(VLOOKUP($B368,Master_PIC!$A$8:$G$73,6,FALSE)="","",VLOOKUP($B368,Master_PIC!$A$8:$G$73,6,FALSE)),"")</f>
        <v/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8"/>
      <c r="Y368" s="5"/>
      <c r="Z368" s="5"/>
      <c r="AA368" s="9"/>
      <c r="AB368" s="5"/>
      <c r="AC368" s="5"/>
      <c r="AD368" s="9"/>
      <c r="AE368" s="5"/>
      <c r="AF368" s="7" t="str">
        <f t="shared" si="35"/>
        <v/>
      </c>
      <c r="AG368" s="7" t="str">
        <f t="shared" si="36"/>
        <v/>
      </c>
      <c r="AH368" s="7" t="str">
        <f t="shared" si="37"/>
        <v/>
      </c>
      <c r="AI368" s="7" t="str">
        <f t="shared" si="38"/>
        <v/>
      </c>
      <c r="AJ368" s="7" t="str">
        <f t="shared" si="39"/>
        <v/>
      </c>
      <c r="AK368" s="7" t="str">
        <f t="shared" si="40"/>
        <v/>
      </c>
      <c r="AL368" s="10" t="str">
        <f t="shared" si="41"/>
        <v/>
      </c>
      <c r="AM368" s="15" t="str">
        <f>IF(OR($A368&lt;&gt;"",$B368&lt;&gt;""),IF(OR($A368="",$B368=""),"Isi tanggal dan ID PIC",IF(NOT(ISNUMBER($A368)),"Tanggal harus berupa tanggal Excel",IF(COUNTIFS(Master_PIC!$A$8:$A$73,$B368)&lt;&gt;1,"ID PIC tidak unik/terdaftar",IF(VLOOKUP($B368,Master_PIC!$A$8:$G$73,3,FALSE)&lt;&gt;"Sales","Jabatan tidak sesuai sheet",IF(OR($C368="",$D368="",$E368="",$F368=""),"Lengkapi master PIC",IF(COUNTIFS($A$8:$A$507,$A368,$B$8:$B$507,$B368)&gt;1,"Laporan ganda",IF(COUNTIFS(G368:P368,"Tidak Berlaku")&gt;0,"N/A hanya untuk kegiatan bersyarat",IF(SUM(AG368,AH368,AI368,AJ368,AK368)&lt;&gt;14,"Status kegiatan tidak valid",IF(AK368&gt;0,"Lengkapi status kegiatan",IF(AND(AJ368&gt;0,U368=""),"Isi alasan Tidak Berlaku",IF(AND(SUM(AH368,AI368)&gt;0,OR(U368="",V368="",W368="",X368="")),"Isi kendala dan tindak lanjut",IF(AND(Z368&lt;&gt;"Draft",Z368&lt;&gt;"Dikirim"),"Isi status laporan yang valid",IF(AND(AB368&lt;&gt;"",AB368&lt;&gt;"Belum Diperiksa",AB368&lt;&gt;"Disetujui",AB368&lt;&gt;"Perlu Perbaikan"),"Hasil review tidak valid",IF(AND(Z368="Dikirim",OR(Y368="",AA368="")),"Isi bukti dan waktu kirim",IF(AND(AB368="Disetujui",OR(Z368&lt;&gt;"Dikirim",AC368="",AD368="")),"Lengkapi pemeriksaan",IF(AND(AB368="Perlu Perbaikan",OR(AE368="",AC368="",AD368="")),"Isi pemeriksa dan catatan perbaikan","OK")))))))))))))))),"")</f>
        <v/>
      </c>
    </row>
    <row r="369" spans="1:39" ht="24.95" customHeight="1">
      <c r="A369" s="8"/>
      <c r="B369" s="6"/>
      <c r="C369" s="15" t="str">
        <f>IF(COUNTIFS(Master_PIC!$A$8:$A$73,$B369)=1,IF(VLOOKUP($B369,Master_PIC!$A$8:$G$73,2,FALSE)="","",VLOOKUP($B369,Master_PIC!$A$8:$G$73,2,FALSE)),"")</f>
        <v/>
      </c>
      <c r="D369" s="15" t="str">
        <f>IF(COUNTIFS(Master_PIC!$A$8:$A$73,$B369)=1,IF(VLOOKUP($B369,Master_PIC!$A$8:$G$73,4,FALSE)="","",VLOOKUP($B369,Master_PIC!$A$8:$G$73,4,FALSE)),"")</f>
        <v/>
      </c>
      <c r="E369" s="15" t="str">
        <f>IF(COUNTIFS(Master_PIC!$A$8:$A$73,$B369)=1,IF(VLOOKUP($B369,Master_PIC!$A$8:$G$73,5,FALSE)="","",VLOOKUP($B369,Master_PIC!$A$8:$G$73,5,FALSE)),"")</f>
        <v/>
      </c>
      <c r="F369" s="15" t="str">
        <f>IF(COUNTIFS(Master_PIC!$A$8:$A$73,$B369)=1,IF(VLOOKUP($B369,Master_PIC!$A$8:$G$73,6,FALSE)="","",VLOOKUP($B369,Master_PIC!$A$8:$G$73,6,FALSE)),"")</f>
        <v/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8"/>
      <c r="Y369" s="5"/>
      <c r="Z369" s="5"/>
      <c r="AA369" s="9"/>
      <c r="AB369" s="5"/>
      <c r="AC369" s="5"/>
      <c r="AD369" s="9"/>
      <c r="AE369" s="5"/>
      <c r="AF369" s="7" t="str">
        <f t="shared" si="35"/>
        <v/>
      </c>
      <c r="AG369" s="7" t="str">
        <f t="shared" si="36"/>
        <v/>
      </c>
      <c r="AH369" s="7" t="str">
        <f t="shared" si="37"/>
        <v/>
      </c>
      <c r="AI369" s="7" t="str">
        <f t="shared" si="38"/>
        <v/>
      </c>
      <c r="AJ369" s="7" t="str">
        <f t="shared" si="39"/>
        <v/>
      </c>
      <c r="AK369" s="7" t="str">
        <f t="shared" si="40"/>
        <v/>
      </c>
      <c r="AL369" s="10" t="str">
        <f t="shared" si="41"/>
        <v/>
      </c>
      <c r="AM369" s="15" t="str">
        <f>IF(OR($A369&lt;&gt;"",$B369&lt;&gt;""),IF(OR($A369="",$B369=""),"Isi tanggal dan ID PIC",IF(NOT(ISNUMBER($A369)),"Tanggal harus berupa tanggal Excel",IF(COUNTIFS(Master_PIC!$A$8:$A$73,$B369)&lt;&gt;1,"ID PIC tidak unik/terdaftar",IF(VLOOKUP($B369,Master_PIC!$A$8:$G$73,3,FALSE)&lt;&gt;"Sales","Jabatan tidak sesuai sheet",IF(OR($C369="",$D369="",$E369="",$F369=""),"Lengkapi master PIC",IF(COUNTIFS($A$8:$A$507,$A369,$B$8:$B$507,$B369)&gt;1,"Laporan ganda",IF(COUNTIFS(G369:P369,"Tidak Berlaku")&gt;0,"N/A hanya untuk kegiatan bersyarat",IF(SUM(AG369,AH369,AI369,AJ369,AK369)&lt;&gt;14,"Status kegiatan tidak valid",IF(AK369&gt;0,"Lengkapi status kegiatan",IF(AND(AJ369&gt;0,U369=""),"Isi alasan Tidak Berlaku",IF(AND(SUM(AH369,AI369)&gt;0,OR(U369="",V369="",W369="",X369="")),"Isi kendala dan tindak lanjut",IF(AND(Z369&lt;&gt;"Draft",Z369&lt;&gt;"Dikirim"),"Isi status laporan yang valid",IF(AND(AB369&lt;&gt;"",AB369&lt;&gt;"Belum Diperiksa",AB369&lt;&gt;"Disetujui",AB369&lt;&gt;"Perlu Perbaikan"),"Hasil review tidak valid",IF(AND(Z369="Dikirim",OR(Y369="",AA369="")),"Isi bukti dan waktu kirim",IF(AND(AB369="Disetujui",OR(Z369&lt;&gt;"Dikirim",AC369="",AD369="")),"Lengkapi pemeriksaan",IF(AND(AB369="Perlu Perbaikan",OR(AE369="",AC369="",AD369="")),"Isi pemeriksa dan catatan perbaikan","OK")))))))))))))))),"")</f>
        <v/>
      </c>
    </row>
    <row r="370" spans="1:39" ht="24.95" customHeight="1">
      <c r="A370" s="8"/>
      <c r="B370" s="6"/>
      <c r="C370" s="15" t="str">
        <f>IF(COUNTIFS(Master_PIC!$A$8:$A$73,$B370)=1,IF(VLOOKUP($B370,Master_PIC!$A$8:$G$73,2,FALSE)="","",VLOOKUP($B370,Master_PIC!$A$8:$G$73,2,FALSE)),"")</f>
        <v/>
      </c>
      <c r="D370" s="15" t="str">
        <f>IF(COUNTIFS(Master_PIC!$A$8:$A$73,$B370)=1,IF(VLOOKUP($B370,Master_PIC!$A$8:$G$73,4,FALSE)="","",VLOOKUP($B370,Master_PIC!$A$8:$G$73,4,FALSE)),"")</f>
        <v/>
      </c>
      <c r="E370" s="15" t="str">
        <f>IF(COUNTIFS(Master_PIC!$A$8:$A$73,$B370)=1,IF(VLOOKUP($B370,Master_PIC!$A$8:$G$73,5,FALSE)="","",VLOOKUP($B370,Master_PIC!$A$8:$G$73,5,FALSE)),"")</f>
        <v/>
      </c>
      <c r="F370" s="15" t="str">
        <f>IF(COUNTIFS(Master_PIC!$A$8:$A$73,$B370)=1,IF(VLOOKUP($B370,Master_PIC!$A$8:$G$73,6,FALSE)="","",VLOOKUP($B370,Master_PIC!$A$8:$G$73,6,FALSE)),"")</f>
        <v/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8"/>
      <c r="Y370" s="5"/>
      <c r="Z370" s="5"/>
      <c r="AA370" s="9"/>
      <c r="AB370" s="5"/>
      <c r="AC370" s="5"/>
      <c r="AD370" s="9"/>
      <c r="AE370" s="5"/>
      <c r="AF370" s="7" t="str">
        <f t="shared" si="35"/>
        <v/>
      </c>
      <c r="AG370" s="7" t="str">
        <f t="shared" si="36"/>
        <v/>
      </c>
      <c r="AH370" s="7" t="str">
        <f t="shared" si="37"/>
        <v/>
      </c>
      <c r="AI370" s="7" t="str">
        <f t="shared" si="38"/>
        <v/>
      </c>
      <c r="AJ370" s="7" t="str">
        <f t="shared" si="39"/>
        <v/>
      </c>
      <c r="AK370" s="7" t="str">
        <f t="shared" si="40"/>
        <v/>
      </c>
      <c r="AL370" s="10" t="str">
        <f t="shared" si="41"/>
        <v/>
      </c>
      <c r="AM370" s="15" t="str">
        <f>IF(OR($A370&lt;&gt;"",$B370&lt;&gt;""),IF(OR($A370="",$B370=""),"Isi tanggal dan ID PIC",IF(NOT(ISNUMBER($A370)),"Tanggal harus berupa tanggal Excel",IF(COUNTIFS(Master_PIC!$A$8:$A$73,$B370)&lt;&gt;1,"ID PIC tidak unik/terdaftar",IF(VLOOKUP($B370,Master_PIC!$A$8:$G$73,3,FALSE)&lt;&gt;"Sales","Jabatan tidak sesuai sheet",IF(OR($C370="",$D370="",$E370="",$F370=""),"Lengkapi master PIC",IF(COUNTIFS($A$8:$A$507,$A370,$B$8:$B$507,$B370)&gt;1,"Laporan ganda",IF(COUNTIFS(G370:P370,"Tidak Berlaku")&gt;0,"N/A hanya untuk kegiatan bersyarat",IF(SUM(AG370,AH370,AI370,AJ370,AK370)&lt;&gt;14,"Status kegiatan tidak valid",IF(AK370&gt;0,"Lengkapi status kegiatan",IF(AND(AJ370&gt;0,U370=""),"Isi alasan Tidak Berlaku",IF(AND(SUM(AH370,AI370)&gt;0,OR(U370="",V370="",W370="",X370="")),"Isi kendala dan tindak lanjut",IF(AND(Z370&lt;&gt;"Draft",Z370&lt;&gt;"Dikirim"),"Isi status laporan yang valid",IF(AND(AB370&lt;&gt;"",AB370&lt;&gt;"Belum Diperiksa",AB370&lt;&gt;"Disetujui",AB370&lt;&gt;"Perlu Perbaikan"),"Hasil review tidak valid",IF(AND(Z370="Dikirim",OR(Y370="",AA370="")),"Isi bukti dan waktu kirim",IF(AND(AB370="Disetujui",OR(Z370&lt;&gt;"Dikirim",AC370="",AD370="")),"Lengkapi pemeriksaan",IF(AND(AB370="Perlu Perbaikan",OR(AE370="",AC370="",AD370="")),"Isi pemeriksa dan catatan perbaikan","OK")))))))))))))))),"")</f>
        <v/>
      </c>
    </row>
    <row r="371" spans="1:39" ht="24.95" customHeight="1">
      <c r="A371" s="8"/>
      <c r="B371" s="6"/>
      <c r="C371" s="15" t="str">
        <f>IF(COUNTIFS(Master_PIC!$A$8:$A$73,$B371)=1,IF(VLOOKUP($B371,Master_PIC!$A$8:$G$73,2,FALSE)="","",VLOOKUP($B371,Master_PIC!$A$8:$G$73,2,FALSE)),"")</f>
        <v/>
      </c>
      <c r="D371" s="15" t="str">
        <f>IF(COUNTIFS(Master_PIC!$A$8:$A$73,$B371)=1,IF(VLOOKUP($B371,Master_PIC!$A$8:$G$73,4,FALSE)="","",VLOOKUP($B371,Master_PIC!$A$8:$G$73,4,FALSE)),"")</f>
        <v/>
      </c>
      <c r="E371" s="15" t="str">
        <f>IF(COUNTIFS(Master_PIC!$A$8:$A$73,$B371)=1,IF(VLOOKUP($B371,Master_PIC!$A$8:$G$73,5,FALSE)="","",VLOOKUP($B371,Master_PIC!$A$8:$G$73,5,FALSE)),"")</f>
        <v/>
      </c>
      <c r="F371" s="15" t="str">
        <f>IF(COUNTIFS(Master_PIC!$A$8:$A$73,$B371)=1,IF(VLOOKUP($B371,Master_PIC!$A$8:$G$73,6,FALSE)="","",VLOOKUP($B371,Master_PIC!$A$8:$G$73,6,FALSE)),"")</f>
        <v/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8"/>
      <c r="Y371" s="5"/>
      <c r="Z371" s="5"/>
      <c r="AA371" s="9"/>
      <c r="AB371" s="5"/>
      <c r="AC371" s="5"/>
      <c r="AD371" s="9"/>
      <c r="AE371" s="5"/>
      <c r="AF371" s="7" t="str">
        <f t="shared" si="35"/>
        <v/>
      </c>
      <c r="AG371" s="7" t="str">
        <f t="shared" si="36"/>
        <v/>
      </c>
      <c r="AH371" s="7" t="str">
        <f t="shared" si="37"/>
        <v/>
      </c>
      <c r="AI371" s="7" t="str">
        <f t="shared" si="38"/>
        <v/>
      </c>
      <c r="AJ371" s="7" t="str">
        <f t="shared" si="39"/>
        <v/>
      </c>
      <c r="AK371" s="7" t="str">
        <f t="shared" si="40"/>
        <v/>
      </c>
      <c r="AL371" s="10" t="str">
        <f t="shared" si="41"/>
        <v/>
      </c>
      <c r="AM371" s="15" t="str">
        <f>IF(OR($A371&lt;&gt;"",$B371&lt;&gt;""),IF(OR($A371="",$B371=""),"Isi tanggal dan ID PIC",IF(NOT(ISNUMBER($A371)),"Tanggal harus berupa tanggal Excel",IF(COUNTIFS(Master_PIC!$A$8:$A$73,$B371)&lt;&gt;1,"ID PIC tidak unik/terdaftar",IF(VLOOKUP($B371,Master_PIC!$A$8:$G$73,3,FALSE)&lt;&gt;"Sales","Jabatan tidak sesuai sheet",IF(OR($C371="",$D371="",$E371="",$F371=""),"Lengkapi master PIC",IF(COUNTIFS($A$8:$A$507,$A371,$B$8:$B$507,$B371)&gt;1,"Laporan ganda",IF(COUNTIFS(G371:P371,"Tidak Berlaku")&gt;0,"N/A hanya untuk kegiatan bersyarat",IF(SUM(AG371,AH371,AI371,AJ371,AK371)&lt;&gt;14,"Status kegiatan tidak valid",IF(AK371&gt;0,"Lengkapi status kegiatan",IF(AND(AJ371&gt;0,U371=""),"Isi alasan Tidak Berlaku",IF(AND(SUM(AH371,AI371)&gt;0,OR(U371="",V371="",W371="",X371="")),"Isi kendala dan tindak lanjut",IF(AND(Z371&lt;&gt;"Draft",Z371&lt;&gt;"Dikirim"),"Isi status laporan yang valid",IF(AND(AB371&lt;&gt;"",AB371&lt;&gt;"Belum Diperiksa",AB371&lt;&gt;"Disetujui",AB371&lt;&gt;"Perlu Perbaikan"),"Hasil review tidak valid",IF(AND(Z371="Dikirim",OR(Y371="",AA371="")),"Isi bukti dan waktu kirim",IF(AND(AB371="Disetujui",OR(Z371&lt;&gt;"Dikirim",AC371="",AD371="")),"Lengkapi pemeriksaan",IF(AND(AB371="Perlu Perbaikan",OR(AE371="",AC371="",AD371="")),"Isi pemeriksa dan catatan perbaikan","OK")))))))))))))))),"")</f>
        <v/>
      </c>
    </row>
    <row r="372" spans="1:39" ht="24.95" customHeight="1">
      <c r="A372" s="8"/>
      <c r="B372" s="6"/>
      <c r="C372" s="15" t="str">
        <f>IF(COUNTIFS(Master_PIC!$A$8:$A$73,$B372)=1,IF(VLOOKUP($B372,Master_PIC!$A$8:$G$73,2,FALSE)="","",VLOOKUP($B372,Master_PIC!$A$8:$G$73,2,FALSE)),"")</f>
        <v/>
      </c>
      <c r="D372" s="15" t="str">
        <f>IF(COUNTIFS(Master_PIC!$A$8:$A$73,$B372)=1,IF(VLOOKUP($B372,Master_PIC!$A$8:$G$73,4,FALSE)="","",VLOOKUP($B372,Master_PIC!$A$8:$G$73,4,FALSE)),"")</f>
        <v/>
      </c>
      <c r="E372" s="15" t="str">
        <f>IF(COUNTIFS(Master_PIC!$A$8:$A$73,$B372)=1,IF(VLOOKUP($B372,Master_PIC!$A$8:$G$73,5,FALSE)="","",VLOOKUP($B372,Master_PIC!$A$8:$G$73,5,FALSE)),"")</f>
        <v/>
      </c>
      <c r="F372" s="15" t="str">
        <f>IF(COUNTIFS(Master_PIC!$A$8:$A$73,$B372)=1,IF(VLOOKUP($B372,Master_PIC!$A$8:$G$73,6,FALSE)="","",VLOOKUP($B372,Master_PIC!$A$8:$G$73,6,FALSE)),"")</f>
        <v/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8"/>
      <c r="Y372" s="5"/>
      <c r="Z372" s="5"/>
      <c r="AA372" s="9"/>
      <c r="AB372" s="5"/>
      <c r="AC372" s="5"/>
      <c r="AD372" s="9"/>
      <c r="AE372" s="5"/>
      <c r="AF372" s="7" t="str">
        <f t="shared" si="35"/>
        <v/>
      </c>
      <c r="AG372" s="7" t="str">
        <f t="shared" si="36"/>
        <v/>
      </c>
      <c r="AH372" s="7" t="str">
        <f t="shared" si="37"/>
        <v/>
      </c>
      <c r="AI372" s="7" t="str">
        <f t="shared" si="38"/>
        <v/>
      </c>
      <c r="AJ372" s="7" t="str">
        <f t="shared" si="39"/>
        <v/>
      </c>
      <c r="AK372" s="7" t="str">
        <f t="shared" si="40"/>
        <v/>
      </c>
      <c r="AL372" s="10" t="str">
        <f t="shared" si="41"/>
        <v/>
      </c>
      <c r="AM372" s="15" t="str">
        <f>IF(OR($A372&lt;&gt;"",$B372&lt;&gt;""),IF(OR($A372="",$B372=""),"Isi tanggal dan ID PIC",IF(NOT(ISNUMBER($A372)),"Tanggal harus berupa tanggal Excel",IF(COUNTIFS(Master_PIC!$A$8:$A$73,$B372)&lt;&gt;1,"ID PIC tidak unik/terdaftar",IF(VLOOKUP($B372,Master_PIC!$A$8:$G$73,3,FALSE)&lt;&gt;"Sales","Jabatan tidak sesuai sheet",IF(OR($C372="",$D372="",$E372="",$F372=""),"Lengkapi master PIC",IF(COUNTIFS($A$8:$A$507,$A372,$B$8:$B$507,$B372)&gt;1,"Laporan ganda",IF(COUNTIFS(G372:P372,"Tidak Berlaku")&gt;0,"N/A hanya untuk kegiatan bersyarat",IF(SUM(AG372,AH372,AI372,AJ372,AK372)&lt;&gt;14,"Status kegiatan tidak valid",IF(AK372&gt;0,"Lengkapi status kegiatan",IF(AND(AJ372&gt;0,U372=""),"Isi alasan Tidak Berlaku",IF(AND(SUM(AH372,AI372)&gt;0,OR(U372="",V372="",W372="",X372="")),"Isi kendala dan tindak lanjut",IF(AND(Z372&lt;&gt;"Draft",Z372&lt;&gt;"Dikirim"),"Isi status laporan yang valid",IF(AND(AB372&lt;&gt;"",AB372&lt;&gt;"Belum Diperiksa",AB372&lt;&gt;"Disetujui",AB372&lt;&gt;"Perlu Perbaikan"),"Hasil review tidak valid",IF(AND(Z372="Dikirim",OR(Y372="",AA372="")),"Isi bukti dan waktu kirim",IF(AND(AB372="Disetujui",OR(Z372&lt;&gt;"Dikirim",AC372="",AD372="")),"Lengkapi pemeriksaan",IF(AND(AB372="Perlu Perbaikan",OR(AE372="",AC372="",AD372="")),"Isi pemeriksa dan catatan perbaikan","OK")))))))))))))))),"")</f>
        <v/>
      </c>
    </row>
    <row r="373" spans="1:39" ht="24.95" customHeight="1">
      <c r="A373" s="8"/>
      <c r="B373" s="6"/>
      <c r="C373" s="15" t="str">
        <f>IF(COUNTIFS(Master_PIC!$A$8:$A$73,$B373)=1,IF(VLOOKUP($B373,Master_PIC!$A$8:$G$73,2,FALSE)="","",VLOOKUP($B373,Master_PIC!$A$8:$G$73,2,FALSE)),"")</f>
        <v/>
      </c>
      <c r="D373" s="15" t="str">
        <f>IF(COUNTIFS(Master_PIC!$A$8:$A$73,$B373)=1,IF(VLOOKUP($B373,Master_PIC!$A$8:$G$73,4,FALSE)="","",VLOOKUP($B373,Master_PIC!$A$8:$G$73,4,FALSE)),"")</f>
        <v/>
      </c>
      <c r="E373" s="15" t="str">
        <f>IF(COUNTIFS(Master_PIC!$A$8:$A$73,$B373)=1,IF(VLOOKUP($B373,Master_PIC!$A$8:$G$73,5,FALSE)="","",VLOOKUP($B373,Master_PIC!$A$8:$G$73,5,FALSE)),"")</f>
        <v/>
      </c>
      <c r="F373" s="15" t="str">
        <f>IF(COUNTIFS(Master_PIC!$A$8:$A$73,$B373)=1,IF(VLOOKUP($B373,Master_PIC!$A$8:$G$73,6,FALSE)="","",VLOOKUP($B373,Master_PIC!$A$8:$G$73,6,FALSE)),"")</f>
        <v/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8"/>
      <c r="Y373" s="5"/>
      <c r="Z373" s="5"/>
      <c r="AA373" s="9"/>
      <c r="AB373" s="5"/>
      <c r="AC373" s="5"/>
      <c r="AD373" s="9"/>
      <c r="AE373" s="5"/>
      <c r="AF373" s="7" t="str">
        <f t="shared" si="35"/>
        <v/>
      </c>
      <c r="AG373" s="7" t="str">
        <f t="shared" si="36"/>
        <v/>
      </c>
      <c r="AH373" s="7" t="str">
        <f t="shared" si="37"/>
        <v/>
      </c>
      <c r="AI373" s="7" t="str">
        <f t="shared" si="38"/>
        <v/>
      </c>
      <c r="AJ373" s="7" t="str">
        <f t="shared" si="39"/>
        <v/>
      </c>
      <c r="AK373" s="7" t="str">
        <f t="shared" si="40"/>
        <v/>
      </c>
      <c r="AL373" s="10" t="str">
        <f t="shared" si="41"/>
        <v/>
      </c>
      <c r="AM373" s="15" t="str">
        <f>IF(OR($A373&lt;&gt;"",$B373&lt;&gt;""),IF(OR($A373="",$B373=""),"Isi tanggal dan ID PIC",IF(NOT(ISNUMBER($A373)),"Tanggal harus berupa tanggal Excel",IF(COUNTIFS(Master_PIC!$A$8:$A$73,$B373)&lt;&gt;1,"ID PIC tidak unik/terdaftar",IF(VLOOKUP($B373,Master_PIC!$A$8:$G$73,3,FALSE)&lt;&gt;"Sales","Jabatan tidak sesuai sheet",IF(OR($C373="",$D373="",$E373="",$F373=""),"Lengkapi master PIC",IF(COUNTIFS($A$8:$A$507,$A373,$B$8:$B$507,$B373)&gt;1,"Laporan ganda",IF(COUNTIFS(G373:P373,"Tidak Berlaku")&gt;0,"N/A hanya untuk kegiatan bersyarat",IF(SUM(AG373,AH373,AI373,AJ373,AK373)&lt;&gt;14,"Status kegiatan tidak valid",IF(AK373&gt;0,"Lengkapi status kegiatan",IF(AND(AJ373&gt;0,U373=""),"Isi alasan Tidak Berlaku",IF(AND(SUM(AH373,AI373)&gt;0,OR(U373="",V373="",W373="",X373="")),"Isi kendala dan tindak lanjut",IF(AND(Z373&lt;&gt;"Draft",Z373&lt;&gt;"Dikirim"),"Isi status laporan yang valid",IF(AND(AB373&lt;&gt;"",AB373&lt;&gt;"Belum Diperiksa",AB373&lt;&gt;"Disetujui",AB373&lt;&gt;"Perlu Perbaikan"),"Hasil review tidak valid",IF(AND(Z373="Dikirim",OR(Y373="",AA373="")),"Isi bukti dan waktu kirim",IF(AND(AB373="Disetujui",OR(Z373&lt;&gt;"Dikirim",AC373="",AD373="")),"Lengkapi pemeriksaan",IF(AND(AB373="Perlu Perbaikan",OR(AE373="",AC373="",AD373="")),"Isi pemeriksa dan catatan perbaikan","OK")))))))))))))))),"")</f>
        <v/>
      </c>
    </row>
    <row r="374" spans="1:39" ht="24.95" customHeight="1">
      <c r="A374" s="8"/>
      <c r="B374" s="6"/>
      <c r="C374" s="15" t="str">
        <f>IF(COUNTIFS(Master_PIC!$A$8:$A$73,$B374)=1,IF(VLOOKUP($B374,Master_PIC!$A$8:$G$73,2,FALSE)="","",VLOOKUP($B374,Master_PIC!$A$8:$G$73,2,FALSE)),"")</f>
        <v/>
      </c>
      <c r="D374" s="15" t="str">
        <f>IF(COUNTIFS(Master_PIC!$A$8:$A$73,$B374)=1,IF(VLOOKUP($B374,Master_PIC!$A$8:$G$73,4,FALSE)="","",VLOOKUP($B374,Master_PIC!$A$8:$G$73,4,FALSE)),"")</f>
        <v/>
      </c>
      <c r="E374" s="15" t="str">
        <f>IF(COUNTIFS(Master_PIC!$A$8:$A$73,$B374)=1,IF(VLOOKUP($B374,Master_PIC!$A$8:$G$73,5,FALSE)="","",VLOOKUP($B374,Master_PIC!$A$8:$G$73,5,FALSE)),"")</f>
        <v/>
      </c>
      <c r="F374" s="15" t="str">
        <f>IF(COUNTIFS(Master_PIC!$A$8:$A$73,$B374)=1,IF(VLOOKUP($B374,Master_PIC!$A$8:$G$73,6,FALSE)="","",VLOOKUP($B374,Master_PIC!$A$8:$G$73,6,FALSE)),"")</f>
        <v/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8"/>
      <c r="Y374" s="5"/>
      <c r="Z374" s="5"/>
      <c r="AA374" s="9"/>
      <c r="AB374" s="5"/>
      <c r="AC374" s="5"/>
      <c r="AD374" s="9"/>
      <c r="AE374" s="5"/>
      <c r="AF374" s="7" t="str">
        <f t="shared" si="35"/>
        <v/>
      </c>
      <c r="AG374" s="7" t="str">
        <f t="shared" si="36"/>
        <v/>
      </c>
      <c r="AH374" s="7" t="str">
        <f t="shared" si="37"/>
        <v/>
      </c>
      <c r="AI374" s="7" t="str">
        <f t="shared" si="38"/>
        <v/>
      </c>
      <c r="AJ374" s="7" t="str">
        <f t="shared" si="39"/>
        <v/>
      </c>
      <c r="AK374" s="7" t="str">
        <f t="shared" si="40"/>
        <v/>
      </c>
      <c r="AL374" s="10" t="str">
        <f t="shared" si="41"/>
        <v/>
      </c>
      <c r="AM374" s="15" t="str">
        <f>IF(OR($A374&lt;&gt;"",$B374&lt;&gt;""),IF(OR($A374="",$B374=""),"Isi tanggal dan ID PIC",IF(NOT(ISNUMBER($A374)),"Tanggal harus berupa tanggal Excel",IF(COUNTIFS(Master_PIC!$A$8:$A$73,$B374)&lt;&gt;1,"ID PIC tidak unik/terdaftar",IF(VLOOKUP($B374,Master_PIC!$A$8:$G$73,3,FALSE)&lt;&gt;"Sales","Jabatan tidak sesuai sheet",IF(OR($C374="",$D374="",$E374="",$F374=""),"Lengkapi master PIC",IF(COUNTIFS($A$8:$A$507,$A374,$B$8:$B$507,$B374)&gt;1,"Laporan ganda",IF(COUNTIFS(G374:P374,"Tidak Berlaku")&gt;0,"N/A hanya untuk kegiatan bersyarat",IF(SUM(AG374,AH374,AI374,AJ374,AK374)&lt;&gt;14,"Status kegiatan tidak valid",IF(AK374&gt;0,"Lengkapi status kegiatan",IF(AND(AJ374&gt;0,U374=""),"Isi alasan Tidak Berlaku",IF(AND(SUM(AH374,AI374)&gt;0,OR(U374="",V374="",W374="",X374="")),"Isi kendala dan tindak lanjut",IF(AND(Z374&lt;&gt;"Draft",Z374&lt;&gt;"Dikirim"),"Isi status laporan yang valid",IF(AND(AB374&lt;&gt;"",AB374&lt;&gt;"Belum Diperiksa",AB374&lt;&gt;"Disetujui",AB374&lt;&gt;"Perlu Perbaikan"),"Hasil review tidak valid",IF(AND(Z374="Dikirim",OR(Y374="",AA374="")),"Isi bukti dan waktu kirim",IF(AND(AB374="Disetujui",OR(Z374&lt;&gt;"Dikirim",AC374="",AD374="")),"Lengkapi pemeriksaan",IF(AND(AB374="Perlu Perbaikan",OR(AE374="",AC374="",AD374="")),"Isi pemeriksa dan catatan perbaikan","OK")))))))))))))))),"")</f>
        <v/>
      </c>
    </row>
    <row r="375" spans="1:39" ht="24.95" customHeight="1">
      <c r="A375" s="8"/>
      <c r="B375" s="6"/>
      <c r="C375" s="15" t="str">
        <f>IF(COUNTIFS(Master_PIC!$A$8:$A$73,$B375)=1,IF(VLOOKUP($B375,Master_PIC!$A$8:$G$73,2,FALSE)="","",VLOOKUP($B375,Master_PIC!$A$8:$G$73,2,FALSE)),"")</f>
        <v/>
      </c>
      <c r="D375" s="15" t="str">
        <f>IF(COUNTIFS(Master_PIC!$A$8:$A$73,$B375)=1,IF(VLOOKUP($B375,Master_PIC!$A$8:$G$73,4,FALSE)="","",VLOOKUP($B375,Master_PIC!$A$8:$G$73,4,FALSE)),"")</f>
        <v/>
      </c>
      <c r="E375" s="15" t="str">
        <f>IF(COUNTIFS(Master_PIC!$A$8:$A$73,$B375)=1,IF(VLOOKUP($B375,Master_PIC!$A$8:$G$73,5,FALSE)="","",VLOOKUP($B375,Master_PIC!$A$8:$G$73,5,FALSE)),"")</f>
        <v/>
      </c>
      <c r="F375" s="15" t="str">
        <f>IF(COUNTIFS(Master_PIC!$A$8:$A$73,$B375)=1,IF(VLOOKUP($B375,Master_PIC!$A$8:$G$73,6,FALSE)="","",VLOOKUP($B375,Master_PIC!$A$8:$G$73,6,FALSE)),"")</f>
        <v/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8"/>
      <c r="Y375" s="5"/>
      <c r="Z375" s="5"/>
      <c r="AA375" s="9"/>
      <c r="AB375" s="5"/>
      <c r="AC375" s="5"/>
      <c r="AD375" s="9"/>
      <c r="AE375" s="5"/>
      <c r="AF375" s="7" t="str">
        <f t="shared" si="35"/>
        <v/>
      </c>
      <c r="AG375" s="7" t="str">
        <f t="shared" si="36"/>
        <v/>
      </c>
      <c r="AH375" s="7" t="str">
        <f t="shared" si="37"/>
        <v/>
      </c>
      <c r="AI375" s="7" t="str">
        <f t="shared" si="38"/>
        <v/>
      </c>
      <c r="AJ375" s="7" t="str">
        <f t="shared" si="39"/>
        <v/>
      </c>
      <c r="AK375" s="7" t="str">
        <f t="shared" si="40"/>
        <v/>
      </c>
      <c r="AL375" s="10" t="str">
        <f t="shared" si="41"/>
        <v/>
      </c>
      <c r="AM375" s="15" t="str">
        <f>IF(OR($A375&lt;&gt;"",$B375&lt;&gt;""),IF(OR($A375="",$B375=""),"Isi tanggal dan ID PIC",IF(NOT(ISNUMBER($A375)),"Tanggal harus berupa tanggal Excel",IF(COUNTIFS(Master_PIC!$A$8:$A$73,$B375)&lt;&gt;1,"ID PIC tidak unik/terdaftar",IF(VLOOKUP($B375,Master_PIC!$A$8:$G$73,3,FALSE)&lt;&gt;"Sales","Jabatan tidak sesuai sheet",IF(OR($C375="",$D375="",$E375="",$F375=""),"Lengkapi master PIC",IF(COUNTIFS($A$8:$A$507,$A375,$B$8:$B$507,$B375)&gt;1,"Laporan ganda",IF(COUNTIFS(G375:P375,"Tidak Berlaku")&gt;0,"N/A hanya untuk kegiatan bersyarat",IF(SUM(AG375,AH375,AI375,AJ375,AK375)&lt;&gt;14,"Status kegiatan tidak valid",IF(AK375&gt;0,"Lengkapi status kegiatan",IF(AND(AJ375&gt;0,U375=""),"Isi alasan Tidak Berlaku",IF(AND(SUM(AH375,AI375)&gt;0,OR(U375="",V375="",W375="",X375="")),"Isi kendala dan tindak lanjut",IF(AND(Z375&lt;&gt;"Draft",Z375&lt;&gt;"Dikirim"),"Isi status laporan yang valid",IF(AND(AB375&lt;&gt;"",AB375&lt;&gt;"Belum Diperiksa",AB375&lt;&gt;"Disetujui",AB375&lt;&gt;"Perlu Perbaikan"),"Hasil review tidak valid",IF(AND(Z375="Dikirim",OR(Y375="",AA375="")),"Isi bukti dan waktu kirim",IF(AND(AB375="Disetujui",OR(Z375&lt;&gt;"Dikirim",AC375="",AD375="")),"Lengkapi pemeriksaan",IF(AND(AB375="Perlu Perbaikan",OR(AE375="",AC375="",AD375="")),"Isi pemeriksa dan catatan perbaikan","OK")))))))))))))))),"")</f>
        <v/>
      </c>
    </row>
    <row r="376" spans="1:39" ht="24.95" customHeight="1">
      <c r="A376" s="8"/>
      <c r="B376" s="6"/>
      <c r="C376" s="15" t="str">
        <f>IF(COUNTIFS(Master_PIC!$A$8:$A$73,$B376)=1,IF(VLOOKUP($B376,Master_PIC!$A$8:$G$73,2,FALSE)="","",VLOOKUP($B376,Master_PIC!$A$8:$G$73,2,FALSE)),"")</f>
        <v/>
      </c>
      <c r="D376" s="15" t="str">
        <f>IF(COUNTIFS(Master_PIC!$A$8:$A$73,$B376)=1,IF(VLOOKUP($B376,Master_PIC!$A$8:$G$73,4,FALSE)="","",VLOOKUP($B376,Master_PIC!$A$8:$G$73,4,FALSE)),"")</f>
        <v/>
      </c>
      <c r="E376" s="15" t="str">
        <f>IF(COUNTIFS(Master_PIC!$A$8:$A$73,$B376)=1,IF(VLOOKUP($B376,Master_PIC!$A$8:$G$73,5,FALSE)="","",VLOOKUP($B376,Master_PIC!$A$8:$G$73,5,FALSE)),"")</f>
        <v/>
      </c>
      <c r="F376" s="15" t="str">
        <f>IF(COUNTIFS(Master_PIC!$A$8:$A$73,$B376)=1,IF(VLOOKUP($B376,Master_PIC!$A$8:$G$73,6,FALSE)="","",VLOOKUP($B376,Master_PIC!$A$8:$G$73,6,FALSE)),"")</f>
        <v/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8"/>
      <c r="Y376" s="5"/>
      <c r="Z376" s="5"/>
      <c r="AA376" s="9"/>
      <c r="AB376" s="5"/>
      <c r="AC376" s="5"/>
      <c r="AD376" s="9"/>
      <c r="AE376" s="5"/>
      <c r="AF376" s="7" t="str">
        <f t="shared" si="35"/>
        <v/>
      </c>
      <c r="AG376" s="7" t="str">
        <f t="shared" si="36"/>
        <v/>
      </c>
      <c r="AH376" s="7" t="str">
        <f t="shared" si="37"/>
        <v/>
      </c>
      <c r="AI376" s="7" t="str">
        <f t="shared" si="38"/>
        <v/>
      </c>
      <c r="AJ376" s="7" t="str">
        <f t="shared" si="39"/>
        <v/>
      </c>
      <c r="AK376" s="7" t="str">
        <f t="shared" si="40"/>
        <v/>
      </c>
      <c r="AL376" s="10" t="str">
        <f t="shared" si="41"/>
        <v/>
      </c>
      <c r="AM376" s="15" t="str">
        <f>IF(OR($A376&lt;&gt;"",$B376&lt;&gt;""),IF(OR($A376="",$B376=""),"Isi tanggal dan ID PIC",IF(NOT(ISNUMBER($A376)),"Tanggal harus berupa tanggal Excel",IF(COUNTIFS(Master_PIC!$A$8:$A$73,$B376)&lt;&gt;1,"ID PIC tidak unik/terdaftar",IF(VLOOKUP($B376,Master_PIC!$A$8:$G$73,3,FALSE)&lt;&gt;"Sales","Jabatan tidak sesuai sheet",IF(OR($C376="",$D376="",$E376="",$F376=""),"Lengkapi master PIC",IF(COUNTIFS($A$8:$A$507,$A376,$B$8:$B$507,$B376)&gt;1,"Laporan ganda",IF(COUNTIFS(G376:P376,"Tidak Berlaku")&gt;0,"N/A hanya untuk kegiatan bersyarat",IF(SUM(AG376,AH376,AI376,AJ376,AK376)&lt;&gt;14,"Status kegiatan tidak valid",IF(AK376&gt;0,"Lengkapi status kegiatan",IF(AND(AJ376&gt;0,U376=""),"Isi alasan Tidak Berlaku",IF(AND(SUM(AH376,AI376)&gt;0,OR(U376="",V376="",W376="",X376="")),"Isi kendala dan tindak lanjut",IF(AND(Z376&lt;&gt;"Draft",Z376&lt;&gt;"Dikirim"),"Isi status laporan yang valid",IF(AND(AB376&lt;&gt;"",AB376&lt;&gt;"Belum Diperiksa",AB376&lt;&gt;"Disetujui",AB376&lt;&gt;"Perlu Perbaikan"),"Hasil review tidak valid",IF(AND(Z376="Dikirim",OR(Y376="",AA376="")),"Isi bukti dan waktu kirim",IF(AND(AB376="Disetujui",OR(Z376&lt;&gt;"Dikirim",AC376="",AD376="")),"Lengkapi pemeriksaan",IF(AND(AB376="Perlu Perbaikan",OR(AE376="",AC376="",AD376="")),"Isi pemeriksa dan catatan perbaikan","OK")))))))))))))))),"")</f>
        <v/>
      </c>
    </row>
    <row r="377" spans="1:39" ht="24.95" customHeight="1">
      <c r="A377" s="8"/>
      <c r="B377" s="6"/>
      <c r="C377" s="15" t="str">
        <f>IF(COUNTIFS(Master_PIC!$A$8:$A$73,$B377)=1,IF(VLOOKUP($B377,Master_PIC!$A$8:$G$73,2,FALSE)="","",VLOOKUP($B377,Master_PIC!$A$8:$G$73,2,FALSE)),"")</f>
        <v/>
      </c>
      <c r="D377" s="15" t="str">
        <f>IF(COUNTIFS(Master_PIC!$A$8:$A$73,$B377)=1,IF(VLOOKUP($B377,Master_PIC!$A$8:$G$73,4,FALSE)="","",VLOOKUP($B377,Master_PIC!$A$8:$G$73,4,FALSE)),"")</f>
        <v/>
      </c>
      <c r="E377" s="15" t="str">
        <f>IF(COUNTIFS(Master_PIC!$A$8:$A$73,$B377)=1,IF(VLOOKUP($B377,Master_PIC!$A$8:$G$73,5,FALSE)="","",VLOOKUP($B377,Master_PIC!$A$8:$G$73,5,FALSE)),"")</f>
        <v/>
      </c>
      <c r="F377" s="15" t="str">
        <f>IF(COUNTIFS(Master_PIC!$A$8:$A$73,$B377)=1,IF(VLOOKUP($B377,Master_PIC!$A$8:$G$73,6,FALSE)="","",VLOOKUP($B377,Master_PIC!$A$8:$G$73,6,FALSE)),"")</f>
        <v/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8"/>
      <c r="Y377" s="5"/>
      <c r="Z377" s="5"/>
      <c r="AA377" s="9"/>
      <c r="AB377" s="5"/>
      <c r="AC377" s="5"/>
      <c r="AD377" s="9"/>
      <c r="AE377" s="5"/>
      <c r="AF377" s="7" t="str">
        <f t="shared" si="35"/>
        <v/>
      </c>
      <c r="AG377" s="7" t="str">
        <f t="shared" si="36"/>
        <v/>
      </c>
      <c r="AH377" s="7" t="str">
        <f t="shared" si="37"/>
        <v/>
      </c>
      <c r="AI377" s="7" t="str">
        <f t="shared" si="38"/>
        <v/>
      </c>
      <c r="AJ377" s="7" t="str">
        <f t="shared" si="39"/>
        <v/>
      </c>
      <c r="AK377" s="7" t="str">
        <f t="shared" si="40"/>
        <v/>
      </c>
      <c r="AL377" s="10" t="str">
        <f t="shared" si="41"/>
        <v/>
      </c>
      <c r="AM377" s="15" t="str">
        <f>IF(OR($A377&lt;&gt;"",$B377&lt;&gt;""),IF(OR($A377="",$B377=""),"Isi tanggal dan ID PIC",IF(NOT(ISNUMBER($A377)),"Tanggal harus berupa tanggal Excel",IF(COUNTIFS(Master_PIC!$A$8:$A$73,$B377)&lt;&gt;1,"ID PIC tidak unik/terdaftar",IF(VLOOKUP($B377,Master_PIC!$A$8:$G$73,3,FALSE)&lt;&gt;"Sales","Jabatan tidak sesuai sheet",IF(OR($C377="",$D377="",$E377="",$F377=""),"Lengkapi master PIC",IF(COUNTIFS($A$8:$A$507,$A377,$B$8:$B$507,$B377)&gt;1,"Laporan ganda",IF(COUNTIFS(G377:P377,"Tidak Berlaku")&gt;0,"N/A hanya untuk kegiatan bersyarat",IF(SUM(AG377,AH377,AI377,AJ377,AK377)&lt;&gt;14,"Status kegiatan tidak valid",IF(AK377&gt;0,"Lengkapi status kegiatan",IF(AND(AJ377&gt;0,U377=""),"Isi alasan Tidak Berlaku",IF(AND(SUM(AH377,AI377)&gt;0,OR(U377="",V377="",W377="",X377="")),"Isi kendala dan tindak lanjut",IF(AND(Z377&lt;&gt;"Draft",Z377&lt;&gt;"Dikirim"),"Isi status laporan yang valid",IF(AND(AB377&lt;&gt;"",AB377&lt;&gt;"Belum Diperiksa",AB377&lt;&gt;"Disetujui",AB377&lt;&gt;"Perlu Perbaikan"),"Hasil review tidak valid",IF(AND(Z377="Dikirim",OR(Y377="",AA377="")),"Isi bukti dan waktu kirim",IF(AND(AB377="Disetujui",OR(Z377&lt;&gt;"Dikirim",AC377="",AD377="")),"Lengkapi pemeriksaan",IF(AND(AB377="Perlu Perbaikan",OR(AE377="",AC377="",AD377="")),"Isi pemeriksa dan catatan perbaikan","OK")))))))))))))))),"")</f>
        <v/>
      </c>
    </row>
    <row r="378" spans="1:39" ht="24.95" customHeight="1">
      <c r="A378" s="8"/>
      <c r="B378" s="6"/>
      <c r="C378" s="15" t="str">
        <f>IF(COUNTIFS(Master_PIC!$A$8:$A$73,$B378)=1,IF(VLOOKUP($B378,Master_PIC!$A$8:$G$73,2,FALSE)="","",VLOOKUP($B378,Master_PIC!$A$8:$G$73,2,FALSE)),"")</f>
        <v/>
      </c>
      <c r="D378" s="15" t="str">
        <f>IF(COUNTIFS(Master_PIC!$A$8:$A$73,$B378)=1,IF(VLOOKUP($B378,Master_PIC!$A$8:$G$73,4,FALSE)="","",VLOOKUP($B378,Master_PIC!$A$8:$G$73,4,FALSE)),"")</f>
        <v/>
      </c>
      <c r="E378" s="15" t="str">
        <f>IF(COUNTIFS(Master_PIC!$A$8:$A$73,$B378)=1,IF(VLOOKUP($B378,Master_PIC!$A$8:$G$73,5,FALSE)="","",VLOOKUP($B378,Master_PIC!$A$8:$G$73,5,FALSE)),"")</f>
        <v/>
      </c>
      <c r="F378" s="15" t="str">
        <f>IF(COUNTIFS(Master_PIC!$A$8:$A$73,$B378)=1,IF(VLOOKUP($B378,Master_PIC!$A$8:$G$73,6,FALSE)="","",VLOOKUP($B378,Master_PIC!$A$8:$G$73,6,FALSE)),"")</f>
        <v/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8"/>
      <c r="Y378" s="5"/>
      <c r="Z378" s="5"/>
      <c r="AA378" s="9"/>
      <c r="AB378" s="5"/>
      <c r="AC378" s="5"/>
      <c r="AD378" s="9"/>
      <c r="AE378" s="5"/>
      <c r="AF378" s="7" t="str">
        <f t="shared" si="35"/>
        <v/>
      </c>
      <c r="AG378" s="7" t="str">
        <f t="shared" si="36"/>
        <v/>
      </c>
      <c r="AH378" s="7" t="str">
        <f t="shared" si="37"/>
        <v/>
      </c>
      <c r="AI378" s="7" t="str">
        <f t="shared" si="38"/>
        <v/>
      </c>
      <c r="AJ378" s="7" t="str">
        <f t="shared" si="39"/>
        <v/>
      </c>
      <c r="AK378" s="7" t="str">
        <f t="shared" si="40"/>
        <v/>
      </c>
      <c r="AL378" s="10" t="str">
        <f t="shared" si="41"/>
        <v/>
      </c>
      <c r="AM378" s="15" t="str">
        <f>IF(OR($A378&lt;&gt;"",$B378&lt;&gt;""),IF(OR($A378="",$B378=""),"Isi tanggal dan ID PIC",IF(NOT(ISNUMBER($A378)),"Tanggal harus berupa tanggal Excel",IF(COUNTIFS(Master_PIC!$A$8:$A$73,$B378)&lt;&gt;1,"ID PIC tidak unik/terdaftar",IF(VLOOKUP($B378,Master_PIC!$A$8:$G$73,3,FALSE)&lt;&gt;"Sales","Jabatan tidak sesuai sheet",IF(OR($C378="",$D378="",$E378="",$F378=""),"Lengkapi master PIC",IF(COUNTIFS($A$8:$A$507,$A378,$B$8:$B$507,$B378)&gt;1,"Laporan ganda",IF(COUNTIFS(G378:P378,"Tidak Berlaku")&gt;0,"N/A hanya untuk kegiatan bersyarat",IF(SUM(AG378,AH378,AI378,AJ378,AK378)&lt;&gt;14,"Status kegiatan tidak valid",IF(AK378&gt;0,"Lengkapi status kegiatan",IF(AND(AJ378&gt;0,U378=""),"Isi alasan Tidak Berlaku",IF(AND(SUM(AH378,AI378)&gt;0,OR(U378="",V378="",W378="",X378="")),"Isi kendala dan tindak lanjut",IF(AND(Z378&lt;&gt;"Draft",Z378&lt;&gt;"Dikirim"),"Isi status laporan yang valid",IF(AND(AB378&lt;&gt;"",AB378&lt;&gt;"Belum Diperiksa",AB378&lt;&gt;"Disetujui",AB378&lt;&gt;"Perlu Perbaikan"),"Hasil review tidak valid",IF(AND(Z378="Dikirim",OR(Y378="",AA378="")),"Isi bukti dan waktu kirim",IF(AND(AB378="Disetujui",OR(Z378&lt;&gt;"Dikirim",AC378="",AD378="")),"Lengkapi pemeriksaan",IF(AND(AB378="Perlu Perbaikan",OR(AE378="",AC378="",AD378="")),"Isi pemeriksa dan catatan perbaikan","OK")))))))))))))))),"")</f>
        <v/>
      </c>
    </row>
    <row r="379" spans="1:39" ht="24.95" customHeight="1">
      <c r="A379" s="8"/>
      <c r="B379" s="6"/>
      <c r="C379" s="15" t="str">
        <f>IF(COUNTIFS(Master_PIC!$A$8:$A$73,$B379)=1,IF(VLOOKUP($B379,Master_PIC!$A$8:$G$73,2,FALSE)="","",VLOOKUP($B379,Master_PIC!$A$8:$G$73,2,FALSE)),"")</f>
        <v/>
      </c>
      <c r="D379" s="15" t="str">
        <f>IF(COUNTIFS(Master_PIC!$A$8:$A$73,$B379)=1,IF(VLOOKUP($B379,Master_PIC!$A$8:$G$73,4,FALSE)="","",VLOOKUP($B379,Master_PIC!$A$8:$G$73,4,FALSE)),"")</f>
        <v/>
      </c>
      <c r="E379" s="15" t="str">
        <f>IF(COUNTIFS(Master_PIC!$A$8:$A$73,$B379)=1,IF(VLOOKUP($B379,Master_PIC!$A$8:$G$73,5,FALSE)="","",VLOOKUP($B379,Master_PIC!$A$8:$G$73,5,FALSE)),"")</f>
        <v/>
      </c>
      <c r="F379" s="15" t="str">
        <f>IF(COUNTIFS(Master_PIC!$A$8:$A$73,$B379)=1,IF(VLOOKUP($B379,Master_PIC!$A$8:$G$73,6,FALSE)="","",VLOOKUP($B379,Master_PIC!$A$8:$G$73,6,FALSE)),"")</f>
        <v/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8"/>
      <c r="Y379" s="5"/>
      <c r="Z379" s="5"/>
      <c r="AA379" s="9"/>
      <c r="AB379" s="5"/>
      <c r="AC379" s="5"/>
      <c r="AD379" s="9"/>
      <c r="AE379" s="5"/>
      <c r="AF379" s="7" t="str">
        <f t="shared" si="35"/>
        <v/>
      </c>
      <c r="AG379" s="7" t="str">
        <f t="shared" si="36"/>
        <v/>
      </c>
      <c r="AH379" s="7" t="str">
        <f t="shared" si="37"/>
        <v/>
      </c>
      <c r="AI379" s="7" t="str">
        <f t="shared" si="38"/>
        <v/>
      </c>
      <c r="AJ379" s="7" t="str">
        <f t="shared" si="39"/>
        <v/>
      </c>
      <c r="AK379" s="7" t="str">
        <f t="shared" si="40"/>
        <v/>
      </c>
      <c r="AL379" s="10" t="str">
        <f t="shared" si="41"/>
        <v/>
      </c>
      <c r="AM379" s="15" t="str">
        <f>IF(OR($A379&lt;&gt;"",$B379&lt;&gt;""),IF(OR($A379="",$B379=""),"Isi tanggal dan ID PIC",IF(NOT(ISNUMBER($A379)),"Tanggal harus berupa tanggal Excel",IF(COUNTIFS(Master_PIC!$A$8:$A$73,$B379)&lt;&gt;1,"ID PIC tidak unik/terdaftar",IF(VLOOKUP($B379,Master_PIC!$A$8:$G$73,3,FALSE)&lt;&gt;"Sales","Jabatan tidak sesuai sheet",IF(OR($C379="",$D379="",$E379="",$F379=""),"Lengkapi master PIC",IF(COUNTIFS($A$8:$A$507,$A379,$B$8:$B$507,$B379)&gt;1,"Laporan ganda",IF(COUNTIFS(G379:P379,"Tidak Berlaku")&gt;0,"N/A hanya untuk kegiatan bersyarat",IF(SUM(AG379,AH379,AI379,AJ379,AK379)&lt;&gt;14,"Status kegiatan tidak valid",IF(AK379&gt;0,"Lengkapi status kegiatan",IF(AND(AJ379&gt;0,U379=""),"Isi alasan Tidak Berlaku",IF(AND(SUM(AH379,AI379)&gt;0,OR(U379="",V379="",W379="",X379="")),"Isi kendala dan tindak lanjut",IF(AND(Z379&lt;&gt;"Draft",Z379&lt;&gt;"Dikirim"),"Isi status laporan yang valid",IF(AND(AB379&lt;&gt;"",AB379&lt;&gt;"Belum Diperiksa",AB379&lt;&gt;"Disetujui",AB379&lt;&gt;"Perlu Perbaikan"),"Hasil review tidak valid",IF(AND(Z379="Dikirim",OR(Y379="",AA379="")),"Isi bukti dan waktu kirim",IF(AND(AB379="Disetujui",OR(Z379&lt;&gt;"Dikirim",AC379="",AD379="")),"Lengkapi pemeriksaan",IF(AND(AB379="Perlu Perbaikan",OR(AE379="",AC379="",AD379="")),"Isi pemeriksa dan catatan perbaikan","OK")))))))))))))))),"")</f>
        <v/>
      </c>
    </row>
    <row r="380" spans="1:39" ht="24.95" customHeight="1">
      <c r="A380" s="8"/>
      <c r="B380" s="6"/>
      <c r="C380" s="15" t="str">
        <f>IF(COUNTIFS(Master_PIC!$A$8:$A$73,$B380)=1,IF(VLOOKUP($B380,Master_PIC!$A$8:$G$73,2,FALSE)="","",VLOOKUP($B380,Master_PIC!$A$8:$G$73,2,FALSE)),"")</f>
        <v/>
      </c>
      <c r="D380" s="15" t="str">
        <f>IF(COUNTIFS(Master_PIC!$A$8:$A$73,$B380)=1,IF(VLOOKUP($B380,Master_PIC!$A$8:$G$73,4,FALSE)="","",VLOOKUP($B380,Master_PIC!$A$8:$G$73,4,FALSE)),"")</f>
        <v/>
      </c>
      <c r="E380" s="15" t="str">
        <f>IF(COUNTIFS(Master_PIC!$A$8:$A$73,$B380)=1,IF(VLOOKUP($B380,Master_PIC!$A$8:$G$73,5,FALSE)="","",VLOOKUP($B380,Master_PIC!$A$8:$G$73,5,FALSE)),"")</f>
        <v/>
      </c>
      <c r="F380" s="15" t="str">
        <f>IF(COUNTIFS(Master_PIC!$A$8:$A$73,$B380)=1,IF(VLOOKUP($B380,Master_PIC!$A$8:$G$73,6,FALSE)="","",VLOOKUP($B380,Master_PIC!$A$8:$G$73,6,FALSE)),"")</f>
        <v/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8"/>
      <c r="Y380" s="5"/>
      <c r="Z380" s="5"/>
      <c r="AA380" s="9"/>
      <c r="AB380" s="5"/>
      <c r="AC380" s="5"/>
      <c r="AD380" s="9"/>
      <c r="AE380" s="5"/>
      <c r="AF380" s="7" t="str">
        <f t="shared" si="35"/>
        <v/>
      </c>
      <c r="AG380" s="7" t="str">
        <f t="shared" si="36"/>
        <v/>
      </c>
      <c r="AH380" s="7" t="str">
        <f t="shared" si="37"/>
        <v/>
      </c>
      <c r="AI380" s="7" t="str">
        <f t="shared" si="38"/>
        <v/>
      </c>
      <c r="AJ380" s="7" t="str">
        <f t="shared" si="39"/>
        <v/>
      </c>
      <c r="AK380" s="7" t="str">
        <f t="shared" si="40"/>
        <v/>
      </c>
      <c r="AL380" s="10" t="str">
        <f t="shared" si="41"/>
        <v/>
      </c>
      <c r="AM380" s="15" t="str">
        <f>IF(OR($A380&lt;&gt;"",$B380&lt;&gt;""),IF(OR($A380="",$B380=""),"Isi tanggal dan ID PIC",IF(NOT(ISNUMBER($A380)),"Tanggal harus berupa tanggal Excel",IF(COUNTIFS(Master_PIC!$A$8:$A$73,$B380)&lt;&gt;1,"ID PIC tidak unik/terdaftar",IF(VLOOKUP($B380,Master_PIC!$A$8:$G$73,3,FALSE)&lt;&gt;"Sales","Jabatan tidak sesuai sheet",IF(OR($C380="",$D380="",$E380="",$F380=""),"Lengkapi master PIC",IF(COUNTIFS($A$8:$A$507,$A380,$B$8:$B$507,$B380)&gt;1,"Laporan ganda",IF(COUNTIFS(G380:P380,"Tidak Berlaku")&gt;0,"N/A hanya untuk kegiatan bersyarat",IF(SUM(AG380,AH380,AI380,AJ380,AK380)&lt;&gt;14,"Status kegiatan tidak valid",IF(AK380&gt;0,"Lengkapi status kegiatan",IF(AND(AJ380&gt;0,U380=""),"Isi alasan Tidak Berlaku",IF(AND(SUM(AH380,AI380)&gt;0,OR(U380="",V380="",W380="",X380="")),"Isi kendala dan tindak lanjut",IF(AND(Z380&lt;&gt;"Draft",Z380&lt;&gt;"Dikirim"),"Isi status laporan yang valid",IF(AND(AB380&lt;&gt;"",AB380&lt;&gt;"Belum Diperiksa",AB380&lt;&gt;"Disetujui",AB380&lt;&gt;"Perlu Perbaikan"),"Hasil review tidak valid",IF(AND(Z380="Dikirim",OR(Y380="",AA380="")),"Isi bukti dan waktu kirim",IF(AND(AB380="Disetujui",OR(Z380&lt;&gt;"Dikirim",AC380="",AD380="")),"Lengkapi pemeriksaan",IF(AND(AB380="Perlu Perbaikan",OR(AE380="",AC380="",AD380="")),"Isi pemeriksa dan catatan perbaikan","OK")))))))))))))))),"")</f>
        <v/>
      </c>
    </row>
    <row r="381" spans="1:39" ht="24.95" customHeight="1">
      <c r="A381" s="8"/>
      <c r="B381" s="6"/>
      <c r="C381" s="15" t="str">
        <f>IF(COUNTIFS(Master_PIC!$A$8:$A$73,$B381)=1,IF(VLOOKUP($B381,Master_PIC!$A$8:$G$73,2,FALSE)="","",VLOOKUP($B381,Master_PIC!$A$8:$G$73,2,FALSE)),"")</f>
        <v/>
      </c>
      <c r="D381" s="15" t="str">
        <f>IF(COUNTIFS(Master_PIC!$A$8:$A$73,$B381)=1,IF(VLOOKUP($B381,Master_PIC!$A$8:$G$73,4,FALSE)="","",VLOOKUP($B381,Master_PIC!$A$8:$G$73,4,FALSE)),"")</f>
        <v/>
      </c>
      <c r="E381" s="15" t="str">
        <f>IF(COUNTIFS(Master_PIC!$A$8:$A$73,$B381)=1,IF(VLOOKUP($B381,Master_PIC!$A$8:$G$73,5,FALSE)="","",VLOOKUP($B381,Master_PIC!$A$8:$G$73,5,FALSE)),"")</f>
        <v/>
      </c>
      <c r="F381" s="15" t="str">
        <f>IF(COUNTIFS(Master_PIC!$A$8:$A$73,$B381)=1,IF(VLOOKUP($B381,Master_PIC!$A$8:$G$73,6,FALSE)="","",VLOOKUP($B381,Master_PIC!$A$8:$G$73,6,FALSE)),"")</f>
        <v/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8"/>
      <c r="Y381" s="5"/>
      <c r="Z381" s="5"/>
      <c r="AA381" s="9"/>
      <c r="AB381" s="5"/>
      <c r="AC381" s="5"/>
      <c r="AD381" s="9"/>
      <c r="AE381" s="5"/>
      <c r="AF381" s="7" t="str">
        <f t="shared" si="35"/>
        <v/>
      </c>
      <c r="AG381" s="7" t="str">
        <f t="shared" si="36"/>
        <v/>
      </c>
      <c r="AH381" s="7" t="str">
        <f t="shared" si="37"/>
        <v/>
      </c>
      <c r="AI381" s="7" t="str">
        <f t="shared" si="38"/>
        <v/>
      </c>
      <c r="AJ381" s="7" t="str">
        <f t="shared" si="39"/>
        <v/>
      </c>
      <c r="AK381" s="7" t="str">
        <f t="shared" si="40"/>
        <v/>
      </c>
      <c r="AL381" s="10" t="str">
        <f t="shared" si="41"/>
        <v/>
      </c>
      <c r="AM381" s="15" t="str">
        <f>IF(OR($A381&lt;&gt;"",$B381&lt;&gt;""),IF(OR($A381="",$B381=""),"Isi tanggal dan ID PIC",IF(NOT(ISNUMBER($A381)),"Tanggal harus berupa tanggal Excel",IF(COUNTIFS(Master_PIC!$A$8:$A$73,$B381)&lt;&gt;1,"ID PIC tidak unik/terdaftar",IF(VLOOKUP($B381,Master_PIC!$A$8:$G$73,3,FALSE)&lt;&gt;"Sales","Jabatan tidak sesuai sheet",IF(OR($C381="",$D381="",$E381="",$F381=""),"Lengkapi master PIC",IF(COUNTIFS($A$8:$A$507,$A381,$B$8:$B$507,$B381)&gt;1,"Laporan ganda",IF(COUNTIFS(G381:P381,"Tidak Berlaku")&gt;0,"N/A hanya untuk kegiatan bersyarat",IF(SUM(AG381,AH381,AI381,AJ381,AK381)&lt;&gt;14,"Status kegiatan tidak valid",IF(AK381&gt;0,"Lengkapi status kegiatan",IF(AND(AJ381&gt;0,U381=""),"Isi alasan Tidak Berlaku",IF(AND(SUM(AH381,AI381)&gt;0,OR(U381="",V381="",W381="",X381="")),"Isi kendala dan tindak lanjut",IF(AND(Z381&lt;&gt;"Draft",Z381&lt;&gt;"Dikirim"),"Isi status laporan yang valid",IF(AND(AB381&lt;&gt;"",AB381&lt;&gt;"Belum Diperiksa",AB381&lt;&gt;"Disetujui",AB381&lt;&gt;"Perlu Perbaikan"),"Hasil review tidak valid",IF(AND(Z381="Dikirim",OR(Y381="",AA381="")),"Isi bukti dan waktu kirim",IF(AND(AB381="Disetujui",OR(Z381&lt;&gt;"Dikirim",AC381="",AD381="")),"Lengkapi pemeriksaan",IF(AND(AB381="Perlu Perbaikan",OR(AE381="",AC381="",AD381="")),"Isi pemeriksa dan catatan perbaikan","OK")))))))))))))))),"")</f>
        <v/>
      </c>
    </row>
    <row r="382" spans="1:39" ht="24.95" customHeight="1">
      <c r="A382" s="8"/>
      <c r="B382" s="6"/>
      <c r="C382" s="15" t="str">
        <f>IF(COUNTIFS(Master_PIC!$A$8:$A$73,$B382)=1,IF(VLOOKUP($B382,Master_PIC!$A$8:$G$73,2,FALSE)="","",VLOOKUP($B382,Master_PIC!$A$8:$G$73,2,FALSE)),"")</f>
        <v/>
      </c>
      <c r="D382" s="15" t="str">
        <f>IF(COUNTIFS(Master_PIC!$A$8:$A$73,$B382)=1,IF(VLOOKUP($B382,Master_PIC!$A$8:$G$73,4,FALSE)="","",VLOOKUP($B382,Master_PIC!$A$8:$G$73,4,FALSE)),"")</f>
        <v/>
      </c>
      <c r="E382" s="15" t="str">
        <f>IF(COUNTIFS(Master_PIC!$A$8:$A$73,$B382)=1,IF(VLOOKUP($B382,Master_PIC!$A$8:$G$73,5,FALSE)="","",VLOOKUP($B382,Master_PIC!$A$8:$G$73,5,FALSE)),"")</f>
        <v/>
      </c>
      <c r="F382" s="15" t="str">
        <f>IF(COUNTIFS(Master_PIC!$A$8:$A$73,$B382)=1,IF(VLOOKUP($B382,Master_PIC!$A$8:$G$73,6,FALSE)="","",VLOOKUP($B382,Master_PIC!$A$8:$G$73,6,FALSE)),"")</f>
        <v/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8"/>
      <c r="Y382" s="5"/>
      <c r="Z382" s="5"/>
      <c r="AA382" s="9"/>
      <c r="AB382" s="5"/>
      <c r="AC382" s="5"/>
      <c r="AD382" s="9"/>
      <c r="AE382" s="5"/>
      <c r="AF382" s="7" t="str">
        <f t="shared" si="35"/>
        <v/>
      </c>
      <c r="AG382" s="7" t="str">
        <f t="shared" si="36"/>
        <v/>
      </c>
      <c r="AH382" s="7" t="str">
        <f t="shared" si="37"/>
        <v/>
      </c>
      <c r="AI382" s="7" t="str">
        <f t="shared" si="38"/>
        <v/>
      </c>
      <c r="AJ382" s="7" t="str">
        <f t="shared" si="39"/>
        <v/>
      </c>
      <c r="AK382" s="7" t="str">
        <f t="shared" si="40"/>
        <v/>
      </c>
      <c r="AL382" s="10" t="str">
        <f t="shared" si="41"/>
        <v/>
      </c>
      <c r="AM382" s="15" t="str">
        <f>IF(OR($A382&lt;&gt;"",$B382&lt;&gt;""),IF(OR($A382="",$B382=""),"Isi tanggal dan ID PIC",IF(NOT(ISNUMBER($A382)),"Tanggal harus berupa tanggal Excel",IF(COUNTIFS(Master_PIC!$A$8:$A$73,$B382)&lt;&gt;1,"ID PIC tidak unik/terdaftar",IF(VLOOKUP($B382,Master_PIC!$A$8:$G$73,3,FALSE)&lt;&gt;"Sales","Jabatan tidak sesuai sheet",IF(OR($C382="",$D382="",$E382="",$F382=""),"Lengkapi master PIC",IF(COUNTIFS($A$8:$A$507,$A382,$B$8:$B$507,$B382)&gt;1,"Laporan ganda",IF(COUNTIFS(G382:P382,"Tidak Berlaku")&gt;0,"N/A hanya untuk kegiatan bersyarat",IF(SUM(AG382,AH382,AI382,AJ382,AK382)&lt;&gt;14,"Status kegiatan tidak valid",IF(AK382&gt;0,"Lengkapi status kegiatan",IF(AND(AJ382&gt;0,U382=""),"Isi alasan Tidak Berlaku",IF(AND(SUM(AH382,AI382)&gt;0,OR(U382="",V382="",W382="",X382="")),"Isi kendala dan tindak lanjut",IF(AND(Z382&lt;&gt;"Draft",Z382&lt;&gt;"Dikirim"),"Isi status laporan yang valid",IF(AND(AB382&lt;&gt;"",AB382&lt;&gt;"Belum Diperiksa",AB382&lt;&gt;"Disetujui",AB382&lt;&gt;"Perlu Perbaikan"),"Hasil review tidak valid",IF(AND(Z382="Dikirim",OR(Y382="",AA382="")),"Isi bukti dan waktu kirim",IF(AND(AB382="Disetujui",OR(Z382&lt;&gt;"Dikirim",AC382="",AD382="")),"Lengkapi pemeriksaan",IF(AND(AB382="Perlu Perbaikan",OR(AE382="",AC382="",AD382="")),"Isi pemeriksa dan catatan perbaikan","OK")))))))))))))))),"")</f>
        <v/>
      </c>
    </row>
    <row r="383" spans="1:39" ht="24.95" customHeight="1">
      <c r="A383" s="8"/>
      <c r="B383" s="6"/>
      <c r="C383" s="15" t="str">
        <f>IF(COUNTIFS(Master_PIC!$A$8:$A$73,$B383)=1,IF(VLOOKUP($B383,Master_PIC!$A$8:$G$73,2,FALSE)="","",VLOOKUP($B383,Master_PIC!$A$8:$G$73,2,FALSE)),"")</f>
        <v/>
      </c>
      <c r="D383" s="15" t="str">
        <f>IF(COUNTIFS(Master_PIC!$A$8:$A$73,$B383)=1,IF(VLOOKUP($B383,Master_PIC!$A$8:$G$73,4,FALSE)="","",VLOOKUP($B383,Master_PIC!$A$8:$G$73,4,FALSE)),"")</f>
        <v/>
      </c>
      <c r="E383" s="15" t="str">
        <f>IF(COUNTIFS(Master_PIC!$A$8:$A$73,$B383)=1,IF(VLOOKUP($B383,Master_PIC!$A$8:$G$73,5,FALSE)="","",VLOOKUP($B383,Master_PIC!$A$8:$G$73,5,FALSE)),"")</f>
        <v/>
      </c>
      <c r="F383" s="15" t="str">
        <f>IF(COUNTIFS(Master_PIC!$A$8:$A$73,$B383)=1,IF(VLOOKUP($B383,Master_PIC!$A$8:$G$73,6,FALSE)="","",VLOOKUP($B383,Master_PIC!$A$8:$G$73,6,FALSE)),"")</f>
        <v/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8"/>
      <c r="Y383" s="5"/>
      <c r="Z383" s="5"/>
      <c r="AA383" s="9"/>
      <c r="AB383" s="5"/>
      <c r="AC383" s="5"/>
      <c r="AD383" s="9"/>
      <c r="AE383" s="5"/>
      <c r="AF383" s="7" t="str">
        <f t="shared" si="35"/>
        <v/>
      </c>
      <c r="AG383" s="7" t="str">
        <f t="shared" si="36"/>
        <v/>
      </c>
      <c r="AH383" s="7" t="str">
        <f t="shared" si="37"/>
        <v/>
      </c>
      <c r="AI383" s="7" t="str">
        <f t="shared" si="38"/>
        <v/>
      </c>
      <c r="AJ383" s="7" t="str">
        <f t="shared" si="39"/>
        <v/>
      </c>
      <c r="AK383" s="7" t="str">
        <f t="shared" si="40"/>
        <v/>
      </c>
      <c r="AL383" s="10" t="str">
        <f t="shared" si="41"/>
        <v/>
      </c>
      <c r="AM383" s="15" t="str">
        <f>IF(OR($A383&lt;&gt;"",$B383&lt;&gt;""),IF(OR($A383="",$B383=""),"Isi tanggal dan ID PIC",IF(NOT(ISNUMBER($A383)),"Tanggal harus berupa tanggal Excel",IF(COUNTIFS(Master_PIC!$A$8:$A$73,$B383)&lt;&gt;1,"ID PIC tidak unik/terdaftar",IF(VLOOKUP($B383,Master_PIC!$A$8:$G$73,3,FALSE)&lt;&gt;"Sales","Jabatan tidak sesuai sheet",IF(OR($C383="",$D383="",$E383="",$F383=""),"Lengkapi master PIC",IF(COUNTIFS($A$8:$A$507,$A383,$B$8:$B$507,$B383)&gt;1,"Laporan ganda",IF(COUNTIFS(G383:P383,"Tidak Berlaku")&gt;0,"N/A hanya untuk kegiatan bersyarat",IF(SUM(AG383,AH383,AI383,AJ383,AK383)&lt;&gt;14,"Status kegiatan tidak valid",IF(AK383&gt;0,"Lengkapi status kegiatan",IF(AND(AJ383&gt;0,U383=""),"Isi alasan Tidak Berlaku",IF(AND(SUM(AH383,AI383)&gt;0,OR(U383="",V383="",W383="",X383="")),"Isi kendala dan tindak lanjut",IF(AND(Z383&lt;&gt;"Draft",Z383&lt;&gt;"Dikirim"),"Isi status laporan yang valid",IF(AND(AB383&lt;&gt;"",AB383&lt;&gt;"Belum Diperiksa",AB383&lt;&gt;"Disetujui",AB383&lt;&gt;"Perlu Perbaikan"),"Hasil review tidak valid",IF(AND(Z383="Dikirim",OR(Y383="",AA383="")),"Isi bukti dan waktu kirim",IF(AND(AB383="Disetujui",OR(Z383&lt;&gt;"Dikirim",AC383="",AD383="")),"Lengkapi pemeriksaan",IF(AND(AB383="Perlu Perbaikan",OR(AE383="",AC383="",AD383="")),"Isi pemeriksa dan catatan perbaikan","OK")))))))))))))))),"")</f>
        <v/>
      </c>
    </row>
    <row r="384" spans="1:39" ht="24.95" customHeight="1">
      <c r="A384" s="8"/>
      <c r="B384" s="6"/>
      <c r="C384" s="15" t="str">
        <f>IF(COUNTIFS(Master_PIC!$A$8:$A$73,$B384)=1,IF(VLOOKUP($B384,Master_PIC!$A$8:$G$73,2,FALSE)="","",VLOOKUP($B384,Master_PIC!$A$8:$G$73,2,FALSE)),"")</f>
        <v/>
      </c>
      <c r="D384" s="15" t="str">
        <f>IF(COUNTIFS(Master_PIC!$A$8:$A$73,$B384)=1,IF(VLOOKUP($B384,Master_PIC!$A$8:$G$73,4,FALSE)="","",VLOOKUP($B384,Master_PIC!$A$8:$G$73,4,FALSE)),"")</f>
        <v/>
      </c>
      <c r="E384" s="15" t="str">
        <f>IF(COUNTIFS(Master_PIC!$A$8:$A$73,$B384)=1,IF(VLOOKUP($B384,Master_PIC!$A$8:$G$73,5,FALSE)="","",VLOOKUP($B384,Master_PIC!$A$8:$G$73,5,FALSE)),"")</f>
        <v/>
      </c>
      <c r="F384" s="15" t="str">
        <f>IF(COUNTIFS(Master_PIC!$A$8:$A$73,$B384)=1,IF(VLOOKUP($B384,Master_PIC!$A$8:$G$73,6,FALSE)="","",VLOOKUP($B384,Master_PIC!$A$8:$G$73,6,FALSE)),"")</f>
        <v/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8"/>
      <c r="Y384" s="5"/>
      <c r="Z384" s="5"/>
      <c r="AA384" s="9"/>
      <c r="AB384" s="5"/>
      <c r="AC384" s="5"/>
      <c r="AD384" s="9"/>
      <c r="AE384" s="5"/>
      <c r="AF384" s="7" t="str">
        <f t="shared" si="35"/>
        <v/>
      </c>
      <c r="AG384" s="7" t="str">
        <f t="shared" si="36"/>
        <v/>
      </c>
      <c r="AH384" s="7" t="str">
        <f t="shared" si="37"/>
        <v/>
      </c>
      <c r="AI384" s="7" t="str">
        <f t="shared" si="38"/>
        <v/>
      </c>
      <c r="AJ384" s="7" t="str">
        <f t="shared" si="39"/>
        <v/>
      </c>
      <c r="AK384" s="7" t="str">
        <f t="shared" si="40"/>
        <v/>
      </c>
      <c r="AL384" s="10" t="str">
        <f t="shared" si="41"/>
        <v/>
      </c>
      <c r="AM384" s="15" t="str">
        <f>IF(OR($A384&lt;&gt;"",$B384&lt;&gt;""),IF(OR($A384="",$B384=""),"Isi tanggal dan ID PIC",IF(NOT(ISNUMBER($A384)),"Tanggal harus berupa tanggal Excel",IF(COUNTIFS(Master_PIC!$A$8:$A$73,$B384)&lt;&gt;1,"ID PIC tidak unik/terdaftar",IF(VLOOKUP($B384,Master_PIC!$A$8:$G$73,3,FALSE)&lt;&gt;"Sales","Jabatan tidak sesuai sheet",IF(OR($C384="",$D384="",$E384="",$F384=""),"Lengkapi master PIC",IF(COUNTIFS($A$8:$A$507,$A384,$B$8:$B$507,$B384)&gt;1,"Laporan ganda",IF(COUNTIFS(G384:P384,"Tidak Berlaku")&gt;0,"N/A hanya untuk kegiatan bersyarat",IF(SUM(AG384,AH384,AI384,AJ384,AK384)&lt;&gt;14,"Status kegiatan tidak valid",IF(AK384&gt;0,"Lengkapi status kegiatan",IF(AND(AJ384&gt;0,U384=""),"Isi alasan Tidak Berlaku",IF(AND(SUM(AH384,AI384)&gt;0,OR(U384="",V384="",W384="",X384="")),"Isi kendala dan tindak lanjut",IF(AND(Z384&lt;&gt;"Draft",Z384&lt;&gt;"Dikirim"),"Isi status laporan yang valid",IF(AND(AB384&lt;&gt;"",AB384&lt;&gt;"Belum Diperiksa",AB384&lt;&gt;"Disetujui",AB384&lt;&gt;"Perlu Perbaikan"),"Hasil review tidak valid",IF(AND(Z384="Dikirim",OR(Y384="",AA384="")),"Isi bukti dan waktu kirim",IF(AND(AB384="Disetujui",OR(Z384&lt;&gt;"Dikirim",AC384="",AD384="")),"Lengkapi pemeriksaan",IF(AND(AB384="Perlu Perbaikan",OR(AE384="",AC384="",AD384="")),"Isi pemeriksa dan catatan perbaikan","OK")))))))))))))))),"")</f>
        <v/>
      </c>
    </row>
    <row r="385" spans="1:39" ht="24.95" customHeight="1">
      <c r="A385" s="8"/>
      <c r="B385" s="6"/>
      <c r="C385" s="15" t="str">
        <f>IF(COUNTIFS(Master_PIC!$A$8:$A$73,$B385)=1,IF(VLOOKUP($B385,Master_PIC!$A$8:$G$73,2,FALSE)="","",VLOOKUP($B385,Master_PIC!$A$8:$G$73,2,FALSE)),"")</f>
        <v/>
      </c>
      <c r="D385" s="15" t="str">
        <f>IF(COUNTIFS(Master_PIC!$A$8:$A$73,$B385)=1,IF(VLOOKUP($B385,Master_PIC!$A$8:$G$73,4,FALSE)="","",VLOOKUP($B385,Master_PIC!$A$8:$G$73,4,FALSE)),"")</f>
        <v/>
      </c>
      <c r="E385" s="15" t="str">
        <f>IF(COUNTIFS(Master_PIC!$A$8:$A$73,$B385)=1,IF(VLOOKUP($B385,Master_PIC!$A$8:$G$73,5,FALSE)="","",VLOOKUP($B385,Master_PIC!$A$8:$G$73,5,FALSE)),"")</f>
        <v/>
      </c>
      <c r="F385" s="15" t="str">
        <f>IF(COUNTIFS(Master_PIC!$A$8:$A$73,$B385)=1,IF(VLOOKUP($B385,Master_PIC!$A$8:$G$73,6,FALSE)="","",VLOOKUP($B385,Master_PIC!$A$8:$G$73,6,FALSE)),"")</f>
        <v/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8"/>
      <c r="Y385" s="5"/>
      <c r="Z385" s="5"/>
      <c r="AA385" s="9"/>
      <c r="AB385" s="5"/>
      <c r="AC385" s="5"/>
      <c r="AD385" s="9"/>
      <c r="AE385" s="5"/>
      <c r="AF385" s="7" t="str">
        <f t="shared" si="35"/>
        <v/>
      </c>
      <c r="AG385" s="7" t="str">
        <f t="shared" si="36"/>
        <v/>
      </c>
      <c r="AH385" s="7" t="str">
        <f t="shared" si="37"/>
        <v/>
      </c>
      <c r="AI385" s="7" t="str">
        <f t="shared" si="38"/>
        <v/>
      </c>
      <c r="AJ385" s="7" t="str">
        <f t="shared" si="39"/>
        <v/>
      </c>
      <c r="AK385" s="7" t="str">
        <f t="shared" si="40"/>
        <v/>
      </c>
      <c r="AL385" s="10" t="str">
        <f t="shared" si="41"/>
        <v/>
      </c>
      <c r="AM385" s="15" t="str">
        <f>IF(OR($A385&lt;&gt;"",$B385&lt;&gt;""),IF(OR($A385="",$B385=""),"Isi tanggal dan ID PIC",IF(NOT(ISNUMBER($A385)),"Tanggal harus berupa tanggal Excel",IF(COUNTIFS(Master_PIC!$A$8:$A$73,$B385)&lt;&gt;1,"ID PIC tidak unik/terdaftar",IF(VLOOKUP($B385,Master_PIC!$A$8:$G$73,3,FALSE)&lt;&gt;"Sales","Jabatan tidak sesuai sheet",IF(OR($C385="",$D385="",$E385="",$F385=""),"Lengkapi master PIC",IF(COUNTIFS($A$8:$A$507,$A385,$B$8:$B$507,$B385)&gt;1,"Laporan ganda",IF(COUNTIFS(G385:P385,"Tidak Berlaku")&gt;0,"N/A hanya untuk kegiatan bersyarat",IF(SUM(AG385,AH385,AI385,AJ385,AK385)&lt;&gt;14,"Status kegiatan tidak valid",IF(AK385&gt;0,"Lengkapi status kegiatan",IF(AND(AJ385&gt;0,U385=""),"Isi alasan Tidak Berlaku",IF(AND(SUM(AH385,AI385)&gt;0,OR(U385="",V385="",W385="",X385="")),"Isi kendala dan tindak lanjut",IF(AND(Z385&lt;&gt;"Draft",Z385&lt;&gt;"Dikirim"),"Isi status laporan yang valid",IF(AND(AB385&lt;&gt;"",AB385&lt;&gt;"Belum Diperiksa",AB385&lt;&gt;"Disetujui",AB385&lt;&gt;"Perlu Perbaikan"),"Hasil review tidak valid",IF(AND(Z385="Dikirim",OR(Y385="",AA385="")),"Isi bukti dan waktu kirim",IF(AND(AB385="Disetujui",OR(Z385&lt;&gt;"Dikirim",AC385="",AD385="")),"Lengkapi pemeriksaan",IF(AND(AB385="Perlu Perbaikan",OR(AE385="",AC385="",AD385="")),"Isi pemeriksa dan catatan perbaikan","OK")))))))))))))))),"")</f>
        <v/>
      </c>
    </row>
    <row r="386" spans="1:39" ht="24.95" customHeight="1">
      <c r="A386" s="8"/>
      <c r="B386" s="6"/>
      <c r="C386" s="15" t="str">
        <f>IF(COUNTIFS(Master_PIC!$A$8:$A$73,$B386)=1,IF(VLOOKUP($B386,Master_PIC!$A$8:$G$73,2,FALSE)="","",VLOOKUP($B386,Master_PIC!$A$8:$G$73,2,FALSE)),"")</f>
        <v/>
      </c>
      <c r="D386" s="15" t="str">
        <f>IF(COUNTIFS(Master_PIC!$A$8:$A$73,$B386)=1,IF(VLOOKUP($B386,Master_PIC!$A$8:$G$73,4,FALSE)="","",VLOOKUP($B386,Master_PIC!$A$8:$G$73,4,FALSE)),"")</f>
        <v/>
      </c>
      <c r="E386" s="15" t="str">
        <f>IF(COUNTIFS(Master_PIC!$A$8:$A$73,$B386)=1,IF(VLOOKUP($B386,Master_PIC!$A$8:$G$73,5,FALSE)="","",VLOOKUP($B386,Master_PIC!$A$8:$G$73,5,FALSE)),"")</f>
        <v/>
      </c>
      <c r="F386" s="15" t="str">
        <f>IF(COUNTIFS(Master_PIC!$A$8:$A$73,$B386)=1,IF(VLOOKUP($B386,Master_PIC!$A$8:$G$73,6,FALSE)="","",VLOOKUP($B386,Master_PIC!$A$8:$G$73,6,FALSE)),"")</f>
        <v/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8"/>
      <c r="Y386" s="5"/>
      <c r="Z386" s="5"/>
      <c r="AA386" s="9"/>
      <c r="AB386" s="5"/>
      <c r="AC386" s="5"/>
      <c r="AD386" s="9"/>
      <c r="AE386" s="5"/>
      <c r="AF386" s="7" t="str">
        <f t="shared" si="35"/>
        <v/>
      </c>
      <c r="AG386" s="7" t="str">
        <f t="shared" si="36"/>
        <v/>
      </c>
      <c r="AH386" s="7" t="str">
        <f t="shared" si="37"/>
        <v/>
      </c>
      <c r="AI386" s="7" t="str">
        <f t="shared" si="38"/>
        <v/>
      </c>
      <c r="AJ386" s="7" t="str">
        <f t="shared" si="39"/>
        <v/>
      </c>
      <c r="AK386" s="7" t="str">
        <f t="shared" si="40"/>
        <v/>
      </c>
      <c r="AL386" s="10" t="str">
        <f t="shared" si="41"/>
        <v/>
      </c>
      <c r="AM386" s="15" t="str">
        <f>IF(OR($A386&lt;&gt;"",$B386&lt;&gt;""),IF(OR($A386="",$B386=""),"Isi tanggal dan ID PIC",IF(NOT(ISNUMBER($A386)),"Tanggal harus berupa tanggal Excel",IF(COUNTIFS(Master_PIC!$A$8:$A$73,$B386)&lt;&gt;1,"ID PIC tidak unik/terdaftar",IF(VLOOKUP($B386,Master_PIC!$A$8:$G$73,3,FALSE)&lt;&gt;"Sales","Jabatan tidak sesuai sheet",IF(OR($C386="",$D386="",$E386="",$F386=""),"Lengkapi master PIC",IF(COUNTIFS($A$8:$A$507,$A386,$B$8:$B$507,$B386)&gt;1,"Laporan ganda",IF(COUNTIFS(G386:P386,"Tidak Berlaku")&gt;0,"N/A hanya untuk kegiatan bersyarat",IF(SUM(AG386,AH386,AI386,AJ386,AK386)&lt;&gt;14,"Status kegiatan tidak valid",IF(AK386&gt;0,"Lengkapi status kegiatan",IF(AND(AJ386&gt;0,U386=""),"Isi alasan Tidak Berlaku",IF(AND(SUM(AH386,AI386)&gt;0,OR(U386="",V386="",W386="",X386="")),"Isi kendala dan tindak lanjut",IF(AND(Z386&lt;&gt;"Draft",Z386&lt;&gt;"Dikirim"),"Isi status laporan yang valid",IF(AND(AB386&lt;&gt;"",AB386&lt;&gt;"Belum Diperiksa",AB386&lt;&gt;"Disetujui",AB386&lt;&gt;"Perlu Perbaikan"),"Hasil review tidak valid",IF(AND(Z386="Dikirim",OR(Y386="",AA386="")),"Isi bukti dan waktu kirim",IF(AND(AB386="Disetujui",OR(Z386&lt;&gt;"Dikirim",AC386="",AD386="")),"Lengkapi pemeriksaan",IF(AND(AB386="Perlu Perbaikan",OR(AE386="",AC386="",AD386="")),"Isi pemeriksa dan catatan perbaikan","OK")))))))))))))))),"")</f>
        <v/>
      </c>
    </row>
    <row r="387" spans="1:39" ht="24.95" customHeight="1">
      <c r="A387" s="8"/>
      <c r="B387" s="6"/>
      <c r="C387" s="15" t="str">
        <f>IF(COUNTIFS(Master_PIC!$A$8:$A$73,$B387)=1,IF(VLOOKUP($B387,Master_PIC!$A$8:$G$73,2,FALSE)="","",VLOOKUP($B387,Master_PIC!$A$8:$G$73,2,FALSE)),"")</f>
        <v/>
      </c>
      <c r="D387" s="15" t="str">
        <f>IF(COUNTIFS(Master_PIC!$A$8:$A$73,$B387)=1,IF(VLOOKUP($B387,Master_PIC!$A$8:$G$73,4,FALSE)="","",VLOOKUP($B387,Master_PIC!$A$8:$G$73,4,FALSE)),"")</f>
        <v/>
      </c>
      <c r="E387" s="15" t="str">
        <f>IF(COUNTIFS(Master_PIC!$A$8:$A$73,$B387)=1,IF(VLOOKUP($B387,Master_PIC!$A$8:$G$73,5,FALSE)="","",VLOOKUP($B387,Master_PIC!$A$8:$G$73,5,FALSE)),"")</f>
        <v/>
      </c>
      <c r="F387" s="15" t="str">
        <f>IF(COUNTIFS(Master_PIC!$A$8:$A$73,$B387)=1,IF(VLOOKUP($B387,Master_PIC!$A$8:$G$73,6,FALSE)="","",VLOOKUP($B387,Master_PIC!$A$8:$G$73,6,FALSE)),"")</f>
        <v/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8"/>
      <c r="Y387" s="5"/>
      <c r="Z387" s="5"/>
      <c r="AA387" s="9"/>
      <c r="AB387" s="5"/>
      <c r="AC387" s="5"/>
      <c r="AD387" s="9"/>
      <c r="AE387" s="5"/>
      <c r="AF387" s="7" t="str">
        <f t="shared" si="35"/>
        <v/>
      </c>
      <c r="AG387" s="7" t="str">
        <f t="shared" si="36"/>
        <v/>
      </c>
      <c r="AH387" s="7" t="str">
        <f t="shared" si="37"/>
        <v/>
      </c>
      <c r="AI387" s="7" t="str">
        <f t="shared" si="38"/>
        <v/>
      </c>
      <c r="AJ387" s="7" t="str">
        <f t="shared" si="39"/>
        <v/>
      </c>
      <c r="AK387" s="7" t="str">
        <f t="shared" si="40"/>
        <v/>
      </c>
      <c r="AL387" s="10" t="str">
        <f t="shared" si="41"/>
        <v/>
      </c>
      <c r="AM387" s="15" t="str">
        <f>IF(OR($A387&lt;&gt;"",$B387&lt;&gt;""),IF(OR($A387="",$B387=""),"Isi tanggal dan ID PIC",IF(NOT(ISNUMBER($A387)),"Tanggal harus berupa tanggal Excel",IF(COUNTIFS(Master_PIC!$A$8:$A$73,$B387)&lt;&gt;1,"ID PIC tidak unik/terdaftar",IF(VLOOKUP($B387,Master_PIC!$A$8:$G$73,3,FALSE)&lt;&gt;"Sales","Jabatan tidak sesuai sheet",IF(OR($C387="",$D387="",$E387="",$F387=""),"Lengkapi master PIC",IF(COUNTIFS($A$8:$A$507,$A387,$B$8:$B$507,$B387)&gt;1,"Laporan ganda",IF(COUNTIFS(G387:P387,"Tidak Berlaku")&gt;0,"N/A hanya untuk kegiatan bersyarat",IF(SUM(AG387,AH387,AI387,AJ387,AK387)&lt;&gt;14,"Status kegiatan tidak valid",IF(AK387&gt;0,"Lengkapi status kegiatan",IF(AND(AJ387&gt;0,U387=""),"Isi alasan Tidak Berlaku",IF(AND(SUM(AH387,AI387)&gt;0,OR(U387="",V387="",W387="",X387="")),"Isi kendala dan tindak lanjut",IF(AND(Z387&lt;&gt;"Draft",Z387&lt;&gt;"Dikirim"),"Isi status laporan yang valid",IF(AND(AB387&lt;&gt;"",AB387&lt;&gt;"Belum Diperiksa",AB387&lt;&gt;"Disetujui",AB387&lt;&gt;"Perlu Perbaikan"),"Hasil review tidak valid",IF(AND(Z387="Dikirim",OR(Y387="",AA387="")),"Isi bukti dan waktu kirim",IF(AND(AB387="Disetujui",OR(Z387&lt;&gt;"Dikirim",AC387="",AD387="")),"Lengkapi pemeriksaan",IF(AND(AB387="Perlu Perbaikan",OR(AE387="",AC387="",AD387="")),"Isi pemeriksa dan catatan perbaikan","OK")))))))))))))))),"")</f>
        <v/>
      </c>
    </row>
    <row r="388" spans="1:39" ht="24.95" customHeight="1">
      <c r="A388" s="8"/>
      <c r="B388" s="6"/>
      <c r="C388" s="15" t="str">
        <f>IF(COUNTIFS(Master_PIC!$A$8:$A$73,$B388)=1,IF(VLOOKUP($B388,Master_PIC!$A$8:$G$73,2,FALSE)="","",VLOOKUP($B388,Master_PIC!$A$8:$G$73,2,FALSE)),"")</f>
        <v/>
      </c>
      <c r="D388" s="15" t="str">
        <f>IF(COUNTIFS(Master_PIC!$A$8:$A$73,$B388)=1,IF(VLOOKUP($B388,Master_PIC!$A$8:$G$73,4,FALSE)="","",VLOOKUP($B388,Master_PIC!$A$8:$G$73,4,FALSE)),"")</f>
        <v/>
      </c>
      <c r="E388" s="15" t="str">
        <f>IF(COUNTIFS(Master_PIC!$A$8:$A$73,$B388)=1,IF(VLOOKUP($B388,Master_PIC!$A$8:$G$73,5,FALSE)="","",VLOOKUP($B388,Master_PIC!$A$8:$G$73,5,FALSE)),"")</f>
        <v/>
      </c>
      <c r="F388" s="15" t="str">
        <f>IF(COUNTIFS(Master_PIC!$A$8:$A$73,$B388)=1,IF(VLOOKUP($B388,Master_PIC!$A$8:$G$73,6,FALSE)="","",VLOOKUP($B388,Master_PIC!$A$8:$G$73,6,FALSE)),"")</f>
        <v/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8"/>
      <c r="Y388" s="5"/>
      <c r="Z388" s="5"/>
      <c r="AA388" s="9"/>
      <c r="AB388" s="5"/>
      <c r="AC388" s="5"/>
      <c r="AD388" s="9"/>
      <c r="AE388" s="5"/>
      <c r="AF388" s="7" t="str">
        <f t="shared" si="35"/>
        <v/>
      </c>
      <c r="AG388" s="7" t="str">
        <f t="shared" si="36"/>
        <v/>
      </c>
      <c r="AH388" s="7" t="str">
        <f t="shared" si="37"/>
        <v/>
      </c>
      <c r="AI388" s="7" t="str">
        <f t="shared" si="38"/>
        <v/>
      </c>
      <c r="AJ388" s="7" t="str">
        <f t="shared" si="39"/>
        <v/>
      </c>
      <c r="AK388" s="7" t="str">
        <f t="shared" si="40"/>
        <v/>
      </c>
      <c r="AL388" s="10" t="str">
        <f t="shared" si="41"/>
        <v/>
      </c>
      <c r="AM388" s="15" t="str">
        <f>IF(OR($A388&lt;&gt;"",$B388&lt;&gt;""),IF(OR($A388="",$B388=""),"Isi tanggal dan ID PIC",IF(NOT(ISNUMBER($A388)),"Tanggal harus berupa tanggal Excel",IF(COUNTIFS(Master_PIC!$A$8:$A$73,$B388)&lt;&gt;1,"ID PIC tidak unik/terdaftar",IF(VLOOKUP($B388,Master_PIC!$A$8:$G$73,3,FALSE)&lt;&gt;"Sales","Jabatan tidak sesuai sheet",IF(OR($C388="",$D388="",$E388="",$F388=""),"Lengkapi master PIC",IF(COUNTIFS($A$8:$A$507,$A388,$B$8:$B$507,$B388)&gt;1,"Laporan ganda",IF(COUNTIFS(G388:P388,"Tidak Berlaku")&gt;0,"N/A hanya untuk kegiatan bersyarat",IF(SUM(AG388,AH388,AI388,AJ388,AK388)&lt;&gt;14,"Status kegiatan tidak valid",IF(AK388&gt;0,"Lengkapi status kegiatan",IF(AND(AJ388&gt;0,U388=""),"Isi alasan Tidak Berlaku",IF(AND(SUM(AH388,AI388)&gt;0,OR(U388="",V388="",W388="",X388="")),"Isi kendala dan tindak lanjut",IF(AND(Z388&lt;&gt;"Draft",Z388&lt;&gt;"Dikirim"),"Isi status laporan yang valid",IF(AND(AB388&lt;&gt;"",AB388&lt;&gt;"Belum Diperiksa",AB388&lt;&gt;"Disetujui",AB388&lt;&gt;"Perlu Perbaikan"),"Hasil review tidak valid",IF(AND(Z388="Dikirim",OR(Y388="",AA388="")),"Isi bukti dan waktu kirim",IF(AND(AB388="Disetujui",OR(Z388&lt;&gt;"Dikirim",AC388="",AD388="")),"Lengkapi pemeriksaan",IF(AND(AB388="Perlu Perbaikan",OR(AE388="",AC388="",AD388="")),"Isi pemeriksa dan catatan perbaikan","OK")))))))))))))))),"")</f>
        <v/>
      </c>
    </row>
    <row r="389" spans="1:39" ht="24.95" customHeight="1">
      <c r="A389" s="8"/>
      <c r="B389" s="6"/>
      <c r="C389" s="15" t="str">
        <f>IF(COUNTIFS(Master_PIC!$A$8:$A$73,$B389)=1,IF(VLOOKUP($B389,Master_PIC!$A$8:$G$73,2,FALSE)="","",VLOOKUP($B389,Master_PIC!$A$8:$G$73,2,FALSE)),"")</f>
        <v/>
      </c>
      <c r="D389" s="15" t="str">
        <f>IF(COUNTIFS(Master_PIC!$A$8:$A$73,$B389)=1,IF(VLOOKUP($B389,Master_PIC!$A$8:$G$73,4,FALSE)="","",VLOOKUP($B389,Master_PIC!$A$8:$G$73,4,FALSE)),"")</f>
        <v/>
      </c>
      <c r="E389" s="15" t="str">
        <f>IF(COUNTIFS(Master_PIC!$A$8:$A$73,$B389)=1,IF(VLOOKUP($B389,Master_PIC!$A$8:$G$73,5,FALSE)="","",VLOOKUP($B389,Master_PIC!$A$8:$G$73,5,FALSE)),"")</f>
        <v/>
      </c>
      <c r="F389" s="15" t="str">
        <f>IF(COUNTIFS(Master_PIC!$A$8:$A$73,$B389)=1,IF(VLOOKUP($B389,Master_PIC!$A$8:$G$73,6,FALSE)="","",VLOOKUP($B389,Master_PIC!$A$8:$G$73,6,FALSE)),"")</f>
        <v/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8"/>
      <c r="Y389" s="5"/>
      <c r="Z389" s="5"/>
      <c r="AA389" s="9"/>
      <c r="AB389" s="5"/>
      <c r="AC389" s="5"/>
      <c r="AD389" s="9"/>
      <c r="AE389" s="5"/>
      <c r="AF389" s="7" t="str">
        <f t="shared" si="35"/>
        <v/>
      </c>
      <c r="AG389" s="7" t="str">
        <f t="shared" si="36"/>
        <v/>
      </c>
      <c r="AH389" s="7" t="str">
        <f t="shared" si="37"/>
        <v/>
      </c>
      <c r="AI389" s="7" t="str">
        <f t="shared" si="38"/>
        <v/>
      </c>
      <c r="AJ389" s="7" t="str">
        <f t="shared" si="39"/>
        <v/>
      </c>
      <c r="AK389" s="7" t="str">
        <f t="shared" si="40"/>
        <v/>
      </c>
      <c r="AL389" s="10" t="str">
        <f t="shared" si="41"/>
        <v/>
      </c>
      <c r="AM389" s="15" t="str">
        <f>IF(OR($A389&lt;&gt;"",$B389&lt;&gt;""),IF(OR($A389="",$B389=""),"Isi tanggal dan ID PIC",IF(NOT(ISNUMBER($A389)),"Tanggal harus berupa tanggal Excel",IF(COUNTIFS(Master_PIC!$A$8:$A$73,$B389)&lt;&gt;1,"ID PIC tidak unik/terdaftar",IF(VLOOKUP($B389,Master_PIC!$A$8:$G$73,3,FALSE)&lt;&gt;"Sales","Jabatan tidak sesuai sheet",IF(OR($C389="",$D389="",$E389="",$F389=""),"Lengkapi master PIC",IF(COUNTIFS($A$8:$A$507,$A389,$B$8:$B$507,$B389)&gt;1,"Laporan ganda",IF(COUNTIFS(G389:P389,"Tidak Berlaku")&gt;0,"N/A hanya untuk kegiatan bersyarat",IF(SUM(AG389,AH389,AI389,AJ389,AK389)&lt;&gt;14,"Status kegiatan tidak valid",IF(AK389&gt;0,"Lengkapi status kegiatan",IF(AND(AJ389&gt;0,U389=""),"Isi alasan Tidak Berlaku",IF(AND(SUM(AH389,AI389)&gt;0,OR(U389="",V389="",W389="",X389="")),"Isi kendala dan tindak lanjut",IF(AND(Z389&lt;&gt;"Draft",Z389&lt;&gt;"Dikirim"),"Isi status laporan yang valid",IF(AND(AB389&lt;&gt;"",AB389&lt;&gt;"Belum Diperiksa",AB389&lt;&gt;"Disetujui",AB389&lt;&gt;"Perlu Perbaikan"),"Hasil review tidak valid",IF(AND(Z389="Dikirim",OR(Y389="",AA389="")),"Isi bukti dan waktu kirim",IF(AND(AB389="Disetujui",OR(Z389&lt;&gt;"Dikirim",AC389="",AD389="")),"Lengkapi pemeriksaan",IF(AND(AB389="Perlu Perbaikan",OR(AE389="",AC389="",AD389="")),"Isi pemeriksa dan catatan perbaikan","OK")))))))))))))))),"")</f>
        <v/>
      </c>
    </row>
    <row r="390" spans="1:39" ht="24.95" customHeight="1">
      <c r="A390" s="8"/>
      <c r="B390" s="6"/>
      <c r="C390" s="15" t="str">
        <f>IF(COUNTIFS(Master_PIC!$A$8:$A$73,$B390)=1,IF(VLOOKUP($B390,Master_PIC!$A$8:$G$73,2,FALSE)="","",VLOOKUP($B390,Master_PIC!$A$8:$G$73,2,FALSE)),"")</f>
        <v/>
      </c>
      <c r="D390" s="15" t="str">
        <f>IF(COUNTIFS(Master_PIC!$A$8:$A$73,$B390)=1,IF(VLOOKUP($B390,Master_PIC!$A$8:$G$73,4,FALSE)="","",VLOOKUP($B390,Master_PIC!$A$8:$G$73,4,FALSE)),"")</f>
        <v/>
      </c>
      <c r="E390" s="15" t="str">
        <f>IF(COUNTIFS(Master_PIC!$A$8:$A$73,$B390)=1,IF(VLOOKUP($B390,Master_PIC!$A$8:$G$73,5,FALSE)="","",VLOOKUP($B390,Master_PIC!$A$8:$G$73,5,FALSE)),"")</f>
        <v/>
      </c>
      <c r="F390" s="15" t="str">
        <f>IF(COUNTIFS(Master_PIC!$A$8:$A$73,$B390)=1,IF(VLOOKUP($B390,Master_PIC!$A$8:$G$73,6,FALSE)="","",VLOOKUP($B390,Master_PIC!$A$8:$G$73,6,FALSE)),"")</f>
        <v/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8"/>
      <c r="Y390" s="5"/>
      <c r="Z390" s="5"/>
      <c r="AA390" s="9"/>
      <c r="AB390" s="5"/>
      <c r="AC390" s="5"/>
      <c r="AD390" s="9"/>
      <c r="AE390" s="5"/>
      <c r="AF390" s="7" t="str">
        <f t="shared" si="35"/>
        <v/>
      </c>
      <c r="AG390" s="7" t="str">
        <f t="shared" si="36"/>
        <v/>
      </c>
      <c r="AH390" s="7" t="str">
        <f t="shared" si="37"/>
        <v/>
      </c>
      <c r="AI390" s="7" t="str">
        <f t="shared" si="38"/>
        <v/>
      </c>
      <c r="AJ390" s="7" t="str">
        <f t="shared" si="39"/>
        <v/>
      </c>
      <c r="AK390" s="7" t="str">
        <f t="shared" si="40"/>
        <v/>
      </c>
      <c r="AL390" s="10" t="str">
        <f t="shared" si="41"/>
        <v/>
      </c>
      <c r="AM390" s="15" t="str">
        <f>IF(OR($A390&lt;&gt;"",$B390&lt;&gt;""),IF(OR($A390="",$B390=""),"Isi tanggal dan ID PIC",IF(NOT(ISNUMBER($A390)),"Tanggal harus berupa tanggal Excel",IF(COUNTIFS(Master_PIC!$A$8:$A$73,$B390)&lt;&gt;1,"ID PIC tidak unik/terdaftar",IF(VLOOKUP($B390,Master_PIC!$A$8:$G$73,3,FALSE)&lt;&gt;"Sales","Jabatan tidak sesuai sheet",IF(OR($C390="",$D390="",$E390="",$F390=""),"Lengkapi master PIC",IF(COUNTIFS($A$8:$A$507,$A390,$B$8:$B$507,$B390)&gt;1,"Laporan ganda",IF(COUNTIFS(G390:P390,"Tidak Berlaku")&gt;0,"N/A hanya untuk kegiatan bersyarat",IF(SUM(AG390,AH390,AI390,AJ390,AK390)&lt;&gt;14,"Status kegiatan tidak valid",IF(AK390&gt;0,"Lengkapi status kegiatan",IF(AND(AJ390&gt;0,U390=""),"Isi alasan Tidak Berlaku",IF(AND(SUM(AH390,AI390)&gt;0,OR(U390="",V390="",W390="",X390="")),"Isi kendala dan tindak lanjut",IF(AND(Z390&lt;&gt;"Draft",Z390&lt;&gt;"Dikirim"),"Isi status laporan yang valid",IF(AND(AB390&lt;&gt;"",AB390&lt;&gt;"Belum Diperiksa",AB390&lt;&gt;"Disetujui",AB390&lt;&gt;"Perlu Perbaikan"),"Hasil review tidak valid",IF(AND(Z390="Dikirim",OR(Y390="",AA390="")),"Isi bukti dan waktu kirim",IF(AND(AB390="Disetujui",OR(Z390&lt;&gt;"Dikirim",AC390="",AD390="")),"Lengkapi pemeriksaan",IF(AND(AB390="Perlu Perbaikan",OR(AE390="",AC390="",AD390="")),"Isi pemeriksa dan catatan perbaikan","OK")))))))))))))))),"")</f>
        <v/>
      </c>
    </row>
    <row r="391" spans="1:39" ht="24.95" customHeight="1">
      <c r="A391" s="8"/>
      <c r="B391" s="6"/>
      <c r="C391" s="15" t="str">
        <f>IF(COUNTIFS(Master_PIC!$A$8:$A$73,$B391)=1,IF(VLOOKUP($B391,Master_PIC!$A$8:$G$73,2,FALSE)="","",VLOOKUP($B391,Master_PIC!$A$8:$G$73,2,FALSE)),"")</f>
        <v/>
      </c>
      <c r="D391" s="15" t="str">
        <f>IF(COUNTIFS(Master_PIC!$A$8:$A$73,$B391)=1,IF(VLOOKUP($B391,Master_PIC!$A$8:$G$73,4,FALSE)="","",VLOOKUP($B391,Master_PIC!$A$8:$G$73,4,FALSE)),"")</f>
        <v/>
      </c>
      <c r="E391" s="15" t="str">
        <f>IF(COUNTIFS(Master_PIC!$A$8:$A$73,$B391)=1,IF(VLOOKUP($B391,Master_PIC!$A$8:$G$73,5,FALSE)="","",VLOOKUP($B391,Master_PIC!$A$8:$G$73,5,FALSE)),"")</f>
        <v/>
      </c>
      <c r="F391" s="15" t="str">
        <f>IF(COUNTIFS(Master_PIC!$A$8:$A$73,$B391)=1,IF(VLOOKUP($B391,Master_PIC!$A$8:$G$73,6,FALSE)="","",VLOOKUP($B391,Master_PIC!$A$8:$G$73,6,FALSE)),"")</f>
        <v/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8"/>
      <c r="Y391" s="5"/>
      <c r="Z391" s="5"/>
      <c r="AA391" s="9"/>
      <c r="AB391" s="5"/>
      <c r="AC391" s="5"/>
      <c r="AD391" s="9"/>
      <c r="AE391" s="5"/>
      <c r="AF391" s="7" t="str">
        <f t="shared" si="35"/>
        <v/>
      </c>
      <c r="AG391" s="7" t="str">
        <f t="shared" si="36"/>
        <v/>
      </c>
      <c r="AH391" s="7" t="str">
        <f t="shared" si="37"/>
        <v/>
      </c>
      <c r="AI391" s="7" t="str">
        <f t="shared" si="38"/>
        <v/>
      </c>
      <c r="AJ391" s="7" t="str">
        <f t="shared" si="39"/>
        <v/>
      </c>
      <c r="AK391" s="7" t="str">
        <f t="shared" si="40"/>
        <v/>
      </c>
      <c r="AL391" s="10" t="str">
        <f t="shared" si="41"/>
        <v/>
      </c>
      <c r="AM391" s="15" t="str">
        <f>IF(OR($A391&lt;&gt;"",$B391&lt;&gt;""),IF(OR($A391="",$B391=""),"Isi tanggal dan ID PIC",IF(NOT(ISNUMBER($A391)),"Tanggal harus berupa tanggal Excel",IF(COUNTIFS(Master_PIC!$A$8:$A$73,$B391)&lt;&gt;1,"ID PIC tidak unik/terdaftar",IF(VLOOKUP($B391,Master_PIC!$A$8:$G$73,3,FALSE)&lt;&gt;"Sales","Jabatan tidak sesuai sheet",IF(OR($C391="",$D391="",$E391="",$F391=""),"Lengkapi master PIC",IF(COUNTIFS($A$8:$A$507,$A391,$B$8:$B$507,$B391)&gt;1,"Laporan ganda",IF(COUNTIFS(G391:P391,"Tidak Berlaku")&gt;0,"N/A hanya untuk kegiatan bersyarat",IF(SUM(AG391,AH391,AI391,AJ391,AK391)&lt;&gt;14,"Status kegiatan tidak valid",IF(AK391&gt;0,"Lengkapi status kegiatan",IF(AND(AJ391&gt;0,U391=""),"Isi alasan Tidak Berlaku",IF(AND(SUM(AH391,AI391)&gt;0,OR(U391="",V391="",W391="",X391="")),"Isi kendala dan tindak lanjut",IF(AND(Z391&lt;&gt;"Draft",Z391&lt;&gt;"Dikirim"),"Isi status laporan yang valid",IF(AND(AB391&lt;&gt;"",AB391&lt;&gt;"Belum Diperiksa",AB391&lt;&gt;"Disetujui",AB391&lt;&gt;"Perlu Perbaikan"),"Hasil review tidak valid",IF(AND(Z391="Dikirim",OR(Y391="",AA391="")),"Isi bukti dan waktu kirim",IF(AND(AB391="Disetujui",OR(Z391&lt;&gt;"Dikirim",AC391="",AD391="")),"Lengkapi pemeriksaan",IF(AND(AB391="Perlu Perbaikan",OR(AE391="",AC391="",AD391="")),"Isi pemeriksa dan catatan perbaikan","OK")))))))))))))))),"")</f>
        <v/>
      </c>
    </row>
    <row r="392" spans="1:39" ht="24.95" customHeight="1">
      <c r="A392" s="8"/>
      <c r="B392" s="6"/>
      <c r="C392" s="15" t="str">
        <f>IF(COUNTIFS(Master_PIC!$A$8:$A$73,$B392)=1,IF(VLOOKUP($B392,Master_PIC!$A$8:$G$73,2,FALSE)="","",VLOOKUP($B392,Master_PIC!$A$8:$G$73,2,FALSE)),"")</f>
        <v/>
      </c>
      <c r="D392" s="15" t="str">
        <f>IF(COUNTIFS(Master_PIC!$A$8:$A$73,$B392)=1,IF(VLOOKUP($B392,Master_PIC!$A$8:$G$73,4,FALSE)="","",VLOOKUP($B392,Master_PIC!$A$8:$G$73,4,FALSE)),"")</f>
        <v/>
      </c>
      <c r="E392" s="15" t="str">
        <f>IF(COUNTIFS(Master_PIC!$A$8:$A$73,$B392)=1,IF(VLOOKUP($B392,Master_PIC!$A$8:$G$73,5,FALSE)="","",VLOOKUP($B392,Master_PIC!$A$8:$G$73,5,FALSE)),"")</f>
        <v/>
      </c>
      <c r="F392" s="15" t="str">
        <f>IF(COUNTIFS(Master_PIC!$A$8:$A$73,$B392)=1,IF(VLOOKUP($B392,Master_PIC!$A$8:$G$73,6,FALSE)="","",VLOOKUP($B392,Master_PIC!$A$8:$G$73,6,FALSE)),"")</f>
        <v/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8"/>
      <c r="Y392" s="5"/>
      <c r="Z392" s="5"/>
      <c r="AA392" s="9"/>
      <c r="AB392" s="5"/>
      <c r="AC392" s="5"/>
      <c r="AD392" s="9"/>
      <c r="AE392" s="5"/>
      <c r="AF392" s="7" t="str">
        <f t="shared" ref="AF392:AF455" si="42">IF(OR($A392&lt;&gt;"",$B392&lt;&gt;""),14-AJ392,"")</f>
        <v/>
      </c>
      <c r="AG392" s="7" t="str">
        <f t="shared" ref="AG392:AG455" si="43">IF(OR($A392&lt;&gt;"",$B392&lt;&gt;""),COUNTIFS(G392:T392,"Selesai"),"")</f>
        <v/>
      </c>
      <c r="AH392" s="7" t="str">
        <f t="shared" ref="AH392:AH455" si="44">IF(OR($A392&lt;&gt;"",$B392&lt;&gt;""),COUNTIFS(G392:T392,"Proses"),"")</f>
        <v/>
      </c>
      <c r="AI392" s="7" t="str">
        <f t="shared" ref="AI392:AI455" si="45">IF(OR($A392&lt;&gt;"",$B392&lt;&gt;""),COUNTIFS(G392:T392,"Belum"),"")</f>
        <v/>
      </c>
      <c r="AJ392" s="7" t="str">
        <f t="shared" ref="AJ392:AJ455" si="46">IF(OR($A392&lt;&gt;"",$B392&lt;&gt;""),COUNTIFS(G392:T392,"Tidak Berlaku"),"")</f>
        <v/>
      </c>
      <c r="AK392" s="7" t="str">
        <f t="shared" ref="AK392:AK455" si="47">IF(OR($A392&lt;&gt;"",$B392&lt;&gt;""),COUNTBLANK(G392:T392),"")</f>
        <v/>
      </c>
      <c r="AL392" s="10" t="str">
        <f t="shared" ref="AL392:AL455" si="48">IF(OR($A392&lt;&gt;"",$B392&lt;&gt;""),IF(AF392=0,"n.a.",AG392/AF392),"")</f>
        <v/>
      </c>
      <c r="AM392" s="15" t="str">
        <f>IF(OR($A392&lt;&gt;"",$B392&lt;&gt;""),IF(OR($A392="",$B392=""),"Isi tanggal dan ID PIC",IF(NOT(ISNUMBER($A392)),"Tanggal harus berupa tanggal Excel",IF(COUNTIFS(Master_PIC!$A$8:$A$73,$B392)&lt;&gt;1,"ID PIC tidak unik/terdaftar",IF(VLOOKUP($B392,Master_PIC!$A$8:$G$73,3,FALSE)&lt;&gt;"Sales","Jabatan tidak sesuai sheet",IF(OR($C392="",$D392="",$E392="",$F392=""),"Lengkapi master PIC",IF(COUNTIFS($A$8:$A$507,$A392,$B$8:$B$507,$B392)&gt;1,"Laporan ganda",IF(COUNTIFS(G392:P392,"Tidak Berlaku")&gt;0,"N/A hanya untuk kegiatan bersyarat",IF(SUM(AG392,AH392,AI392,AJ392,AK392)&lt;&gt;14,"Status kegiatan tidak valid",IF(AK392&gt;0,"Lengkapi status kegiatan",IF(AND(AJ392&gt;0,U392=""),"Isi alasan Tidak Berlaku",IF(AND(SUM(AH392,AI392)&gt;0,OR(U392="",V392="",W392="",X392="")),"Isi kendala dan tindak lanjut",IF(AND(Z392&lt;&gt;"Draft",Z392&lt;&gt;"Dikirim"),"Isi status laporan yang valid",IF(AND(AB392&lt;&gt;"",AB392&lt;&gt;"Belum Diperiksa",AB392&lt;&gt;"Disetujui",AB392&lt;&gt;"Perlu Perbaikan"),"Hasil review tidak valid",IF(AND(Z392="Dikirim",OR(Y392="",AA392="")),"Isi bukti dan waktu kirim",IF(AND(AB392="Disetujui",OR(Z392&lt;&gt;"Dikirim",AC392="",AD392="")),"Lengkapi pemeriksaan",IF(AND(AB392="Perlu Perbaikan",OR(AE392="",AC392="",AD392="")),"Isi pemeriksa dan catatan perbaikan","OK")))))))))))))))),"")</f>
        <v/>
      </c>
    </row>
    <row r="393" spans="1:39" ht="24.95" customHeight="1">
      <c r="A393" s="8"/>
      <c r="B393" s="6"/>
      <c r="C393" s="15" t="str">
        <f>IF(COUNTIFS(Master_PIC!$A$8:$A$73,$B393)=1,IF(VLOOKUP($B393,Master_PIC!$A$8:$G$73,2,FALSE)="","",VLOOKUP($B393,Master_PIC!$A$8:$G$73,2,FALSE)),"")</f>
        <v/>
      </c>
      <c r="D393" s="15" t="str">
        <f>IF(COUNTIFS(Master_PIC!$A$8:$A$73,$B393)=1,IF(VLOOKUP($B393,Master_PIC!$A$8:$G$73,4,FALSE)="","",VLOOKUP($B393,Master_PIC!$A$8:$G$73,4,FALSE)),"")</f>
        <v/>
      </c>
      <c r="E393" s="15" t="str">
        <f>IF(COUNTIFS(Master_PIC!$A$8:$A$73,$B393)=1,IF(VLOOKUP($B393,Master_PIC!$A$8:$G$73,5,FALSE)="","",VLOOKUP($B393,Master_PIC!$A$8:$G$73,5,FALSE)),"")</f>
        <v/>
      </c>
      <c r="F393" s="15" t="str">
        <f>IF(COUNTIFS(Master_PIC!$A$8:$A$73,$B393)=1,IF(VLOOKUP($B393,Master_PIC!$A$8:$G$73,6,FALSE)="","",VLOOKUP($B393,Master_PIC!$A$8:$G$73,6,FALSE)),"")</f>
        <v/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8"/>
      <c r="Y393" s="5"/>
      <c r="Z393" s="5"/>
      <c r="AA393" s="9"/>
      <c r="AB393" s="5"/>
      <c r="AC393" s="5"/>
      <c r="AD393" s="9"/>
      <c r="AE393" s="5"/>
      <c r="AF393" s="7" t="str">
        <f t="shared" si="42"/>
        <v/>
      </c>
      <c r="AG393" s="7" t="str">
        <f t="shared" si="43"/>
        <v/>
      </c>
      <c r="AH393" s="7" t="str">
        <f t="shared" si="44"/>
        <v/>
      </c>
      <c r="AI393" s="7" t="str">
        <f t="shared" si="45"/>
        <v/>
      </c>
      <c r="AJ393" s="7" t="str">
        <f t="shared" si="46"/>
        <v/>
      </c>
      <c r="AK393" s="7" t="str">
        <f t="shared" si="47"/>
        <v/>
      </c>
      <c r="AL393" s="10" t="str">
        <f t="shared" si="48"/>
        <v/>
      </c>
      <c r="AM393" s="15" t="str">
        <f>IF(OR($A393&lt;&gt;"",$B393&lt;&gt;""),IF(OR($A393="",$B393=""),"Isi tanggal dan ID PIC",IF(NOT(ISNUMBER($A393)),"Tanggal harus berupa tanggal Excel",IF(COUNTIFS(Master_PIC!$A$8:$A$73,$B393)&lt;&gt;1,"ID PIC tidak unik/terdaftar",IF(VLOOKUP($B393,Master_PIC!$A$8:$G$73,3,FALSE)&lt;&gt;"Sales","Jabatan tidak sesuai sheet",IF(OR($C393="",$D393="",$E393="",$F393=""),"Lengkapi master PIC",IF(COUNTIFS($A$8:$A$507,$A393,$B$8:$B$507,$B393)&gt;1,"Laporan ganda",IF(COUNTIFS(G393:P393,"Tidak Berlaku")&gt;0,"N/A hanya untuk kegiatan bersyarat",IF(SUM(AG393,AH393,AI393,AJ393,AK393)&lt;&gt;14,"Status kegiatan tidak valid",IF(AK393&gt;0,"Lengkapi status kegiatan",IF(AND(AJ393&gt;0,U393=""),"Isi alasan Tidak Berlaku",IF(AND(SUM(AH393,AI393)&gt;0,OR(U393="",V393="",W393="",X393="")),"Isi kendala dan tindak lanjut",IF(AND(Z393&lt;&gt;"Draft",Z393&lt;&gt;"Dikirim"),"Isi status laporan yang valid",IF(AND(AB393&lt;&gt;"",AB393&lt;&gt;"Belum Diperiksa",AB393&lt;&gt;"Disetujui",AB393&lt;&gt;"Perlu Perbaikan"),"Hasil review tidak valid",IF(AND(Z393="Dikirim",OR(Y393="",AA393="")),"Isi bukti dan waktu kirim",IF(AND(AB393="Disetujui",OR(Z393&lt;&gt;"Dikirim",AC393="",AD393="")),"Lengkapi pemeriksaan",IF(AND(AB393="Perlu Perbaikan",OR(AE393="",AC393="",AD393="")),"Isi pemeriksa dan catatan perbaikan","OK")))))))))))))))),"")</f>
        <v/>
      </c>
    </row>
    <row r="394" spans="1:39" ht="24.95" customHeight="1">
      <c r="A394" s="8"/>
      <c r="B394" s="6"/>
      <c r="C394" s="15" t="str">
        <f>IF(COUNTIFS(Master_PIC!$A$8:$A$73,$B394)=1,IF(VLOOKUP($B394,Master_PIC!$A$8:$G$73,2,FALSE)="","",VLOOKUP($B394,Master_PIC!$A$8:$G$73,2,FALSE)),"")</f>
        <v/>
      </c>
      <c r="D394" s="15" t="str">
        <f>IF(COUNTIFS(Master_PIC!$A$8:$A$73,$B394)=1,IF(VLOOKUP($B394,Master_PIC!$A$8:$G$73,4,FALSE)="","",VLOOKUP($B394,Master_PIC!$A$8:$G$73,4,FALSE)),"")</f>
        <v/>
      </c>
      <c r="E394" s="15" t="str">
        <f>IF(COUNTIFS(Master_PIC!$A$8:$A$73,$B394)=1,IF(VLOOKUP($B394,Master_PIC!$A$8:$G$73,5,FALSE)="","",VLOOKUP($B394,Master_PIC!$A$8:$G$73,5,FALSE)),"")</f>
        <v/>
      </c>
      <c r="F394" s="15" t="str">
        <f>IF(COUNTIFS(Master_PIC!$A$8:$A$73,$B394)=1,IF(VLOOKUP($B394,Master_PIC!$A$8:$G$73,6,FALSE)="","",VLOOKUP($B394,Master_PIC!$A$8:$G$73,6,FALSE)),"")</f>
        <v/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8"/>
      <c r="Y394" s="5"/>
      <c r="Z394" s="5"/>
      <c r="AA394" s="9"/>
      <c r="AB394" s="5"/>
      <c r="AC394" s="5"/>
      <c r="AD394" s="9"/>
      <c r="AE394" s="5"/>
      <c r="AF394" s="7" t="str">
        <f t="shared" si="42"/>
        <v/>
      </c>
      <c r="AG394" s="7" t="str">
        <f t="shared" si="43"/>
        <v/>
      </c>
      <c r="AH394" s="7" t="str">
        <f t="shared" si="44"/>
        <v/>
      </c>
      <c r="AI394" s="7" t="str">
        <f t="shared" si="45"/>
        <v/>
      </c>
      <c r="AJ394" s="7" t="str">
        <f t="shared" si="46"/>
        <v/>
      </c>
      <c r="AK394" s="7" t="str">
        <f t="shared" si="47"/>
        <v/>
      </c>
      <c r="AL394" s="10" t="str">
        <f t="shared" si="48"/>
        <v/>
      </c>
      <c r="AM394" s="15" t="str">
        <f>IF(OR($A394&lt;&gt;"",$B394&lt;&gt;""),IF(OR($A394="",$B394=""),"Isi tanggal dan ID PIC",IF(NOT(ISNUMBER($A394)),"Tanggal harus berupa tanggal Excel",IF(COUNTIFS(Master_PIC!$A$8:$A$73,$B394)&lt;&gt;1,"ID PIC tidak unik/terdaftar",IF(VLOOKUP($B394,Master_PIC!$A$8:$G$73,3,FALSE)&lt;&gt;"Sales","Jabatan tidak sesuai sheet",IF(OR($C394="",$D394="",$E394="",$F394=""),"Lengkapi master PIC",IF(COUNTIFS($A$8:$A$507,$A394,$B$8:$B$507,$B394)&gt;1,"Laporan ganda",IF(COUNTIFS(G394:P394,"Tidak Berlaku")&gt;0,"N/A hanya untuk kegiatan bersyarat",IF(SUM(AG394,AH394,AI394,AJ394,AK394)&lt;&gt;14,"Status kegiatan tidak valid",IF(AK394&gt;0,"Lengkapi status kegiatan",IF(AND(AJ394&gt;0,U394=""),"Isi alasan Tidak Berlaku",IF(AND(SUM(AH394,AI394)&gt;0,OR(U394="",V394="",W394="",X394="")),"Isi kendala dan tindak lanjut",IF(AND(Z394&lt;&gt;"Draft",Z394&lt;&gt;"Dikirim"),"Isi status laporan yang valid",IF(AND(AB394&lt;&gt;"",AB394&lt;&gt;"Belum Diperiksa",AB394&lt;&gt;"Disetujui",AB394&lt;&gt;"Perlu Perbaikan"),"Hasil review tidak valid",IF(AND(Z394="Dikirim",OR(Y394="",AA394="")),"Isi bukti dan waktu kirim",IF(AND(AB394="Disetujui",OR(Z394&lt;&gt;"Dikirim",AC394="",AD394="")),"Lengkapi pemeriksaan",IF(AND(AB394="Perlu Perbaikan",OR(AE394="",AC394="",AD394="")),"Isi pemeriksa dan catatan perbaikan","OK")))))))))))))))),"")</f>
        <v/>
      </c>
    </row>
    <row r="395" spans="1:39" ht="24.95" customHeight="1">
      <c r="A395" s="8"/>
      <c r="B395" s="6"/>
      <c r="C395" s="15" t="str">
        <f>IF(COUNTIFS(Master_PIC!$A$8:$A$73,$B395)=1,IF(VLOOKUP($B395,Master_PIC!$A$8:$G$73,2,FALSE)="","",VLOOKUP($B395,Master_PIC!$A$8:$G$73,2,FALSE)),"")</f>
        <v/>
      </c>
      <c r="D395" s="15" t="str">
        <f>IF(COUNTIFS(Master_PIC!$A$8:$A$73,$B395)=1,IF(VLOOKUP($B395,Master_PIC!$A$8:$G$73,4,FALSE)="","",VLOOKUP($B395,Master_PIC!$A$8:$G$73,4,FALSE)),"")</f>
        <v/>
      </c>
      <c r="E395" s="15" t="str">
        <f>IF(COUNTIFS(Master_PIC!$A$8:$A$73,$B395)=1,IF(VLOOKUP($B395,Master_PIC!$A$8:$G$73,5,FALSE)="","",VLOOKUP($B395,Master_PIC!$A$8:$G$73,5,FALSE)),"")</f>
        <v/>
      </c>
      <c r="F395" s="15" t="str">
        <f>IF(COUNTIFS(Master_PIC!$A$8:$A$73,$B395)=1,IF(VLOOKUP($B395,Master_PIC!$A$8:$G$73,6,FALSE)="","",VLOOKUP($B395,Master_PIC!$A$8:$G$73,6,FALSE)),"")</f>
        <v/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8"/>
      <c r="Y395" s="5"/>
      <c r="Z395" s="5"/>
      <c r="AA395" s="9"/>
      <c r="AB395" s="5"/>
      <c r="AC395" s="5"/>
      <c r="AD395" s="9"/>
      <c r="AE395" s="5"/>
      <c r="AF395" s="7" t="str">
        <f t="shared" si="42"/>
        <v/>
      </c>
      <c r="AG395" s="7" t="str">
        <f t="shared" si="43"/>
        <v/>
      </c>
      <c r="AH395" s="7" t="str">
        <f t="shared" si="44"/>
        <v/>
      </c>
      <c r="AI395" s="7" t="str">
        <f t="shared" si="45"/>
        <v/>
      </c>
      <c r="AJ395" s="7" t="str">
        <f t="shared" si="46"/>
        <v/>
      </c>
      <c r="AK395" s="7" t="str">
        <f t="shared" si="47"/>
        <v/>
      </c>
      <c r="AL395" s="10" t="str">
        <f t="shared" si="48"/>
        <v/>
      </c>
      <c r="AM395" s="15" t="str">
        <f>IF(OR($A395&lt;&gt;"",$B395&lt;&gt;""),IF(OR($A395="",$B395=""),"Isi tanggal dan ID PIC",IF(NOT(ISNUMBER($A395)),"Tanggal harus berupa tanggal Excel",IF(COUNTIFS(Master_PIC!$A$8:$A$73,$B395)&lt;&gt;1,"ID PIC tidak unik/terdaftar",IF(VLOOKUP($B395,Master_PIC!$A$8:$G$73,3,FALSE)&lt;&gt;"Sales","Jabatan tidak sesuai sheet",IF(OR($C395="",$D395="",$E395="",$F395=""),"Lengkapi master PIC",IF(COUNTIFS($A$8:$A$507,$A395,$B$8:$B$507,$B395)&gt;1,"Laporan ganda",IF(COUNTIFS(G395:P395,"Tidak Berlaku")&gt;0,"N/A hanya untuk kegiatan bersyarat",IF(SUM(AG395,AH395,AI395,AJ395,AK395)&lt;&gt;14,"Status kegiatan tidak valid",IF(AK395&gt;0,"Lengkapi status kegiatan",IF(AND(AJ395&gt;0,U395=""),"Isi alasan Tidak Berlaku",IF(AND(SUM(AH395,AI395)&gt;0,OR(U395="",V395="",W395="",X395="")),"Isi kendala dan tindak lanjut",IF(AND(Z395&lt;&gt;"Draft",Z395&lt;&gt;"Dikirim"),"Isi status laporan yang valid",IF(AND(AB395&lt;&gt;"",AB395&lt;&gt;"Belum Diperiksa",AB395&lt;&gt;"Disetujui",AB395&lt;&gt;"Perlu Perbaikan"),"Hasil review tidak valid",IF(AND(Z395="Dikirim",OR(Y395="",AA395="")),"Isi bukti dan waktu kirim",IF(AND(AB395="Disetujui",OR(Z395&lt;&gt;"Dikirim",AC395="",AD395="")),"Lengkapi pemeriksaan",IF(AND(AB395="Perlu Perbaikan",OR(AE395="",AC395="",AD395="")),"Isi pemeriksa dan catatan perbaikan","OK")))))))))))))))),"")</f>
        <v/>
      </c>
    </row>
    <row r="396" spans="1:39" ht="24.95" customHeight="1">
      <c r="A396" s="8"/>
      <c r="B396" s="6"/>
      <c r="C396" s="15" t="str">
        <f>IF(COUNTIFS(Master_PIC!$A$8:$A$73,$B396)=1,IF(VLOOKUP($B396,Master_PIC!$A$8:$G$73,2,FALSE)="","",VLOOKUP($B396,Master_PIC!$A$8:$G$73,2,FALSE)),"")</f>
        <v/>
      </c>
      <c r="D396" s="15" t="str">
        <f>IF(COUNTIFS(Master_PIC!$A$8:$A$73,$B396)=1,IF(VLOOKUP($B396,Master_PIC!$A$8:$G$73,4,FALSE)="","",VLOOKUP($B396,Master_PIC!$A$8:$G$73,4,FALSE)),"")</f>
        <v/>
      </c>
      <c r="E396" s="15" t="str">
        <f>IF(COUNTIFS(Master_PIC!$A$8:$A$73,$B396)=1,IF(VLOOKUP($B396,Master_PIC!$A$8:$G$73,5,FALSE)="","",VLOOKUP($B396,Master_PIC!$A$8:$G$73,5,FALSE)),"")</f>
        <v/>
      </c>
      <c r="F396" s="15" t="str">
        <f>IF(COUNTIFS(Master_PIC!$A$8:$A$73,$B396)=1,IF(VLOOKUP($B396,Master_PIC!$A$8:$G$73,6,FALSE)="","",VLOOKUP($B396,Master_PIC!$A$8:$G$73,6,FALSE)),"")</f>
        <v/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8"/>
      <c r="Y396" s="5"/>
      <c r="Z396" s="5"/>
      <c r="AA396" s="9"/>
      <c r="AB396" s="5"/>
      <c r="AC396" s="5"/>
      <c r="AD396" s="9"/>
      <c r="AE396" s="5"/>
      <c r="AF396" s="7" t="str">
        <f t="shared" si="42"/>
        <v/>
      </c>
      <c r="AG396" s="7" t="str">
        <f t="shared" si="43"/>
        <v/>
      </c>
      <c r="AH396" s="7" t="str">
        <f t="shared" si="44"/>
        <v/>
      </c>
      <c r="AI396" s="7" t="str">
        <f t="shared" si="45"/>
        <v/>
      </c>
      <c r="AJ396" s="7" t="str">
        <f t="shared" si="46"/>
        <v/>
      </c>
      <c r="AK396" s="7" t="str">
        <f t="shared" si="47"/>
        <v/>
      </c>
      <c r="AL396" s="10" t="str">
        <f t="shared" si="48"/>
        <v/>
      </c>
      <c r="AM396" s="15" t="str">
        <f>IF(OR($A396&lt;&gt;"",$B396&lt;&gt;""),IF(OR($A396="",$B396=""),"Isi tanggal dan ID PIC",IF(NOT(ISNUMBER($A396)),"Tanggal harus berupa tanggal Excel",IF(COUNTIFS(Master_PIC!$A$8:$A$73,$B396)&lt;&gt;1,"ID PIC tidak unik/terdaftar",IF(VLOOKUP($B396,Master_PIC!$A$8:$G$73,3,FALSE)&lt;&gt;"Sales","Jabatan tidak sesuai sheet",IF(OR($C396="",$D396="",$E396="",$F396=""),"Lengkapi master PIC",IF(COUNTIFS($A$8:$A$507,$A396,$B$8:$B$507,$B396)&gt;1,"Laporan ganda",IF(COUNTIFS(G396:P396,"Tidak Berlaku")&gt;0,"N/A hanya untuk kegiatan bersyarat",IF(SUM(AG396,AH396,AI396,AJ396,AK396)&lt;&gt;14,"Status kegiatan tidak valid",IF(AK396&gt;0,"Lengkapi status kegiatan",IF(AND(AJ396&gt;0,U396=""),"Isi alasan Tidak Berlaku",IF(AND(SUM(AH396,AI396)&gt;0,OR(U396="",V396="",W396="",X396="")),"Isi kendala dan tindak lanjut",IF(AND(Z396&lt;&gt;"Draft",Z396&lt;&gt;"Dikirim"),"Isi status laporan yang valid",IF(AND(AB396&lt;&gt;"",AB396&lt;&gt;"Belum Diperiksa",AB396&lt;&gt;"Disetujui",AB396&lt;&gt;"Perlu Perbaikan"),"Hasil review tidak valid",IF(AND(Z396="Dikirim",OR(Y396="",AA396="")),"Isi bukti dan waktu kirim",IF(AND(AB396="Disetujui",OR(Z396&lt;&gt;"Dikirim",AC396="",AD396="")),"Lengkapi pemeriksaan",IF(AND(AB396="Perlu Perbaikan",OR(AE396="",AC396="",AD396="")),"Isi pemeriksa dan catatan perbaikan","OK")))))))))))))))),"")</f>
        <v/>
      </c>
    </row>
    <row r="397" spans="1:39" ht="24.95" customHeight="1">
      <c r="A397" s="8"/>
      <c r="B397" s="6"/>
      <c r="C397" s="15" t="str">
        <f>IF(COUNTIFS(Master_PIC!$A$8:$A$73,$B397)=1,IF(VLOOKUP($B397,Master_PIC!$A$8:$G$73,2,FALSE)="","",VLOOKUP($B397,Master_PIC!$A$8:$G$73,2,FALSE)),"")</f>
        <v/>
      </c>
      <c r="D397" s="15" t="str">
        <f>IF(COUNTIFS(Master_PIC!$A$8:$A$73,$B397)=1,IF(VLOOKUP($B397,Master_PIC!$A$8:$G$73,4,FALSE)="","",VLOOKUP($B397,Master_PIC!$A$8:$G$73,4,FALSE)),"")</f>
        <v/>
      </c>
      <c r="E397" s="15" t="str">
        <f>IF(COUNTIFS(Master_PIC!$A$8:$A$73,$B397)=1,IF(VLOOKUP($B397,Master_PIC!$A$8:$G$73,5,FALSE)="","",VLOOKUP($B397,Master_PIC!$A$8:$G$73,5,FALSE)),"")</f>
        <v/>
      </c>
      <c r="F397" s="15" t="str">
        <f>IF(COUNTIFS(Master_PIC!$A$8:$A$73,$B397)=1,IF(VLOOKUP($B397,Master_PIC!$A$8:$G$73,6,FALSE)="","",VLOOKUP($B397,Master_PIC!$A$8:$G$73,6,FALSE)),"")</f>
        <v/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8"/>
      <c r="Y397" s="5"/>
      <c r="Z397" s="5"/>
      <c r="AA397" s="9"/>
      <c r="AB397" s="5"/>
      <c r="AC397" s="5"/>
      <c r="AD397" s="9"/>
      <c r="AE397" s="5"/>
      <c r="AF397" s="7" t="str">
        <f t="shared" si="42"/>
        <v/>
      </c>
      <c r="AG397" s="7" t="str">
        <f t="shared" si="43"/>
        <v/>
      </c>
      <c r="AH397" s="7" t="str">
        <f t="shared" si="44"/>
        <v/>
      </c>
      <c r="AI397" s="7" t="str">
        <f t="shared" si="45"/>
        <v/>
      </c>
      <c r="AJ397" s="7" t="str">
        <f t="shared" si="46"/>
        <v/>
      </c>
      <c r="AK397" s="7" t="str">
        <f t="shared" si="47"/>
        <v/>
      </c>
      <c r="AL397" s="10" t="str">
        <f t="shared" si="48"/>
        <v/>
      </c>
      <c r="AM397" s="15" t="str">
        <f>IF(OR($A397&lt;&gt;"",$B397&lt;&gt;""),IF(OR($A397="",$B397=""),"Isi tanggal dan ID PIC",IF(NOT(ISNUMBER($A397)),"Tanggal harus berupa tanggal Excel",IF(COUNTIFS(Master_PIC!$A$8:$A$73,$B397)&lt;&gt;1,"ID PIC tidak unik/terdaftar",IF(VLOOKUP($B397,Master_PIC!$A$8:$G$73,3,FALSE)&lt;&gt;"Sales","Jabatan tidak sesuai sheet",IF(OR($C397="",$D397="",$E397="",$F397=""),"Lengkapi master PIC",IF(COUNTIFS($A$8:$A$507,$A397,$B$8:$B$507,$B397)&gt;1,"Laporan ganda",IF(COUNTIFS(G397:P397,"Tidak Berlaku")&gt;0,"N/A hanya untuk kegiatan bersyarat",IF(SUM(AG397,AH397,AI397,AJ397,AK397)&lt;&gt;14,"Status kegiatan tidak valid",IF(AK397&gt;0,"Lengkapi status kegiatan",IF(AND(AJ397&gt;0,U397=""),"Isi alasan Tidak Berlaku",IF(AND(SUM(AH397,AI397)&gt;0,OR(U397="",V397="",W397="",X397="")),"Isi kendala dan tindak lanjut",IF(AND(Z397&lt;&gt;"Draft",Z397&lt;&gt;"Dikirim"),"Isi status laporan yang valid",IF(AND(AB397&lt;&gt;"",AB397&lt;&gt;"Belum Diperiksa",AB397&lt;&gt;"Disetujui",AB397&lt;&gt;"Perlu Perbaikan"),"Hasil review tidak valid",IF(AND(Z397="Dikirim",OR(Y397="",AA397="")),"Isi bukti dan waktu kirim",IF(AND(AB397="Disetujui",OR(Z397&lt;&gt;"Dikirim",AC397="",AD397="")),"Lengkapi pemeriksaan",IF(AND(AB397="Perlu Perbaikan",OR(AE397="",AC397="",AD397="")),"Isi pemeriksa dan catatan perbaikan","OK")))))))))))))))),"")</f>
        <v/>
      </c>
    </row>
    <row r="398" spans="1:39" ht="24.95" customHeight="1">
      <c r="A398" s="8"/>
      <c r="B398" s="6"/>
      <c r="C398" s="15" t="str">
        <f>IF(COUNTIFS(Master_PIC!$A$8:$A$73,$B398)=1,IF(VLOOKUP($B398,Master_PIC!$A$8:$G$73,2,FALSE)="","",VLOOKUP($B398,Master_PIC!$A$8:$G$73,2,FALSE)),"")</f>
        <v/>
      </c>
      <c r="D398" s="15" t="str">
        <f>IF(COUNTIFS(Master_PIC!$A$8:$A$73,$B398)=1,IF(VLOOKUP($B398,Master_PIC!$A$8:$G$73,4,FALSE)="","",VLOOKUP($B398,Master_PIC!$A$8:$G$73,4,FALSE)),"")</f>
        <v/>
      </c>
      <c r="E398" s="15" t="str">
        <f>IF(COUNTIFS(Master_PIC!$A$8:$A$73,$B398)=1,IF(VLOOKUP($B398,Master_PIC!$A$8:$G$73,5,FALSE)="","",VLOOKUP($B398,Master_PIC!$A$8:$G$73,5,FALSE)),"")</f>
        <v/>
      </c>
      <c r="F398" s="15" t="str">
        <f>IF(COUNTIFS(Master_PIC!$A$8:$A$73,$B398)=1,IF(VLOOKUP($B398,Master_PIC!$A$8:$G$73,6,FALSE)="","",VLOOKUP($B398,Master_PIC!$A$8:$G$73,6,FALSE)),"")</f>
        <v/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8"/>
      <c r="Y398" s="5"/>
      <c r="Z398" s="5"/>
      <c r="AA398" s="9"/>
      <c r="AB398" s="5"/>
      <c r="AC398" s="5"/>
      <c r="AD398" s="9"/>
      <c r="AE398" s="5"/>
      <c r="AF398" s="7" t="str">
        <f t="shared" si="42"/>
        <v/>
      </c>
      <c r="AG398" s="7" t="str">
        <f t="shared" si="43"/>
        <v/>
      </c>
      <c r="AH398" s="7" t="str">
        <f t="shared" si="44"/>
        <v/>
      </c>
      <c r="AI398" s="7" t="str">
        <f t="shared" si="45"/>
        <v/>
      </c>
      <c r="AJ398" s="7" t="str">
        <f t="shared" si="46"/>
        <v/>
      </c>
      <c r="AK398" s="7" t="str">
        <f t="shared" si="47"/>
        <v/>
      </c>
      <c r="AL398" s="10" t="str">
        <f t="shared" si="48"/>
        <v/>
      </c>
      <c r="AM398" s="15" t="str">
        <f>IF(OR($A398&lt;&gt;"",$B398&lt;&gt;""),IF(OR($A398="",$B398=""),"Isi tanggal dan ID PIC",IF(NOT(ISNUMBER($A398)),"Tanggal harus berupa tanggal Excel",IF(COUNTIFS(Master_PIC!$A$8:$A$73,$B398)&lt;&gt;1,"ID PIC tidak unik/terdaftar",IF(VLOOKUP($B398,Master_PIC!$A$8:$G$73,3,FALSE)&lt;&gt;"Sales","Jabatan tidak sesuai sheet",IF(OR($C398="",$D398="",$E398="",$F398=""),"Lengkapi master PIC",IF(COUNTIFS($A$8:$A$507,$A398,$B$8:$B$507,$B398)&gt;1,"Laporan ganda",IF(COUNTIFS(G398:P398,"Tidak Berlaku")&gt;0,"N/A hanya untuk kegiatan bersyarat",IF(SUM(AG398,AH398,AI398,AJ398,AK398)&lt;&gt;14,"Status kegiatan tidak valid",IF(AK398&gt;0,"Lengkapi status kegiatan",IF(AND(AJ398&gt;0,U398=""),"Isi alasan Tidak Berlaku",IF(AND(SUM(AH398,AI398)&gt;0,OR(U398="",V398="",W398="",X398="")),"Isi kendala dan tindak lanjut",IF(AND(Z398&lt;&gt;"Draft",Z398&lt;&gt;"Dikirim"),"Isi status laporan yang valid",IF(AND(AB398&lt;&gt;"",AB398&lt;&gt;"Belum Diperiksa",AB398&lt;&gt;"Disetujui",AB398&lt;&gt;"Perlu Perbaikan"),"Hasil review tidak valid",IF(AND(Z398="Dikirim",OR(Y398="",AA398="")),"Isi bukti dan waktu kirim",IF(AND(AB398="Disetujui",OR(Z398&lt;&gt;"Dikirim",AC398="",AD398="")),"Lengkapi pemeriksaan",IF(AND(AB398="Perlu Perbaikan",OR(AE398="",AC398="",AD398="")),"Isi pemeriksa dan catatan perbaikan","OK")))))))))))))))),"")</f>
        <v/>
      </c>
    </row>
    <row r="399" spans="1:39" ht="24.95" customHeight="1">
      <c r="A399" s="8"/>
      <c r="B399" s="6"/>
      <c r="C399" s="15" t="str">
        <f>IF(COUNTIFS(Master_PIC!$A$8:$A$73,$B399)=1,IF(VLOOKUP($B399,Master_PIC!$A$8:$G$73,2,FALSE)="","",VLOOKUP($B399,Master_PIC!$A$8:$G$73,2,FALSE)),"")</f>
        <v/>
      </c>
      <c r="D399" s="15" t="str">
        <f>IF(COUNTIFS(Master_PIC!$A$8:$A$73,$B399)=1,IF(VLOOKUP($B399,Master_PIC!$A$8:$G$73,4,FALSE)="","",VLOOKUP($B399,Master_PIC!$A$8:$G$73,4,FALSE)),"")</f>
        <v/>
      </c>
      <c r="E399" s="15" t="str">
        <f>IF(COUNTIFS(Master_PIC!$A$8:$A$73,$B399)=1,IF(VLOOKUP($B399,Master_PIC!$A$8:$G$73,5,FALSE)="","",VLOOKUP($B399,Master_PIC!$A$8:$G$73,5,FALSE)),"")</f>
        <v/>
      </c>
      <c r="F399" s="15" t="str">
        <f>IF(COUNTIFS(Master_PIC!$A$8:$A$73,$B399)=1,IF(VLOOKUP($B399,Master_PIC!$A$8:$G$73,6,FALSE)="","",VLOOKUP($B399,Master_PIC!$A$8:$G$73,6,FALSE)),"")</f>
        <v/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8"/>
      <c r="Y399" s="5"/>
      <c r="Z399" s="5"/>
      <c r="AA399" s="9"/>
      <c r="AB399" s="5"/>
      <c r="AC399" s="5"/>
      <c r="AD399" s="9"/>
      <c r="AE399" s="5"/>
      <c r="AF399" s="7" t="str">
        <f t="shared" si="42"/>
        <v/>
      </c>
      <c r="AG399" s="7" t="str">
        <f t="shared" si="43"/>
        <v/>
      </c>
      <c r="AH399" s="7" t="str">
        <f t="shared" si="44"/>
        <v/>
      </c>
      <c r="AI399" s="7" t="str">
        <f t="shared" si="45"/>
        <v/>
      </c>
      <c r="AJ399" s="7" t="str">
        <f t="shared" si="46"/>
        <v/>
      </c>
      <c r="AK399" s="7" t="str">
        <f t="shared" si="47"/>
        <v/>
      </c>
      <c r="AL399" s="10" t="str">
        <f t="shared" si="48"/>
        <v/>
      </c>
      <c r="AM399" s="15" t="str">
        <f>IF(OR($A399&lt;&gt;"",$B399&lt;&gt;""),IF(OR($A399="",$B399=""),"Isi tanggal dan ID PIC",IF(NOT(ISNUMBER($A399)),"Tanggal harus berupa tanggal Excel",IF(COUNTIFS(Master_PIC!$A$8:$A$73,$B399)&lt;&gt;1,"ID PIC tidak unik/terdaftar",IF(VLOOKUP($B399,Master_PIC!$A$8:$G$73,3,FALSE)&lt;&gt;"Sales","Jabatan tidak sesuai sheet",IF(OR($C399="",$D399="",$E399="",$F399=""),"Lengkapi master PIC",IF(COUNTIFS($A$8:$A$507,$A399,$B$8:$B$507,$B399)&gt;1,"Laporan ganda",IF(COUNTIFS(G399:P399,"Tidak Berlaku")&gt;0,"N/A hanya untuk kegiatan bersyarat",IF(SUM(AG399,AH399,AI399,AJ399,AK399)&lt;&gt;14,"Status kegiatan tidak valid",IF(AK399&gt;0,"Lengkapi status kegiatan",IF(AND(AJ399&gt;0,U399=""),"Isi alasan Tidak Berlaku",IF(AND(SUM(AH399,AI399)&gt;0,OR(U399="",V399="",W399="",X399="")),"Isi kendala dan tindak lanjut",IF(AND(Z399&lt;&gt;"Draft",Z399&lt;&gt;"Dikirim"),"Isi status laporan yang valid",IF(AND(AB399&lt;&gt;"",AB399&lt;&gt;"Belum Diperiksa",AB399&lt;&gt;"Disetujui",AB399&lt;&gt;"Perlu Perbaikan"),"Hasil review tidak valid",IF(AND(Z399="Dikirim",OR(Y399="",AA399="")),"Isi bukti dan waktu kirim",IF(AND(AB399="Disetujui",OR(Z399&lt;&gt;"Dikirim",AC399="",AD399="")),"Lengkapi pemeriksaan",IF(AND(AB399="Perlu Perbaikan",OR(AE399="",AC399="",AD399="")),"Isi pemeriksa dan catatan perbaikan","OK")))))))))))))))),"")</f>
        <v/>
      </c>
    </row>
    <row r="400" spans="1:39" ht="24.95" customHeight="1">
      <c r="A400" s="8"/>
      <c r="B400" s="6"/>
      <c r="C400" s="15" t="str">
        <f>IF(COUNTIFS(Master_PIC!$A$8:$A$73,$B400)=1,IF(VLOOKUP($B400,Master_PIC!$A$8:$G$73,2,FALSE)="","",VLOOKUP($B400,Master_PIC!$A$8:$G$73,2,FALSE)),"")</f>
        <v/>
      </c>
      <c r="D400" s="15" t="str">
        <f>IF(COUNTIFS(Master_PIC!$A$8:$A$73,$B400)=1,IF(VLOOKUP($B400,Master_PIC!$A$8:$G$73,4,FALSE)="","",VLOOKUP($B400,Master_PIC!$A$8:$G$73,4,FALSE)),"")</f>
        <v/>
      </c>
      <c r="E400" s="15" t="str">
        <f>IF(COUNTIFS(Master_PIC!$A$8:$A$73,$B400)=1,IF(VLOOKUP($B400,Master_PIC!$A$8:$G$73,5,FALSE)="","",VLOOKUP($B400,Master_PIC!$A$8:$G$73,5,FALSE)),"")</f>
        <v/>
      </c>
      <c r="F400" s="15" t="str">
        <f>IF(COUNTIFS(Master_PIC!$A$8:$A$73,$B400)=1,IF(VLOOKUP($B400,Master_PIC!$A$8:$G$73,6,FALSE)="","",VLOOKUP($B400,Master_PIC!$A$8:$G$73,6,FALSE)),"")</f>
        <v/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8"/>
      <c r="Y400" s="5"/>
      <c r="Z400" s="5"/>
      <c r="AA400" s="9"/>
      <c r="AB400" s="5"/>
      <c r="AC400" s="5"/>
      <c r="AD400" s="9"/>
      <c r="AE400" s="5"/>
      <c r="AF400" s="7" t="str">
        <f t="shared" si="42"/>
        <v/>
      </c>
      <c r="AG400" s="7" t="str">
        <f t="shared" si="43"/>
        <v/>
      </c>
      <c r="AH400" s="7" t="str">
        <f t="shared" si="44"/>
        <v/>
      </c>
      <c r="AI400" s="7" t="str">
        <f t="shared" si="45"/>
        <v/>
      </c>
      <c r="AJ400" s="7" t="str">
        <f t="shared" si="46"/>
        <v/>
      </c>
      <c r="AK400" s="7" t="str">
        <f t="shared" si="47"/>
        <v/>
      </c>
      <c r="AL400" s="10" t="str">
        <f t="shared" si="48"/>
        <v/>
      </c>
      <c r="AM400" s="15" t="str">
        <f>IF(OR($A400&lt;&gt;"",$B400&lt;&gt;""),IF(OR($A400="",$B400=""),"Isi tanggal dan ID PIC",IF(NOT(ISNUMBER($A400)),"Tanggal harus berupa tanggal Excel",IF(COUNTIFS(Master_PIC!$A$8:$A$73,$B400)&lt;&gt;1,"ID PIC tidak unik/terdaftar",IF(VLOOKUP($B400,Master_PIC!$A$8:$G$73,3,FALSE)&lt;&gt;"Sales","Jabatan tidak sesuai sheet",IF(OR($C400="",$D400="",$E400="",$F400=""),"Lengkapi master PIC",IF(COUNTIFS($A$8:$A$507,$A400,$B$8:$B$507,$B400)&gt;1,"Laporan ganda",IF(COUNTIFS(G400:P400,"Tidak Berlaku")&gt;0,"N/A hanya untuk kegiatan bersyarat",IF(SUM(AG400,AH400,AI400,AJ400,AK400)&lt;&gt;14,"Status kegiatan tidak valid",IF(AK400&gt;0,"Lengkapi status kegiatan",IF(AND(AJ400&gt;0,U400=""),"Isi alasan Tidak Berlaku",IF(AND(SUM(AH400,AI400)&gt;0,OR(U400="",V400="",W400="",X400="")),"Isi kendala dan tindak lanjut",IF(AND(Z400&lt;&gt;"Draft",Z400&lt;&gt;"Dikirim"),"Isi status laporan yang valid",IF(AND(AB400&lt;&gt;"",AB400&lt;&gt;"Belum Diperiksa",AB400&lt;&gt;"Disetujui",AB400&lt;&gt;"Perlu Perbaikan"),"Hasil review tidak valid",IF(AND(Z400="Dikirim",OR(Y400="",AA400="")),"Isi bukti dan waktu kirim",IF(AND(AB400="Disetujui",OR(Z400&lt;&gt;"Dikirim",AC400="",AD400="")),"Lengkapi pemeriksaan",IF(AND(AB400="Perlu Perbaikan",OR(AE400="",AC400="",AD400="")),"Isi pemeriksa dan catatan perbaikan","OK")))))))))))))))),"")</f>
        <v/>
      </c>
    </row>
    <row r="401" spans="1:39" ht="24.95" customHeight="1">
      <c r="A401" s="8"/>
      <c r="B401" s="6"/>
      <c r="C401" s="15" t="str">
        <f>IF(COUNTIFS(Master_PIC!$A$8:$A$73,$B401)=1,IF(VLOOKUP($B401,Master_PIC!$A$8:$G$73,2,FALSE)="","",VLOOKUP($B401,Master_PIC!$A$8:$G$73,2,FALSE)),"")</f>
        <v/>
      </c>
      <c r="D401" s="15" t="str">
        <f>IF(COUNTIFS(Master_PIC!$A$8:$A$73,$B401)=1,IF(VLOOKUP($B401,Master_PIC!$A$8:$G$73,4,FALSE)="","",VLOOKUP($B401,Master_PIC!$A$8:$G$73,4,FALSE)),"")</f>
        <v/>
      </c>
      <c r="E401" s="15" t="str">
        <f>IF(COUNTIFS(Master_PIC!$A$8:$A$73,$B401)=1,IF(VLOOKUP($B401,Master_PIC!$A$8:$G$73,5,FALSE)="","",VLOOKUP($B401,Master_PIC!$A$8:$G$73,5,FALSE)),"")</f>
        <v/>
      </c>
      <c r="F401" s="15" t="str">
        <f>IF(COUNTIFS(Master_PIC!$A$8:$A$73,$B401)=1,IF(VLOOKUP($B401,Master_PIC!$A$8:$G$73,6,FALSE)="","",VLOOKUP($B401,Master_PIC!$A$8:$G$73,6,FALSE)),"")</f>
        <v/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8"/>
      <c r="Y401" s="5"/>
      <c r="Z401" s="5"/>
      <c r="AA401" s="9"/>
      <c r="AB401" s="5"/>
      <c r="AC401" s="5"/>
      <c r="AD401" s="9"/>
      <c r="AE401" s="5"/>
      <c r="AF401" s="7" t="str">
        <f t="shared" si="42"/>
        <v/>
      </c>
      <c r="AG401" s="7" t="str">
        <f t="shared" si="43"/>
        <v/>
      </c>
      <c r="AH401" s="7" t="str">
        <f t="shared" si="44"/>
        <v/>
      </c>
      <c r="AI401" s="7" t="str">
        <f t="shared" si="45"/>
        <v/>
      </c>
      <c r="AJ401" s="7" t="str">
        <f t="shared" si="46"/>
        <v/>
      </c>
      <c r="AK401" s="7" t="str">
        <f t="shared" si="47"/>
        <v/>
      </c>
      <c r="AL401" s="10" t="str">
        <f t="shared" si="48"/>
        <v/>
      </c>
      <c r="AM401" s="15" t="str">
        <f>IF(OR($A401&lt;&gt;"",$B401&lt;&gt;""),IF(OR($A401="",$B401=""),"Isi tanggal dan ID PIC",IF(NOT(ISNUMBER($A401)),"Tanggal harus berupa tanggal Excel",IF(COUNTIFS(Master_PIC!$A$8:$A$73,$B401)&lt;&gt;1,"ID PIC tidak unik/terdaftar",IF(VLOOKUP($B401,Master_PIC!$A$8:$G$73,3,FALSE)&lt;&gt;"Sales","Jabatan tidak sesuai sheet",IF(OR($C401="",$D401="",$E401="",$F401=""),"Lengkapi master PIC",IF(COUNTIFS($A$8:$A$507,$A401,$B$8:$B$507,$B401)&gt;1,"Laporan ganda",IF(COUNTIFS(G401:P401,"Tidak Berlaku")&gt;0,"N/A hanya untuk kegiatan bersyarat",IF(SUM(AG401,AH401,AI401,AJ401,AK401)&lt;&gt;14,"Status kegiatan tidak valid",IF(AK401&gt;0,"Lengkapi status kegiatan",IF(AND(AJ401&gt;0,U401=""),"Isi alasan Tidak Berlaku",IF(AND(SUM(AH401,AI401)&gt;0,OR(U401="",V401="",W401="",X401="")),"Isi kendala dan tindak lanjut",IF(AND(Z401&lt;&gt;"Draft",Z401&lt;&gt;"Dikirim"),"Isi status laporan yang valid",IF(AND(AB401&lt;&gt;"",AB401&lt;&gt;"Belum Diperiksa",AB401&lt;&gt;"Disetujui",AB401&lt;&gt;"Perlu Perbaikan"),"Hasil review tidak valid",IF(AND(Z401="Dikirim",OR(Y401="",AA401="")),"Isi bukti dan waktu kirim",IF(AND(AB401="Disetujui",OR(Z401&lt;&gt;"Dikirim",AC401="",AD401="")),"Lengkapi pemeriksaan",IF(AND(AB401="Perlu Perbaikan",OR(AE401="",AC401="",AD401="")),"Isi pemeriksa dan catatan perbaikan","OK")))))))))))))))),"")</f>
        <v/>
      </c>
    </row>
    <row r="402" spans="1:39" ht="24.95" customHeight="1">
      <c r="A402" s="8"/>
      <c r="B402" s="6"/>
      <c r="C402" s="15" t="str">
        <f>IF(COUNTIFS(Master_PIC!$A$8:$A$73,$B402)=1,IF(VLOOKUP($B402,Master_PIC!$A$8:$G$73,2,FALSE)="","",VLOOKUP($B402,Master_PIC!$A$8:$G$73,2,FALSE)),"")</f>
        <v/>
      </c>
      <c r="D402" s="15" t="str">
        <f>IF(COUNTIFS(Master_PIC!$A$8:$A$73,$B402)=1,IF(VLOOKUP($B402,Master_PIC!$A$8:$G$73,4,FALSE)="","",VLOOKUP($B402,Master_PIC!$A$8:$G$73,4,FALSE)),"")</f>
        <v/>
      </c>
      <c r="E402" s="15" t="str">
        <f>IF(COUNTIFS(Master_PIC!$A$8:$A$73,$B402)=1,IF(VLOOKUP($B402,Master_PIC!$A$8:$G$73,5,FALSE)="","",VLOOKUP($B402,Master_PIC!$A$8:$G$73,5,FALSE)),"")</f>
        <v/>
      </c>
      <c r="F402" s="15" t="str">
        <f>IF(COUNTIFS(Master_PIC!$A$8:$A$73,$B402)=1,IF(VLOOKUP($B402,Master_PIC!$A$8:$G$73,6,FALSE)="","",VLOOKUP($B402,Master_PIC!$A$8:$G$73,6,FALSE)),"")</f>
        <v/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8"/>
      <c r="Y402" s="5"/>
      <c r="Z402" s="5"/>
      <c r="AA402" s="9"/>
      <c r="AB402" s="5"/>
      <c r="AC402" s="5"/>
      <c r="AD402" s="9"/>
      <c r="AE402" s="5"/>
      <c r="AF402" s="7" t="str">
        <f t="shared" si="42"/>
        <v/>
      </c>
      <c r="AG402" s="7" t="str">
        <f t="shared" si="43"/>
        <v/>
      </c>
      <c r="AH402" s="7" t="str">
        <f t="shared" si="44"/>
        <v/>
      </c>
      <c r="AI402" s="7" t="str">
        <f t="shared" si="45"/>
        <v/>
      </c>
      <c r="AJ402" s="7" t="str">
        <f t="shared" si="46"/>
        <v/>
      </c>
      <c r="AK402" s="7" t="str">
        <f t="shared" si="47"/>
        <v/>
      </c>
      <c r="AL402" s="10" t="str">
        <f t="shared" si="48"/>
        <v/>
      </c>
      <c r="AM402" s="15" t="str">
        <f>IF(OR($A402&lt;&gt;"",$B402&lt;&gt;""),IF(OR($A402="",$B402=""),"Isi tanggal dan ID PIC",IF(NOT(ISNUMBER($A402)),"Tanggal harus berupa tanggal Excel",IF(COUNTIFS(Master_PIC!$A$8:$A$73,$B402)&lt;&gt;1,"ID PIC tidak unik/terdaftar",IF(VLOOKUP($B402,Master_PIC!$A$8:$G$73,3,FALSE)&lt;&gt;"Sales","Jabatan tidak sesuai sheet",IF(OR($C402="",$D402="",$E402="",$F402=""),"Lengkapi master PIC",IF(COUNTIFS($A$8:$A$507,$A402,$B$8:$B$507,$B402)&gt;1,"Laporan ganda",IF(COUNTIFS(G402:P402,"Tidak Berlaku")&gt;0,"N/A hanya untuk kegiatan bersyarat",IF(SUM(AG402,AH402,AI402,AJ402,AK402)&lt;&gt;14,"Status kegiatan tidak valid",IF(AK402&gt;0,"Lengkapi status kegiatan",IF(AND(AJ402&gt;0,U402=""),"Isi alasan Tidak Berlaku",IF(AND(SUM(AH402,AI402)&gt;0,OR(U402="",V402="",W402="",X402="")),"Isi kendala dan tindak lanjut",IF(AND(Z402&lt;&gt;"Draft",Z402&lt;&gt;"Dikirim"),"Isi status laporan yang valid",IF(AND(AB402&lt;&gt;"",AB402&lt;&gt;"Belum Diperiksa",AB402&lt;&gt;"Disetujui",AB402&lt;&gt;"Perlu Perbaikan"),"Hasil review tidak valid",IF(AND(Z402="Dikirim",OR(Y402="",AA402="")),"Isi bukti dan waktu kirim",IF(AND(AB402="Disetujui",OR(Z402&lt;&gt;"Dikirim",AC402="",AD402="")),"Lengkapi pemeriksaan",IF(AND(AB402="Perlu Perbaikan",OR(AE402="",AC402="",AD402="")),"Isi pemeriksa dan catatan perbaikan","OK")))))))))))))))),"")</f>
        <v/>
      </c>
    </row>
    <row r="403" spans="1:39" ht="24.95" customHeight="1">
      <c r="A403" s="8"/>
      <c r="B403" s="6"/>
      <c r="C403" s="15" t="str">
        <f>IF(COUNTIFS(Master_PIC!$A$8:$A$73,$B403)=1,IF(VLOOKUP($B403,Master_PIC!$A$8:$G$73,2,FALSE)="","",VLOOKUP($B403,Master_PIC!$A$8:$G$73,2,FALSE)),"")</f>
        <v/>
      </c>
      <c r="D403" s="15" t="str">
        <f>IF(COUNTIFS(Master_PIC!$A$8:$A$73,$B403)=1,IF(VLOOKUP($B403,Master_PIC!$A$8:$G$73,4,FALSE)="","",VLOOKUP($B403,Master_PIC!$A$8:$G$73,4,FALSE)),"")</f>
        <v/>
      </c>
      <c r="E403" s="15" t="str">
        <f>IF(COUNTIFS(Master_PIC!$A$8:$A$73,$B403)=1,IF(VLOOKUP($B403,Master_PIC!$A$8:$G$73,5,FALSE)="","",VLOOKUP($B403,Master_PIC!$A$8:$G$73,5,FALSE)),"")</f>
        <v/>
      </c>
      <c r="F403" s="15" t="str">
        <f>IF(COUNTIFS(Master_PIC!$A$8:$A$73,$B403)=1,IF(VLOOKUP($B403,Master_PIC!$A$8:$G$73,6,FALSE)="","",VLOOKUP($B403,Master_PIC!$A$8:$G$73,6,FALSE)),"")</f>
        <v/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8"/>
      <c r="Y403" s="5"/>
      <c r="Z403" s="5"/>
      <c r="AA403" s="9"/>
      <c r="AB403" s="5"/>
      <c r="AC403" s="5"/>
      <c r="AD403" s="9"/>
      <c r="AE403" s="5"/>
      <c r="AF403" s="7" t="str">
        <f t="shared" si="42"/>
        <v/>
      </c>
      <c r="AG403" s="7" t="str">
        <f t="shared" si="43"/>
        <v/>
      </c>
      <c r="AH403" s="7" t="str">
        <f t="shared" si="44"/>
        <v/>
      </c>
      <c r="AI403" s="7" t="str">
        <f t="shared" si="45"/>
        <v/>
      </c>
      <c r="AJ403" s="7" t="str">
        <f t="shared" si="46"/>
        <v/>
      </c>
      <c r="AK403" s="7" t="str">
        <f t="shared" si="47"/>
        <v/>
      </c>
      <c r="AL403" s="10" t="str">
        <f t="shared" si="48"/>
        <v/>
      </c>
      <c r="AM403" s="15" t="str">
        <f>IF(OR($A403&lt;&gt;"",$B403&lt;&gt;""),IF(OR($A403="",$B403=""),"Isi tanggal dan ID PIC",IF(NOT(ISNUMBER($A403)),"Tanggal harus berupa tanggal Excel",IF(COUNTIFS(Master_PIC!$A$8:$A$73,$B403)&lt;&gt;1,"ID PIC tidak unik/terdaftar",IF(VLOOKUP($B403,Master_PIC!$A$8:$G$73,3,FALSE)&lt;&gt;"Sales","Jabatan tidak sesuai sheet",IF(OR($C403="",$D403="",$E403="",$F403=""),"Lengkapi master PIC",IF(COUNTIFS($A$8:$A$507,$A403,$B$8:$B$507,$B403)&gt;1,"Laporan ganda",IF(COUNTIFS(G403:P403,"Tidak Berlaku")&gt;0,"N/A hanya untuk kegiatan bersyarat",IF(SUM(AG403,AH403,AI403,AJ403,AK403)&lt;&gt;14,"Status kegiatan tidak valid",IF(AK403&gt;0,"Lengkapi status kegiatan",IF(AND(AJ403&gt;0,U403=""),"Isi alasan Tidak Berlaku",IF(AND(SUM(AH403,AI403)&gt;0,OR(U403="",V403="",W403="",X403="")),"Isi kendala dan tindak lanjut",IF(AND(Z403&lt;&gt;"Draft",Z403&lt;&gt;"Dikirim"),"Isi status laporan yang valid",IF(AND(AB403&lt;&gt;"",AB403&lt;&gt;"Belum Diperiksa",AB403&lt;&gt;"Disetujui",AB403&lt;&gt;"Perlu Perbaikan"),"Hasil review tidak valid",IF(AND(Z403="Dikirim",OR(Y403="",AA403="")),"Isi bukti dan waktu kirim",IF(AND(AB403="Disetujui",OR(Z403&lt;&gt;"Dikirim",AC403="",AD403="")),"Lengkapi pemeriksaan",IF(AND(AB403="Perlu Perbaikan",OR(AE403="",AC403="",AD403="")),"Isi pemeriksa dan catatan perbaikan","OK")))))))))))))))),"")</f>
        <v/>
      </c>
    </row>
    <row r="404" spans="1:39" ht="24.95" customHeight="1">
      <c r="A404" s="8"/>
      <c r="B404" s="6"/>
      <c r="C404" s="15" t="str">
        <f>IF(COUNTIFS(Master_PIC!$A$8:$A$73,$B404)=1,IF(VLOOKUP($B404,Master_PIC!$A$8:$G$73,2,FALSE)="","",VLOOKUP($B404,Master_PIC!$A$8:$G$73,2,FALSE)),"")</f>
        <v/>
      </c>
      <c r="D404" s="15" t="str">
        <f>IF(COUNTIFS(Master_PIC!$A$8:$A$73,$B404)=1,IF(VLOOKUP($B404,Master_PIC!$A$8:$G$73,4,FALSE)="","",VLOOKUP($B404,Master_PIC!$A$8:$G$73,4,FALSE)),"")</f>
        <v/>
      </c>
      <c r="E404" s="15" t="str">
        <f>IF(COUNTIFS(Master_PIC!$A$8:$A$73,$B404)=1,IF(VLOOKUP($B404,Master_PIC!$A$8:$G$73,5,FALSE)="","",VLOOKUP($B404,Master_PIC!$A$8:$G$73,5,FALSE)),"")</f>
        <v/>
      </c>
      <c r="F404" s="15" t="str">
        <f>IF(COUNTIFS(Master_PIC!$A$8:$A$73,$B404)=1,IF(VLOOKUP($B404,Master_PIC!$A$8:$G$73,6,FALSE)="","",VLOOKUP($B404,Master_PIC!$A$8:$G$73,6,FALSE)),"")</f>
        <v/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8"/>
      <c r="Y404" s="5"/>
      <c r="Z404" s="5"/>
      <c r="AA404" s="9"/>
      <c r="AB404" s="5"/>
      <c r="AC404" s="5"/>
      <c r="AD404" s="9"/>
      <c r="AE404" s="5"/>
      <c r="AF404" s="7" t="str">
        <f t="shared" si="42"/>
        <v/>
      </c>
      <c r="AG404" s="7" t="str">
        <f t="shared" si="43"/>
        <v/>
      </c>
      <c r="AH404" s="7" t="str">
        <f t="shared" si="44"/>
        <v/>
      </c>
      <c r="AI404" s="7" t="str">
        <f t="shared" si="45"/>
        <v/>
      </c>
      <c r="AJ404" s="7" t="str">
        <f t="shared" si="46"/>
        <v/>
      </c>
      <c r="AK404" s="7" t="str">
        <f t="shared" si="47"/>
        <v/>
      </c>
      <c r="AL404" s="10" t="str">
        <f t="shared" si="48"/>
        <v/>
      </c>
      <c r="AM404" s="15" t="str">
        <f>IF(OR($A404&lt;&gt;"",$B404&lt;&gt;""),IF(OR($A404="",$B404=""),"Isi tanggal dan ID PIC",IF(NOT(ISNUMBER($A404)),"Tanggal harus berupa tanggal Excel",IF(COUNTIFS(Master_PIC!$A$8:$A$73,$B404)&lt;&gt;1,"ID PIC tidak unik/terdaftar",IF(VLOOKUP($B404,Master_PIC!$A$8:$G$73,3,FALSE)&lt;&gt;"Sales","Jabatan tidak sesuai sheet",IF(OR($C404="",$D404="",$E404="",$F404=""),"Lengkapi master PIC",IF(COUNTIFS($A$8:$A$507,$A404,$B$8:$B$507,$B404)&gt;1,"Laporan ganda",IF(COUNTIFS(G404:P404,"Tidak Berlaku")&gt;0,"N/A hanya untuk kegiatan bersyarat",IF(SUM(AG404,AH404,AI404,AJ404,AK404)&lt;&gt;14,"Status kegiatan tidak valid",IF(AK404&gt;0,"Lengkapi status kegiatan",IF(AND(AJ404&gt;0,U404=""),"Isi alasan Tidak Berlaku",IF(AND(SUM(AH404,AI404)&gt;0,OR(U404="",V404="",W404="",X404="")),"Isi kendala dan tindak lanjut",IF(AND(Z404&lt;&gt;"Draft",Z404&lt;&gt;"Dikirim"),"Isi status laporan yang valid",IF(AND(AB404&lt;&gt;"",AB404&lt;&gt;"Belum Diperiksa",AB404&lt;&gt;"Disetujui",AB404&lt;&gt;"Perlu Perbaikan"),"Hasil review tidak valid",IF(AND(Z404="Dikirim",OR(Y404="",AA404="")),"Isi bukti dan waktu kirim",IF(AND(AB404="Disetujui",OR(Z404&lt;&gt;"Dikirim",AC404="",AD404="")),"Lengkapi pemeriksaan",IF(AND(AB404="Perlu Perbaikan",OR(AE404="",AC404="",AD404="")),"Isi pemeriksa dan catatan perbaikan","OK")))))))))))))))),"")</f>
        <v/>
      </c>
    </row>
    <row r="405" spans="1:39" ht="24.95" customHeight="1">
      <c r="A405" s="8"/>
      <c r="B405" s="6"/>
      <c r="C405" s="15" t="str">
        <f>IF(COUNTIFS(Master_PIC!$A$8:$A$73,$B405)=1,IF(VLOOKUP($B405,Master_PIC!$A$8:$G$73,2,FALSE)="","",VLOOKUP($B405,Master_PIC!$A$8:$G$73,2,FALSE)),"")</f>
        <v/>
      </c>
      <c r="D405" s="15" t="str">
        <f>IF(COUNTIFS(Master_PIC!$A$8:$A$73,$B405)=1,IF(VLOOKUP($B405,Master_PIC!$A$8:$G$73,4,FALSE)="","",VLOOKUP($B405,Master_PIC!$A$8:$G$73,4,FALSE)),"")</f>
        <v/>
      </c>
      <c r="E405" s="15" t="str">
        <f>IF(COUNTIFS(Master_PIC!$A$8:$A$73,$B405)=1,IF(VLOOKUP($B405,Master_PIC!$A$8:$G$73,5,FALSE)="","",VLOOKUP($B405,Master_PIC!$A$8:$G$73,5,FALSE)),"")</f>
        <v/>
      </c>
      <c r="F405" s="15" t="str">
        <f>IF(COUNTIFS(Master_PIC!$A$8:$A$73,$B405)=1,IF(VLOOKUP($B405,Master_PIC!$A$8:$G$73,6,FALSE)="","",VLOOKUP($B405,Master_PIC!$A$8:$G$73,6,FALSE)),"")</f>
        <v/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8"/>
      <c r="Y405" s="5"/>
      <c r="Z405" s="5"/>
      <c r="AA405" s="9"/>
      <c r="AB405" s="5"/>
      <c r="AC405" s="5"/>
      <c r="AD405" s="9"/>
      <c r="AE405" s="5"/>
      <c r="AF405" s="7" t="str">
        <f t="shared" si="42"/>
        <v/>
      </c>
      <c r="AG405" s="7" t="str">
        <f t="shared" si="43"/>
        <v/>
      </c>
      <c r="AH405" s="7" t="str">
        <f t="shared" si="44"/>
        <v/>
      </c>
      <c r="AI405" s="7" t="str">
        <f t="shared" si="45"/>
        <v/>
      </c>
      <c r="AJ405" s="7" t="str">
        <f t="shared" si="46"/>
        <v/>
      </c>
      <c r="AK405" s="7" t="str">
        <f t="shared" si="47"/>
        <v/>
      </c>
      <c r="AL405" s="10" t="str">
        <f t="shared" si="48"/>
        <v/>
      </c>
      <c r="AM405" s="15" t="str">
        <f>IF(OR($A405&lt;&gt;"",$B405&lt;&gt;""),IF(OR($A405="",$B405=""),"Isi tanggal dan ID PIC",IF(NOT(ISNUMBER($A405)),"Tanggal harus berupa tanggal Excel",IF(COUNTIFS(Master_PIC!$A$8:$A$73,$B405)&lt;&gt;1,"ID PIC tidak unik/terdaftar",IF(VLOOKUP($B405,Master_PIC!$A$8:$G$73,3,FALSE)&lt;&gt;"Sales","Jabatan tidak sesuai sheet",IF(OR($C405="",$D405="",$E405="",$F405=""),"Lengkapi master PIC",IF(COUNTIFS($A$8:$A$507,$A405,$B$8:$B$507,$B405)&gt;1,"Laporan ganda",IF(COUNTIFS(G405:P405,"Tidak Berlaku")&gt;0,"N/A hanya untuk kegiatan bersyarat",IF(SUM(AG405,AH405,AI405,AJ405,AK405)&lt;&gt;14,"Status kegiatan tidak valid",IF(AK405&gt;0,"Lengkapi status kegiatan",IF(AND(AJ405&gt;0,U405=""),"Isi alasan Tidak Berlaku",IF(AND(SUM(AH405,AI405)&gt;0,OR(U405="",V405="",W405="",X405="")),"Isi kendala dan tindak lanjut",IF(AND(Z405&lt;&gt;"Draft",Z405&lt;&gt;"Dikirim"),"Isi status laporan yang valid",IF(AND(AB405&lt;&gt;"",AB405&lt;&gt;"Belum Diperiksa",AB405&lt;&gt;"Disetujui",AB405&lt;&gt;"Perlu Perbaikan"),"Hasil review tidak valid",IF(AND(Z405="Dikirim",OR(Y405="",AA405="")),"Isi bukti dan waktu kirim",IF(AND(AB405="Disetujui",OR(Z405&lt;&gt;"Dikirim",AC405="",AD405="")),"Lengkapi pemeriksaan",IF(AND(AB405="Perlu Perbaikan",OR(AE405="",AC405="",AD405="")),"Isi pemeriksa dan catatan perbaikan","OK")))))))))))))))),"")</f>
        <v/>
      </c>
    </row>
    <row r="406" spans="1:39" ht="24.95" customHeight="1">
      <c r="A406" s="8"/>
      <c r="B406" s="6"/>
      <c r="C406" s="15" t="str">
        <f>IF(COUNTIFS(Master_PIC!$A$8:$A$73,$B406)=1,IF(VLOOKUP($B406,Master_PIC!$A$8:$G$73,2,FALSE)="","",VLOOKUP($B406,Master_PIC!$A$8:$G$73,2,FALSE)),"")</f>
        <v/>
      </c>
      <c r="D406" s="15" t="str">
        <f>IF(COUNTIFS(Master_PIC!$A$8:$A$73,$B406)=1,IF(VLOOKUP($B406,Master_PIC!$A$8:$G$73,4,FALSE)="","",VLOOKUP($B406,Master_PIC!$A$8:$G$73,4,FALSE)),"")</f>
        <v/>
      </c>
      <c r="E406" s="15" t="str">
        <f>IF(COUNTIFS(Master_PIC!$A$8:$A$73,$B406)=1,IF(VLOOKUP($B406,Master_PIC!$A$8:$G$73,5,FALSE)="","",VLOOKUP($B406,Master_PIC!$A$8:$G$73,5,FALSE)),"")</f>
        <v/>
      </c>
      <c r="F406" s="15" t="str">
        <f>IF(COUNTIFS(Master_PIC!$A$8:$A$73,$B406)=1,IF(VLOOKUP($B406,Master_PIC!$A$8:$G$73,6,FALSE)="","",VLOOKUP($B406,Master_PIC!$A$8:$G$73,6,FALSE)),"")</f>
        <v/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8"/>
      <c r="Y406" s="5"/>
      <c r="Z406" s="5"/>
      <c r="AA406" s="9"/>
      <c r="AB406" s="5"/>
      <c r="AC406" s="5"/>
      <c r="AD406" s="9"/>
      <c r="AE406" s="5"/>
      <c r="AF406" s="7" t="str">
        <f t="shared" si="42"/>
        <v/>
      </c>
      <c r="AG406" s="7" t="str">
        <f t="shared" si="43"/>
        <v/>
      </c>
      <c r="AH406" s="7" t="str">
        <f t="shared" si="44"/>
        <v/>
      </c>
      <c r="AI406" s="7" t="str">
        <f t="shared" si="45"/>
        <v/>
      </c>
      <c r="AJ406" s="7" t="str">
        <f t="shared" si="46"/>
        <v/>
      </c>
      <c r="AK406" s="7" t="str">
        <f t="shared" si="47"/>
        <v/>
      </c>
      <c r="AL406" s="10" t="str">
        <f t="shared" si="48"/>
        <v/>
      </c>
      <c r="AM406" s="15" t="str">
        <f>IF(OR($A406&lt;&gt;"",$B406&lt;&gt;""),IF(OR($A406="",$B406=""),"Isi tanggal dan ID PIC",IF(NOT(ISNUMBER($A406)),"Tanggal harus berupa tanggal Excel",IF(COUNTIFS(Master_PIC!$A$8:$A$73,$B406)&lt;&gt;1,"ID PIC tidak unik/terdaftar",IF(VLOOKUP($B406,Master_PIC!$A$8:$G$73,3,FALSE)&lt;&gt;"Sales","Jabatan tidak sesuai sheet",IF(OR($C406="",$D406="",$E406="",$F406=""),"Lengkapi master PIC",IF(COUNTIFS($A$8:$A$507,$A406,$B$8:$B$507,$B406)&gt;1,"Laporan ganda",IF(COUNTIFS(G406:P406,"Tidak Berlaku")&gt;0,"N/A hanya untuk kegiatan bersyarat",IF(SUM(AG406,AH406,AI406,AJ406,AK406)&lt;&gt;14,"Status kegiatan tidak valid",IF(AK406&gt;0,"Lengkapi status kegiatan",IF(AND(AJ406&gt;0,U406=""),"Isi alasan Tidak Berlaku",IF(AND(SUM(AH406,AI406)&gt;0,OR(U406="",V406="",W406="",X406="")),"Isi kendala dan tindak lanjut",IF(AND(Z406&lt;&gt;"Draft",Z406&lt;&gt;"Dikirim"),"Isi status laporan yang valid",IF(AND(AB406&lt;&gt;"",AB406&lt;&gt;"Belum Diperiksa",AB406&lt;&gt;"Disetujui",AB406&lt;&gt;"Perlu Perbaikan"),"Hasil review tidak valid",IF(AND(Z406="Dikirim",OR(Y406="",AA406="")),"Isi bukti dan waktu kirim",IF(AND(AB406="Disetujui",OR(Z406&lt;&gt;"Dikirim",AC406="",AD406="")),"Lengkapi pemeriksaan",IF(AND(AB406="Perlu Perbaikan",OR(AE406="",AC406="",AD406="")),"Isi pemeriksa dan catatan perbaikan","OK")))))))))))))))),"")</f>
        <v/>
      </c>
    </row>
    <row r="407" spans="1:39" ht="24.95" customHeight="1">
      <c r="A407" s="8"/>
      <c r="B407" s="6"/>
      <c r="C407" s="15" t="str">
        <f>IF(COUNTIFS(Master_PIC!$A$8:$A$73,$B407)=1,IF(VLOOKUP($B407,Master_PIC!$A$8:$G$73,2,FALSE)="","",VLOOKUP($B407,Master_PIC!$A$8:$G$73,2,FALSE)),"")</f>
        <v/>
      </c>
      <c r="D407" s="15" t="str">
        <f>IF(COUNTIFS(Master_PIC!$A$8:$A$73,$B407)=1,IF(VLOOKUP($B407,Master_PIC!$A$8:$G$73,4,FALSE)="","",VLOOKUP($B407,Master_PIC!$A$8:$G$73,4,FALSE)),"")</f>
        <v/>
      </c>
      <c r="E407" s="15" t="str">
        <f>IF(COUNTIFS(Master_PIC!$A$8:$A$73,$B407)=1,IF(VLOOKUP($B407,Master_PIC!$A$8:$G$73,5,FALSE)="","",VLOOKUP($B407,Master_PIC!$A$8:$G$73,5,FALSE)),"")</f>
        <v/>
      </c>
      <c r="F407" s="15" t="str">
        <f>IF(COUNTIFS(Master_PIC!$A$8:$A$73,$B407)=1,IF(VLOOKUP($B407,Master_PIC!$A$8:$G$73,6,FALSE)="","",VLOOKUP($B407,Master_PIC!$A$8:$G$73,6,FALSE)),"")</f>
        <v/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8"/>
      <c r="Y407" s="5"/>
      <c r="Z407" s="5"/>
      <c r="AA407" s="9"/>
      <c r="AB407" s="5"/>
      <c r="AC407" s="5"/>
      <c r="AD407" s="9"/>
      <c r="AE407" s="5"/>
      <c r="AF407" s="7" t="str">
        <f t="shared" si="42"/>
        <v/>
      </c>
      <c r="AG407" s="7" t="str">
        <f t="shared" si="43"/>
        <v/>
      </c>
      <c r="AH407" s="7" t="str">
        <f t="shared" si="44"/>
        <v/>
      </c>
      <c r="AI407" s="7" t="str">
        <f t="shared" si="45"/>
        <v/>
      </c>
      <c r="AJ407" s="7" t="str">
        <f t="shared" si="46"/>
        <v/>
      </c>
      <c r="AK407" s="7" t="str">
        <f t="shared" si="47"/>
        <v/>
      </c>
      <c r="AL407" s="10" t="str">
        <f t="shared" si="48"/>
        <v/>
      </c>
      <c r="AM407" s="15" t="str">
        <f>IF(OR($A407&lt;&gt;"",$B407&lt;&gt;""),IF(OR($A407="",$B407=""),"Isi tanggal dan ID PIC",IF(NOT(ISNUMBER($A407)),"Tanggal harus berupa tanggal Excel",IF(COUNTIFS(Master_PIC!$A$8:$A$73,$B407)&lt;&gt;1,"ID PIC tidak unik/terdaftar",IF(VLOOKUP($B407,Master_PIC!$A$8:$G$73,3,FALSE)&lt;&gt;"Sales","Jabatan tidak sesuai sheet",IF(OR($C407="",$D407="",$E407="",$F407=""),"Lengkapi master PIC",IF(COUNTIFS($A$8:$A$507,$A407,$B$8:$B$507,$B407)&gt;1,"Laporan ganda",IF(COUNTIFS(G407:P407,"Tidak Berlaku")&gt;0,"N/A hanya untuk kegiatan bersyarat",IF(SUM(AG407,AH407,AI407,AJ407,AK407)&lt;&gt;14,"Status kegiatan tidak valid",IF(AK407&gt;0,"Lengkapi status kegiatan",IF(AND(AJ407&gt;0,U407=""),"Isi alasan Tidak Berlaku",IF(AND(SUM(AH407,AI407)&gt;0,OR(U407="",V407="",W407="",X407="")),"Isi kendala dan tindak lanjut",IF(AND(Z407&lt;&gt;"Draft",Z407&lt;&gt;"Dikirim"),"Isi status laporan yang valid",IF(AND(AB407&lt;&gt;"",AB407&lt;&gt;"Belum Diperiksa",AB407&lt;&gt;"Disetujui",AB407&lt;&gt;"Perlu Perbaikan"),"Hasil review tidak valid",IF(AND(Z407="Dikirim",OR(Y407="",AA407="")),"Isi bukti dan waktu kirim",IF(AND(AB407="Disetujui",OR(Z407&lt;&gt;"Dikirim",AC407="",AD407="")),"Lengkapi pemeriksaan",IF(AND(AB407="Perlu Perbaikan",OR(AE407="",AC407="",AD407="")),"Isi pemeriksa dan catatan perbaikan","OK")))))))))))))))),"")</f>
        <v/>
      </c>
    </row>
    <row r="408" spans="1:39" ht="24.95" customHeight="1">
      <c r="A408" s="8"/>
      <c r="B408" s="6"/>
      <c r="C408" s="15" t="str">
        <f>IF(COUNTIFS(Master_PIC!$A$8:$A$73,$B408)=1,IF(VLOOKUP($B408,Master_PIC!$A$8:$G$73,2,FALSE)="","",VLOOKUP($B408,Master_PIC!$A$8:$G$73,2,FALSE)),"")</f>
        <v/>
      </c>
      <c r="D408" s="15" t="str">
        <f>IF(COUNTIFS(Master_PIC!$A$8:$A$73,$B408)=1,IF(VLOOKUP($B408,Master_PIC!$A$8:$G$73,4,FALSE)="","",VLOOKUP($B408,Master_PIC!$A$8:$G$73,4,FALSE)),"")</f>
        <v/>
      </c>
      <c r="E408" s="15" t="str">
        <f>IF(COUNTIFS(Master_PIC!$A$8:$A$73,$B408)=1,IF(VLOOKUP($B408,Master_PIC!$A$8:$G$73,5,FALSE)="","",VLOOKUP($B408,Master_PIC!$A$8:$G$73,5,FALSE)),"")</f>
        <v/>
      </c>
      <c r="F408" s="15" t="str">
        <f>IF(COUNTIFS(Master_PIC!$A$8:$A$73,$B408)=1,IF(VLOOKUP($B408,Master_PIC!$A$8:$G$73,6,FALSE)="","",VLOOKUP($B408,Master_PIC!$A$8:$G$73,6,FALSE)),"")</f>
        <v/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8"/>
      <c r="Y408" s="5"/>
      <c r="Z408" s="5"/>
      <c r="AA408" s="9"/>
      <c r="AB408" s="5"/>
      <c r="AC408" s="5"/>
      <c r="AD408" s="9"/>
      <c r="AE408" s="5"/>
      <c r="AF408" s="7" t="str">
        <f t="shared" si="42"/>
        <v/>
      </c>
      <c r="AG408" s="7" t="str">
        <f t="shared" si="43"/>
        <v/>
      </c>
      <c r="AH408" s="7" t="str">
        <f t="shared" si="44"/>
        <v/>
      </c>
      <c r="AI408" s="7" t="str">
        <f t="shared" si="45"/>
        <v/>
      </c>
      <c r="AJ408" s="7" t="str">
        <f t="shared" si="46"/>
        <v/>
      </c>
      <c r="AK408" s="7" t="str">
        <f t="shared" si="47"/>
        <v/>
      </c>
      <c r="AL408" s="10" t="str">
        <f t="shared" si="48"/>
        <v/>
      </c>
      <c r="AM408" s="15" t="str">
        <f>IF(OR($A408&lt;&gt;"",$B408&lt;&gt;""),IF(OR($A408="",$B408=""),"Isi tanggal dan ID PIC",IF(NOT(ISNUMBER($A408)),"Tanggal harus berupa tanggal Excel",IF(COUNTIFS(Master_PIC!$A$8:$A$73,$B408)&lt;&gt;1,"ID PIC tidak unik/terdaftar",IF(VLOOKUP($B408,Master_PIC!$A$8:$G$73,3,FALSE)&lt;&gt;"Sales","Jabatan tidak sesuai sheet",IF(OR($C408="",$D408="",$E408="",$F408=""),"Lengkapi master PIC",IF(COUNTIFS($A$8:$A$507,$A408,$B$8:$B$507,$B408)&gt;1,"Laporan ganda",IF(COUNTIFS(G408:P408,"Tidak Berlaku")&gt;0,"N/A hanya untuk kegiatan bersyarat",IF(SUM(AG408,AH408,AI408,AJ408,AK408)&lt;&gt;14,"Status kegiatan tidak valid",IF(AK408&gt;0,"Lengkapi status kegiatan",IF(AND(AJ408&gt;0,U408=""),"Isi alasan Tidak Berlaku",IF(AND(SUM(AH408,AI408)&gt;0,OR(U408="",V408="",W408="",X408="")),"Isi kendala dan tindak lanjut",IF(AND(Z408&lt;&gt;"Draft",Z408&lt;&gt;"Dikirim"),"Isi status laporan yang valid",IF(AND(AB408&lt;&gt;"",AB408&lt;&gt;"Belum Diperiksa",AB408&lt;&gt;"Disetujui",AB408&lt;&gt;"Perlu Perbaikan"),"Hasil review tidak valid",IF(AND(Z408="Dikirim",OR(Y408="",AA408="")),"Isi bukti dan waktu kirim",IF(AND(AB408="Disetujui",OR(Z408&lt;&gt;"Dikirim",AC408="",AD408="")),"Lengkapi pemeriksaan",IF(AND(AB408="Perlu Perbaikan",OR(AE408="",AC408="",AD408="")),"Isi pemeriksa dan catatan perbaikan","OK")))))))))))))))),"")</f>
        <v/>
      </c>
    </row>
    <row r="409" spans="1:39" ht="24.95" customHeight="1">
      <c r="A409" s="8"/>
      <c r="B409" s="6"/>
      <c r="C409" s="15" t="str">
        <f>IF(COUNTIFS(Master_PIC!$A$8:$A$73,$B409)=1,IF(VLOOKUP($B409,Master_PIC!$A$8:$G$73,2,FALSE)="","",VLOOKUP($B409,Master_PIC!$A$8:$G$73,2,FALSE)),"")</f>
        <v/>
      </c>
      <c r="D409" s="15" t="str">
        <f>IF(COUNTIFS(Master_PIC!$A$8:$A$73,$B409)=1,IF(VLOOKUP($B409,Master_PIC!$A$8:$G$73,4,FALSE)="","",VLOOKUP($B409,Master_PIC!$A$8:$G$73,4,FALSE)),"")</f>
        <v/>
      </c>
      <c r="E409" s="15" t="str">
        <f>IF(COUNTIFS(Master_PIC!$A$8:$A$73,$B409)=1,IF(VLOOKUP($B409,Master_PIC!$A$8:$G$73,5,FALSE)="","",VLOOKUP($B409,Master_PIC!$A$8:$G$73,5,FALSE)),"")</f>
        <v/>
      </c>
      <c r="F409" s="15" t="str">
        <f>IF(COUNTIFS(Master_PIC!$A$8:$A$73,$B409)=1,IF(VLOOKUP($B409,Master_PIC!$A$8:$G$73,6,FALSE)="","",VLOOKUP($B409,Master_PIC!$A$8:$G$73,6,FALSE)),"")</f>
        <v/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8"/>
      <c r="Y409" s="5"/>
      <c r="Z409" s="5"/>
      <c r="AA409" s="9"/>
      <c r="AB409" s="5"/>
      <c r="AC409" s="5"/>
      <c r="AD409" s="9"/>
      <c r="AE409" s="5"/>
      <c r="AF409" s="7" t="str">
        <f t="shared" si="42"/>
        <v/>
      </c>
      <c r="AG409" s="7" t="str">
        <f t="shared" si="43"/>
        <v/>
      </c>
      <c r="AH409" s="7" t="str">
        <f t="shared" si="44"/>
        <v/>
      </c>
      <c r="AI409" s="7" t="str">
        <f t="shared" si="45"/>
        <v/>
      </c>
      <c r="AJ409" s="7" t="str">
        <f t="shared" si="46"/>
        <v/>
      </c>
      <c r="AK409" s="7" t="str">
        <f t="shared" si="47"/>
        <v/>
      </c>
      <c r="AL409" s="10" t="str">
        <f t="shared" si="48"/>
        <v/>
      </c>
      <c r="AM409" s="15" t="str">
        <f>IF(OR($A409&lt;&gt;"",$B409&lt;&gt;""),IF(OR($A409="",$B409=""),"Isi tanggal dan ID PIC",IF(NOT(ISNUMBER($A409)),"Tanggal harus berupa tanggal Excel",IF(COUNTIFS(Master_PIC!$A$8:$A$73,$B409)&lt;&gt;1,"ID PIC tidak unik/terdaftar",IF(VLOOKUP($B409,Master_PIC!$A$8:$G$73,3,FALSE)&lt;&gt;"Sales","Jabatan tidak sesuai sheet",IF(OR($C409="",$D409="",$E409="",$F409=""),"Lengkapi master PIC",IF(COUNTIFS($A$8:$A$507,$A409,$B$8:$B$507,$B409)&gt;1,"Laporan ganda",IF(COUNTIFS(G409:P409,"Tidak Berlaku")&gt;0,"N/A hanya untuk kegiatan bersyarat",IF(SUM(AG409,AH409,AI409,AJ409,AK409)&lt;&gt;14,"Status kegiatan tidak valid",IF(AK409&gt;0,"Lengkapi status kegiatan",IF(AND(AJ409&gt;0,U409=""),"Isi alasan Tidak Berlaku",IF(AND(SUM(AH409,AI409)&gt;0,OR(U409="",V409="",W409="",X409="")),"Isi kendala dan tindak lanjut",IF(AND(Z409&lt;&gt;"Draft",Z409&lt;&gt;"Dikirim"),"Isi status laporan yang valid",IF(AND(AB409&lt;&gt;"",AB409&lt;&gt;"Belum Diperiksa",AB409&lt;&gt;"Disetujui",AB409&lt;&gt;"Perlu Perbaikan"),"Hasil review tidak valid",IF(AND(Z409="Dikirim",OR(Y409="",AA409="")),"Isi bukti dan waktu kirim",IF(AND(AB409="Disetujui",OR(Z409&lt;&gt;"Dikirim",AC409="",AD409="")),"Lengkapi pemeriksaan",IF(AND(AB409="Perlu Perbaikan",OR(AE409="",AC409="",AD409="")),"Isi pemeriksa dan catatan perbaikan","OK")))))))))))))))),"")</f>
        <v/>
      </c>
    </row>
    <row r="410" spans="1:39" ht="24.95" customHeight="1">
      <c r="A410" s="8"/>
      <c r="B410" s="6"/>
      <c r="C410" s="15" t="str">
        <f>IF(COUNTIFS(Master_PIC!$A$8:$A$73,$B410)=1,IF(VLOOKUP($B410,Master_PIC!$A$8:$G$73,2,FALSE)="","",VLOOKUP($B410,Master_PIC!$A$8:$G$73,2,FALSE)),"")</f>
        <v/>
      </c>
      <c r="D410" s="15" t="str">
        <f>IF(COUNTIFS(Master_PIC!$A$8:$A$73,$B410)=1,IF(VLOOKUP($B410,Master_PIC!$A$8:$G$73,4,FALSE)="","",VLOOKUP($B410,Master_PIC!$A$8:$G$73,4,FALSE)),"")</f>
        <v/>
      </c>
      <c r="E410" s="15" t="str">
        <f>IF(COUNTIFS(Master_PIC!$A$8:$A$73,$B410)=1,IF(VLOOKUP($B410,Master_PIC!$A$8:$G$73,5,FALSE)="","",VLOOKUP($B410,Master_PIC!$A$8:$G$73,5,FALSE)),"")</f>
        <v/>
      </c>
      <c r="F410" s="15" t="str">
        <f>IF(COUNTIFS(Master_PIC!$A$8:$A$73,$B410)=1,IF(VLOOKUP($B410,Master_PIC!$A$8:$G$73,6,FALSE)="","",VLOOKUP($B410,Master_PIC!$A$8:$G$73,6,FALSE)),"")</f>
        <v/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8"/>
      <c r="Y410" s="5"/>
      <c r="Z410" s="5"/>
      <c r="AA410" s="9"/>
      <c r="AB410" s="5"/>
      <c r="AC410" s="5"/>
      <c r="AD410" s="9"/>
      <c r="AE410" s="5"/>
      <c r="AF410" s="7" t="str">
        <f t="shared" si="42"/>
        <v/>
      </c>
      <c r="AG410" s="7" t="str">
        <f t="shared" si="43"/>
        <v/>
      </c>
      <c r="AH410" s="7" t="str">
        <f t="shared" si="44"/>
        <v/>
      </c>
      <c r="AI410" s="7" t="str">
        <f t="shared" si="45"/>
        <v/>
      </c>
      <c r="AJ410" s="7" t="str">
        <f t="shared" si="46"/>
        <v/>
      </c>
      <c r="AK410" s="7" t="str">
        <f t="shared" si="47"/>
        <v/>
      </c>
      <c r="AL410" s="10" t="str">
        <f t="shared" si="48"/>
        <v/>
      </c>
      <c r="AM410" s="15" t="str">
        <f>IF(OR($A410&lt;&gt;"",$B410&lt;&gt;""),IF(OR($A410="",$B410=""),"Isi tanggal dan ID PIC",IF(NOT(ISNUMBER($A410)),"Tanggal harus berupa tanggal Excel",IF(COUNTIFS(Master_PIC!$A$8:$A$73,$B410)&lt;&gt;1,"ID PIC tidak unik/terdaftar",IF(VLOOKUP($B410,Master_PIC!$A$8:$G$73,3,FALSE)&lt;&gt;"Sales","Jabatan tidak sesuai sheet",IF(OR($C410="",$D410="",$E410="",$F410=""),"Lengkapi master PIC",IF(COUNTIFS($A$8:$A$507,$A410,$B$8:$B$507,$B410)&gt;1,"Laporan ganda",IF(COUNTIFS(G410:P410,"Tidak Berlaku")&gt;0,"N/A hanya untuk kegiatan bersyarat",IF(SUM(AG410,AH410,AI410,AJ410,AK410)&lt;&gt;14,"Status kegiatan tidak valid",IF(AK410&gt;0,"Lengkapi status kegiatan",IF(AND(AJ410&gt;0,U410=""),"Isi alasan Tidak Berlaku",IF(AND(SUM(AH410,AI410)&gt;0,OR(U410="",V410="",W410="",X410="")),"Isi kendala dan tindak lanjut",IF(AND(Z410&lt;&gt;"Draft",Z410&lt;&gt;"Dikirim"),"Isi status laporan yang valid",IF(AND(AB410&lt;&gt;"",AB410&lt;&gt;"Belum Diperiksa",AB410&lt;&gt;"Disetujui",AB410&lt;&gt;"Perlu Perbaikan"),"Hasil review tidak valid",IF(AND(Z410="Dikirim",OR(Y410="",AA410="")),"Isi bukti dan waktu kirim",IF(AND(AB410="Disetujui",OR(Z410&lt;&gt;"Dikirim",AC410="",AD410="")),"Lengkapi pemeriksaan",IF(AND(AB410="Perlu Perbaikan",OR(AE410="",AC410="",AD410="")),"Isi pemeriksa dan catatan perbaikan","OK")))))))))))))))),"")</f>
        <v/>
      </c>
    </row>
    <row r="411" spans="1:39" ht="24.95" customHeight="1">
      <c r="A411" s="8"/>
      <c r="B411" s="6"/>
      <c r="C411" s="15" t="str">
        <f>IF(COUNTIFS(Master_PIC!$A$8:$A$73,$B411)=1,IF(VLOOKUP($B411,Master_PIC!$A$8:$G$73,2,FALSE)="","",VLOOKUP($B411,Master_PIC!$A$8:$G$73,2,FALSE)),"")</f>
        <v/>
      </c>
      <c r="D411" s="15" t="str">
        <f>IF(COUNTIFS(Master_PIC!$A$8:$A$73,$B411)=1,IF(VLOOKUP($B411,Master_PIC!$A$8:$G$73,4,FALSE)="","",VLOOKUP($B411,Master_PIC!$A$8:$G$73,4,FALSE)),"")</f>
        <v/>
      </c>
      <c r="E411" s="15" t="str">
        <f>IF(COUNTIFS(Master_PIC!$A$8:$A$73,$B411)=1,IF(VLOOKUP($B411,Master_PIC!$A$8:$G$73,5,FALSE)="","",VLOOKUP($B411,Master_PIC!$A$8:$G$73,5,FALSE)),"")</f>
        <v/>
      </c>
      <c r="F411" s="15" t="str">
        <f>IF(COUNTIFS(Master_PIC!$A$8:$A$73,$B411)=1,IF(VLOOKUP($B411,Master_PIC!$A$8:$G$73,6,FALSE)="","",VLOOKUP($B411,Master_PIC!$A$8:$G$73,6,FALSE)),"")</f>
        <v/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8"/>
      <c r="Y411" s="5"/>
      <c r="Z411" s="5"/>
      <c r="AA411" s="9"/>
      <c r="AB411" s="5"/>
      <c r="AC411" s="5"/>
      <c r="AD411" s="9"/>
      <c r="AE411" s="5"/>
      <c r="AF411" s="7" t="str">
        <f t="shared" si="42"/>
        <v/>
      </c>
      <c r="AG411" s="7" t="str">
        <f t="shared" si="43"/>
        <v/>
      </c>
      <c r="AH411" s="7" t="str">
        <f t="shared" si="44"/>
        <v/>
      </c>
      <c r="AI411" s="7" t="str">
        <f t="shared" si="45"/>
        <v/>
      </c>
      <c r="AJ411" s="7" t="str">
        <f t="shared" si="46"/>
        <v/>
      </c>
      <c r="AK411" s="7" t="str">
        <f t="shared" si="47"/>
        <v/>
      </c>
      <c r="AL411" s="10" t="str">
        <f t="shared" si="48"/>
        <v/>
      </c>
      <c r="AM411" s="15" t="str">
        <f>IF(OR($A411&lt;&gt;"",$B411&lt;&gt;""),IF(OR($A411="",$B411=""),"Isi tanggal dan ID PIC",IF(NOT(ISNUMBER($A411)),"Tanggal harus berupa tanggal Excel",IF(COUNTIFS(Master_PIC!$A$8:$A$73,$B411)&lt;&gt;1,"ID PIC tidak unik/terdaftar",IF(VLOOKUP($B411,Master_PIC!$A$8:$G$73,3,FALSE)&lt;&gt;"Sales","Jabatan tidak sesuai sheet",IF(OR($C411="",$D411="",$E411="",$F411=""),"Lengkapi master PIC",IF(COUNTIFS($A$8:$A$507,$A411,$B$8:$B$507,$B411)&gt;1,"Laporan ganda",IF(COUNTIFS(G411:P411,"Tidak Berlaku")&gt;0,"N/A hanya untuk kegiatan bersyarat",IF(SUM(AG411,AH411,AI411,AJ411,AK411)&lt;&gt;14,"Status kegiatan tidak valid",IF(AK411&gt;0,"Lengkapi status kegiatan",IF(AND(AJ411&gt;0,U411=""),"Isi alasan Tidak Berlaku",IF(AND(SUM(AH411,AI411)&gt;0,OR(U411="",V411="",W411="",X411="")),"Isi kendala dan tindak lanjut",IF(AND(Z411&lt;&gt;"Draft",Z411&lt;&gt;"Dikirim"),"Isi status laporan yang valid",IF(AND(AB411&lt;&gt;"",AB411&lt;&gt;"Belum Diperiksa",AB411&lt;&gt;"Disetujui",AB411&lt;&gt;"Perlu Perbaikan"),"Hasil review tidak valid",IF(AND(Z411="Dikirim",OR(Y411="",AA411="")),"Isi bukti dan waktu kirim",IF(AND(AB411="Disetujui",OR(Z411&lt;&gt;"Dikirim",AC411="",AD411="")),"Lengkapi pemeriksaan",IF(AND(AB411="Perlu Perbaikan",OR(AE411="",AC411="",AD411="")),"Isi pemeriksa dan catatan perbaikan","OK")))))))))))))))),"")</f>
        <v/>
      </c>
    </row>
    <row r="412" spans="1:39" ht="24.95" customHeight="1">
      <c r="A412" s="8"/>
      <c r="B412" s="6"/>
      <c r="C412" s="15" t="str">
        <f>IF(COUNTIFS(Master_PIC!$A$8:$A$73,$B412)=1,IF(VLOOKUP($B412,Master_PIC!$A$8:$G$73,2,FALSE)="","",VLOOKUP($B412,Master_PIC!$A$8:$G$73,2,FALSE)),"")</f>
        <v/>
      </c>
      <c r="D412" s="15" t="str">
        <f>IF(COUNTIFS(Master_PIC!$A$8:$A$73,$B412)=1,IF(VLOOKUP($B412,Master_PIC!$A$8:$G$73,4,FALSE)="","",VLOOKUP($B412,Master_PIC!$A$8:$G$73,4,FALSE)),"")</f>
        <v/>
      </c>
      <c r="E412" s="15" t="str">
        <f>IF(COUNTIFS(Master_PIC!$A$8:$A$73,$B412)=1,IF(VLOOKUP($B412,Master_PIC!$A$8:$G$73,5,FALSE)="","",VLOOKUP($B412,Master_PIC!$A$8:$G$73,5,FALSE)),"")</f>
        <v/>
      </c>
      <c r="F412" s="15" t="str">
        <f>IF(COUNTIFS(Master_PIC!$A$8:$A$73,$B412)=1,IF(VLOOKUP($B412,Master_PIC!$A$8:$G$73,6,FALSE)="","",VLOOKUP($B412,Master_PIC!$A$8:$G$73,6,FALSE)),"")</f>
        <v/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8"/>
      <c r="Y412" s="5"/>
      <c r="Z412" s="5"/>
      <c r="AA412" s="9"/>
      <c r="AB412" s="5"/>
      <c r="AC412" s="5"/>
      <c r="AD412" s="9"/>
      <c r="AE412" s="5"/>
      <c r="AF412" s="7" t="str">
        <f t="shared" si="42"/>
        <v/>
      </c>
      <c r="AG412" s="7" t="str">
        <f t="shared" si="43"/>
        <v/>
      </c>
      <c r="AH412" s="7" t="str">
        <f t="shared" si="44"/>
        <v/>
      </c>
      <c r="AI412" s="7" t="str">
        <f t="shared" si="45"/>
        <v/>
      </c>
      <c r="AJ412" s="7" t="str">
        <f t="shared" si="46"/>
        <v/>
      </c>
      <c r="AK412" s="7" t="str">
        <f t="shared" si="47"/>
        <v/>
      </c>
      <c r="AL412" s="10" t="str">
        <f t="shared" si="48"/>
        <v/>
      </c>
      <c r="AM412" s="15" t="str">
        <f>IF(OR($A412&lt;&gt;"",$B412&lt;&gt;""),IF(OR($A412="",$B412=""),"Isi tanggal dan ID PIC",IF(NOT(ISNUMBER($A412)),"Tanggal harus berupa tanggal Excel",IF(COUNTIFS(Master_PIC!$A$8:$A$73,$B412)&lt;&gt;1,"ID PIC tidak unik/terdaftar",IF(VLOOKUP($B412,Master_PIC!$A$8:$G$73,3,FALSE)&lt;&gt;"Sales","Jabatan tidak sesuai sheet",IF(OR($C412="",$D412="",$E412="",$F412=""),"Lengkapi master PIC",IF(COUNTIFS($A$8:$A$507,$A412,$B$8:$B$507,$B412)&gt;1,"Laporan ganda",IF(COUNTIFS(G412:P412,"Tidak Berlaku")&gt;0,"N/A hanya untuk kegiatan bersyarat",IF(SUM(AG412,AH412,AI412,AJ412,AK412)&lt;&gt;14,"Status kegiatan tidak valid",IF(AK412&gt;0,"Lengkapi status kegiatan",IF(AND(AJ412&gt;0,U412=""),"Isi alasan Tidak Berlaku",IF(AND(SUM(AH412,AI412)&gt;0,OR(U412="",V412="",W412="",X412="")),"Isi kendala dan tindak lanjut",IF(AND(Z412&lt;&gt;"Draft",Z412&lt;&gt;"Dikirim"),"Isi status laporan yang valid",IF(AND(AB412&lt;&gt;"",AB412&lt;&gt;"Belum Diperiksa",AB412&lt;&gt;"Disetujui",AB412&lt;&gt;"Perlu Perbaikan"),"Hasil review tidak valid",IF(AND(Z412="Dikirim",OR(Y412="",AA412="")),"Isi bukti dan waktu kirim",IF(AND(AB412="Disetujui",OR(Z412&lt;&gt;"Dikirim",AC412="",AD412="")),"Lengkapi pemeriksaan",IF(AND(AB412="Perlu Perbaikan",OR(AE412="",AC412="",AD412="")),"Isi pemeriksa dan catatan perbaikan","OK")))))))))))))))),"")</f>
        <v/>
      </c>
    </row>
    <row r="413" spans="1:39" ht="24.95" customHeight="1">
      <c r="A413" s="8"/>
      <c r="B413" s="6"/>
      <c r="C413" s="15" t="str">
        <f>IF(COUNTIFS(Master_PIC!$A$8:$A$73,$B413)=1,IF(VLOOKUP($B413,Master_PIC!$A$8:$G$73,2,FALSE)="","",VLOOKUP($B413,Master_PIC!$A$8:$G$73,2,FALSE)),"")</f>
        <v/>
      </c>
      <c r="D413" s="15" t="str">
        <f>IF(COUNTIFS(Master_PIC!$A$8:$A$73,$B413)=1,IF(VLOOKUP($B413,Master_PIC!$A$8:$G$73,4,FALSE)="","",VLOOKUP($B413,Master_PIC!$A$8:$G$73,4,FALSE)),"")</f>
        <v/>
      </c>
      <c r="E413" s="15" t="str">
        <f>IF(COUNTIFS(Master_PIC!$A$8:$A$73,$B413)=1,IF(VLOOKUP($B413,Master_PIC!$A$8:$G$73,5,FALSE)="","",VLOOKUP($B413,Master_PIC!$A$8:$G$73,5,FALSE)),"")</f>
        <v/>
      </c>
      <c r="F413" s="15" t="str">
        <f>IF(COUNTIFS(Master_PIC!$A$8:$A$73,$B413)=1,IF(VLOOKUP($B413,Master_PIC!$A$8:$G$73,6,FALSE)="","",VLOOKUP($B413,Master_PIC!$A$8:$G$73,6,FALSE)),"")</f>
        <v/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8"/>
      <c r="Y413" s="5"/>
      <c r="Z413" s="5"/>
      <c r="AA413" s="9"/>
      <c r="AB413" s="5"/>
      <c r="AC413" s="5"/>
      <c r="AD413" s="9"/>
      <c r="AE413" s="5"/>
      <c r="AF413" s="7" t="str">
        <f t="shared" si="42"/>
        <v/>
      </c>
      <c r="AG413" s="7" t="str">
        <f t="shared" si="43"/>
        <v/>
      </c>
      <c r="AH413" s="7" t="str">
        <f t="shared" si="44"/>
        <v/>
      </c>
      <c r="AI413" s="7" t="str">
        <f t="shared" si="45"/>
        <v/>
      </c>
      <c r="AJ413" s="7" t="str">
        <f t="shared" si="46"/>
        <v/>
      </c>
      <c r="AK413" s="7" t="str">
        <f t="shared" si="47"/>
        <v/>
      </c>
      <c r="AL413" s="10" t="str">
        <f t="shared" si="48"/>
        <v/>
      </c>
      <c r="AM413" s="15" t="str">
        <f>IF(OR($A413&lt;&gt;"",$B413&lt;&gt;""),IF(OR($A413="",$B413=""),"Isi tanggal dan ID PIC",IF(NOT(ISNUMBER($A413)),"Tanggal harus berupa tanggal Excel",IF(COUNTIFS(Master_PIC!$A$8:$A$73,$B413)&lt;&gt;1,"ID PIC tidak unik/terdaftar",IF(VLOOKUP($B413,Master_PIC!$A$8:$G$73,3,FALSE)&lt;&gt;"Sales","Jabatan tidak sesuai sheet",IF(OR($C413="",$D413="",$E413="",$F413=""),"Lengkapi master PIC",IF(COUNTIFS($A$8:$A$507,$A413,$B$8:$B$507,$B413)&gt;1,"Laporan ganda",IF(COUNTIFS(G413:P413,"Tidak Berlaku")&gt;0,"N/A hanya untuk kegiatan bersyarat",IF(SUM(AG413,AH413,AI413,AJ413,AK413)&lt;&gt;14,"Status kegiatan tidak valid",IF(AK413&gt;0,"Lengkapi status kegiatan",IF(AND(AJ413&gt;0,U413=""),"Isi alasan Tidak Berlaku",IF(AND(SUM(AH413,AI413)&gt;0,OR(U413="",V413="",W413="",X413="")),"Isi kendala dan tindak lanjut",IF(AND(Z413&lt;&gt;"Draft",Z413&lt;&gt;"Dikirim"),"Isi status laporan yang valid",IF(AND(AB413&lt;&gt;"",AB413&lt;&gt;"Belum Diperiksa",AB413&lt;&gt;"Disetujui",AB413&lt;&gt;"Perlu Perbaikan"),"Hasil review tidak valid",IF(AND(Z413="Dikirim",OR(Y413="",AA413="")),"Isi bukti dan waktu kirim",IF(AND(AB413="Disetujui",OR(Z413&lt;&gt;"Dikirim",AC413="",AD413="")),"Lengkapi pemeriksaan",IF(AND(AB413="Perlu Perbaikan",OR(AE413="",AC413="",AD413="")),"Isi pemeriksa dan catatan perbaikan","OK")))))))))))))))),"")</f>
        <v/>
      </c>
    </row>
    <row r="414" spans="1:39" ht="24.95" customHeight="1">
      <c r="A414" s="8"/>
      <c r="B414" s="6"/>
      <c r="C414" s="15" t="str">
        <f>IF(COUNTIFS(Master_PIC!$A$8:$A$73,$B414)=1,IF(VLOOKUP($B414,Master_PIC!$A$8:$G$73,2,FALSE)="","",VLOOKUP($B414,Master_PIC!$A$8:$G$73,2,FALSE)),"")</f>
        <v/>
      </c>
      <c r="D414" s="15" t="str">
        <f>IF(COUNTIFS(Master_PIC!$A$8:$A$73,$B414)=1,IF(VLOOKUP($B414,Master_PIC!$A$8:$G$73,4,FALSE)="","",VLOOKUP($B414,Master_PIC!$A$8:$G$73,4,FALSE)),"")</f>
        <v/>
      </c>
      <c r="E414" s="15" t="str">
        <f>IF(COUNTIFS(Master_PIC!$A$8:$A$73,$B414)=1,IF(VLOOKUP($B414,Master_PIC!$A$8:$G$73,5,FALSE)="","",VLOOKUP($B414,Master_PIC!$A$8:$G$73,5,FALSE)),"")</f>
        <v/>
      </c>
      <c r="F414" s="15" t="str">
        <f>IF(COUNTIFS(Master_PIC!$A$8:$A$73,$B414)=1,IF(VLOOKUP($B414,Master_PIC!$A$8:$G$73,6,FALSE)="","",VLOOKUP($B414,Master_PIC!$A$8:$G$73,6,FALSE)),"")</f>
        <v/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8"/>
      <c r="Y414" s="5"/>
      <c r="Z414" s="5"/>
      <c r="AA414" s="9"/>
      <c r="AB414" s="5"/>
      <c r="AC414" s="5"/>
      <c r="AD414" s="9"/>
      <c r="AE414" s="5"/>
      <c r="AF414" s="7" t="str">
        <f t="shared" si="42"/>
        <v/>
      </c>
      <c r="AG414" s="7" t="str">
        <f t="shared" si="43"/>
        <v/>
      </c>
      <c r="AH414" s="7" t="str">
        <f t="shared" si="44"/>
        <v/>
      </c>
      <c r="AI414" s="7" t="str">
        <f t="shared" si="45"/>
        <v/>
      </c>
      <c r="AJ414" s="7" t="str">
        <f t="shared" si="46"/>
        <v/>
      </c>
      <c r="AK414" s="7" t="str">
        <f t="shared" si="47"/>
        <v/>
      </c>
      <c r="AL414" s="10" t="str">
        <f t="shared" si="48"/>
        <v/>
      </c>
      <c r="AM414" s="15" t="str">
        <f>IF(OR($A414&lt;&gt;"",$B414&lt;&gt;""),IF(OR($A414="",$B414=""),"Isi tanggal dan ID PIC",IF(NOT(ISNUMBER($A414)),"Tanggal harus berupa tanggal Excel",IF(COUNTIFS(Master_PIC!$A$8:$A$73,$B414)&lt;&gt;1,"ID PIC tidak unik/terdaftar",IF(VLOOKUP($B414,Master_PIC!$A$8:$G$73,3,FALSE)&lt;&gt;"Sales","Jabatan tidak sesuai sheet",IF(OR($C414="",$D414="",$E414="",$F414=""),"Lengkapi master PIC",IF(COUNTIFS($A$8:$A$507,$A414,$B$8:$B$507,$B414)&gt;1,"Laporan ganda",IF(COUNTIFS(G414:P414,"Tidak Berlaku")&gt;0,"N/A hanya untuk kegiatan bersyarat",IF(SUM(AG414,AH414,AI414,AJ414,AK414)&lt;&gt;14,"Status kegiatan tidak valid",IF(AK414&gt;0,"Lengkapi status kegiatan",IF(AND(AJ414&gt;0,U414=""),"Isi alasan Tidak Berlaku",IF(AND(SUM(AH414,AI414)&gt;0,OR(U414="",V414="",W414="",X414="")),"Isi kendala dan tindak lanjut",IF(AND(Z414&lt;&gt;"Draft",Z414&lt;&gt;"Dikirim"),"Isi status laporan yang valid",IF(AND(AB414&lt;&gt;"",AB414&lt;&gt;"Belum Diperiksa",AB414&lt;&gt;"Disetujui",AB414&lt;&gt;"Perlu Perbaikan"),"Hasil review tidak valid",IF(AND(Z414="Dikirim",OR(Y414="",AA414="")),"Isi bukti dan waktu kirim",IF(AND(AB414="Disetujui",OR(Z414&lt;&gt;"Dikirim",AC414="",AD414="")),"Lengkapi pemeriksaan",IF(AND(AB414="Perlu Perbaikan",OR(AE414="",AC414="",AD414="")),"Isi pemeriksa dan catatan perbaikan","OK")))))))))))))))),"")</f>
        <v/>
      </c>
    </row>
    <row r="415" spans="1:39" ht="24.95" customHeight="1">
      <c r="A415" s="8"/>
      <c r="B415" s="6"/>
      <c r="C415" s="15" t="str">
        <f>IF(COUNTIFS(Master_PIC!$A$8:$A$73,$B415)=1,IF(VLOOKUP($B415,Master_PIC!$A$8:$G$73,2,FALSE)="","",VLOOKUP($B415,Master_PIC!$A$8:$G$73,2,FALSE)),"")</f>
        <v/>
      </c>
      <c r="D415" s="15" t="str">
        <f>IF(COUNTIFS(Master_PIC!$A$8:$A$73,$B415)=1,IF(VLOOKUP($B415,Master_PIC!$A$8:$G$73,4,FALSE)="","",VLOOKUP($B415,Master_PIC!$A$8:$G$73,4,FALSE)),"")</f>
        <v/>
      </c>
      <c r="E415" s="15" t="str">
        <f>IF(COUNTIFS(Master_PIC!$A$8:$A$73,$B415)=1,IF(VLOOKUP($B415,Master_PIC!$A$8:$G$73,5,FALSE)="","",VLOOKUP($B415,Master_PIC!$A$8:$G$73,5,FALSE)),"")</f>
        <v/>
      </c>
      <c r="F415" s="15" t="str">
        <f>IF(COUNTIFS(Master_PIC!$A$8:$A$73,$B415)=1,IF(VLOOKUP($B415,Master_PIC!$A$8:$G$73,6,FALSE)="","",VLOOKUP($B415,Master_PIC!$A$8:$G$73,6,FALSE)),"")</f>
        <v/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8"/>
      <c r="Y415" s="5"/>
      <c r="Z415" s="5"/>
      <c r="AA415" s="9"/>
      <c r="AB415" s="5"/>
      <c r="AC415" s="5"/>
      <c r="AD415" s="9"/>
      <c r="AE415" s="5"/>
      <c r="AF415" s="7" t="str">
        <f t="shared" si="42"/>
        <v/>
      </c>
      <c r="AG415" s="7" t="str">
        <f t="shared" si="43"/>
        <v/>
      </c>
      <c r="AH415" s="7" t="str">
        <f t="shared" si="44"/>
        <v/>
      </c>
      <c r="AI415" s="7" t="str">
        <f t="shared" si="45"/>
        <v/>
      </c>
      <c r="AJ415" s="7" t="str">
        <f t="shared" si="46"/>
        <v/>
      </c>
      <c r="AK415" s="7" t="str">
        <f t="shared" si="47"/>
        <v/>
      </c>
      <c r="AL415" s="10" t="str">
        <f t="shared" si="48"/>
        <v/>
      </c>
      <c r="AM415" s="15" t="str">
        <f>IF(OR($A415&lt;&gt;"",$B415&lt;&gt;""),IF(OR($A415="",$B415=""),"Isi tanggal dan ID PIC",IF(NOT(ISNUMBER($A415)),"Tanggal harus berupa tanggal Excel",IF(COUNTIFS(Master_PIC!$A$8:$A$73,$B415)&lt;&gt;1,"ID PIC tidak unik/terdaftar",IF(VLOOKUP($B415,Master_PIC!$A$8:$G$73,3,FALSE)&lt;&gt;"Sales","Jabatan tidak sesuai sheet",IF(OR($C415="",$D415="",$E415="",$F415=""),"Lengkapi master PIC",IF(COUNTIFS($A$8:$A$507,$A415,$B$8:$B$507,$B415)&gt;1,"Laporan ganda",IF(COUNTIFS(G415:P415,"Tidak Berlaku")&gt;0,"N/A hanya untuk kegiatan bersyarat",IF(SUM(AG415,AH415,AI415,AJ415,AK415)&lt;&gt;14,"Status kegiatan tidak valid",IF(AK415&gt;0,"Lengkapi status kegiatan",IF(AND(AJ415&gt;0,U415=""),"Isi alasan Tidak Berlaku",IF(AND(SUM(AH415,AI415)&gt;0,OR(U415="",V415="",W415="",X415="")),"Isi kendala dan tindak lanjut",IF(AND(Z415&lt;&gt;"Draft",Z415&lt;&gt;"Dikirim"),"Isi status laporan yang valid",IF(AND(AB415&lt;&gt;"",AB415&lt;&gt;"Belum Diperiksa",AB415&lt;&gt;"Disetujui",AB415&lt;&gt;"Perlu Perbaikan"),"Hasil review tidak valid",IF(AND(Z415="Dikirim",OR(Y415="",AA415="")),"Isi bukti dan waktu kirim",IF(AND(AB415="Disetujui",OR(Z415&lt;&gt;"Dikirim",AC415="",AD415="")),"Lengkapi pemeriksaan",IF(AND(AB415="Perlu Perbaikan",OR(AE415="",AC415="",AD415="")),"Isi pemeriksa dan catatan perbaikan","OK")))))))))))))))),"")</f>
        <v/>
      </c>
    </row>
    <row r="416" spans="1:39" ht="24.95" customHeight="1">
      <c r="A416" s="8"/>
      <c r="B416" s="6"/>
      <c r="C416" s="15" t="str">
        <f>IF(COUNTIFS(Master_PIC!$A$8:$A$73,$B416)=1,IF(VLOOKUP($B416,Master_PIC!$A$8:$G$73,2,FALSE)="","",VLOOKUP($B416,Master_PIC!$A$8:$G$73,2,FALSE)),"")</f>
        <v/>
      </c>
      <c r="D416" s="15" t="str">
        <f>IF(COUNTIFS(Master_PIC!$A$8:$A$73,$B416)=1,IF(VLOOKUP($B416,Master_PIC!$A$8:$G$73,4,FALSE)="","",VLOOKUP($B416,Master_PIC!$A$8:$G$73,4,FALSE)),"")</f>
        <v/>
      </c>
      <c r="E416" s="15" t="str">
        <f>IF(COUNTIFS(Master_PIC!$A$8:$A$73,$B416)=1,IF(VLOOKUP($B416,Master_PIC!$A$8:$G$73,5,FALSE)="","",VLOOKUP($B416,Master_PIC!$A$8:$G$73,5,FALSE)),"")</f>
        <v/>
      </c>
      <c r="F416" s="15" t="str">
        <f>IF(COUNTIFS(Master_PIC!$A$8:$A$73,$B416)=1,IF(VLOOKUP($B416,Master_PIC!$A$8:$G$73,6,FALSE)="","",VLOOKUP($B416,Master_PIC!$A$8:$G$73,6,FALSE)),"")</f>
        <v/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8"/>
      <c r="Y416" s="5"/>
      <c r="Z416" s="5"/>
      <c r="AA416" s="9"/>
      <c r="AB416" s="5"/>
      <c r="AC416" s="5"/>
      <c r="AD416" s="9"/>
      <c r="AE416" s="5"/>
      <c r="AF416" s="7" t="str">
        <f t="shared" si="42"/>
        <v/>
      </c>
      <c r="AG416" s="7" t="str">
        <f t="shared" si="43"/>
        <v/>
      </c>
      <c r="AH416" s="7" t="str">
        <f t="shared" si="44"/>
        <v/>
      </c>
      <c r="AI416" s="7" t="str">
        <f t="shared" si="45"/>
        <v/>
      </c>
      <c r="AJ416" s="7" t="str">
        <f t="shared" si="46"/>
        <v/>
      </c>
      <c r="AK416" s="7" t="str">
        <f t="shared" si="47"/>
        <v/>
      </c>
      <c r="AL416" s="10" t="str">
        <f t="shared" si="48"/>
        <v/>
      </c>
      <c r="AM416" s="15" t="str">
        <f>IF(OR($A416&lt;&gt;"",$B416&lt;&gt;""),IF(OR($A416="",$B416=""),"Isi tanggal dan ID PIC",IF(NOT(ISNUMBER($A416)),"Tanggal harus berupa tanggal Excel",IF(COUNTIFS(Master_PIC!$A$8:$A$73,$B416)&lt;&gt;1,"ID PIC tidak unik/terdaftar",IF(VLOOKUP($B416,Master_PIC!$A$8:$G$73,3,FALSE)&lt;&gt;"Sales","Jabatan tidak sesuai sheet",IF(OR($C416="",$D416="",$E416="",$F416=""),"Lengkapi master PIC",IF(COUNTIFS($A$8:$A$507,$A416,$B$8:$B$507,$B416)&gt;1,"Laporan ganda",IF(COUNTIFS(G416:P416,"Tidak Berlaku")&gt;0,"N/A hanya untuk kegiatan bersyarat",IF(SUM(AG416,AH416,AI416,AJ416,AK416)&lt;&gt;14,"Status kegiatan tidak valid",IF(AK416&gt;0,"Lengkapi status kegiatan",IF(AND(AJ416&gt;0,U416=""),"Isi alasan Tidak Berlaku",IF(AND(SUM(AH416,AI416)&gt;0,OR(U416="",V416="",W416="",X416="")),"Isi kendala dan tindak lanjut",IF(AND(Z416&lt;&gt;"Draft",Z416&lt;&gt;"Dikirim"),"Isi status laporan yang valid",IF(AND(AB416&lt;&gt;"",AB416&lt;&gt;"Belum Diperiksa",AB416&lt;&gt;"Disetujui",AB416&lt;&gt;"Perlu Perbaikan"),"Hasil review tidak valid",IF(AND(Z416="Dikirim",OR(Y416="",AA416="")),"Isi bukti dan waktu kirim",IF(AND(AB416="Disetujui",OR(Z416&lt;&gt;"Dikirim",AC416="",AD416="")),"Lengkapi pemeriksaan",IF(AND(AB416="Perlu Perbaikan",OR(AE416="",AC416="",AD416="")),"Isi pemeriksa dan catatan perbaikan","OK")))))))))))))))),"")</f>
        <v/>
      </c>
    </row>
    <row r="417" spans="1:39" ht="24.95" customHeight="1">
      <c r="A417" s="8"/>
      <c r="B417" s="6"/>
      <c r="C417" s="15" t="str">
        <f>IF(COUNTIFS(Master_PIC!$A$8:$A$73,$B417)=1,IF(VLOOKUP($B417,Master_PIC!$A$8:$G$73,2,FALSE)="","",VLOOKUP($B417,Master_PIC!$A$8:$G$73,2,FALSE)),"")</f>
        <v/>
      </c>
      <c r="D417" s="15" t="str">
        <f>IF(COUNTIFS(Master_PIC!$A$8:$A$73,$B417)=1,IF(VLOOKUP($B417,Master_PIC!$A$8:$G$73,4,FALSE)="","",VLOOKUP($B417,Master_PIC!$A$8:$G$73,4,FALSE)),"")</f>
        <v/>
      </c>
      <c r="E417" s="15" t="str">
        <f>IF(COUNTIFS(Master_PIC!$A$8:$A$73,$B417)=1,IF(VLOOKUP($B417,Master_PIC!$A$8:$G$73,5,FALSE)="","",VLOOKUP($B417,Master_PIC!$A$8:$G$73,5,FALSE)),"")</f>
        <v/>
      </c>
      <c r="F417" s="15" t="str">
        <f>IF(COUNTIFS(Master_PIC!$A$8:$A$73,$B417)=1,IF(VLOOKUP($B417,Master_PIC!$A$8:$G$73,6,FALSE)="","",VLOOKUP($B417,Master_PIC!$A$8:$G$73,6,FALSE)),"")</f>
        <v/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8"/>
      <c r="Y417" s="5"/>
      <c r="Z417" s="5"/>
      <c r="AA417" s="9"/>
      <c r="AB417" s="5"/>
      <c r="AC417" s="5"/>
      <c r="AD417" s="9"/>
      <c r="AE417" s="5"/>
      <c r="AF417" s="7" t="str">
        <f t="shared" si="42"/>
        <v/>
      </c>
      <c r="AG417" s="7" t="str">
        <f t="shared" si="43"/>
        <v/>
      </c>
      <c r="AH417" s="7" t="str">
        <f t="shared" si="44"/>
        <v/>
      </c>
      <c r="AI417" s="7" t="str">
        <f t="shared" si="45"/>
        <v/>
      </c>
      <c r="AJ417" s="7" t="str">
        <f t="shared" si="46"/>
        <v/>
      </c>
      <c r="AK417" s="7" t="str">
        <f t="shared" si="47"/>
        <v/>
      </c>
      <c r="AL417" s="10" t="str">
        <f t="shared" si="48"/>
        <v/>
      </c>
      <c r="AM417" s="15" t="str">
        <f>IF(OR($A417&lt;&gt;"",$B417&lt;&gt;""),IF(OR($A417="",$B417=""),"Isi tanggal dan ID PIC",IF(NOT(ISNUMBER($A417)),"Tanggal harus berupa tanggal Excel",IF(COUNTIFS(Master_PIC!$A$8:$A$73,$B417)&lt;&gt;1,"ID PIC tidak unik/terdaftar",IF(VLOOKUP($B417,Master_PIC!$A$8:$G$73,3,FALSE)&lt;&gt;"Sales","Jabatan tidak sesuai sheet",IF(OR($C417="",$D417="",$E417="",$F417=""),"Lengkapi master PIC",IF(COUNTIFS($A$8:$A$507,$A417,$B$8:$B$507,$B417)&gt;1,"Laporan ganda",IF(COUNTIFS(G417:P417,"Tidak Berlaku")&gt;0,"N/A hanya untuk kegiatan bersyarat",IF(SUM(AG417,AH417,AI417,AJ417,AK417)&lt;&gt;14,"Status kegiatan tidak valid",IF(AK417&gt;0,"Lengkapi status kegiatan",IF(AND(AJ417&gt;0,U417=""),"Isi alasan Tidak Berlaku",IF(AND(SUM(AH417,AI417)&gt;0,OR(U417="",V417="",W417="",X417="")),"Isi kendala dan tindak lanjut",IF(AND(Z417&lt;&gt;"Draft",Z417&lt;&gt;"Dikirim"),"Isi status laporan yang valid",IF(AND(AB417&lt;&gt;"",AB417&lt;&gt;"Belum Diperiksa",AB417&lt;&gt;"Disetujui",AB417&lt;&gt;"Perlu Perbaikan"),"Hasil review tidak valid",IF(AND(Z417="Dikirim",OR(Y417="",AA417="")),"Isi bukti dan waktu kirim",IF(AND(AB417="Disetujui",OR(Z417&lt;&gt;"Dikirim",AC417="",AD417="")),"Lengkapi pemeriksaan",IF(AND(AB417="Perlu Perbaikan",OR(AE417="",AC417="",AD417="")),"Isi pemeriksa dan catatan perbaikan","OK")))))))))))))))),"")</f>
        <v/>
      </c>
    </row>
    <row r="418" spans="1:39" ht="24.95" customHeight="1">
      <c r="A418" s="8"/>
      <c r="B418" s="6"/>
      <c r="C418" s="15" t="str">
        <f>IF(COUNTIFS(Master_PIC!$A$8:$A$73,$B418)=1,IF(VLOOKUP($B418,Master_PIC!$A$8:$G$73,2,FALSE)="","",VLOOKUP($B418,Master_PIC!$A$8:$G$73,2,FALSE)),"")</f>
        <v/>
      </c>
      <c r="D418" s="15" t="str">
        <f>IF(COUNTIFS(Master_PIC!$A$8:$A$73,$B418)=1,IF(VLOOKUP($B418,Master_PIC!$A$8:$G$73,4,FALSE)="","",VLOOKUP($B418,Master_PIC!$A$8:$G$73,4,FALSE)),"")</f>
        <v/>
      </c>
      <c r="E418" s="15" t="str">
        <f>IF(COUNTIFS(Master_PIC!$A$8:$A$73,$B418)=1,IF(VLOOKUP($B418,Master_PIC!$A$8:$G$73,5,FALSE)="","",VLOOKUP($B418,Master_PIC!$A$8:$G$73,5,FALSE)),"")</f>
        <v/>
      </c>
      <c r="F418" s="15" t="str">
        <f>IF(COUNTIFS(Master_PIC!$A$8:$A$73,$B418)=1,IF(VLOOKUP($B418,Master_PIC!$A$8:$G$73,6,FALSE)="","",VLOOKUP($B418,Master_PIC!$A$8:$G$73,6,FALSE)),"")</f>
        <v/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8"/>
      <c r="Y418" s="5"/>
      <c r="Z418" s="5"/>
      <c r="AA418" s="9"/>
      <c r="AB418" s="5"/>
      <c r="AC418" s="5"/>
      <c r="AD418" s="9"/>
      <c r="AE418" s="5"/>
      <c r="AF418" s="7" t="str">
        <f t="shared" si="42"/>
        <v/>
      </c>
      <c r="AG418" s="7" t="str">
        <f t="shared" si="43"/>
        <v/>
      </c>
      <c r="AH418" s="7" t="str">
        <f t="shared" si="44"/>
        <v/>
      </c>
      <c r="AI418" s="7" t="str">
        <f t="shared" si="45"/>
        <v/>
      </c>
      <c r="AJ418" s="7" t="str">
        <f t="shared" si="46"/>
        <v/>
      </c>
      <c r="AK418" s="7" t="str">
        <f t="shared" si="47"/>
        <v/>
      </c>
      <c r="AL418" s="10" t="str">
        <f t="shared" si="48"/>
        <v/>
      </c>
      <c r="AM418" s="15" t="str">
        <f>IF(OR($A418&lt;&gt;"",$B418&lt;&gt;""),IF(OR($A418="",$B418=""),"Isi tanggal dan ID PIC",IF(NOT(ISNUMBER($A418)),"Tanggal harus berupa tanggal Excel",IF(COUNTIFS(Master_PIC!$A$8:$A$73,$B418)&lt;&gt;1,"ID PIC tidak unik/terdaftar",IF(VLOOKUP($B418,Master_PIC!$A$8:$G$73,3,FALSE)&lt;&gt;"Sales","Jabatan tidak sesuai sheet",IF(OR($C418="",$D418="",$E418="",$F418=""),"Lengkapi master PIC",IF(COUNTIFS($A$8:$A$507,$A418,$B$8:$B$507,$B418)&gt;1,"Laporan ganda",IF(COUNTIFS(G418:P418,"Tidak Berlaku")&gt;0,"N/A hanya untuk kegiatan bersyarat",IF(SUM(AG418,AH418,AI418,AJ418,AK418)&lt;&gt;14,"Status kegiatan tidak valid",IF(AK418&gt;0,"Lengkapi status kegiatan",IF(AND(AJ418&gt;0,U418=""),"Isi alasan Tidak Berlaku",IF(AND(SUM(AH418,AI418)&gt;0,OR(U418="",V418="",W418="",X418="")),"Isi kendala dan tindak lanjut",IF(AND(Z418&lt;&gt;"Draft",Z418&lt;&gt;"Dikirim"),"Isi status laporan yang valid",IF(AND(AB418&lt;&gt;"",AB418&lt;&gt;"Belum Diperiksa",AB418&lt;&gt;"Disetujui",AB418&lt;&gt;"Perlu Perbaikan"),"Hasil review tidak valid",IF(AND(Z418="Dikirim",OR(Y418="",AA418="")),"Isi bukti dan waktu kirim",IF(AND(AB418="Disetujui",OR(Z418&lt;&gt;"Dikirim",AC418="",AD418="")),"Lengkapi pemeriksaan",IF(AND(AB418="Perlu Perbaikan",OR(AE418="",AC418="",AD418="")),"Isi pemeriksa dan catatan perbaikan","OK")))))))))))))))),"")</f>
        <v/>
      </c>
    </row>
    <row r="419" spans="1:39" ht="24.95" customHeight="1">
      <c r="A419" s="8"/>
      <c r="B419" s="6"/>
      <c r="C419" s="15" t="str">
        <f>IF(COUNTIFS(Master_PIC!$A$8:$A$73,$B419)=1,IF(VLOOKUP($B419,Master_PIC!$A$8:$G$73,2,FALSE)="","",VLOOKUP($B419,Master_PIC!$A$8:$G$73,2,FALSE)),"")</f>
        <v/>
      </c>
      <c r="D419" s="15" t="str">
        <f>IF(COUNTIFS(Master_PIC!$A$8:$A$73,$B419)=1,IF(VLOOKUP($B419,Master_PIC!$A$8:$G$73,4,FALSE)="","",VLOOKUP($B419,Master_PIC!$A$8:$G$73,4,FALSE)),"")</f>
        <v/>
      </c>
      <c r="E419" s="15" t="str">
        <f>IF(COUNTIFS(Master_PIC!$A$8:$A$73,$B419)=1,IF(VLOOKUP($B419,Master_PIC!$A$8:$G$73,5,FALSE)="","",VLOOKUP($B419,Master_PIC!$A$8:$G$73,5,FALSE)),"")</f>
        <v/>
      </c>
      <c r="F419" s="15" t="str">
        <f>IF(COUNTIFS(Master_PIC!$A$8:$A$73,$B419)=1,IF(VLOOKUP($B419,Master_PIC!$A$8:$G$73,6,FALSE)="","",VLOOKUP($B419,Master_PIC!$A$8:$G$73,6,FALSE)),"")</f>
        <v/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8"/>
      <c r="Y419" s="5"/>
      <c r="Z419" s="5"/>
      <c r="AA419" s="9"/>
      <c r="AB419" s="5"/>
      <c r="AC419" s="5"/>
      <c r="AD419" s="9"/>
      <c r="AE419" s="5"/>
      <c r="AF419" s="7" t="str">
        <f t="shared" si="42"/>
        <v/>
      </c>
      <c r="AG419" s="7" t="str">
        <f t="shared" si="43"/>
        <v/>
      </c>
      <c r="AH419" s="7" t="str">
        <f t="shared" si="44"/>
        <v/>
      </c>
      <c r="AI419" s="7" t="str">
        <f t="shared" si="45"/>
        <v/>
      </c>
      <c r="AJ419" s="7" t="str">
        <f t="shared" si="46"/>
        <v/>
      </c>
      <c r="AK419" s="7" t="str">
        <f t="shared" si="47"/>
        <v/>
      </c>
      <c r="AL419" s="10" t="str">
        <f t="shared" si="48"/>
        <v/>
      </c>
      <c r="AM419" s="15" t="str">
        <f>IF(OR($A419&lt;&gt;"",$B419&lt;&gt;""),IF(OR($A419="",$B419=""),"Isi tanggal dan ID PIC",IF(NOT(ISNUMBER($A419)),"Tanggal harus berupa tanggal Excel",IF(COUNTIFS(Master_PIC!$A$8:$A$73,$B419)&lt;&gt;1,"ID PIC tidak unik/terdaftar",IF(VLOOKUP($B419,Master_PIC!$A$8:$G$73,3,FALSE)&lt;&gt;"Sales","Jabatan tidak sesuai sheet",IF(OR($C419="",$D419="",$E419="",$F419=""),"Lengkapi master PIC",IF(COUNTIFS($A$8:$A$507,$A419,$B$8:$B$507,$B419)&gt;1,"Laporan ganda",IF(COUNTIFS(G419:P419,"Tidak Berlaku")&gt;0,"N/A hanya untuk kegiatan bersyarat",IF(SUM(AG419,AH419,AI419,AJ419,AK419)&lt;&gt;14,"Status kegiatan tidak valid",IF(AK419&gt;0,"Lengkapi status kegiatan",IF(AND(AJ419&gt;0,U419=""),"Isi alasan Tidak Berlaku",IF(AND(SUM(AH419,AI419)&gt;0,OR(U419="",V419="",W419="",X419="")),"Isi kendala dan tindak lanjut",IF(AND(Z419&lt;&gt;"Draft",Z419&lt;&gt;"Dikirim"),"Isi status laporan yang valid",IF(AND(AB419&lt;&gt;"",AB419&lt;&gt;"Belum Diperiksa",AB419&lt;&gt;"Disetujui",AB419&lt;&gt;"Perlu Perbaikan"),"Hasil review tidak valid",IF(AND(Z419="Dikirim",OR(Y419="",AA419="")),"Isi bukti dan waktu kirim",IF(AND(AB419="Disetujui",OR(Z419&lt;&gt;"Dikirim",AC419="",AD419="")),"Lengkapi pemeriksaan",IF(AND(AB419="Perlu Perbaikan",OR(AE419="",AC419="",AD419="")),"Isi pemeriksa dan catatan perbaikan","OK")))))))))))))))),"")</f>
        <v/>
      </c>
    </row>
    <row r="420" spans="1:39" ht="24.95" customHeight="1">
      <c r="A420" s="8"/>
      <c r="B420" s="6"/>
      <c r="C420" s="15" t="str">
        <f>IF(COUNTIFS(Master_PIC!$A$8:$A$73,$B420)=1,IF(VLOOKUP($B420,Master_PIC!$A$8:$G$73,2,FALSE)="","",VLOOKUP($B420,Master_PIC!$A$8:$G$73,2,FALSE)),"")</f>
        <v/>
      </c>
      <c r="D420" s="15" t="str">
        <f>IF(COUNTIFS(Master_PIC!$A$8:$A$73,$B420)=1,IF(VLOOKUP($B420,Master_PIC!$A$8:$G$73,4,FALSE)="","",VLOOKUP($B420,Master_PIC!$A$8:$G$73,4,FALSE)),"")</f>
        <v/>
      </c>
      <c r="E420" s="15" t="str">
        <f>IF(COUNTIFS(Master_PIC!$A$8:$A$73,$B420)=1,IF(VLOOKUP($B420,Master_PIC!$A$8:$G$73,5,FALSE)="","",VLOOKUP($B420,Master_PIC!$A$8:$G$73,5,FALSE)),"")</f>
        <v/>
      </c>
      <c r="F420" s="15" t="str">
        <f>IF(COUNTIFS(Master_PIC!$A$8:$A$73,$B420)=1,IF(VLOOKUP($B420,Master_PIC!$A$8:$G$73,6,FALSE)="","",VLOOKUP($B420,Master_PIC!$A$8:$G$73,6,FALSE)),"")</f>
        <v/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8"/>
      <c r="Y420" s="5"/>
      <c r="Z420" s="5"/>
      <c r="AA420" s="9"/>
      <c r="AB420" s="5"/>
      <c r="AC420" s="5"/>
      <c r="AD420" s="9"/>
      <c r="AE420" s="5"/>
      <c r="AF420" s="7" t="str">
        <f t="shared" si="42"/>
        <v/>
      </c>
      <c r="AG420" s="7" t="str">
        <f t="shared" si="43"/>
        <v/>
      </c>
      <c r="AH420" s="7" t="str">
        <f t="shared" si="44"/>
        <v/>
      </c>
      <c r="AI420" s="7" t="str">
        <f t="shared" si="45"/>
        <v/>
      </c>
      <c r="AJ420" s="7" t="str">
        <f t="shared" si="46"/>
        <v/>
      </c>
      <c r="AK420" s="7" t="str">
        <f t="shared" si="47"/>
        <v/>
      </c>
      <c r="AL420" s="10" t="str">
        <f t="shared" si="48"/>
        <v/>
      </c>
      <c r="AM420" s="15" t="str">
        <f>IF(OR($A420&lt;&gt;"",$B420&lt;&gt;""),IF(OR($A420="",$B420=""),"Isi tanggal dan ID PIC",IF(NOT(ISNUMBER($A420)),"Tanggal harus berupa tanggal Excel",IF(COUNTIFS(Master_PIC!$A$8:$A$73,$B420)&lt;&gt;1,"ID PIC tidak unik/terdaftar",IF(VLOOKUP($B420,Master_PIC!$A$8:$G$73,3,FALSE)&lt;&gt;"Sales","Jabatan tidak sesuai sheet",IF(OR($C420="",$D420="",$E420="",$F420=""),"Lengkapi master PIC",IF(COUNTIFS($A$8:$A$507,$A420,$B$8:$B$507,$B420)&gt;1,"Laporan ganda",IF(COUNTIFS(G420:P420,"Tidak Berlaku")&gt;0,"N/A hanya untuk kegiatan bersyarat",IF(SUM(AG420,AH420,AI420,AJ420,AK420)&lt;&gt;14,"Status kegiatan tidak valid",IF(AK420&gt;0,"Lengkapi status kegiatan",IF(AND(AJ420&gt;0,U420=""),"Isi alasan Tidak Berlaku",IF(AND(SUM(AH420,AI420)&gt;0,OR(U420="",V420="",W420="",X420="")),"Isi kendala dan tindak lanjut",IF(AND(Z420&lt;&gt;"Draft",Z420&lt;&gt;"Dikirim"),"Isi status laporan yang valid",IF(AND(AB420&lt;&gt;"",AB420&lt;&gt;"Belum Diperiksa",AB420&lt;&gt;"Disetujui",AB420&lt;&gt;"Perlu Perbaikan"),"Hasil review tidak valid",IF(AND(Z420="Dikirim",OR(Y420="",AA420="")),"Isi bukti dan waktu kirim",IF(AND(AB420="Disetujui",OR(Z420&lt;&gt;"Dikirim",AC420="",AD420="")),"Lengkapi pemeriksaan",IF(AND(AB420="Perlu Perbaikan",OR(AE420="",AC420="",AD420="")),"Isi pemeriksa dan catatan perbaikan","OK")))))))))))))))),"")</f>
        <v/>
      </c>
    </row>
    <row r="421" spans="1:39" ht="24.95" customHeight="1">
      <c r="A421" s="8"/>
      <c r="B421" s="6"/>
      <c r="C421" s="15" t="str">
        <f>IF(COUNTIFS(Master_PIC!$A$8:$A$73,$B421)=1,IF(VLOOKUP($B421,Master_PIC!$A$8:$G$73,2,FALSE)="","",VLOOKUP($B421,Master_PIC!$A$8:$G$73,2,FALSE)),"")</f>
        <v/>
      </c>
      <c r="D421" s="15" t="str">
        <f>IF(COUNTIFS(Master_PIC!$A$8:$A$73,$B421)=1,IF(VLOOKUP($B421,Master_PIC!$A$8:$G$73,4,FALSE)="","",VLOOKUP($B421,Master_PIC!$A$8:$G$73,4,FALSE)),"")</f>
        <v/>
      </c>
      <c r="E421" s="15" t="str">
        <f>IF(COUNTIFS(Master_PIC!$A$8:$A$73,$B421)=1,IF(VLOOKUP($B421,Master_PIC!$A$8:$G$73,5,FALSE)="","",VLOOKUP($B421,Master_PIC!$A$8:$G$73,5,FALSE)),"")</f>
        <v/>
      </c>
      <c r="F421" s="15" t="str">
        <f>IF(COUNTIFS(Master_PIC!$A$8:$A$73,$B421)=1,IF(VLOOKUP($B421,Master_PIC!$A$8:$G$73,6,FALSE)="","",VLOOKUP($B421,Master_PIC!$A$8:$G$73,6,FALSE)),"")</f>
        <v/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8"/>
      <c r="Y421" s="5"/>
      <c r="Z421" s="5"/>
      <c r="AA421" s="9"/>
      <c r="AB421" s="5"/>
      <c r="AC421" s="5"/>
      <c r="AD421" s="9"/>
      <c r="AE421" s="5"/>
      <c r="AF421" s="7" t="str">
        <f t="shared" si="42"/>
        <v/>
      </c>
      <c r="AG421" s="7" t="str">
        <f t="shared" si="43"/>
        <v/>
      </c>
      <c r="AH421" s="7" t="str">
        <f t="shared" si="44"/>
        <v/>
      </c>
      <c r="AI421" s="7" t="str">
        <f t="shared" si="45"/>
        <v/>
      </c>
      <c r="AJ421" s="7" t="str">
        <f t="shared" si="46"/>
        <v/>
      </c>
      <c r="AK421" s="7" t="str">
        <f t="shared" si="47"/>
        <v/>
      </c>
      <c r="AL421" s="10" t="str">
        <f t="shared" si="48"/>
        <v/>
      </c>
      <c r="AM421" s="15" t="str">
        <f>IF(OR($A421&lt;&gt;"",$B421&lt;&gt;""),IF(OR($A421="",$B421=""),"Isi tanggal dan ID PIC",IF(NOT(ISNUMBER($A421)),"Tanggal harus berupa tanggal Excel",IF(COUNTIFS(Master_PIC!$A$8:$A$73,$B421)&lt;&gt;1,"ID PIC tidak unik/terdaftar",IF(VLOOKUP($B421,Master_PIC!$A$8:$G$73,3,FALSE)&lt;&gt;"Sales","Jabatan tidak sesuai sheet",IF(OR($C421="",$D421="",$E421="",$F421=""),"Lengkapi master PIC",IF(COUNTIFS($A$8:$A$507,$A421,$B$8:$B$507,$B421)&gt;1,"Laporan ganda",IF(COUNTIFS(G421:P421,"Tidak Berlaku")&gt;0,"N/A hanya untuk kegiatan bersyarat",IF(SUM(AG421,AH421,AI421,AJ421,AK421)&lt;&gt;14,"Status kegiatan tidak valid",IF(AK421&gt;0,"Lengkapi status kegiatan",IF(AND(AJ421&gt;0,U421=""),"Isi alasan Tidak Berlaku",IF(AND(SUM(AH421,AI421)&gt;0,OR(U421="",V421="",W421="",X421="")),"Isi kendala dan tindak lanjut",IF(AND(Z421&lt;&gt;"Draft",Z421&lt;&gt;"Dikirim"),"Isi status laporan yang valid",IF(AND(AB421&lt;&gt;"",AB421&lt;&gt;"Belum Diperiksa",AB421&lt;&gt;"Disetujui",AB421&lt;&gt;"Perlu Perbaikan"),"Hasil review tidak valid",IF(AND(Z421="Dikirim",OR(Y421="",AA421="")),"Isi bukti dan waktu kirim",IF(AND(AB421="Disetujui",OR(Z421&lt;&gt;"Dikirim",AC421="",AD421="")),"Lengkapi pemeriksaan",IF(AND(AB421="Perlu Perbaikan",OR(AE421="",AC421="",AD421="")),"Isi pemeriksa dan catatan perbaikan","OK")))))))))))))))),"")</f>
        <v/>
      </c>
    </row>
    <row r="422" spans="1:39" ht="24.95" customHeight="1">
      <c r="A422" s="8"/>
      <c r="B422" s="6"/>
      <c r="C422" s="15" t="str">
        <f>IF(COUNTIFS(Master_PIC!$A$8:$A$73,$B422)=1,IF(VLOOKUP($B422,Master_PIC!$A$8:$G$73,2,FALSE)="","",VLOOKUP($B422,Master_PIC!$A$8:$G$73,2,FALSE)),"")</f>
        <v/>
      </c>
      <c r="D422" s="15" t="str">
        <f>IF(COUNTIFS(Master_PIC!$A$8:$A$73,$B422)=1,IF(VLOOKUP($B422,Master_PIC!$A$8:$G$73,4,FALSE)="","",VLOOKUP($B422,Master_PIC!$A$8:$G$73,4,FALSE)),"")</f>
        <v/>
      </c>
      <c r="E422" s="15" t="str">
        <f>IF(COUNTIFS(Master_PIC!$A$8:$A$73,$B422)=1,IF(VLOOKUP($B422,Master_PIC!$A$8:$G$73,5,FALSE)="","",VLOOKUP($B422,Master_PIC!$A$8:$G$73,5,FALSE)),"")</f>
        <v/>
      </c>
      <c r="F422" s="15" t="str">
        <f>IF(COUNTIFS(Master_PIC!$A$8:$A$73,$B422)=1,IF(VLOOKUP($B422,Master_PIC!$A$8:$G$73,6,FALSE)="","",VLOOKUP($B422,Master_PIC!$A$8:$G$73,6,FALSE)),"")</f>
        <v/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8"/>
      <c r="Y422" s="5"/>
      <c r="Z422" s="5"/>
      <c r="AA422" s="9"/>
      <c r="AB422" s="5"/>
      <c r="AC422" s="5"/>
      <c r="AD422" s="9"/>
      <c r="AE422" s="5"/>
      <c r="AF422" s="7" t="str">
        <f t="shared" si="42"/>
        <v/>
      </c>
      <c r="AG422" s="7" t="str">
        <f t="shared" si="43"/>
        <v/>
      </c>
      <c r="AH422" s="7" t="str">
        <f t="shared" si="44"/>
        <v/>
      </c>
      <c r="AI422" s="7" t="str">
        <f t="shared" si="45"/>
        <v/>
      </c>
      <c r="AJ422" s="7" t="str">
        <f t="shared" si="46"/>
        <v/>
      </c>
      <c r="AK422" s="7" t="str">
        <f t="shared" si="47"/>
        <v/>
      </c>
      <c r="AL422" s="10" t="str">
        <f t="shared" si="48"/>
        <v/>
      </c>
      <c r="AM422" s="15" t="str">
        <f>IF(OR($A422&lt;&gt;"",$B422&lt;&gt;""),IF(OR($A422="",$B422=""),"Isi tanggal dan ID PIC",IF(NOT(ISNUMBER($A422)),"Tanggal harus berupa tanggal Excel",IF(COUNTIFS(Master_PIC!$A$8:$A$73,$B422)&lt;&gt;1,"ID PIC tidak unik/terdaftar",IF(VLOOKUP($B422,Master_PIC!$A$8:$G$73,3,FALSE)&lt;&gt;"Sales","Jabatan tidak sesuai sheet",IF(OR($C422="",$D422="",$E422="",$F422=""),"Lengkapi master PIC",IF(COUNTIFS($A$8:$A$507,$A422,$B$8:$B$507,$B422)&gt;1,"Laporan ganda",IF(COUNTIFS(G422:P422,"Tidak Berlaku")&gt;0,"N/A hanya untuk kegiatan bersyarat",IF(SUM(AG422,AH422,AI422,AJ422,AK422)&lt;&gt;14,"Status kegiatan tidak valid",IF(AK422&gt;0,"Lengkapi status kegiatan",IF(AND(AJ422&gt;0,U422=""),"Isi alasan Tidak Berlaku",IF(AND(SUM(AH422,AI422)&gt;0,OR(U422="",V422="",W422="",X422="")),"Isi kendala dan tindak lanjut",IF(AND(Z422&lt;&gt;"Draft",Z422&lt;&gt;"Dikirim"),"Isi status laporan yang valid",IF(AND(AB422&lt;&gt;"",AB422&lt;&gt;"Belum Diperiksa",AB422&lt;&gt;"Disetujui",AB422&lt;&gt;"Perlu Perbaikan"),"Hasil review tidak valid",IF(AND(Z422="Dikirim",OR(Y422="",AA422="")),"Isi bukti dan waktu kirim",IF(AND(AB422="Disetujui",OR(Z422&lt;&gt;"Dikirim",AC422="",AD422="")),"Lengkapi pemeriksaan",IF(AND(AB422="Perlu Perbaikan",OR(AE422="",AC422="",AD422="")),"Isi pemeriksa dan catatan perbaikan","OK")))))))))))))))),"")</f>
        <v/>
      </c>
    </row>
    <row r="423" spans="1:39" ht="24.95" customHeight="1">
      <c r="A423" s="8"/>
      <c r="B423" s="6"/>
      <c r="C423" s="15" t="str">
        <f>IF(COUNTIFS(Master_PIC!$A$8:$A$73,$B423)=1,IF(VLOOKUP($B423,Master_PIC!$A$8:$G$73,2,FALSE)="","",VLOOKUP($B423,Master_PIC!$A$8:$G$73,2,FALSE)),"")</f>
        <v/>
      </c>
      <c r="D423" s="15" t="str">
        <f>IF(COUNTIFS(Master_PIC!$A$8:$A$73,$B423)=1,IF(VLOOKUP($B423,Master_PIC!$A$8:$G$73,4,FALSE)="","",VLOOKUP($B423,Master_PIC!$A$8:$G$73,4,FALSE)),"")</f>
        <v/>
      </c>
      <c r="E423" s="15" t="str">
        <f>IF(COUNTIFS(Master_PIC!$A$8:$A$73,$B423)=1,IF(VLOOKUP($B423,Master_PIC!$A$8:$G$73,5,FALSE)="","",VLOOKUP($B423,Master_PIC!$A$8:$G$73,5,FALSE)),"")</f>
        <v/>
      </c>
      <c r="F423" s="15" t="str">
        <f>IF(COUNTIFS(Master_PIC!$A$8:$A$73,$B423)=1,IF(VLOOKUP($B423,Master_PIC!$A$8:$G$73,6,FALSE)="","",VLOOKUP($B423,Master_PIC!$A$8:$G$73,6,FALSE)),"")</f>
        <v/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8"/>
      <c r="Y423" s="5"/>
      <c r="Z423" s="5"/>
      <c r="AA423" s="9"/>
      <c r="AB423" s="5"/>
      <c r="AC423" s="5"/>
      <c r="AD423" s="9"/>
      <c r="AE423" s="5"/>
      <c r="AF423" s="7" t="str">
        <f t="shared" si="42"/>
        <v/>
      </c>
      <c r="AG423" s="7" t="str">
        <f t="shared" si="43"/>
        <v/>
      </c>
      <c r="AH423" s="7" t="str">
        <f t="shared" si="44"/>
        <v/>
      </c>
      <c r="AI423" s="7" t="str">
        <f t="shared" si="45"/>
        <v/>
      </c>
      <c r="AJ423" s="7" t="str">
        <f t="shared" si="46"/>
        <v/>
      </c>
      <c r="AK423" s="7" t="str">
        <f t="shared" si="47"/>
        <v/>
      </c>
      <c r="AL423" s="10" t="str">
        <f t="shared" si="48"/>
        <v/>
      </c>
      <c r="AM423" s="15" t="str">
        <f>IF(OR($A423&lt;&gt;"",$B423&lt;&gt;""),IF(OR($A423="",$B423=""),"Isi tanggal dan ID PIC",IF(NOT(ISNUMBER($A423)),"Tanggal harus berupa tanggal Excel",IF(COUNTIFS(Master_PIC!$A$8:$A$73,$B423)&lt;&gt;1,"ID PIC tidak unik/terdaftar",IF(VLOOKUP($B423,Master_PIC!$A$8:$G$73,3,FALSE)&lt;&gt;"Sales","Jabatan tidak sesuai sheet",IF(OR($C423="",$D423="",$E423="",$F423=""),"Lengkapi master PIC",IF(COUNTIFS($A$8:$A$507,$A423,$B$8:$B$507,$B423)&gt;1,"Laporan ganda",IF(COUNTIFS(G423:P423,"Tidak Berlaku")&gt;0,"N/A hanya untuk kegiatan bersyarat",IF(SUM(AG423,AH423,AI423,AJ423,AK423)&lt;&gt;14,"Status kegiatan tidak valid",IF(AK423&gt;0,"Lengkapi status kegiatan",IF(AND(AJ423&gt;0,U423=""),"Isi alasan Tidak Berlaku",IF(AND(SUM(AH423,AI423)&gt;0,OR(U423="",V423="",W423="",X423="")),"Isi kendala dan tindak lanjut",IF(AND(Z423&lt;&gt;"Draft",Z423&lt;&gt;"Dikirim"),"Isi status laporan yang valid",IF(AND(AB423&lt;&gt;"",AB423&lt;&gt;"Belum Diperiksa",AB423&lt;&gt;"Disetujui",AB423&lt;&gt;"Perlu Perbaikan"),"Hasil review tidak valid",IF(AND(Z423="Dikirim",OR(Y423="",AA423="")),"Isi bukti dan waktu kirim",IF(AND(AB423="Disetujui",OR(Z423&lt;&gt;"Dikirim",AC423="",AD423="")),"Lengkapi pemeriksaan",IF(AND(AB423="Perlu Perbaikan",OR(AE423="",AC423="",AD423="")),"Isi pemeriksa dan catatan perbaikan","OK")))))))))))))))),"")</f>
        <v/>
      </c>
    </row>
    <row r="424" spans="1:39" ht="24.95" customHeight="1">
      <c r="A424" s="8"/>
      <c r="B424" s="6"/>
      <c r="C424" s="15" t="str">
        <f>IF(COUNTIFS(Master_PIC!$A$8:$A$73,$B424)=1,IF(VLOOKUP($B424,Master_PIC!$A$8:$G$73,2,FALSE)="","",VLOOKUP($B424,Master_PIC!$A$8:$G$73,2,FALSE)),"")</f>
        <v/>
      </c>
      <c r="D424" s="15" t="str">
        <f>IF(COUNTIFS(Master_PIC!$A$8:$A$73,$B424)=1,IF(VLOOKUP($B424,Master_PIC!$A$8:$G$73,4,FALSE)="","",VLOOKUP($B424,Master_PIC!$A$8:$G$73,4,FALSE)),"")</f>
        <v/>
      </c>
      <c r="E424" s="15" t="str">
        <f>IF(COUNTIFS(Master_PIC!$A$8:$A$73,$B424)=1,IF(VLOOKUP($B424,Master_PIC!$A$8:$G$73,5,FALSE)="","",VLOOKUP($B424,Master_PIC!$A$8:$G$73,5,FALSE)),"")</f>
        <v/>
      </c>
      <c r="F424" s="15" t="str">
        <f>IF(COUNTIFS(Master_PIC!$A$8:$A$73,$B424)=1,IF(VLOOKUP($B424,Master_PIC!$A$8:$G$73,6,FALSE)="","",VLOOKUP($B424,Master_PIC!$A$8:$G$73,6,FALSE)),"")</f>
        <v/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8"/>
      <c r="Y424" s="5"/>
      <c r="Z424" s="5"/>
      <c r="AA424" s="9"/>
      <c r="AB424" s="5"/>
      <c r="AC424" s="5"/>
      <c r="AD424" s="9"/>
      <c r="AE424" s="5"/>
      <c r="AF424" s="7" t="str">
        <f t="shared" si="42"/>
        <v/>
      </c>
      <c r="AG424" s="7" t="str">
        <f t="shared" si="43"/>
        <v/>
      </c>
      <c r="AH424" s="7" t="str">
        <f t="shared" si="44"/>
        <v/>
      </c>
      <c r="AI424" s="7" t="str">
        <f t="shared" si="45"/>
        <v/>
      </c>
      <c r="AJ424" s="7" t="str">
        <f t="shared" si="46"/>
        <v/>
      </c>
      <c r="AK424" s="7" t="str">
        <f t="shared" si="47"/>
        <v/>
      </c>
      <c r="AL424" s="10" t="str">
        <f t="shared" si="48"/>
        <v/>
      </c>
      <c r="AM424" s="15" t="str">
        <f>IF(OR($A424&lt;&gt;"",$B424&lt;&gt;""),IF(OR($A424="",$B424=""),"Isi tanggal dan ID PIC",IF(NOT(ISNUMBER($A424)),"Tanggal harus berupa tanggal Excel",IF(COUNTIFS(Master_PIC!$A$8:$A$73,$B424)&lt;&gt;1,"ID PIC tidak unik/terdaftar",IF(VLOOKUP($B424,Master_PIC!$A$8:$G$73,3,FALSE)&lt;&gt;"Sales","Jabatan tidak sesuai sheet",IF(OR($C424="",$D424="",$E424="",$F424=""),"Lengkapi master PIC",IF(COUNTIFS($A$8:$A$507,$A424,$B$8:$B$507,$B424)&gt;1,"Laporan ganda",IF(COUNTIFS(G424:P424,"Tidak Berlaku")&gt;0,"N/A hanya untuk kegiatan bersyarat",IF(SUM(AG424,AH424,AI424,AJ424,AK424)&lt;&gt;14,"Status kegiatan tidak valid",IF(AK424&gt;0,"Lengkapi status kegiatan",IF(AND(AJ424&gt;0,U424=""),"Isi alasan Tidak Berlaku",IF(AND(SUM(AH424,AI424)&gt;0,OR(U424="",V424="",W424="",X424="")),"Isi kendala dan tindak lanjut",IF(AND(Z424&lt;&gt;"Draft",Z424&lt;&gt;"Dikirim"),"Isi status laporan yang valid",IF(AND(AB424&lt;&gt;"",AB424&lt;&gt;"Belum Diperiksa",AB424&lt;&gt;"Disetujui",AB424&lt;&gt;"Perlu Perbaikan"),"Hasil review tidak valid",IF(AND(Z424="Dikirim",OR(Y424="",AA424="")),"Isi bukti dan waktu kirim",IF(AND(AB424="Disetujui",OR(Z424&lt;&gt;"Dikirim",AC424="",AD424="")),"Lengkapi pemeriksaan",IF(AND(AB424="Perlu Perbaikan",OR(AE424="",AC424="",AD424="")),"Isi pemeriksa dan catatan perbaikan","OK")))))))))))))))),"")</f>
        <v/>
      </c>
    </row>
    <row r="425" spans="1:39" ht="24.95" customHeight="1">
      <c r="A425" s="8"/>
      <c r="B425" s="6"/>
      <c r="C425" s="15" t="str">
        <f>IF(COUNTIFS(Master_PIC!$A$8:$A$73,$B425)=1,IF(VLOOKUP($B425,Master_PIC!$A$8:$G$73,2,FALSE)="","",VLOOKUP($B425,Master_PIC!$A$8:$G$73,2,FALSE)),"")</f>
        <v/>
      </c>
      <c r="D425" s="15" t="str">
        <f>IF(COUNTIFS(Master_PIC!$A$8:$A$73,$B425)=1,IF(VLOOKUP($B425,Master_PIC!$A$8:$G$73,4,FALSE)="","",VLOOKUP($B425,Master_PIC!$A$8:$G$73,4,FALSE)),"")</f>
        <v/>
      </c>
      <c r="E425" s="15" t="str">
        <f>IF(COUNTIFS(Master_PIC!$A$8:$A$73,$B425)=1,IF(VLOOKUP($B425,Master_PIC!$A$8:$G$73,5,FALSE)="","",VLOOKUP($B425,Master_PIC!$A$8:$G$73,5,FALSE)),"")</f>
        <v/>
      </c>
      <c r="F425" s="15" t="str">
        <f>IF(COUNTIFS(Master_PIC!$A$8:$A$73,$B425)=1,IF(VLOOKUP($B425,Master_PIC!$A$8:$G$73,6,FALSE)="","",VLOOKUP($B425,Master_PIC!$A$8:$G$73,6,FALSE)),"")</f>
        <v/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8"/>
      <c r="Y425" s="5"/>
      <c r="Z425" s="5"/>
      <c r="AA425" s="9"/>
      <c r="AB425" s="5"/>
      <c r="AC425" s="5"/>
      <c r="AD425" s="9"/>
      <c r="AE425" s="5"/>
      <c r="AF425" s="7" t="str">
        <f t="shared" si="42"/>
        <v/>
      </c>
      <c r="AG425" s="7" t="str">
        <f t="shared" si="43"/>
        <v/>
      </c>
      <c r="AH425" s="7" t="str">
        <f t="shared" si="44"/>
        <v/>
      </c>
      <c r="AI425" s="7" t="str">
        <f t="shared" si="45"/>
        <v/>
      </c>
      <c r="AJ425" s="7" t="str">
        <f t="shared" si="46"/>
        <v/>
      </c>
      <c r="AK425" s="7" t="str">
        <f t="shared" si="47"/>
        <v/>
      </c>
      <c r="AL425" s="10" t="str">
        <f t="shared" si="48"/>
        <v/>
      </c>
      <c r="AM425" s="15" t="str">
        <f>IF(OR($A425&lt;&gt;"",$B425&lt;&gt;""),IF(OR($A425="",$B425=""),"Isi tanggal dan ID PIC",IF(NOT(ISNUMBER($A425)),"Tanggal harus berupa tanggal Excel",IF(COUNTIFS(Master_PIC!$A$8:$A$73,$B425)&lt;&gt;1,"ID PIC tidak unik/terdaftar",IF(VLOOKUP($B425,Master_PIC!$A$8:$G$73,3,FALSE)&lt;&gt;"Sales","Jabatan tidak sesuai sheet",IF(OR($C425="",$D425="",$E425="",$F425=""),"Lengkapi master PIC",IF(COUNTIFS($A$8:$A$507,$A425,$B$8:$B$507,$B425)&gt;1,"Laporan ganda",IF(COUNTIFS(G425:P425,"Tidak Berlaku")&gt;0,"N/A hanya untuk kegiatan bersyarat",IF(SUM(AG425,AH425,AI425,AJ425,AK425)&lt;&gt;14,"Status kegiatan tidak valid",IF(AK425&gt;0,"Lengkapi status kegiatan",IF(AND(AJ425&gt;0,U425=""),"Isi alasan Tidak Berlaku",IF(AND(SUM(AH425,AI425)&gt;0,OR(U425="",V425="",W425="",X425="")),"Isi kendala dan tindak lanjut",IF(AND(Z425&lt;&gt;"Draft",Z425&lt;&gt;"Dikirim"),"Isi status laporan yang valid",IF(AND(AB425&lt;&gt;"",AB425&lt;&gt;"Belum Diperiksa",AB425&lt;&gt;"Disetujui",AB425&lt;&gt;"Perlu Perbaikan"),"Hasil review tidak valid",IF(AND(Z425="Dikirim",OR(Y425="",AA425="")),"Isi bukti dan waktu kirim",IF(AND(AB425="Disetujui",OR(Z425&lt;&gt;"Dikirim",AC425="",AD425="")),"Lengkapi pemeriksaan",IF(AND(AB425="Perlu Perbaikan",OR(AE425="",AC425="",AD425="")),"Isi pemeriksa dan catatan perbaikan","OK")))))))))))))))),"")</f>
        <v/>
      </c>
    </row>
    <row r="426" spans="1:39" ht="24.95" customHeight="1">
      <c r="A426" s="8"/>
      <c r="B426" s="6"/>
      <c r="C426" s="15" t="str">
        <f>IF(COUNTIFS(Master_PIC!$A$8:$A$73,$B426)=1,IF(VLOOKUP($B426,Master_PIC!$A$8:$G$73,2,FALSE)="","",VLOOKUP($B426,Master_PIC!$A$8:$G$73,2,FALSE)),"")</f>
        <v/>
      </c>
      <c r="D426" s="15" t="str">
        <f>IF(COUNTIFS(Master_PIC!$A$8:$A$73,$B426)=1,IF(VLOOKUP($B426,Master_PIC!$A$8:$G$73,4,FALSE)="","",VLOOKUP($B426,Master_PIC!$A$8:$G$73,4,FALSE)),"")</f>
        <v/>
      </c>
      <c r="E426" s="15" t="str">
        <f>IF(COUNTIFS(Master_PIC!$A$8:$A$73,$B426)=1,IF(VLOOKUP($B426,Master_PIC!$A$8:$G$73,5,FALSE)="","",VLOOKUP($B426,Master_PIC!$A$8:$G$73,5,FALSE)),"")</f>
        <v/>
      </c>
      <c r="F426" s="15" t="str">
        <f>IF(COUNTIFS(Master_PIC!$A$8:$A$73,$B426)=1,IF(VLOOKUP($B426,Master_PIC!$A$8:$G$73,6,FALSE)="","",VLOOKUP($B426,Master_PIC!$A$8:$G$73,6,FALSE)),"")</f>
        <v/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8"/>
      <c r="Y426" s="5"/>
      <c r="Z426" s="5"/>
      <c r="AA426" s="9"/>
      <c r="AB426" s="5"/>
      <c r="AC426" s="5"/>
      <c r="AD426" s="9"/>
      <c r="AE426" s="5"/>
      <c r="AF426" s="7" t="str">
        <f t="shared" si="42"/>
        <v/>
      </c>
      <c r="AG426" s="7" t="str">
        <f t="shared" si="43"/>
        <v/>
      </c>
      <c r="AH426" s="7" t="str">
        <f t="shared" si="44"/>
        <v/>
      </c>
      <c r="AI426" s="7" t="str">
        <f t="shared" si="45"/>
        <v/>
      </c>
      <c r="AJ426" s="7" t="str">
        <f t="shared" si="46"/>
        <v/>
      </c>
      <c r="AK426" s="7" t="str">
        <f t="shared" si="47"/>
        <v/>
      </c>
      <c r="AL426" s="10" t="str">
        <f t="shared" si="48"/>
        <v/>
      </c>
      <c r="AM426" s="15" t="str">
        <f>IF(OR($A426&lt;&gt;"",$B426&lt;&gt;""),IF(OR($A426="",$B426=""),"Isi tanggal dan ID PIC",IF(NOT(ISNUMBER($A426)),"Tanggal harus berupa tanggal Excel",IF(COUNTIFS(Master_PIC!$A$8:$A$73,$B426)&lt;&gt;1,"ID PIC tidak unik/terdaftar",IF(VLOOKUP($B426,Master_PIC!$A$8:$G$73,3,FALSE)&lt;&gt;"Sales","Jabatan tidak sesuai sheet",IF(OR($C426="",$D426="",$E426="",$F426=""),"Lengkapi master PIC",IF(COUNTIFS($A$8:$A$507,$A426,$B$8:$B$507,$B426)&gt;1,"Laporan ganda",IF(COUNTIFS(G426:P426,"Tidak Berlaku")&gt;0,"N/A hanya untuk kegiatan bersyarat",IF(SUM(AG426,AH426,AI426,AJ426,AK426)&lt;&gt;14,"Status kegiatan tidak valid",IF(AK426&gt;0,"Lengkapi status kegiatan",IF(AND(AJ426&gt;0,U426=""),"Isi alasan Tidak Berlaku",IF(AND(SUM(AH426,AI426)&gt;0,OR(U426="",V426="",W426="",X426="")),"Isi kendala dan tindak lanjut",IF(AND(Z426&lt;&gt;"Draft",Z426&lt;&gt;"Dikirim"),"Isi status laporan yang valid",IF(AND(AB426&lt;&gt;"",AB426&lt;&gt;"Belum Diperiksa",AB426&lt;&gt;"Disetujui",AB426&lt;&gt;"Perlu Perbaikan"),"Hasil review tidak valid",IF(AND(Z426="Dikirim",OR(Y426="",AA426="")),"Isi bukti dan waktu kirim",IF(AND(AB426="Disetujui",OR(Z426&lt;&gt;"Dikirim",AC426="",AD426="")),"Lengkapi pemeriksaan",IF(AND(AB426="Perlu Perbaikan",OR(AE426="",AC426="",AD426="")),"Isi pemeriksa dan catatan perbaikan","OK")))))))))))))))),"")</f>
        <v/>
      </c>
    </row>
    <row r="427" spans="1:39" ht="24.95" customHeight="1">
      <c r="A427" s="8"/>
      <c r="B427" s="6"/>
      <c r="C427" s="15" t="str">
        <f>IF(COUNTIFS(Master_PIC!$A$8:$A$73,$B427)=1,IF(VLOOKUP($B427,Master_PIC!$A$8:$G$73,2,FALSE)="","",VLOOKUP($B427,Master_PIC!$A$8:$G$73,2,FALSE)),"")</f>
        <v/>
      </c>
      <c r="D427" s="15" t="str">
        <f>IF(COUNTIFS(Master_PIC!$A$8:$A$73,$B427)=1,IF(VLOOKUP($B427,Master_PIC!$A$8:$G$73,4,FALSE)="","",VLOOKUP($B427,Master_PIC!$A$8:$G$73,4,FALSE)),"")</f>
        <v/>
      </c>
      <c r="E427" s="15" t="str">
        <f>IF(COUNTIFS(Master_PIC!$A$8:$A$73,$B427)=1,IF(VLOOKUP($B427,Master_PIC!$A$8:$G$73,5,FALSE)="","",VLOOKUP($B427,Master_PIC!$A$8:$G$73,5,FALSE)),"")</f>
        <v/>
      </c>
      <c r="F427" s="15" t="str">
        <f>IF(COUNTIFS(Master_PIC!$A$8:$A$73,$B427)=1,IF(VLOOKUP($B427,Master_PIC!$A$8:$G$73,6,FALSE)="","",VLOOKUP($B427,Master_PIC!$A$8:$G$73,6,FALSE)),"")</f>
        <v/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8"/>
      <c r="Y427" s="5"/>
      <c r="Z427" s="5"/>
      <c r="AA427" s="9"/>
      <c r="AB427" s="5"/>
      <c r="AC427" s="5"/>
      <c r="AD427" s="9"/>
      <c r="AE427" s="5"/>
      <c r="AF427" s="7" t="str">
        <f t="shared" si="42"/>
        <v/>
      </c>
      <c r="AG427" s="7" t="str">
        <f t="shared" si="43"/>
        <v/>
      </c>
      <c r="AH427" s="7" t="str">
        <f t="shared" si="44"/>
        <v/>
      </c>
      <c r="AI427" s="7" t="str">
        <f t="shared" si="45"/>
        <v/>
      </c>
      <c r="AJ427" s="7" t="str">
        <f t="shared" si="46"/>
        <v/>
      </c>
      <c r="AK427" s="7" t="str">
        <f t="shared" si="47"/>
        <v/>
      </c>
      <c r="AL427" s="10" t="str">
        <f t="shared" si="48"/>
        <v/>
      </c>
      <c r="AM427" s="15" t="str">
        <f>IF(OR($A427&lt;&gt;"",$B427&lt;&gt;""),IF(OR($A427="",$B427=""),"Isi tanggal dan ID PIC",IF(NOT(ISNUMBER($A427)),"Tanggal harus berupa tanggal Excel",IF(COUNTIFS(Master_PIC!$A$8:$A$73,$B427)&lt;&gt;1,"ID PIC tidak unik/terdaftar",IF(VLOOKUP($B427,Master_PIC!$A$8:$G$73,3,FALSE)&lt;&gt;"Sales","Jabatan tidak sesuai sheet",IF(OR($C427="",$D427="",$E427="",$F427=""),"Lengkapi master PIC",IF(COUNTIFS($A$8:$A$507,$A427,$B$8:$B$507,$B427)&gt;1,"Laporan ganda",IF(COUNTIFS(G427:P427,"Tidak Berlaku")&gt;0,"N/A hanya untuk kegiatan bersyarat",IF(SUM(AG427,AH427,AI427,AJ427,AK427)&lt;&gt;14,"Status kegiatan tidak valid",IF(AK427&gt;0,"Lengkapi status kegiatan",IF(AND(AJ427&gt;0,U427=""),"Isi alasan Tidak Berlaku",IF(AND(SUM(AH427,AI427)&gt;0,OR(U427="",V427="",W427="",X427="")),"Isi kendala dan tindak lanjut",IF(AND(Z427&lt;&gt;"Draft",Z427&lt;&gt;"Dikirim"),"Isi status laporan yang valid",IF(AND(AB427&lt;&gt;"",AB427&lt;&gt;"Belum Diperiksa",AB427&lt;&gt;"Disetujui",AB427&lt;&gt;"Perlu Perbaikan"),"Hasil review tidak valid",IF(AND(Z427="Dikirim",OR(Y427="",AA427="")),"Isi bukti dan waktu kirim",IF(AND(AB427="Disetujui",OR(Z427&lt;&gt;"Dikirim",AC427="",AD427="")),"Lengkapi pemeriksaan",IF(AND(AB427="Perlu Perbaikan",OR(AE427="",AC427="",AD427="")),"Isi pemeriksa dan catatan perbaikan","OK")))))))))))))))),"")</f>
        <v/>
      </c>
    </row>
    <row r="428" spans="1:39" ht="24.95" customHeight="1">
      <c r="A428" s="8"/>
      <c r="B428" s="6"/>
      <c r="C428" s="15" t="str">
        <f>IF(COUNTIFS(Master_PIC!$A$8:$A$73,$B428)=1,IF(VLOOKUP($B428,Master_PIC!$A$8:$G$73,2,FALSE)="","",VLOOKUP($B428,Master_PIC!$A$8:$G$73,2,FALSE)),"")</f>
        <v/>
      </c>
      <c r="D428" s="15" t="str">
        <f>IF(COUNTIFS(Master_PIC!$A$8:$A$73,$B428)=1,IF(VLOOKUP($B428,Master_PIC!$A$8:$G$73,4,FALSE)="","",VLOOKUP($B428,Master_PIC!$A$8:$G$73,4,FALSE)),"")</f>
        <v/>
      </c>
      <c r="E428" s="15" t="str">
        <f>IF(COUNTIFS(Master_PIC!$A$8:$A$73,$B428)=1,IF(VLOOKUP($B428,Master_PIC!$A$8:$G$73,5,FALSE)="","",VLOOKUP($B428,Master_PIC!$A$8:$G$73,5,FALSE)),"")</f>
        <v/>
      </c>
      <c r="F428" s="15" t="str">
        <f>IF(COUNTIFS(Master_PIC!$A$8:$A$73,$B428)=1,IF(VLOOKUP($B428,Master_PIC!$A$8:$G$73,6,FALSE)="","",VLOOKUP($B428,Master_PIC!$A$8:$G$73,6,FALSE)),"")</f>
        <v/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8"/>
      <c r="Y428" s="5"/>
      <c r="Z428" s="5"/>
      <c r="AA428" s="9"/>
      <c r="AB428" s="5"/>
      <c r="AC428" s="5"/>
      <c r="AD428" s="9"/>
      <c r="AE428" s="5"/>
      <c r="AF428" s="7" t="str">
        <f t="shared" si="42"/>
        <v/>
      </c>
      <c r="AG428" s="7" t="str">
        <f t="shared" si="43"/>
        <v/>
      </c>
      <c r="AH428" s="7" t="str">
        <f t="shared" si="44"/>
        <v/>
      </c>
      <c r="AI428" s="7" t="str">
        <f t="shared" si="45"/>
        <v/>
      </c>
      <c r="AJ428" s="7" t="str">
        <f t="shared" si="46"/>
        <v/>
      </c>
      <c r="AK428" s="7" t="str">
        <f t="shared" si="47"/>
        <v/>
      </c>
      <c r="AL428" s="10" t="str">
        <f t="shared" si="48"/>
        <v/>
      </c>
      <c r="AM428" s="15" t="str">
        <f>IF(OR($A428&lt;&gt;"",$B428&lt;&gt;""),IF(OR($A428="",$B428=""),"Isi tanggal dan ID PIC",IF(NOT(ISNUMBER($A428)),"Tanggal harus berupa tanggal Excel",IF(COUNTIFS(Master_PIC!$A$8:$A$73,$B428)&lt;&gt;1,"ID PIC tidak unik/terdaftar",IF(VLOOKUP($B428,Master_PIC!$A$8:$G$73,3,FALSE)&lt;&gt;"Sales","Jabatan tidak sesuai sheet",IF(OR($C428="",$D428="",$E428="",$F428=""),"Lengkapi master PIC",IF(COUNTIFS($A$8:$A$507,$A428,$B$8:$B$507,$B428)&gt;1,"Laporan ganda",IF(COUNTIFS(G428:P428,"Tidak Berlaku")&gt;0,"N/A hanya untuk kegiatan bersyarat",IF(SUM(AG428,AH428,AI428,AJ428,AK428)&lt;&gt;14,"Status kegiatan tidak valid",IF(AK428&gt;0,"Lengkapi status kegiatan",IF(AND(AJ428&gt;0,U428=""),"Isi alasan Tidak Berlaku",IF(AND(SUM(AH428,AI428)&gt;0,OR(U428="",V428="",W428="",X428="")),"Isi kendala dan tindak lanjut",IF(AND(Z428&lt;&gt;"Draft",Z428&lt;&gt;"Dikirim"),"Isi status laporan yang valid",IF(AND(AB428&lt;&gt;"",AB428&lt;&gt;"Belum Diperiksa",AB428&lt;&gt;"Disetujui",AB428&lt;&gt;"Perlu Perbaikan"),"Hasil review tidak valid",IF(AND(Z428="Dikirim",OR(Y428="",AA428="")),"Isi bukti dan waktu kirim",IF(AND(AB428="Disetujui",OR(Z428&lt;&gt;"Dikirim",AC428="",AD428="")),"Lengkapi pemeriksaan",IF(AND(AB428="Perlu Perbaikan",OR(AE428="",AC428="",AD428="")),"Isi pemeriksa dan catatan perbaikan","OK")))))))))))))))),"")</f>
        <v/>
      </c>
    </row>
    <row r="429" spans="1:39" ht="24.95" customHeight="1">
      <c r="A429" s="8"/>
      <c r="B429" s="6"/>
      <c r="C429" s="15" t="str">
        <f>IF(COUNTIFS(Master_PIC!$A$8:$A$73,$B429)=1,IF(VLOOKUP($B429,Master_PIC!$A$8:$G$73,2,FALSE)="","",VLOOKUP($B429,Master_PIC!$A$8:$G$73,2,FALSE)),"")</f>
        <v/>
      </c>
      <c r="D429" s="15" t="str">
        <f>IF(COUNTIFS(Master_PIC!$A$8:$A$73,$B429)=1,IF(VLOOKUP($B429,Master_PIC!$A$8:$G$73,4,FALSE)="","",VLOOKUP($B429,Master_PIC!$A$8:$G$73,4,FALSE)),"")</f>
        <v/>
      </c>
      <c r="E429" s="15" t="str">
        <f>IF(COUNTIFS(Master_PIC!$A$8:$A$73,$B429)=1,IF(VLOOKUP($B429,Master_PIC!$A$8:$G$73,5,FALSE)="","",VLOOKUP($B429,Master_PIC!$A$8:$G$73,5,FALSE)),"")</f>
        <v/>
      </c>
      <c r="F429" s="15" t="str">
        <f>IF(COUNTIFS(Master_PIC!$A$8:$A$73,$B429)=1,IF(VLOOKUP($B429,Master_PIC!$A$8:$G$73,6,FALSE)="","",VLOOKUP($B429,Master_PIC!$A$8:$G$73,6,FALSE)),"")</f>
        <v/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8"/>
      <c r="Y429" s="5"/>
      <c r="Z429" s="5"/>
      <c r="AA429" s="9"/>
      <c r="AB429" s="5"/>
      <c r="AC429" s="5"/>
      <c r="AD429" s="9"/>
      <c r="AE429" s="5"/>
      <c r="AF429" s="7" t="str">
        <f t="shared" si="42"/>
        <v/>
      </c>
      <c r="AG429" s="7" t="str">
        <f t="shared" si="43"/>
        <v/>
      </c>
      <c r="AH429" s="7" t="str">
        <f t="shared" si="44"/>
        <v/>
      </c>
      <c r="AI429" s="7" t="str">
        <f t="shared" si="45"/>
        <v/>
      </c>
      <c r="AJ429" s="7" t="str">
        <f t="shared" si="46"/>
        <v/>
      </c>
      <c r="AK429" s="7" t="str">
        <f t="shared" si="47"/>
        <v/>
      </c>
      <c r="AL429" s="10" t="str">
        <f t="shared" si="48"/>
        <v/>
      </c>
      <c r="AM429" s="15" t="str">
        <f>IF(OR($A429&lt;&gt;"",$B429&lt;&gt;""),IF(OR($A429="",$B429=""),"Isi tanggal dan ID PIC",IF(NOT(ISNUMBER($A429)),"Tanggal harus berupa tanggal Excel",IF(COUNTIFS(Master_PIC!$A$8:$A$73,$B429)&lt;&gt;1,"ID PIC tidak unik/terdaftar",IF(VLOOKUP($B429,Master_PIC!$A$8:$G$73,3,FALSE)&lt;&gt;"Sales","Jabatan tidak sesuai sheet",IF(OR($C429="",$D429="",$E429="",$F429=""),"Lengkapi master PIC",IF(COUNTIFS($A$8:$A$507,$A429,$B$8:$B$507,$B429)&gt;1,"Laporan ganda",IF(COUNTIFS(G429:P429,"Tidak Berlaku")&gt;0,"N/A hanya untuk kegiatan bersyarat",IF(SUM(AG429,AH429,AI429,AJ429,AK429)&lt;&gt;14,"Status kegiatan tidak valid",IF(AK429&gt;0,"Lengkapi status kegiatan",IF(AND(AJ429&gt;0,U429=""),"Isi alasan Tidak Berlaku",IF(AND(SUM(AH429,AI429)&gt;0,OR(U429="",V429="",W429="",X429="")),"Isi kendala dan tindak lanjut",IF(AND(Z429&lt;&gt;"Draft",Z429&lt;&gt;"Dikirim"),"Isi status laporan yang valid",IF(AND(AB429&lt;&gt;"",AB429&lt;&gt;"Belum Diperiksa",AB429&lt;&gt;"Disetujui",AB429&lt;&gt;"Perlu Perbaikan"),"Hasil review tidak valid",IF(AND(Z429="Dikirim",OR(Y429="",AA429="")),"Isi bukti dan waktu kirim",IF(AND(AB429="Disetujui",OR(Z429&lt;&gt;"Dikirim",AC429="",AD429="")),"Lengkapi pemeriksaan",IF(AND(AB429="Perlu Perbaikan",OR(AE429="",AC429="",AD429="")),"Isi pemeriksa dan catatan perbaikan","OK")))))))))))))))),"")</f>
        <v/>
      </c>
    </row>
    <row r="430" spans="1:39" ht="24.95" customHeight="1">
      <c r="A430" s="8"/>
      <c r="B430" s="6"/>
      <c r="C430" s="15" t="str">
        <f>IF(COUNTIFS(Master_PIC!$A$8:$A$73,$B430)=1,IF(VLOOKUP($B430,Master_PIC!$A$8:$G$73,2,FALSE)="","",VLOOKUP($B430,Master_PIC!$A$8:$G$73,2,FALSE)),"")</f>
        <v/>
      </c>
      <c r="D430" s="15" t="str">
        <f>IF(COUNTIFS(Master_PIC!$A$8:$A$73,$B430)=1,IF(VLOOKUP($B430,Master_PIC!$A$8:$G$73,4,FALSE)="","",VLOOKUP($B430,Master_PIC!$A$8:$G$73,4,FALSE)),"")</f>
        <v/>
      </c>
      <c r="E430" s="15" t="str">
        <f>IF(COUNTIFS(Master_PIC!$A$8:$A$73,$B430)=1,IF(VLOOKUP($B430,Master_PIC!$A$8:$G$73,5,FALSE)="","",VLOOKUP($B430,Master_PIC!$A$8:$G$73,5,FALSE)),"")</f>
        <v/>
      </c>
      <c r="F430" s="15" t="str">
        <f>IF(COUNTIFS(Master_PIC!$A$8:$A$73,$B430)=1,IF(VLOOKUP($B430,Master_PIC!$A$8:$G$73,6,FALSE)="","",VLOOKUP($B430,Master_PIC!$A$8:$G$73,6,FALSE)),"")</f>
        <v/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8"/>
      <c r="Y430" s="5"/>
      <c r="Z430" s="5"/>
      <c r="AA430" s="9"/>
      <c r="AB430" s="5"/>
      <c r="AC430" s="5"/>
      <c r="AD430" s="9"/>
      <c r="AE430" s="5"/>
      <c r="AF430" s="7" t="str">
        <f t="shared" si="42"/>
        <v/>
      </c>
      <c r="AG430" s="7" t="str">
        <f t="shared" si="43"/>
        <v/>
      </c>
      <c r="AH430" s="7" t="str">
        <f t="shared" si="44"/>
        <v/>
      </c>
      <c r="AI430" s="7" t="str">
        <f t="shared" si="45"/>
        <v/>
      </c>
      <c r="AJ430" s="7" t="str">
        <f t="shared" si="46"/>
        <v/>
      </c>
      <c r="AK430" s="7" t="str">
        <f t="shared" si="47"/>
        <v/>
      </c>
      <c r="AL430" s="10" t="str">
        <f t="shared" si="48"/>
        <v/>
      </c>
      <c r="AM430" s="15" t="str">
        <f>IF(OR($A430&lt;&gt;"",$B430&lt;&gt;""),IF(OR($A430="",$B430=""),"Isi tanggal dan ID PIC",IF(NOT(ISNUMBER($A430)),"Tanggal harus berupa tanggal Excel",IF(COUNTIFS(Master_PIC!$A$8:$A$73,$B430)&lt;&gt;1,"ID PIC tidak unik/terdaftar",IF(VLOOKUP($B430,Master_PIC!$A$8:$G$73,3,FALSE)&lt;&gt;"Sales","Jabatan tidak sesuai sheet",IF(OR($C430="",$D430="",$E430="",$F430=""),"Lengkapi master PIC",IF(COUNTIFS($A$8:$A$507,$A430,$B$8:$B$507,$B430)&gt;1,"Laporan ganda",IF(COUNTIFS(G430:P430,"Tidak Berlaku")&gt;0,"N/A hanya untuk kegiatan bersyarat",IF(SUM(AG430,AH430,AI430,AJ430,AK430)&lt;&gt;14,"Status kegiatan tidak valid",IF(AK430&gt;0,"Lengkapi status kegiatan",IF(AND(AJ430&gt;0,U430=""),"Isi alasan Tidak Berlaku",IF(AND(SUM(AH430,AI430)&gt;0,OR(U430="",V430="",W430="",X430="")),"Isi kendala dan tindak lanjut",IF(AND(Z430&lt;&gt;"Draft",Z430&lt;&gt;"Dikirim"),"Isi status laporan yang valid",IF(AND(AB430&lt;&gt;"",AB430&lt;&gt;"Belum Diperiksa",AB430&lt;&gt;"Disetujui",AB430&lt;&gt;"Perlu Perbaikan"),"Hasil review tidak valid",IF(AND(Z430="Dikirim",OR(Y430="",AA430="")),"Isi bukti dan waktu kirim",IF(AND(AB430="Disetujui",OR(Z430&lt;&gt;"Dikirim",AC430="",AD430="")),"Lengkapi pemeriksaan",IF(AND(AB430="Perlu Perbaikan",OR(AE430="",AC430="",AD430="")),"Isi pemeriksa dan catatan perbaikan","OK")))))))))))))))),"")</f>
        <v/>
      </c>
    </row>
    <row r="431" spans="1:39" ht="24.95" customHeight="1">
      <c r="A431" s="8"/>
      <c r="B431" s="6"/>
      <c r="C431" s="15" t="str">
        <f>IF(COUNTIFS(Master_PIC!$A$8:$A$73,$B431)=1,IF(VLOOKUP($B431,Master_PIC!$A$8:$G$73,2,FALSE)="","",VLOOKUP($B431,Master_PIC!$A$8:$G$73,2,FALSE)),"")</f>
        <v/>
      </c>
      <c r="D431" s="15" t="str">
        <f>IF(COUNTIFS(Master_PIC!$A$8:$A$73,$B431)=1,IF(VLOOKUP($B431,Master_PIC!$A$8:$G$73,4,FALSE)="","",VLOOKUP($B431,Master_PIC!$A$8:$G$73,4,FALSE)),"")</f>
        <v/>
      </c>
      <c r="E431" s="15" t="str">
        <f>IF(COUNTIFS(Master_PIC!$A$8:$A$73,$B431)=1,IF(VLOOKUP($B431,Master_PIC!$A$8:$G$73,5,FALSE)="","",VLOOKUP($B431,Master_PIC!$A$8:$G$73,5,FALSE)),"")</f>
        <v/>
      </c>
      <c r="F431" s="15" t="str">
        <f>IF(COUNTIFS(Master_PIC!$A$8:$A$73,$B431)=1,IF(VLOOKUP($B431,Master_PIC!$A$8:$G$73,6,FALSE)="","",VLOOKUP($B431,Master_PIC!$A$8:$G$73,6,FALSE)),"")</f>
        <v/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8"/>
      <c r="Y431" s="5"/>
      <c r="Z431" s="5"/>
      <c r="AA431" s="9"/>
      <c r="AB431" s="5"/>
      <c r="AC431" s="5"/>
      <c r="AD431" s="9"/>
      <c r="AE431" s="5"/>
      <c r="AF431" s="7" t="str">
        <f t="shared" si="42"/>
        <v/>
      </c>
      <c r="AG431" s="7" t="str">
        <f t="shared" si="43"/>
        <v/>
      </c>
      <c r="AH431" s="7" t="str">
        <f t="shared" si="44"/>
        <v/>
      </c>
      <c r="AI431" s="7" t="str">
        <f t="shared" si="45"/>
        <v/>
      </c>
      <c r="AJ431" s="7" t="str">
        <f t="shared" si="46"/>
        <v/>
      </c>
      <c r="AK431" s="7" t="str">
        <f t="shared" si="47"/>
        <v/>
      </c>
      <c r="AL431" s="10" t="str">
        <f t="shared" si="48"/>
        <v/>
      </c>
      <c r="AM431" s="15" t="str">
        <f>IF(OR($A431&lt;&gt;"",$B431&lt;&gt;""),IF(OR($A431="",$B431=""),"Isi tanggal dan ID PIC",IF(NOT(ISNUMBER($A431)),"Tanggal harus berupa tanggal Excel",IF(COUNTIFS(Master_PIC!$A$8:$A$73,$B431)&lt;&gt;1,"ID PIC tidak unik/terdaftar",IF(VLOOKUP($B431,Master_PIC!$A$8:$G$73,3,FALSE)&lt;&gt;"Sales","Jabatan tidak sesuai sheet",IF(OR($C431="",$D431="",$E431="",$F431=""),"Lengkapi master PIC",IF(COUNTIFS($A$8:$A$507,$A431,$B$8:$B$507,$B431)&gt;1,"Laporan ganda",IF(COUNTIFS(G431:P431,"Tidak Berlaku")&gt;0,"N/A hanya untuk kegiatan bersyarat",IF(SUM(AG431,AH431,AI431,AJ431,AK431)&lt;&gt;14,"Status kegiatan tidak valid",IF(AK431&gt;0,"Lengkapi status kegiatan",IF(AND(AJ431&gt;0,U431=""),"Isi alasan Tidak Berlaku",IF(AND(SUM(AH431,AI431)&gt;0,OR(U431="",V431="",W431="",X431="")),"Isi kendala dan tindak lanjut",IF(AND(Z431&lt;&gt;"Draft",Z431&lt;&gt;"Dikirim"),"Isi status laporan yang valid",IF(AND(AB431&lt;&gt;"",AB431&lt;&gt;"Belum Diperiksa",AB431&lt;&gt;"Disetujui",AB431&lt;&gt;"Perlu Perbaikan"),"Hasil review tidak valid",IF(AND(Z431="Dikirim",OR(Y431="",AA431="")),"Isi bukti dan waktu kirim",IF(AND(AB431="Disetujui",OR(Z431&lt;&gt;"Dikirim",AC431="",AD431="")),"Lengkapi pemeriksaan",IF(AND(AB431="Perlu Perbaikan",OR(AE431="",AC431="",AD431="")),"Isi pemeriksa dan catatan perbaikan","OK")))))))))))))))),"")</f>
        <v/>
      </c>
    </row>
    <row r="432" spans="1:39" ht="24.95" customHeight="1">
      <c r="A432" s="8"/>
      <c r="B432" s="6"/>
      <c r="C432" s="15" t="str">
        <f>IF(COUNTIFS(Master_PIC!$A$8:$A$73,$B432)=1,IF(VLOOKUP($B432,Master_PIC!$A$8:$G$73,2,FALSE)="","",VLOOKUP($B432,Master_PIC!$A$8:$G$73,2,FALSE)),"")</f>
        <v/>
      </c>
      <c r="D432" s="15" t="str">
        <f>IF(COUNTIFS(Master_PIC!$A$8:$A$73,$B432)=1,IF(VLOOKUP($B432,Master_PIC!$A$8:$G$73,4,FALSE)="","",VLOOKUP($B432,Master_PIC!$A$8:$G$73,4,FALSE)),"")</f>
        <v/>
      </c>
      <c r="E432" s="15" t="str">
        <f>IF(COUNTIFS(Master_PIC!$A$8:$A$73,$B432)=1,IF(VLOOKUP($B432,Master_PIC!$A$8:$G$73,5,FALSE)="","",VLOOKUP($B432,Master_PIC!$A$8:$G$73,5,FALSE)),"")</f>
        <v/>
      </c>
      <c r="F432" s="15" t="str">
        <f>IF(COUNTIFS(Master_PIC!$A$8:$A$73,$B432)=1,IF(VLOOKUP($B432,Master_PIC!$A$8:$G$73,6,FALSE)="","",VLOOKUP($B432,Master_PIC!$A$8:$G$73,6,FALSE)),"")</f>
        <v/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8"/>
      <c r="Y432" s="5"/>
      <c r="Z432" s="5"/>
      <c r="AA432" s="9"/>
      <c r="AB432" s="5"/>
      <c r="AC432" s="5"/>
      <c r="AD432" s="9"/>
      <c r="AE432" s="5"/>
      <c r="AF432" s="7" t="str">
        <f t="shared" si="42"/>
        <v/>
      </c>
      <c r="AG432" s="7" t="str">
        <f t="shared" si="43"/>
        <v/>
      </c>
      <c r="AH432" s="7" t="str">
        <f t="shared" si="44"/>
        <v/>
      </c>
      <c r="AI432" s="7" t="str">
        <f t="shared" si="45"/>
        <v/>
      </c>
      <c r="AJ432" s="7" t="str">
        <f t="shared" si="46"/>
        <v/>
      </c>
      <c r="AK432" s="7" t="str">
        <f t="shared" si="47"/>
        <v/>
      </c>
      <c r="AL432" s="10" t="str">
        <f t="shared" si="48"/>
        <v/>
      </c>
      <c r="AM432" s="15" t="str">
        <f>IF(OR($A432&lt;&gt;"",$B432&lt;&gt;""),IF(OR($A432="",$B432=""),"Isi tanggal dan ID PIC",IF(NOT(ISNUMBER($A432)),"Tanggal harus berupa tanggal Excel",IF(COUNTIFS(Master_PIC!$A$8:$A$73,$B432)&lt;&gt;1,"ID PIC tidak unik/terdaftar",IF(VLOOKUP($B432,Master_PIC!$A$8:$G$73,3,FALSE)&lt;&gt;"Sales","Jabatan tidak sesuai sheet",IF(OR($C432="",$D432="",$E432="",$F432=""),"Lengkapi master PIC",IF(COUNTIFS($A$8:$A$507,$A432,$B$8:$B$507,$B432)&gt;1,"Laporan ganda",IF(COUNTIFS(G432:P432,"Tidak Berlaku")&gt;0,"N/A hanya untuk kegiatan bersyarat",IF(SUM(AG432,AH432,AI432,AJ432,AK432)&lt;&gt;14,"Status kegiatan tidak valid",IF(AK432&gt;0,"Lengkapi status kegiatan",IF(AND(AJ432&gt;0,U432=""),"Isi alasan Tidak Berlaku",IF(AND(SUM(AH432,AI432)&gt;0,OR(U432="",V432="",W432="",X432="")),"Isi kendala dan tindak lanjut",IF(AND(Z432&lt;&gt;"Draft",Z432&lt;&gt;"Dikirim"),"Isi status laporan yang valid",IF(AND(AB432&lt;&gt;"",AB432&lt;&gt;"Belum Diperiksa",AB432&lt;&gt;"Disetujui",AB432&lt;&gt;"Perlu Perbaikan"),"Hasil review tidak valid",IF(AND(Z432="Dikirim",OR(Y432="",AA432="")),"Isi bukti dan waktu kirim",IF(AND(AB432="Disetujui",OR(Z432&lt;&gt;"Dikirim",AC432="",AD432="")),"Lengkapi pemeriksaan",IF(AND(AB432="Perlu Perbaikan",OR(AE432="",AC432="",AD432="")),"Isi pemeriksa dan catatan perbaikan","OK")))))))))))))))),"")</f>
        <v/>
      </c>
    </row>
    <row r="433" spans="1:39" ht="24.95" customHeight="1">
      <c r="A433" s="8"/>
      <c r="B433" s="6"/>
      <c r="C433" s="15" t="str">
        <f>IF(COUNTIFS(Master_PIC!$A$8:$A$73,$B433)=1,IF(VLOOKUP($B433,Master_PIC!$A$8:$G$73,2,FALSE)="","",VLOOKUP($B433,Master_PIC!$A$8:$G$73,2,FALSE)),"")</f>
        <v/>
      </c>
      <c r="D433" s="15" t="str">
        <f>IF(COUNTIFS(Master_PIC!$A$8:$A$73,$B433)=1,IF(VLOOKUP($B433,Master_PIC!$A$8:$G$73,4,FALSE)="","",VLOOKUP($B433,Master_PIC!$A$8:$G$73,4,FALSE)),"")</f>
        <v/>
      </c>
      <c r="E433" s="15" t="str">
        <f>IF(COUNTIFS(Master_PIC!$A$8:$A$73,$B433)=1,IF(VLOOKUP($B433,Master_PIC!$A$8:$G$73,5,FALSE)="","",VLOOKUP($B433,Master_PIC!$A$8:$G$73,5,FALSE)),"")</f>
        <v/>
      </c>
      <c r="F433" s="15" t="str">
        <f>IF(COUNTIFS(Master_PIC!$A$8:$A$73,$B433)=1,IF(VLOOKUP($B433,Master_PIC!$A$8:$G$73,6,FALSE)="","",VLOOKUP($B433,Master_PIC!$A$8:$G$73,6,FALSE)),"")</f>
        <v/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8"/>
      <c r="Y433" s="5"/>
      <c r="Z433" s="5"/>
      <c r="AA433" s="9"/>
      <c r="AB433" s="5"/>
      <c r="AC433" s="5"/>
      <c r="AD433" s="9"/>
      <c r="AE433" s="5"/>
      <c r="AF433" s="7" t="str">
        <f t="shared" si="42"/>
        <v/>
      </c>
      <c r="AG433" s="7" t="str">
        <f t="shared" si="43"/>
        <v/>
      </c>
      <c r="AH433" s="7" t="str">
        <f t="shared" si="44"/>
        <v/>
      </c>
      <c r="AI433" s="7" t="str">
        <f t="shared" si="45"/>
        <v/>
      </c>
      <c r="AJ433" s="7" t="str">
        <f t="shared" si="46"/>
        <v/>
      </c>
      <c r="AK433" s="7" t="str">
        <f t="shared" si="47"/>
        <v/>
      </c>
      <c r="AL433" s="10" t="str">
        <f t="shared" si="48"/>
        <v/>
      </c>
      <c r="AM433" s="15" t="str">
        <f>IF(OR($A433&lt;&gt;"",$B433&lt;&gt;""),IF(OR($A433="",$B433=""),"Isi tanggal dan ID PIC",IF(NOT(ISNUMBER($A433)),"Tanggal harus berupa tanggal Excel",IF(COUNTIFS(Master_PIC!$A$8:$A$73,$B433)&lt;&gt;1,"ID PIC tidak unik/terdaftar",IF(VLOOKUP($B433,Master_PIC!$A$8:$G$73,3,FALSE)&lt;&gt;"Sales","Jabatan tidak sesuai sheet",IF(OR($C433="",$D433="",$E433="",$F433=""),"Lengkapi master PIC",IF(COUNTIFS($A$8:$A$507,$A433,$B$8:$B$507,$B433)&gt;1,"Laporan ganda",IF(COUNTIFS(G433:P433,"Tidak Berlaku")&gt;0,"N/A hanya untuk kegiatan bersyarat",IF(SUM(AG433,AH433,AI433,AJ433,AK433)&lt;&gt;14,"Status kegiatan tidak valid",IF(AK433&gt;0,"Lengkapi status kegiatan",IF(AND(AJ433&gt;0,U433=""),"Isi alasan Tidak Berlaku",IF(AND(SUM(AH433,AI433)&gt;0,OR(U433="",V433="",W433="",X433="")),"Isi kendala dan tindak lanjut",IF(AND(Z433&lt;&gt;"Draft",Z433&lt;&gt;"Dikirim"),"Isi status laporan yang valid",IF(AND(AB433&lt;&gt;"",AB433&lt;&gt;"Belum Diperiksa",AB433&lt;&gt;"Disetujui",AB433&lt;&gt;"Perlu Perbaikan"),"Hasil review tidak valid",IF(AND(Z433="Dikirim",OR(Y433="",AA433="")),"Isi bukti dan waktu kirim",IF(AND(AB433="Disetujui",OR(Z433&lt;&gt;"Dikirim",AC433="",AD433="")),"Lengkapi pemeriksaan",IF(AND(AB433="Perlu Perbaikan",OR(AE433="",AC433="",AD433="")),"Isi pemeriksa dan catatan perbaikan","OK")))))))))))))))),"")</f>
        <v/>
      </c>
    </row>
    <row r="434" spans="1:39" ht="24.95" customHeight="1">
      <c r="A434" s="8"/>
      <c r="B434" s="6"/>
      <c r="C434" s="15" t="str">
        <f>IF(COUNTIFS(Master_PIC!$A$8:$A$73,$B434)=1,IF(VLOOKUP($B434,Master_PIC!$A$8:$G$73,2,FALSE)="","",VLOOKUP($B434,Master_PIC!$A$8:$G$73,2,FALSE)),"")</f>
        <v/>
      </c>
      <c r="D434" s="15" t="str">
        <f>IF(COUNTIFS(Master_PIC!$A$8:$A$73,$B434)=1,IF(VLOOKUP($B434,Master_PIC!$A$8:$G$73,4,FALSE)="","",VLOOKUP($B434,Master_PIC!$A$8:$G$73,4,FALSE)),"")</f>
        <v/>
      </c>
      <c r="E434" s="15" t="str">
        <f>IF(COUNTIFS(Master_PIC!$A$8:$A$73,$B434)=1,IF(VLOOKUP($B434,Master_PIC!$A$8:$G$73,5,FALSE)="","",VLOOKUP($B434,Master_PIC!$A$8:$G$73,5,FALSE)),"")</f>
        <v/>
      </c>
      <c r="F434" s="15" t="str">
        <f>IF(COUNTIFS(Master_PIC!$A$8:$A$73,$B434)=1,IF(VLOOKUP($B434,Master_PIC!$A$8:$G$73,6,FALSE)="","",VLOOKUP($B434,Master_PIC!$A$8:$G$73,6,FALSE)),"")</f>
        <v/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8"/>
      <c r="Y434" s="5"/>
      <c r="Z434" s="5"/>
      <c r="AA434" s="9"/>
      <c r="AB434" s="5"/>
      <c r="AC434" s="5"/>
      <c r="AD434" s="9"/>
      <c r="AE434" s="5"/>
      <c r="AF434" s="7" t="str">
        <f t="shared" si="42"/>
        <v/>
      </c>
      <c r="AG434" s="7" t="str">
        <f t="shared" si="43"/>
        <v/>
      </c>
      <c r="AH434" s="7" t="str">
        <f t="shared" si="44"/>
        <v/>
      </c>
      <c r="AI434" s="7" t="str">
        <f t="shared" si="45"/>
        <v/>
      </c>
      <c r="AJ434" s="7" t="str">
        <f t="shared" si="46"/>
        <v/>
      </c>
      <c r="AK434" s="7" t="str">
        <f t="shared" si="47"/>
        <v/>
      </c>
      <c r="AL434" s="10" t="str">
        <f t="shared" si="48"/>
        <v/>
      </c>
      <c r="AM434" s="15" t="str">
        <f>IF(OR($A434&lt;&gt;"",$B434&lt;&gt;""),IF(OR($A434="",$B434=""),"Isi tanggal dan ID PIC",IF(NOT(ISNUMBER($A434)),"Tanggal harus berupa tanggal Excel",IF(COUNTIFS(Master_PIC!$A$8:$A$73,$B434)&lt;&gt;1,"ID PIC tidak unik/terdaftar",IF(VLOOKUP($B434,Master_PIC!$A$8:$G$73,3,FALSE)&lt;&gt;"Sales","Jabatan tidak sesuai sheet",IF(OR($C434="",$D434="",$E434="",$F434=""),"Lengkapi master PIC",IF(COUNTIFS($A$8:$A$507,$A434,$B$8:$B$507,$B434)&gt;1,"Laporan ganda",IF(COUNTIFS(G434:P434,"Tidak Berlaku")&gt;0,"N/A hanya untuk kegiatan bersyarat",IF(SUM(AG434,AH434,AI434,AJ434,AK434)&lt;&gt;14,"Status kegiatan tidak valid",IF(AK434&gt;0,"Lengkapi status kegiatan",IF(AND(AJ434&gt;0,U434=""),"Isi alasan Tidak Berlaku",IF(AND(SUM(AH434,AI434)&gt;0,OR(U434="",V434="",W434="",X434="")),"Isi kendala dan tindak lanjut",IF(AND(Z434&lt;&gt;"Draft",Z434&lt;&gt;"Dikirim"),"Isi status laporan yang valid",IF(AND(AB434&lt;&gt;"",AB434&lt;&gt;"Belum Diperiksa",AB434&lt;&gt;"Disetujui",AB434&lt;&gt;"Perlu Perbaikan"),"Hasil review tidak valid",IF(AND(Z434="Dikirim",OR(Y434="",AA434="")),"Isi bukti dan waktu kirim",IF(AND(AB434="Disetujui",OR(Z434&lt;&gt;"Dikirim",AC434="",AD434="")),"Lengkapi pemeriksaan",IF(AND(AB434="Perlu Perbaikan",OR(AE434="",AC434="",AD434="")),"Isi pemeriksa dan catatan perbaikan","OK")))))))))))))))),"")</f>
        <v/>
      </c>
    </row>
    <row r="435" spans="1:39" ht="24.95" customHeight="1">
      <c r="A435" s="8"/>
      <c r="B435" s="6"/>
      <c r="C435" s="15" t="str">
        <f>IF(COUNTIFS(Master_PIC!$A$8:$A$73,$B435)=1,IF(VLOOKUP($B435,Master_PIC!$A$8:$G$73,2,FALSE)="","",VLOOKUP($B435,Master_PIC!$A$8:$G$73,2,FALSE)),"")</f>
        <v/>
      </c>
      <c r="D435" s="15" t="str">
        <f>IF(COUNTIFS(Master_PIC!$A$8:$A$73,$B435)=1,IF(VLOOKUP($B435,Master_PIC!$A$8:$G$73,4,FALSE)="","",VLOOKUP($B435,Master_PIC!$A$8:$G$73,4,FALSE)),"")</f>
        <v/>
      </c>
      <c r="E435" s="15" t="str">
        <f>IF(COUNTIFS(Master_PIC!$A$8:$A$73,$B435)=1,IF(VLOOKUP($B435,Master_PIC!$A$8:$G$73,5,FALSE)="","",VLOOKUP($B435,Master_PIC!$A$8:$G$73,5,FALSE)),"")</f>
        <v/>
      </c>
      <c r="F435" s="15" t="str">
        <f>IF(COUNTIFS(Master_PIC!$A$8:$A$73,$B435)=1,IF(VLOOKUP($B435,Master_PIC!$A$8:$G$73,6,FALSE)="","",VLOOKUP($B435,Master_PIC!$A$8:$G$73,6,FALSE)),"")</f>
        <v/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8"/>
      <c r="Y435" s="5"/>
      <c r="Z435" s="5"/>
      <c r="AA435" s="9"/>
      <c r="AB435" s="5"/>
      <c r="AC435" s="5"/>
      <c r="AD435" s="9"/>
      <c r="AE435" s="5"/>
      <c r="AF435" s="7" t="str">
        <f t="shared" si="42"/>
        <v/>
      </c>
      <c r="AG435" s="7" t="str">
        <f t="shared" si="43"/>
        <v/>
      </c>
      <c r="AH435" s="7" t="str">
        <f t="shared" si="44"/>
        <v/>
      </c>
      <c r="AI435" s="7" t="str">
        <f t="shared" si="45"/>
        <v/>
      </c>
      <c r="AJ435" s="7" t="str">
        <f t="shared" si="46"/>
        <v/>
      </c>
      <c r="AK435" s="7" t="str">
        <f t="shared" si="47"/>
        <v/>
      </c>
      <c r="AL435" s="10" t="str">
        <f t="shared" si="48"/>
        <v/>
      </c>
      <c r="AM435" s="15" t="str">
        <f>IF(OR($A435&lt;&gt;"",$B435&lt;&gt;""),IF(OR($A435="",$B435=""),"Isi tanggal dan ID PIC",IF(NOT(ISNUMBER($A435)),"Tanggal harus berupa tanggal Excel",IF(COUNTIFS(Master_PIC!$A$8:$A$73,$B435)&lt;&gt;1,"ID PIC tidak unik/terdaftar",IF(VLOOKUP($B435,Master_PIC!$A$8:$G$73,3,FALSE)&lt;&gt;"Sales","Jabatan tidak sesuai sheet",IF(OR($C435="",$D435="",$E435="",$F435=""),"Lengkapi master PIC",IF(COUNTIFS($A$8:$A$507,$A435,$B$8:$B$507,$B435)&gt;1,"Laporan ganda",IF(COUNTIFS(G435:P435,"Tidak Berlaku")&gt;0,"N/A hanya untuk kegiatan bersyarat",IF(SUM(AG435,AH435,AI435,AJ435,AK435)&lt;&gt;14,"Status kegiatan tidak valid",IF(AK435&gt;0,"Lengkapi status kegiatan",IF(AND(AJ435&gt;0,U435=""),"Isi alasan Tidak Berlaku",IF(AND(SUM(AH435,AI435)&gt;0,OR(U435="",V435="",W435="",X435="")),"Isi kendala dan tindak lanjut",IF(AND(Z435&lt;&gt;"Draft",Z435&lt;&gt;"Dikirim"),"Isi status laporan yang valid",IF(AND(AB435&lt;&gt;"",AB435&lt;&gt;"Belum Diperiksa",AB435&lt;&gt;"Disetujui",AB435&lt;&gt;"Perlu Perbaikan"),"Hasil review tidak valid",IF(AND(Z435="Dikirim",OR(Y435="",AA435="")),"Isi bukti dan waktu kirim",IF(AND(AB435="Disetujui",OR(Z435&lt;&gt;"Dikirim",AC435="",AD435="")),"Lengkapi pemeriksaan",IF(AND(AB435="Perlu Perbaikan",OR(AE435="",AC435="",AD435="")),"Isi pemeriksa dan catatan perbaikan","OK")))))))))))))))),"")</f>
        <v/>
      </c>
    </row>
    <row r="436" spans="1:39" ht="24.95" customHeight="1">
      <c r="A436" s="8"/>
      <c r="B436" s="6"/>
      <c r="C436" s="15" t="str">
        <f>IF(COUNTIFS(Master_PIC!$A$8:$A$73,$B436)=1,IF(VLOOKUP($B436,Master_PIC!$A$8:$G$73,2,FALSE)="","",VLOOKUP($B436,Master_PIC!$A$8:$G$73,2,FALSE)),"")</f>
        <v/>
      </c>
      <c r="D436" s="15" t="str">
        <f>IF(COUNTIFS(Master_PIC!$A$8:$A$73,$B436)=1,IF(VLOOKUP($B436,Master_PIC!$A$8:$G$73,4,FALSE)="","",VLOOKUP($B436,Master_PIC!$A$8:$G$73,4,FALSE)),"")</f>
        <v/>
      </c>
      <c r="E436" s="15" t="str">
        <f>IF(COUNTIFS(Master_PIC!$A$8:$A$73,$B436)=1,IF(VLOOKUP($B436,Master_PIC!$A$8:$G$73,5,FALSE)="","",VLOOKUP($B436,Master_PIC!$A$8:$G$73,5,FALSE)),"")</f>
        <v/>
      </c>
      <c r="F436" s="15" t="str">
        <f>IF(COUNTIFS(Master_PIC!$A$8:$A$73,$B436)=1,IF(VLOOKUP($B436,Master_PIC!$A$8:$G$73,6,FALSE)="","",VLOOKUP($B436,Master_PIC!$A$8:$G$73,6,FALSE)),"")</f>
        <v/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8"/>
      <c r="Y436" s="5"/>
      <c r="Z436" s="5"/>
      <c r="AA436" s="9"/>
      <c r="AB436" s="5"/>
      <c r="AC436" s="5"/>
      <c r="AD436" s="9"/>
      <c r="AE436" s="5"/>
      <c r="AF436" s="7" t="str">
        <f t="shared" si="42"/>
        <v/>
      </c>
      <c r="AG436" s="7" t="str">
        <f t="shared" si="43"/>
        <v/>
      </c>
      <c r="AH436" s="7" t="str">
        <f t="shared" si="44"/>
        <v/>
      </c>
      <c r="AI436" s="7" t="str">
        <f t="shared" si="45"/>
        <v/>
      </c>
      <c r="AJ436" s="7" t="str">
        <f t="shared" si="46"/>
        <v/>
      </c>
      <c r="AK436" s="7" t="str">
        <f t="shared" si="47"/>
        <v/>
      </c>
      <c r="AL436" s="10" t="str">
        <f t="shared" si="48"/>
        <v/>
      </c>
      <c r="AM436" s="15" t="str">
        <f>IF(OR($A436&lt;&gt;"",$B436&lt;&gt;""),IF(OR($A436="",$B436=""),"Isi tanggal dan ID PIC",IF(NOT(ISNUMBER($A436)),"Tanggal harus berupa tanggal Excel",IF(COUNTIFS(Master_PIC!$A$8:$A$73,$B436)&lt;&gt;1,"ID PIC tidak unik/terdaftar",IF(VLOOKUP($B436,Master_PIC!$A$8:$G$73,3,FALSE)&lt;&gt;"Sales","Jabatan tidak sesuai sheet",IF(OR($C436="",$D436="",$E436="",$F436=""),"Lengkapi master PIC",IF(COUNTIFS($A$8:$A$507,$A436,$B$8:$B$507,$B436)&gt;1,"Laporan ganda",IF(COUNTIFS(G436:P436,"Tidak Berlaku")&gt;0,"N/A hanya untuk kegiatan bersyarat",IF(SUM(AG436,AH436,AI436,AJ436,AK436)&lt;&gt;14,"Status kegiatan tidak valid",IF(AK436&gt;0,"Lengkapi status kegiatan",IF(AND(AJ436&gt;0,U436=""),"Isi alasan Tidak Berlaku",IF(AND(SUM(AH436,AI436)&gt;0,OR(U436="",V436="",W436="",X436="")),"Isi kendala dan tindak lanjut",IF(AND(Z436&lt;&gt;"Draft",Z436&lt;&gt;"Dikirim"),"Isi status laporan yang valid",IF(AND(AB436&lt;&gt;"",AB436&lt;&gt;"Belum Diperiksa",AB436&lt;&gt;"Disetujui",AB436&lt;&gt;"Perlu Perbaikan"),"Hasil review tidak valid",IF(AND(Z436="Dikirim",OR(Y436="",AA436="")),"Isi bukti dan waktu kirim",IF(AND(AB436="Disetujui",OR(Z436&lt;&gt;"Dikirim",AC436="",AD436="")),"Lengkapi pemeriksaan",IF(AND(AB436="Perlu Perbaikan",OR(AE436="",AC436="",AD436="")),"Isi pemeriksa dan catatan perbaikan","OK")))))))))))))))),"")</f>
        <v/>
      </c>
    </row>
    <row r="437" spans="1:39" ht="24.95" customHeight="1">
      <c r="A437" s="8"/>
      <c r="B437" s="6"/>
      <c r="C437" s="15" t="str">
        <f>IF(COUNTIFS(Master_PIC!$A$8:$A$73,$B437)=1,IF(VLOOKUP($B437,Master_PIC!$A$8:$G$73,2,FALSE)="","",VLOOKUP($B437,Master_PIC!$A$8:$G$73,2,FALSE)),"")</f>
        <v/>
      </c>
      <c r="D437" s="15" t="str">
        <f>IF(COUNTIFS(Master_PIC!$A$8:$A$73,$B437)=1,IF(VLOOKUP($B437,Master_PIC!$A$8:$G$73,4,FALSE)="","",VLOOKUP($B437,Master_PIC!$A$8:$G$73,4,FALSE)),"")</f>
        <v/>
      </c>
      <c r="E437" s="15" t="str">
        <f>IF(COUNTIFS(Master_PIC!$A$8:$A$73,$B437)=1,IF(VLOOKUP($B437,Master_PIC!$A$8:$G$73,5,FALSE)="","",VLOOKUP($B437,Master_PIC!$A$8:$G$73,5,FALSE)),"")</f>
        <v/>
      </c>
      <c r="F437" s="15" t="str">
        <f>IF(COUNTIFS(Master_PIC!$A$8:$A$73,$B437)=1,IF(VLOOKUP($B437,Master_PIC!$A$8:$G$73,6,FALSE)="","",VLOOKUP($B437,Master_PIC!$A$8:$G$73,6,FALSE)),"")</f>
        <v/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8"/>
      <c r="Y437" s="5"/>
      <c r="Z437" s="5"/>
      <c r="AA437" s="9"/>
      <c r="AB437" s="5"/>
      <c r="AC437" s="5"/>
      <c r="AD437" s="9"/>
      <c r="AE437" s="5"/>
      <c r="AF437" s="7" t="str">
        <f t="shared" si="42"/>
        <v/>
      </c>
      <c r="AG437" s="7" t="str">
        <f t="shared" si="43"/>
        <v/>
      </c>
      <c r="AH437" s="7" t="str">
        <f t="shared" si="44"/>
        <v/>
      </c>
      <c r="AI437" s="7" t="str">
        <f t="shared" si="45"/>
        <v/>
      </c>
      <c r="AJ437" s="7" t="str">
        <f t="shared" si="46"/>
        <v/>
      </c>
      <c r="AK437" s="7" t="str">
        <f t="shared" si="47"/>
        <v/>
      </c>
      <c r="AL437" s="10" t="str">
        <f t="shared" si="48"/>
        <v/>
      </c>
      <c r="AM437" s="15" t="str">
        <f>IF(OR($A437&lt;&gt;"",$B437&lt;&gt;""),IF(OR($A437="",$B437=""),"Isi tanggal dan ID PIC",IF(NOT(ISNUMBER($A437)),"Tanggal harus berupa tanggal Excel",IF(COUNTIFS(Master_PIC!$A$8:$A$73,$B437)&lt;&gt;1,"ID PIC tidak unik/terdaftar",IF(VLOOKUP($B437,Master_PIC!$A$8:$G$73,3,FALSE)&lt;&gt;"Sales","Jabatan tidak sesuai sheet",IF(OR($C437="",$D437="",$E437="",$F437=""),"Lengkapi master PIC",IF(COUNTIFS($A$8:$A$507,$A437,$B$8:$B$507,$B437)&gt;1,"Laporan ganda",IF(COUNTIFS(G437:P437,"Tidak Berlaku")&gt;0,"N/A hanya untuk kegiatan bersyarat",IF(SUM(AG437,AH437,AI437,AJ437,AK437)&lt;&gt;14,"Status kegiatan tidak valid",IF(AK437&gt;0,"Lengkapi status kegiatan",IF(AND(AJ437&gt;0,U437=""),"Isi alasan Tidak Berlaku",IF(AND(SUM(AH437,AI437)&gt;0,OR(U437="",V437="",W437="",X437="")),"Isi kendala dan tindak lanjut",IF(AND(Z437&lt;&gt;"Draft",Z437&lt;&gt;"Dikirim"),"Isi status laporan yang valid",IF(AND(AB437&lt;&gt;"",AB437&lt;&gt;"Belum Diperiksa",AB437&lt;&gt;"Disetujui",AB437&lt;&gt;"Perlu Perbaikan"),"Hasil review tidak valid",IF(AND(Z437="Dikirim",OR(Y437="",AA437="")),"Isi bukti dan waktu kirim",IF(AND(AB437="Disetujui",OR(Z437&lt;&gt;"Dikirim",AC437="",AD437="")),"Lengkapi pemeriksaan",IF(AND(AB437="Perlu Perbaikan",OR(AE437="",AC437="",AD437="")),"Isi pemeriksa dan catatan perbaikan","OK")))))))))))))))),"")</f>
        <v/>
      </c>
    </row>
    <row r="438" spans="1:39" ht="24.95" customHeight="1">
      <c r="A438" s="8"/>
      <c r="B438" s="6"/>
      <c r="C438" s="15" t="str">
        <f>IF(COUNTIFS(Master_PIC!$A$8:$A$73,$B438)=1,IF(VLOOKUP($B438,Master_PIC!$A$8:$G$73,2,FALSE)="","",VLOOKUP($B438,Master_PIC!$A$8:$G$73,2,FALSE)),"")</f>
        <v/>
      </c>
      <c r="D438" s="15" t="str">
        <f>IF(COUNTIFS(Master_PIC!$A$8:$A$73,$B438)=1,IF(VLOOKUP($B438,Master_PIC!$A$8:$G$73,4,FALSE)="","",VLOOKUP($B438,Master_PIC!$A$8:$G$73,4,FALSE)),"")</f>
        <v/>
      </c>
      <c r="E438" s="15" t="str">
        <f>IF(COUNTIFS(Master_PIC!$A$8:$A$73,$B438)=1,IF(VLOOKUP($B438,Master_PIC!$A$8:$G$73,5,FALSE)="","",VLOOKUP($B438,Master_PIC!$A$8:$G$73,5,FALSE)),"")</f>
        <v/>
      </c>
      <c r="F438" s="15" t="str">
        <f>IF(COUNTIFS(Master_PIC!$A$8:$A$73,$B438)=1,IF(VLOOKUP($B438,Master_PIC!$A$8:$G$73,6,FALSE)="","",VLOOKUP($B438,Master_PIC!$A$8:$G$73,6,FALSE)),"")</f>
        <v/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8"/>
      <c r="Y438" s="5"/>
      <c r="Z438" s="5"/>
      <c r="AA438" s="9"/>
      <c r="AB438" s="5"/>
      <c r="AC438" s="5"/>
      <c r="AD438" s="9"/>
      <c r="AE438" s="5"/>
      <c r="AF438" s="7" t="str">
        <f t="shared" si="42"/>
        <v/>
      </c>
      <c r="AG438" s="7" t="str">
        <f t="shared" si="43"/>
        <v/>
      </c>
      <c r="AH438" s="7" t="str">
        <f t="shared" si="44"/>
        <v/>
      </c>
      <c r="AI438" s="7" t="str">
        <f t="shared" si="45"/>
        <v/>
      </c>
      <c r="AJ438" s="7" t="str">
        <f t="shared" si="46"/>
        <v/>
      </c>
      <c r="AK438" s="7" t="str">
        <f t="shared" si="47"/>
        <v/>
      </c>
      <c r="AL438" s="10" t="str">
        <f t="shared" si="48"/>
        <v/>
      </c>
      <c r="AM438" s="15" t="str">
        <f>IF(OR($A438&lt;&gt;"",$B438&lt;&gt;""),IF(OR($A438="",$B438=""),"Isi tanggal dan ID PIC",IF(NOT(ISNUMBER($A438)),"Tanggal harus berupa tanggal Excel",IF(COUNTIFS(Master_PIC!$A$8:$A$73,$B438)&lt;&gt;1,"ID PIC tidak unik/terdaftar",IF(VLOOKUP($B438,Master_PIC!$A$8:$G$73,3,FALSE)&lt;&gt;"Sales","Jabatan tidak sesuai sheet",IF(OR($C438="",$D438="",$E438="",$F438=""),"Lengkapi master PIC",IF(COUNTIFS($A$8:$A$507,$A438,$B$8:$B$507,$B438)&gt;1,"Laporan ganda",IF(COUNTIFS(G438:P438,"Tidak Berlaku")&gt;0,"N/A hanya untuk kegiatan bersyarat",IF(SUM(AG438,AH438,AI438,AJ438,AK438)&lt;&gt;14,"Status kegiatan tidak valid",IF(AK438&gt;0,"Lengkapi status kegiatan",IF(AND(AJ438&gt;0,U438=""),"Isi alasan Tidak Berlaku",IF(AND(SUM(AH438,AI438)&gt;0,OR(U438="",V438="",W438="",X438="")),"Isi kendala dan tindak lanjut",IF(AND(Z438&lt;&gt;"Draft",Z438&lt;&gt;"Dikirim"),"Isi status laporan yang valid",IF(AND(AB438&lt;&gt;"",AB438&lt;&gt;"Belum Diperiksa",AB438&lt;&gt;"Disetujui",AB438&lt;&gt;"Perlu Perbaikan"),"Hasil review tidak valid",IF(AND(Z438="Dikirim",OR(Y438="",AA438="")),"Isi bukti dan waktu kirim",IF(AND(AB438="Disetujui",OR(Z438&lt;&gt;"Dikirim",AC438="",AD438="")),"Lengkapi pemeriksaan",IF(AND(AB438="Perlu Perbaikan",OR(AE438="",AC438="",AD438="")),"Isi pemeriksa dan catatan perbaikan","OK")))))))))))))))),"")</f>
        <v/>
      </c>
    </row>
    <row r="439" spans="1:39" ht="24.95" customHeight="1">
      <c r="A439" s="8"/>
      <c r="B439" s="6"/>
      <c r="C439" s="15" t="str">
        <f>IF(COUNTIFS(Master_PIC!$A$8:$A$73,$B439)=1,IF(VLOOKUP($B439,Master_PIC!$A$8:$G$73,2,FALSE)="","",VLOOKUP($B439,Master_PIC!$A$8:$G$73,2,FALSE)),"")</f>
        <v/>
      </c>
      <c r="D439" s="15" t="str">
        <f>IF(COUNTIFS(Master_PIC!$A$8:$A$73,$B439)=1,IF(VLOOKUP($B439,Master_PIC!$A$8:$G$73,4,FALSE)="","",VLOOKUP($B439,Master_PIC!$A$8:$G$73,4,FALSE)),"")</f>
        <v/>
      </c>
      <c r="E439" s="15" t="str">
        <f>IF(COUNTIFS(Master_PIC!$A$8:$A$73,$B439)=1,IF(VLOOKUP($B439,Master_PIC!$A$8:$G$73,5,FALSE)="","",VLOOKUP($B439,Master_PIC!$A$8:$G$73,5,FALSE)),"")</f>
        <v/>
      </c>
      <c r="F439" s="15" t="str">
        <f>IF(COUNTIFS(Master_PIC!$A$8:$A$73,$B439)=1,IF(VLOOKUP($B439,Master_PIC!$A$8:$G$73,6,FALSE)="","",VLOOKUP($B439,Master_PIC!$A$8:$G$73,6,FALSE)),"")</f>
        <v/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8"/>
      <c r="Y439" s="5"/>
      <c r="Z439" s="5"/>
      <c r="AA439" s="9"/>
      <c r="AB439" s="5"/>
      <c r="AC439" s="5"/>
      <c r="AD439" s="9"/>
      <c r="AE439" s="5"/>
      <c r="AF439" s="7" t="str">
        <f t="shared" si="42"/>
        <v/>
      </c>
      <c r="AG439" s="7" t="str">
        <f t="shared" si="43"/>
        <v/>
      </c>
      <c r="AH439" s="7" t="str">
        <f t="shared" si="44"/>
        <v/>
      </c>
      <c r="AI439" s="7" t="str">
        <f t="shared" si="45"/>
        <v/>
      </c>
      <c r="AJ439" s="7" t="str">
        <f t="shared" si="46"/>
        <v/>
      </c>
      <c r="AK439" s="7" t="str">
        <f t="shared" si="47"/>
        <v/>
      </c>
      <c r="AL439" s="10" t="str">
        <f t="shared" si="48"/>
        <v/>
      </c>
      <c r="AM439" s="15" t="str">
        <f>IF(OR($A439&lt;&gt;"",$B439&lt;&gt;""),IF(OR($A439="",$B439=""),"Isi tanggal dan ID PIC",IF(NOT(ISNUMBER($A439)),"Tanggal harus berupa tanggal Excel",IF(COUNTIFS(Master_PIC!$A$8:$A$73,$B439)&lt;&gt;1,"ID PIC tidak unik/terdaftar",IF(VLOOKUP($B439,Master_PIC!$A$8:$G$73,3,FALSE)&lt;&gt;"Sales","Jabatan tidak sesuai sheet",IF(OR($C439="",$D439="",$E439="",$F439=""),"Lengkapi master PIC",IF(COUNTIFS($A$8:$A$507,$A439,$B$8:$B$507,$B439)&gt;1,"Laporan ganda",IF(COUNTIFS(G439:P439,"Tidak Berlaku")&gt;0,"N/A hanya untuk kegiatan bersyarat",IF(SUM(AG439,AH439,AI439,AJ439,AK439)&lt;&gt;14,"Status kegiatan tidak valid",IF(AK439&gt;0,"Lengkapi status kegiatan",IF(AND(AJ439&gt;0,U439=""),"Isi alasan Tidak Berlaku",IF(AND(SUM(AH439,AI439)&gt;0,OR(U439="",V439="",W439="",X439="")),"Isi kendala dan tindak lanjut",IF(AND(Z439&lt;&gt;"Draft",Z439&lt;&gt;"Dikirim"),"Isi status laporan yang valid",IF(AND(AB439&lt;&gt;"",AB439&lt;&gt;"Belum Diperiksa",AB439&lt;&gt;"Disetujui",AB439&lt;&gt;"Perlu Perbaikan"),"Hasil review tidak valid",IF(AND(Z439="Dikirim",OR(Y439="",AA439="")),"Isi bukti dan waktu kirim",IF(AND(AB439="Disetujui",OR(Z439&lt;&gt;"Dikirim",AC439="",AD439="")),"Lengkapi pemeriksaan",IF(AND(AB439="Perlu Perbaikan",OR(AE439="",AC439="",AD439="")),"Isi pemeriksa dan catatan perbaikan","OK")))))))))))))))),"")</f>
        <v/>
      </c>
    </row>
    <row r="440" spans="1:39" ht="24.95" customHeight="1">
      <c r="A440" s="8"/>
      <c r="B440" s="6"/>
      <c r="C440" s="15" t="str">
        <f>IF(COUNTIFS(Master_PIC!$A$8:$A$73,$B440)=1,IF(VLOOKUP($B440,Master_PIC!$A$8:$G$73,2,FALSE)="","",VLOOKUP($B440,Master_PIC!$A$8:$G$73,2,FALSE)),"")</f>
        <v/>
      </c>
      <c r="D440" s="15" t="str">
        <f>IF(COUNTIFS(Master_PIC!$A$8:$A$73,$B440)=1,IF(VLOOKUP($B440,Master_PIC!$A$8:$G$73,4,FALSE)="","",VLOOKUP($B440,Master_PIC!$A$8:$G$73,4,FALSE)),"")</f>
        <v/>
      </c>
      <c r="E440" s="15" t="str">
        <f>IF(COUNTIFS(Master_PIC!$A$8:$A$73,$B440)=1,IF(VLOOKUP($B440,Master_PIC!$A$8:$G$73,5,FALSE)="","",VLOOKUP($B440,Master_PIC!$A$8:$G$73,5,FALSE)),"")</f>
        <v/>
      </c>
      <c r="F440" s="15" t="str">
        <f>IF(COUNTIFS(Master_PIC!$A$8:$A$73,$B440)=1,IF(VLOOKUP($B440,Master_PIC!$A$8:$G$73,6,FALSE)="","",VLOOKUP($B440,Master_PIC!$A$8:$G$73,6,FALSE)),"")</f>
        <v/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8"/>
      <c r="Y440" s="5"/>
      <c r="Z440" s="5"/>
      <c r="AA440" s="9"/>
      <c r="AB440" s="5"/>
      <c r="AC440" s="5"/>
      <c r="AD440" s="9"/>
      <c r="AE440" s="5"/>
      <c r="AF440" s="7" t="str">
        <f t="shared" si="42"/>
        <v/>
      </c>
      <c r="AG440" s="7" t="str">
        <f t="shared" si="43"/>
        <v/>
      </c>
      <c r="AH440" s="7" t="str">
        <f t="shared" si="44"/>
        <v/>
      </c>
      <c r="AI440" s="7" t="str">
        <f t="shared" si="45"/>
        <v/>
      </c>
      <c r="AJ440" s="7" t="str">
        <f t="shared" si="46"/>
        <v/>
      </c>
      <c r="AK440" s="7" t="str">
        <f t="shared" si="47"/>
        <v/>
      </c>
      <c r="AL440" s="10" t="str">
        <f t="shared" si="48"/>
        <v/>
      </c>
      <c r="AM440" s="15" t="str">
        <f>IF(OR($A440&lt;&gt;"",$B440&lt;&gt;""),IF(OR($A440="",$B440=""),"Isi tanggal dan ID PIC",IF(NOT(ISNUMBER($A440)),"Tanggal harus berupa tanggal Excel",IF(COUNTIFS(Master_PIC!$A$8:$A$73,$B440)&lt;&gt;1,"ID PIC tidak unik/terdaftar",IF(VLOOKUP($B440,Master_PIC!$A$8:$G$73,3,FALSE)&lt;&gt;"Sales","Jabatan tidak sesuai sheet",IF(OR($C440="",$D440="",$E440="",$F440=""),"Lengkapi master PIC",IF(COUNTIFS($A$8:$A$507,$A440,$B$8:$B$507,$B440)&gt;1,"Laporan ganda",IF(COUNTIFS(G440:P440,"Tidak Berlaku")&gt;0,"N/A hanya untuk kegiatan bersyarat",IF(SUM(AG440,AH440,AI440,AJ440,AK440)&lt;&gt;14,"Status kegiatan tidak valid",IF(AK440&gt;0,"Lengkapi status kegiatan",IF(AND(AJ440&gt;0,U440=""),"Isi alasan Tidak Berlaku",IF(AND(SUM(AH440,AI440)&gt;0,OR(U440="",V440="",W440="",X440="")),"Isi kendala dan tindak lanjut",IF(AND(Z440&lt;&gt;"Draft",Z440&lt;&gt;"Dikirim"),"Isi status laporan yang valid",IF(AND(AB440&lt;&gt;"",AB440&lt;&gt;"Belum Diperiksa",AB440&lt;&gt;"Disetujui",AB440&lt;&gt;"Perlu Perbaikan"),"Hasil review tidak valid",IF(AND(Z440="Dikirim",OR(Y440="",AA440="")),"Isi bukti dan waktu kirim",IF(AND(AB440="Disetujui",OR(Z440&lt;&gt;"Dikirim",AC440="",AD440="")),"Lengkapi pemeriksaan",IF(AND(AB440="Perlu Perbaikan",OR(AE440="",AC440="",AD440="")),"Isi pemeriksa dan catatan perbaikan","OK")))))))))))))))),"")</f>
        <v/>
      </c>
    </row>
    <row r="441" spans="1:39" ht="24.95" customHeight="1">
      <c r="A441" s="8"/>
      <c r="B441" s="6"/>
      <c r="C441" s="15" t="str">
        <f>IF(COUNTIFS(Master_PIC!$A$8:$A$73,$B441)=1,IF(VLOOKUP($B441,Master_PIC!$A$8:$G$73,2,FALSE)="","",VLOOKUP($B441,Master_PIC!$A$8:$G$73,2,FALSE)),"")</f>
        <v/>
      </c>
      <c r="D441" s="15" t="str">
        <f>IF(COUNTIFS(Master_PIC!$A$8:$A$73,$B441)=1,IF(VLOOKUP($B441,Master_PIC!$A$8:$G$73,4,FALSE)="","",VLOOKUP($B441,Master_PIC!$A$8:$G$73,4,FALSE)),"")</f>
        <v/>
      </c>
      <c r="E441" s="15" t="str">
        <f>IF(COUNTIFS(Master_PIC!$A$8:$A$73,$B441)=1,IF(VLOOKUP($B441,Master_PIC!$A$8:$G$73,5,FALSE)="","",VLOOKUP($B441,Master_PIC!$A$8:$G$73,5,FALSE)),"")</f>
        <v/>
      </c>
      <c r="F441" s="15" t="str">
        <f>IF(COUNTIFS(Master_PIC!$A$8:$A$73,$B441)=1,IF(VLOOKUP($B441,Master_PIC!$A$8:$G$73,6,FALSE)="","",VLOOKUP($B441,Master_PIC!$A$8:$G$73,6,FALSE)),"")</f>
        <v/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8"/>
      <c r="Y441" s="5"/>
      <c r="Z441" s="5"/>
      <c r="AA441" s="9"/>
      <c r="AB441" s="5"/>
      <c r="AC441" s="5"/>
      <c r="AD441" s="9"/>
      <c r="AE441" s="5"/>
      <c r="AF441" s="7" t="str">
        <f t="shared" si="42"/>
        <v/>
      </c>
      <c r="AG441" s="7" t="str">
        <f t="shared" si="43"/>
        <v/>
      </c>
      <c r="AH441" s="7" t="str">
        <f t="shared" si="44"/>
        <v/>
      </c>
      <c r="AI441" s="7" t="str">
        <f t="shared" si="45"/>
        <v/>
      </c>
      <c r="AJ441" s="7" t="str">
        <f t="shared" si="46"/>
        <v/>
      </c>
      <c r="AK441" s="7" t="str">
        <f t="shared" si="47"/>
        <v/>
      </c>
      <c r="AL441" s="10" t="str">
        <f t="shared" si="48"/>
        <v/>
      </c>
      <c r="AM441" s="15" t="str">
        <f>IF(OR($A441&lt;&gt;"",$B441&lt;&gt;""),IF(OR($A441="",$B441=""),"Isi tanggal dan ID PIC",IF(NOT(ISNUMBER($A441)),"Tanggal harus berupa tanggal Excel",IF(COUNTIFS(Master_PIC!$A$8:$A$73,$B441)&lt;&gt;1,"ID PIC tidak unik/terdaftar",IF(VLOOKUP($B441,Master_PIC!$A$8:$G$73,3,FALSE)&lt;&gt;"Sales","Jabatan tidak sesuai sheet",IF(OR($C441="",$D441="",$E441="",$F441=""),"Lengkapi master PIC",IF(COUNTIFS($A$8:$A$507,$A441,$B$8:$B$507,$B441)&gt;1,"Laporan ganda",IF(COUNTIFS(G441:P441,"Tidak Berlaku")&gt;0,"N/A hanya untuk kegiatan bersyarat",IF(SUM(AG441,AH441,AI441,AJ441,AK441)&lt;&gt;14,"Status kegiatan tidak valid",IF(AK441&gt;0,"Lengkapi status kegiatan",IF(AND(AJ441&gt;0,U441=""),"Isi alasan Tidak Berlaku",IF(AND(SUM(AH441,AI441)&gt;0,OR(U441="",V441="",W441="",X441="")),"Isi kendala dan tindak lanjut",IF(AND(Z441&lt;&gt;"Draft",Z441&lt;&gt;"Dikirim"),"Isi status laporan yang valid",IF(AND(AB441&lt;&gt;"",AB441&lt;&gt;"Belum Diperiksa",AB441&lt;&gt;"Disetujui",AB441&lt;&gt;"Perlu Perbaikan"),"Hasil review tidak valid",IF(AND(Z441="Dikirim",OR(Y441="",AA441="")),"Isi bukti dan waktu kirim",IF(AND(AB441="Disetujui",OR(Z441&lt;&gt;"Dikirim",AC441="",AD441="")),"Lengkapi pemeriksaan",IF(AND(AB441="Perlu Perbaikan",OR(AE441="",AC441="",AD441="")),"Isi pemeriksa dan catatan perbaikan","OK")))))))))))))))),"")</f>
        <v/>
      </c>
    </row>
    <row r="442" spans="1:39" ht="24.95" customHeight="1">
      <c r="A442" s="8"/>
      <c r="B442" s="6"/>
      <c r="C442" s="15" t="str">
        <f>IF(COUNTIFS(Master_PIC!$A$8:$A$73,$B442)=1,IF(VLOOKUP($B442,Master_PIC!$A$8:$G$73,2,FALSE)="","",VLOOKUP($B442,Master_PIC!$A$8:$G$73,2,FALSE)),"")</f>
        <v/>
      </c>
      <c r="D442" s="15" t="str">
        <f>IF(COUNTIFS(Master_PIC!$A$8:$A$73,$B442)=1,IF(VLOOKUP($B442,Master_PIC!$A$8:$G$73,4,FALSE)="","",VLOOKUP($B442,Master_PIC!$A$8:$G$73,4,FALSE)),"")</f>
        <v/>
      </c>
      <c r="E442" s="15" t="str">
        <f>IF(COUNTIFS(Master_PIC!$A$8:$A$73,$B442)=1,IF(VLOOKUP($B442,Master_PIC!$A$8:$G$73,5,FALSE)="","",VLOOKUP($B442,Master_PIC!$A$8:$G$73,5,FALSE)),"")</f>
        <v/>
      </c>
      <c r="F442" s="15" t="str">
        <f>IF(COUNTIFS(Master_PIC!$A$8:$A$73,$B442)=1,IF(VLOOKUP($B442,Master_PIC!$A$8:$G$73,6,FALSE)="","",VLOOKUP($B442,Master_PIC!$A$8:$G$73,6,FALSE)),"")</f>
        <v/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8"/>
      <c r="Y442" s="5"/>
      <c r="Z442" s="5"/>
      <c r="AA442" s="9"/>
      <c r="AB442" s="5"/>
      <c r="AC442" s="5"/>
      <c r="AD442" s="9"/>
      <c r="AE442" s="5"/>
      <c r="AF442" s="7" t="str">
        <f t="shared" si="42"/>
        <v/>
      </c>
      <c r="AG442" s="7" t="str">
        <f t="shared" si="43"/>
        <v/>
      </c>
      <c r="AH442" s="7" t="str">
        <f t="shared" si="44"/>
        <v/>
      </c>
      <c r="AI442" s="7" t="str">
        <f t="shared" si="45"/>
        <v/>
      </c>
      <c r="AJ442" s="7" t="str">
        <f t="shared" si="46"/>
        <v/>
      </c>
      <c r="AK442" s="7" t="str">
        <f t="shared" si="47"/>
        <v/>
      </c>
      <c r="AL442" s="10" t="str">
        <f t="shared" si="48"/>
        <v/>
      </c>
      <c r="AM442" s="15" t="str">
        <f>IF(OR($A442&lt;&gt;"",$B442&lt;&gt;""),IF(OR($A442="",$B442=""),"Isi tanggal dan ID PIC",IF(NOT(ISNUMBER($A442)),"Tanggal harus berupa tanggal Excel",IF(COUNTIFS(Master_PIC!$A$8:$A$73,$B442)&lt;&gt;1,"ID PIC tidak unik/terdaftar",IF(VLOOKUP($B442,Master_PIC!$A$8:$G$73,3,FALSE)&lt;&gt;"Sales","Jabatan tidak sesuai sheet",IF(OR($C442="",$D442="",$E442="",$F442=""),"Lengkapi master PIC",IF(COUNTIFS($A$8:$A$507,$A442,$B$8:$B$507,$B442)&gt;1,"Laporan ganda",IF(COUNTIFS(G442:P442,"Tidak Berlaku")&gt;0,"N/A hanya untuk kegiatan bersyarat",IF(SUM(AG442,AH442,AI442,AJ442,AK442)&lt;&gt;14,"Status kegiatan tidak valid",IF(AK442&gt;0,"Lengkapi status kegiatan",IF(AND(AJ442&gt;0,U442=""),"Isi alasan Tidak Berlaku",IF(AND(SUM(AH442,AI442)&gt;0,OR(U442="",V442="",W442="",X442="")),"Isi kendala dan tindak lanjut",IF(AND(Z442&lt;&gt;"Draft",Z442&lt;&gt;"Dikirim"),"Isi status laporan yang valid",IF(AND(AB442&lt;&gt;"",AB442&lt;&gt;"Belum Diperiksa",AB442&lt;&gt;"Disetujui",AB442&lt;&gt;"Perlu Perbaikan"),"Hasil review tidak valid",IF(AND(Z442="Dikirim",OR(Y442="",AA442="")),"Isi bukti dan waktu kirim",IF(AND(AB442="Disetujui",OR(Z442&lt;&gt;"Dikirim",AC442="",AD442="")),"Lengkapi pemeriksaan",IF(AND(AB442="Perlu Perbaikan",OR(AE442="",AC442="",AD442="")),"Isi pemeriksa dan catatan perbaikan","OK")))))))))))))))),"")</f>
        <v/>
      </c>
    </row>
    <row r="443" spans="1:39" ht="24.95" customHeight="1">
      <c r="A443" s="8"/>
      <c r="B443" s="6"/>
      <c r="C443" s="15" t="str">
        <f>IF(COUNTIFS(Master_PIC!$A$8:$A$73,$B443)=1,IF(VLOOKUP($B443,Master_PIC!$A$8:$G$73,2,FALSE)="","",VLOOKUP($B443,Master_PIC!$A$8:$G$73,2,FALSE)),"")</f>
        <v/>
      </c>
      <c r="D443" s="15" t="str">
        <f>IF(COUNTIFS(Master_PIC!$A$8:$A$73,$B443)=1,IF(VLOOKUP($B443,Master_PIC!$A$8:$G$73,4,FALSE)="","",VLOOKUP($B443,Master_PIC!$A$8:$G$73,4,FALSE)),"")</f>
        <v/>
      </c>
      <c r="E443" s="15" t="str">
        <f>IF(COUNTIFS(Master_PIC!$A$8:$A$73,$B443)=1,IF(VLOOKUP($B443,Master_PIC!$A$8:$G$73,5,FALSE)="","",VLOOKUP($B443,Master_PIC!$A$8:$G$73,5,FALSE)),"")</f>
        <v/>
      </c>
      <c r="F443" s="15" t="str">
        <f>IF(COUNTIFS(Master_PIC!$A$8:$A$73,$B443)=1,IF(VLOOKUP($B443,Master_PIC!$A$8:$G$73,6,FALSE)="","",VLOOKUP($B443,Master_PIC!$A$8:$G$73,6,FALSE)),"")</f>
        <v/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8"/>
      <c r="Y443" s="5"/>
      <c r="Z443" s="5"/>
      <c r="AA443" s="9"/>
      <c r="AB443" s="5"/>
      <c r="AC443" s="5"/>
      <c r="AD443" s="9"/>
      <c r="AE443" s="5"/>
      <c r="AF443" s="7" t="str">
        <f t="shared" si="42"/>
        <v/>
      </c>
      <c r="AG443" s="7" t="str">
        <f t="shared" si="43"/>
        <v/>
      </c>
      <c r="AH443" s="7" t="str">
        <f t="shared" si="44"/>
        <v/>
      </c>
      <c r="AI443" s="7" t="str">
        <f t="shared" si="45"/>
        <v/>
      </c>
      <c r="AJ443" s="7" t="str">
        <f t="shared" si="46"/>
        <v/>
      </c>
      <c r="AK443" s="7" t="str">
        <f t="shared" si="47"/>
        <v/>
      </c>
      <c r="AL443" s="10" t="str">
        <f t="shared" si="48"/>
        <v/>
      </c>
      <c r="AM443" s="15" t="str">
        <f>IF(OR($A443&lt;&gt;"",$B443&lt;&gt;""),IF(OR($A443="",$B443=""),"Isi tanggal dan ID PIC",IF(NOT(ISNUMBER($A443)),"Tanggal harus berupa tanggal Excel",IF(COUNTIFS(Master_PIC!$A$8:$A$73,$B443)&lt;&gt;1,"ID PIC tidak unik/terdaftar",IF(VLOOKUP($B443,Master_PIC!$A$8:$G$73,3,FALSE)&lt;&gt;"Sales","Jabatan tidak sesuai sheet",IF(OR($C443="",$D443="",$E443="",$F443=""),"Lengkapi master PIC",IF(COUNTIFS($A$8:$A$507,$A443,$B$8:$B$507,$B443)&gt;1,"Laporan ganda",IF(COUNTIFS(G443:P443,"Tidak Berlaku")&gt;0,"N/A hanya untuk kegiatan bersyarat",IF(SUM(AG443,AH443,AI443,AJ443,AK443)&lt;&gt;14,"Status kegiatan tidak valid",IF(AK443&gt;0,"Lengkapi status kegiatan",IF(AND(AJ443&gt;0,U443=""),"Isi alasan Tidak Berlaku",IF(AND(SUM(AH443,AI443)&gt;0,OR(U443="",V443="",W443="",X443="")),"Isi kendala dan tindak lanjut",IF(AND(Z443&lt;&gt;"Draft",Z443&lt;&gt;"Dikirim"),"Isi status laporan yang valid",IF(AND(AB443&lt;&gt;"",AB443&lt;&gt;"Belum Diperiksa",AB443&lt;&gt;"Disetujui",AB443&lt;&gt;"Perlu Perbaikan"),"Hasil review tidak valid",IF(AND(Z443="Dikirim",OR(Y443="",AA443="")),"Isi bukti dan waktu kirim",IF(AND(AB443="Disetujui",OR(Z443&lt;&gt;"Dikirim",AC443="",AD443="")),"Lengkapi pemeriksaan",IF(AND(AB443="Perlu Perbaikan",OR(AE443="",AC443="",AD443="")),"Isi pemeriksa dan catatan perbaikan","OK")))))))))))))))),"")</f>
        <v/>
      </c>
    </row>
    <row r="444" spans="1:39" ht="24.95" customHeight="1">
      <c r="A444" s="8"/>
      <c r="B444" s="6"/>
      <c r="C444" s="15" t="str">
        <f>IF(COUNTIFS(Master_PIC!$A$8:$A$73,$B444)=1,IF(VLOOKUP($B444,Master_PIC!$A$8:$G$73,2,FALSE)="","",VLOOKUP($B444,Master_PIC!$A$8:$G$73,2,FALSE)),"")</f>
        <v/>
      </c>
      <c r="D444" s="15" t="str">
        <f>IF(COUNTIFS(Master_PIC!$A$8:$A$73,$B444)=1,IF(VLOOKUP($B444,Master_PIC!$A$8:$G$73,4,FALSE)="","",VLOOKUP($B444,Master_PIC!$A$8:$G$73,4,FALSE)),"")</f>
        <v/>
      </c>
      <c r="E444" s="15" t="str">
        <f>IF(COUNTIFS(Master_PIC!$A$8:$A$73,$B444)=1,IF(VLOOKUP($B444,Master_PIC!$A$8:$G$73,5,FALSE)="","",VLOOKUP($B444,Master_PIC!$A$8:$G$73,5,FALSE)),"")</f>
        <v/>
      </c>
      <c r="F444" s="15" t="str">
        <f>IF(COUNTIFS(Master_PIC!$A$8:$A$73,$B444)=1,IF(VLOOKUP($B444,Master_PIC!$A$8:$G$73,6,FALSE)="","",VLOOKUP($B444,Master_PIC!$A$8:$G$73,6,FALSE)),"")</f>
        <v/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8"/>
      <c r="Y444" s="5"/>
      <c r="Z444" s="5"/>
      <c r="AA444" s="9"/>
      <c r="AB444" s="5"/>
      <c r="AC444" s="5"/>
      <c r="AD444" s="9"/>
      <c r="AE444" s="5"/>
      <c r="AF444" s="7" t="str">
        <f t="shared" si="42"/>
        <v/>
      </c>
      <c r="AG444" s="7" t="str">
        <f t="shared" si="43"/>
        <v/>
      </c>
      <c r="AH444" s="7" t="str">
        <f t="shared" si="44"/>
        <v/>
      </c>
      <c r="AI444" s="7" t="str">
        <f t="shared" si="45"/>
        <v/>
      </c>
      <c r="AJ444" s="7" t="str">
        <f t="shared" si="46"/>
        <v/>
      </c>
      <c r="AK444" s="7" t="str">
        <f t="shared" si="47"/>
        <v/>
      </c>
      <c r="AL444" s="10" t="str">
        <f t="shared" si="48"/>
        <v/>
      </c>
      <c r="AM444" s="15" t="str">
        <f>IF(OR($A444&lt;&gt;"",$B444&lt;&gt;""),IF(OR($A444="",$B444=""),"Isi tanggal dan ID PIC",IF(NOT(ISNUMBER($A444)),"Tanggal harus berupa tanggal Excel",IF(COUNTIFS(Master_PIC!$A$8:$A$73,$B444)&lt;&gt;1,"ID PIC tidak unik/terdaftar",IF(VLOOKUP($B444,Master_PIC!$A$8:$G$73,3,FALSE)&lt;&gt;"Sales","Jabatan tidak sesuai sheet",IF(OR($C444="",$D444="",$E444="",$F444=""),"Lengkapi master PIC",IF(COUNTIFS($A$8:$A$507,$A444,$B$8:$B$507,$B444)&gt;1,"Laporan ganda",IF(COUNTIFS(G444:P444,"Tidak Berlaku")&gt;0,"N/A hanya untuk kegiatan bersyarat",IF(SUM(AG444,AH444,AI444,AJ444,AK444)&lt;&gt;14,"Status kegiatan tidak valid",IF(AK444&gt;0,"Lengkapi status kegiatan",IF(AND(AJ444&gt;0,U444=""),"Isi alasan Tidak Berlaku",IF(AND(SUM(AH444,AI444)&gt;0,OR(U444="",V444="",W444="",X444="")),"Isi kendala dan tindak lanjut",IF(AND(Z444&lt;&gt;"Draft",Z444&lt;&gt;"Dikirim"),"Isi status laporan yang valid",IF(AND(AB444&lt;&gt;"",AB444&lt;&gt;"Belum Diperiksa",AB444&lt;&gt;"Disetujui",AB444&lt;&gt;"Perlu Perbaikan"),"Hasil review tidak valid",IF(AND(Z444="Dikirim",OR(Y444="",AA444="")),"Isi bukti dan waktu kirim",IF(AND(AB444="Disetujui",OR(Z444&lt;&gt;"Dikirim",AC444="",AD444="")),"Lengkapi pemeriksaan",IF(AND(AB444="Perlu Perbaikan",OR(AE444="",AC444="",AD444="")),"Isi pemeriksa dan catatan perbaikan","OK")))))))))))))))),"")</f>
        <v/>
      </c>
    </row>
    <row r="445" spans="1:39" ht="24.95" customHeight="1">
      <c r="A445" s="8"/>
      <c r="B445" s="6"/>
      <c r="C445" s="15" t="str">
        <f>IF(COUNTIFS(Master_PIC!$A$8:$A$73,$B445)=1,IF(VLOOKUP($B445,Master_PIC!$A$8:$G$73,2,FALSE)="","",VLOOKUP($B445,Master_PIC!$A$8:$G$73,2,FALSE)),"")</f>
        <v/>
      </c>
      <c r="D445" s="15" t="str">
        <f>IF(COUNTIFS(Master_PIC!$A$8:$A$73,$B445)=1,IF(VLOOKUP($B445,Master_PIC!$A$8:$G$73,4,FALSE)="","",VLOOKUP($B445,Master_PIC!$A$8:$G$73,4,FALSE)),"")</f>
        <v/>
      </c>
      <c r="E445" s="15" t="str">
        <f>IF(COUNTIFS(Master_PIC!$A$8:$A$73,$B445)=1,IF(VLOOKUP($B445,Master_PIC!$A$8:$G$73,5,FALSE)="","",VLOOKUP($B445,Master_PIC!$A$8:$G$73,5,FALSE)),"")</f>
        <v/>
      </c>
      <c r="F445" s="15" t="str">
        <f>IF(COUNTIFS(Master_PIC!$A$8:$A$73,$B445)=1,IF(VLOOKUP($B445,Master_PIC!$A$8:$G$73,6,FALSE)="","",VLOOKUP($B445,Master_PIC!$A$8:$G$73,6,FALSE)),"")</f>
        <v/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8"/>
      <c r="Y445" s="5"/>
      <c r="Z445" s="5"/>
      <c r="AA445" s="9"/>
      <c r="AB445" s="5"/>
      <c r="AC445" s="5"/>
      <c r="AD445" s="9"/>
      <c r="AE445" s="5"/>
      <c r="AF445" s="7" t="str">
        <f t="shared" si="42"/>
        <v/>
      </c>
      <c r="AG445" s="7" t="str">
        <f t="shared" si="43"/>
        <v/>
      </c>
      <c r="AH445" s="7" t="str">
        <f t="shared" si="44"/>
        <v/>
      </c>
      <c r="AI445" s="7" t="str">
        <f t="shared" si="45"/>
        <v/>
      </c>
      <c r="AJ445" s="7" t="str">
        <f t="shared" si="46"/>
        <v/>
      </c>
      <c r="AK445" s="7" t="str">
        <f t="shared" si="47"/>
        <v/>
      </c>
      <c r="AL445" s="10" t="str">
        <f t="shared" si="48"/>
        <v/>
      </c>
      <c r="AM445" s="15" t="str">
        <f>IF(OR($A445&lt;&gt;"",$B445&lt;&gt;""),IF(OR($A445="",$B445=""),"Isi tanggal dan ID PIC",IF(NOT(ISNUMBER($A445)),"Tanggal harus berupa tanggal Excel",IF(COUNTIFS(Master_PIC!$A$8:$A$73,$B445)&lt;&gt;1,"ID PIC tidak unik/terdaftar",IF(VLOOKUP($B445,Master_PIC!$A$8:$G$73,3,FALSE)&lt;&gt;"Sales","Jabatan tidak sesuai sheet",IF(OR($C445="",$D445="",$E445="",$F445=""),"Lengkapi master PIC",IF(COUNTIFS($A$8:$A$507,$A445,$B$8:$B$507,$B445)&gt;1,"Laporan ganda",IF(COUNTIFS(G445:P445,"Tidak Berlaku")&gt;0,"N/A hanya untuk kegiatan bersyarat",IF(SUM(AG445,AH445,AI445,AJ445,AK445)&lt;&gt;14,"Status kegiatan tidak valid",IF(AK445&gt;0,"Lengkapi status kegiatan",IF(AND(AJ445&gt;0,U445=""),"Isi alasan Tidak Berlaku",IF(AND(SUM(AH445,AI445)&gt;0,OR(U445="",V445="",W445="",X445="")),"Isi kendala dan tindak lanjut",IF(AND(Z445&lt;&gt;"Draft",Z445&lt;&gt;"Dikirim"),"Isi status laporan yang valid",IF(AND(AB445&lt;&gt;"",AB445&lt;&gt;"Belum Diperiksa",AB445&lt;&gt;"Disetujui",AB445&lt;&gt;"Perlu Perbaikan"),"Hasil review tidak valid",IF(AND(Z445="Dikirim",OR(Y445="",AA445="")),"Isi bukti dan waktu kirim",IF(AND(AB445="Disetujui",OR(Z445&lt;&gt;"Dikirim",AC445="",AD445="")),"Lengkapi pemeriksaan",IF(AND(AB445="Perlu Perbaikan",OR(AE445="",AC445="",AD445="")),"Isi pemeriksa dan catatan perbaikan","OK")))))))))))))))),"")</f>
        <v/>
      </c>
    </row>
    <row r="446" spans="1:39" ht="24.95" customHeight="1">
      <c r="A446" s="8"/>
      <c r="B446" s="6"/>
      <c r="C446" s="15" t="str">
        <f>IF(COUNTIFS(Master_PIC!$A$8:$A$73,$B446)=1,IF(VLOOKUP($B446,Master_PIC!$A$8:$G$73,2,FALSE)="","",VLOOKUP($B446,Master_PIC!$A$8:$G$73,2,FALSE)),"")</f>
        <v/>
      </c>
      <c r="D446" s="15" t="str">
        <f>IF(COUNTIFS(Master_PIC!$A$8:$A$73,$B446)=1,IF(VLOOKUP($B446,Master_PIC!$A$8:$G$73,4,FALSE)="","",VLOOKUP($B446,Master_PIC!$A$8:$G$73,4,FALSE)),"")</f>
        <v/>
      </c>
      <c r="E446" s="15" t="str">
        <f>IF(COUNTIFS(Master_PIC!$A$8:$A$73,$B446)=1,IF(VLOOKUP($B446,Master_PIC!$A$8:$G$73,5,FALSE)="","",VLOOKUP($B446,Master_PIC!$A$8:$G$73,5,FALSE)),"")</f>
        <v/>
      </c>
      <c r="F446" s="15" t="str">
        <f>IF(COUNTIFS(Master_PIC!$A$8:$A$73,$B446)=1,IF(VLOOKUP($B446,Master_PIC!$A$8:$G$73,6,FALSE)="","",VLOOKUP($B446,Master_PIC!$A$8:$G$73,6,FALSE)),"")</f>
        <v/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8"/>
      <c r="Y446" s="5"/>
      <c r="Z446" s="5"/>
      <c r="AA446" s="9"/>
      <c r="AB446" s="5"/>
      <c r="AC446" s="5"/>
      <c r="AD446" s="9"/>
      <c r="AE446" s="5"/>
      <c r="AF446" s="7" t="str">
        <f t="shared" si="42"/>
        <v/>
      </c>
      <c r="AG446" s="7" t="str">
        <f t="shared" si="43"/>
        <v/>
      </c>
      <c r="AH446" s="7" t="str">
        <f t="shared" si="44"/>
        <v/>
      </c>
      <c r="AI446" s="7" t="str">
        <f t="shared" si="45"/>
        <v/>
      </c>
      <c r="AJ446" s="7" t="str">
        <f t="shared" si="46"/>
        <v/>
      </c>
      <c r="AK446" s="7" t="str">
        <f t="shared" si="47"/>
        <v/>
      </c>
      <c r="AL446" s="10" t="str">
        <f t="shared" si="48"/>
        <v/>
      </c>
      <c r="AM446" s="15" t="str">
        <f>IF(OR($A446&lt;&gt;"",$B446&lt;&gt;""),IF(OR($A446="",$B446=""),"Isi tanggal dan ID PIC",IF(NOT(ISNUMBER($A446)),"Tanggal harus berupa tanggal Excel",IF(COUNTIFS(Master_PIC!$A$8:$A$73,$B446)&lt;&gt;1,"ID PIC tidak unik/terdaftar",IF(VLOOKUP($B446,Master_PIC!$A$8:$G$73,3,FALSE)&lt;&gt;"Sales","Jabatan tidak sesuai sheet",IF(OR($C446="",$D446="",$E446="",$F446=""),"Lengkapi master PIC",IF(COUNTIFS($A$8:$A$507,$A446,$B$8:$B$507,$B446)&gt;1,"Laporan ganda",IF(COUNTIFS(G446:P446,"Tidak Berlaku")&gt;0,"N/A hanya untuk kegiatan bersyarat",IF(SUM(AG446,AH446,AI446,AJ446,AK446)&lt;&gt;14,"Status kegiatan tidak valid",IF(AK446&gt;0,"Lengkapi status kegiatan",IF(AND(AJ446&gt;0,U446=""),"Isi alasan Tidak Berlaku",IF(AND(SUM(AH446,AI446)&gt;0,OR(U446="",V446="",W446="",X446="")),"Isi kendala dan tindak lanjut",IF(AND(Z446&lt;&gt;"Draft",Z446&lt;&gt;"Dikirim"),"Isi status laporan yang valid",IF(AND(AB446&lt;&gt;"",AB446&lt;&gt;"Belum Diperiksa",AB446&lt;&gt;"Disetujui",AB446&lt;&gt;"Perlu Perbaikan"),"Hasil review tidak valid",IF(AND(Z446="Dikirim",OR(Y446="",AA446="")),"Isi bukti dan waktu kirim",IF(AND(AB446="Disetujui",OR(Z446&lt;&gt;"Dikirim",AC446="",AD446="")),"Lengkapi pemeriksaan",IF(AND(AB446="Perlu Perbaikan",OR(AE446="",AC446="",AD446="")),"Isi pemeriksa dan catatan perbaikan","OK")))))))))))))))),"")</f>
        <v/>
      </c>
    </row>
    <row r="447" spans="1:39" ht="24.95" customHeight="1">
      <c r="A447" s="8"/>
      <c r="B447" s="6"/>
      <c r="C447" s="15" t="str">
        <f>IF(COUNTIFS(Master_PIC!$A$8:$A$73,$B447)=1,IF(VLOOKUP($B447,Master_PIC!$A$8:$G$73,2,FALSE)="","",VLOOKUP($B447,Master_PIC!$A$8:$G$73,2,FALSE)),"")</f>
        <v/>
      </c>
      <c r="D447" s="15" t="str">
        <f>IF(COUNTIFS(Master_PIC!$A$8:$A$73,$B447)=1,IF(VLOOKUP($B447,Master_PIC!$A$8:$G$73,4,FALSE)="","",VLOOKUP($B447,Master_PIC!$A$8:$G$73,4,FALSE)),"")</f>
        <v/>
      </c>
      <c r="E447" s="15" t="str">
        <f>IF(COUNTIFS(Master_PIC!$A$8:$A$73,$B447)=1,IF(VLOOKUP($B447,Master_PIC!$A$8:$G$73,5,FALSE)="","",VLOOKUP($B447,Master_PIC!$A$8:$G$73,5,FALSE)),"")</f>
        <v/>
      </c>
      <c r="F447" s="15" t="str">
        <f>IF(COUNTIFS(Master_PIC!$A$8:$A$73,$B447)=1,IF(VLOOKUP($B447,Master_PIC!$A$8:$G$73,6,FALSE)="","",VLOOKUP($B447,Master_PIC!$A$8:$G$73,6,FALSE)),"")</f>
        <v/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8"/>
      <c r="Y447" s="5"/>
      <c r="Z447" s="5"/>
      <c r="AA447" s="9"/>
      <c r="AB447" s="5"/>
      <c r="AC447" s="5"/>
      <c r="AD447" s="9"/>
      <c r="AE447" s="5"/>
      <c r="AF447" s="7" t="str">
        <f t="shared" si="42"/>
        <v/>
      </c>
      <c r="AG447" s="7" t="str">
        <f t="shared" si="43"/>
        <v/>
      </c>
      <c r="AH447" s="7" t="str">
        <f t="shared" si="44"/>
        <v/>
      </c>
      <c r="AI447" s="7" t="str">
        <f t="shared" si="45"/>
        <v/>
      </c>
      <c r="AJ447" s="7" t="str">
        <f t="shared" si="46"/>
        <v/>
      </c>
      <c r="AK447" s="7" t="str">
        <f t="shared" si="47"/>
        <v/>
      </c>
      <c r="AL447" s="10" t="str">
        <f t="shared" si="48"/>
        <v/>
      </c>
      <c r="AM447" s="15" t="str">
        <f>IF(OR($A447&lt;&gt;"",$B447&lt;&gt;""),IF(OR($A447="",$B447=""),"Isi tanggal dan ID PIC",IF(NOT(ISNUMBER($A447)),"Tanggal harus berupa tanggal Excel",IF(COUNTIFS(Master_PIC!$A$8:$A$73,$B447)&lt;&gt;1,"ID PIC tidak unik/terdaftar",IF(VLOOKUP($B447,Master_PIC!$A$8:$G$73,3,FALSE)&lt;&gt;"Sales","Jabatan tidak sesuai sheet",IF(OR($C447="",$D447="",$E447="",$F447=""),"Lengkapi master PIC",IF(COUNTIFS($A$8:$A$507,$A447,$B$8:$B$507,$B447)&gt;1,"Laporan ganda",IF(COUNTIFS(G447:P447,"Tidak Berlaku")&gt;0,"N/A hanya untuk kegiatan bersyarat",IF(SUM(AG447,AH447,AI447,AJ447,AK447)&lt;&gt;14,"Status kegiatan tidak valid",IF(AK447&gt;0,"Lengkapi status kegiatan",IF(AND(AJ447&gt;0,U447=""),"Isi alasan Tidak Berlaku",IF(AND(SUM(AH447,AI447)&gt;0,OR(U447="",V447="",W447="",X447="")),"Isi kendala dan tindak lanjut",IF(AND(Z447&lt;&gt;"Draft",Z447&lt;&gt;"Dikirim"),"Isi status laporan yang valid",IF(AND(AB447&lt;&gt;"",AB447&lt;&gt;"Belum Diperiksa",AB447&lt;&gt;"Disetujui",AB447&lt;&gt;"Perlu Perbaikan"),"Hasil review tidak valid",IF(AND(Z447="Dikirim",OR(Y447="",AA447="")),"Isi bukti dan waktu kirim",IF(AND(AB447="Disetujui",OR(Z447&lt;&gt;"Dikirim",AC447="",AD447="")),"Lengkapi pemeriksaan",IF(AND(AB447="Perlu Perbaikan",OR(AE447="",AC447="",AD447="")),"Isi pemeriksa dan catatan perbaikan","OK")))))))))))))))),"")</f>
        <v/>
      </c>
    </row>
    <row r="448" spans="1:39" ht="24.95" customHeight="1">
      <c r="A448" s="8"/>
      <c r="B448" s="6"/>
      <c r="C448" s="15" t="str">
        <f>IF(COUNTIFS(Master_PIC!$A$8:$A$73,$B448)=1,IF(VLOOKUP($B448,Master_PIC!$A$8:$G$73,2,FALSE)="","",VLOOKUP($B448,Master_PIC!$A$8:$G$73,2,FALSE)),"")</f>
        <v/>
      </c>
      <c r="D448" s="15" t="str">
        <f>IF(COUNTIFS(Master_PIC!$A$8:$A$73,$B448)=1,IF(VLOOKUP($B448,Master_PIC!$A$8:$G$73,4,FALSE)="","",VLOOKUP($B448,Master_PIC!$A$8:$G$73,4,FALSE)),"")</f>
        <v/>
      </c>
      <c r="E448" s="15" t="str">
        <f>IF(COUNTIFS(Master_PIC!$A$8:$A$73,$B448)=1,IF(VLOOKUP($B448,Master_PIC!$A$8:$G$73,5,FALSE)="","",VLOOKUP($B448,Master_PIC!$A$8:$G$73,5,FALSE)),"")</f>
        <v/>
      </c>
      <c r="F448" s="15" t="str">
        <f>IF(COUNTIFS(Master_PIC!$A$8:$A$73,$B448)=1,IF(VLOOKUP($B448,Master_PIC!$A$8:$G$73,6,FALSE)="","",VLOOKUP($B448,Master_PIC!$A$8:$G$73,6,FALSE)),"")</f>
        <v/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8"/>
      <c r="Y448" s="5"/>
      <c r="Z448" s="5"/>
      <c r="AA448" s="9"/>
      <c r="AB448" s="5"/>
      <c r="AC448" s="5"/>
      <c r="AD448" s="9"/>
      <c r="AE448" s="5"/>
      <c r="AF448" s="7" t="str">
        <f t="shared" si="42"/>
        <v/>
      </c>
      <c r="AG448" s="7" t="str">
        <f t="shared" si="43"/>
        <v/>
      </c>
      <c r="AH448" s="7" t="str">
        <f t="shared" si="44"/>
        <v/>
      </c>
      <c r="AI448" s="7" t="str">
        <f t="shared" si="45"/>
        <v/>
      </c>
      <c r="AJ448" s="7" t="str">
        <f t="shared" si="46"/>
        <v/>
      </c>
      <c r="AK448" s="7" t="str">
        <f t="shared" si="47"/>
        <v/>
      </c>
      <c r="AL448" s="10" t="str">
        <f t="shared" si="48"/>
        <v/>
      </c>
      <c r="AM448" s="15" t="str">
        <f>IF(OR($A448&lt;&gt;"",$B448&lt;&gt;""),IF(OR($A448="",$B448=""),"Isi tanggal dan ID PIC",IF(NOT(ISNUMBER($A448)),"Tanggal harus berupa tanggal Excel",IF(COUNTIFS(Master_PIC!$A$8:$A$73,$B448)&lt;&gt;1,"ID PIC tidak unik/terdaftar",IF(VLOOKUP($B448,Master_PIC!$A$8:$G$73,3,FALSE)&lt;&gt;"Sales","Jabatan tidak sesuai sheet",IF(OR($C448="",$D448="",$E448="",$F448=""),"Lengkapi master PIC",IF(COUNTIFS($A$8:$A$507,$A448,$B$8:$B$507,$B448)&gt;1,"Laporan ganda",IF(COUNTIFS(G448:P448,"Tidak Berlaku")&gt;0,"N/A hanya untuk kegiatan bersyarat",IF(SUM(AG448,AH448,AI448,AJ448,AK448)&lt;&gt;14,"Status kegiatan tidak valid",IF(AK448&gt;0,"Lengkapi status kegiatan",IF(AND(AJ448&gt;0,U448=""),"Isi alasan Tidak Berlaku",IF(AND(SUM(AH448,AI448)&gt;0,OR(U448="",V448="",W448="",X448="")),"Isi kendala dan tindak lanjut",IF(AND(Z448&lt;&gt;"Draft",Z448&lt;&gt;"Dikirim"),"Isi status laporan yang valid",IF(AND(AB448&lt;&gt;"",AB448&lt;&gt;"Belum Diperiksa",AB448&lt;&gt;"Disetujui",AB448&lt;&gt;"Perlu Perbaikan"),"Hasil review tidak valid",IF(AND(Z448="Dikirim",OR(Y448="",AA448="")),"Isi bukti dan waktu kirim",IF(AND(AB448="Disetujui",OR(Z448&lt;&gt;"Dikirim",AC448="",AD448="")),"Lengkapi pemeriksaan",IF(AND(AB448="Perlu Perbaikan",OR(AE448="",AC448="",AD448="")),"Isi pemeriksa dan catatan perbaikan","OK")))))))))))))))),"")</f>
        <v/>
      </c>
    </row>
    <row r="449" spans="1:39" ht="24.95" customHeight="1">
      <c r="A449" s="8"/>
      <c r="B449" s="6"/>
      <c r="C449" s="15" t="str">
        <f>IF(COUNTIFS(Master_PIC!$A$8:$A$73,$B449)=1,IF(VLOOKUP($B449,Master_PIC!$A$8:$G$73,2,FALSE)="","",VLOOKUP($B449,Master_PIC!$A$8:$G$73,2,FALSE)),"")</f>
        <v/>
      </c>
      <c r="D449" s="15" t="str">
        <f>IF(COUNTIFS(Master_PIC!$A$8:$A$73,$B449)=1,IF(VLOOKUP($B449,Master_PIC!$A$8:$G$73,4,FALSE)="","",VLOOKUP($B449,Master_PIC!$A$8:$G$73,4,FALSE)),"")</f>
        <v/>
      </c>
      <c r="E449" s="15" t="str">
        <f>IF(COUNTIFS(Master_PIC!$A$8:$A$73,$B449)=1,IF(VLOOKUP($B449,Master_PIC!$A$8:$G$73,5,FALSE)="","",VLOOKUP($B449,Master_PIC!$A$8:$G$73,5,FALSE)),"")</f>
        <v/>
      </c>
      <c r="F449" s="15" t="str">
        <f>IF(COUNTIFS(Master_PIC!$A$8:$A$73,$B449)=1,IF(VLOOKUP($B449,Master_PIC!$A$8:$G$73,6,FALSE)="","",VLOOKUP($B449,Master_PIC!$A$8:$G$73,6,FALSE)),"")</f>
        <v/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8"/>
      <c r="Y449" s="5"/>
      <c r="Z449" s="5"/>
      <c r="AA449" s="9"/>
      <c r="AB449" s="5"/>
      <c r="AC449" s="5"/>
      <c r="AD449" s="9"/>
      <c r="AE449" s="5"/>
      <c r="AF449" s="7" t="str">
        <f t="shared" si="42"/>
        <v/>
      </c>
      <c r="AG449" s="7" t="str">
        <f t="shared" si="43"/>
        <v/>
      </c>
      <c r="AH449" s="7" t="str">
        <f t="shared" si="44"/>
        <v/>
      </c>
      <c r="AI449" s="7" t="str">
        <f t="shared" si="45"/>
        <v/>
      </c>
      <c r="AJ449" s="7" t="str">
        <f t="shared" si="46"/>
        <v/>
      </c>
      <c r="AK449" s="7" t="str">
        <f t="shared" si="47"/>
        <v/>
      </c>
      <c r="AL449" s="10" t="str">
        <f t="shared" si="48"/>
        <v/>
      </c>
      <c r="AM449" s="15" t="str">
        <f>IF(OR($A449&lt;&gt;"",$B449&lt;&gt;""),IF(OR($A449="",$B449=""),"Isi tanggal dan ID PIC",IF(NOT(ISNUMBER($A449)),"Tanggal harus berupa tanggal Excel",IF(COUNTIFS(Master_PIC!$A$8:$A$73,$B449)&lt;&gt;1,"ID PIC tidak unik/terdaftar",IF(VLOOKUP($B449,Master_PIC!$A$8:$G$73,3,FALSE)&lt;&gt;"Sales","Jabatan tidak sesuai sheet",IF(OR($C449="",$D449="",$E449="",$F449=""),"Lengkapi master PIC",IF(COUNTIFS($A$8:$A$507,$A449,$B$8:$B$507,$B449)&gt;1,"Laporan ganda",IF(COUNTIFS(G449:P449,"Tidak Berlaku")&gt;0,"N/A hanya untuk kegiatan bersyarat",IF(SUM(AG449,AH449,AI449,AJ449,AK449)&lt;&gt;14,"Status kegiatan tidak valid",IF(AK449&gt;0,"Lengkapi status kegiatan",IF(AND(AJ449&gt;0,U449=""),"Isi alasan Tidak Berlaku",IF(AND(SUM(AH449,AI449)&gt;0,OR(U449="",V449="",W449="",X449="")),"Isi kendala dan tindak lanjut",IF(AND(Z449&lt;&gt;"Draft",Z449&lt;&gt;"Dikirim"),"Isi status laporan yang valid",IF(AND(AB449&lt;&gt;"",AB449&lt;&gt;"Belum Diperiksa",AB449&lt;&gt;"Disetujui",AB449&lt;&gt;"Perlu Perbaikan"),"Hasil review tidak valid",IF(AND(Z449="Dikirim",OR(Y449="",AA449="")),"Isi bukti dan waktu kirim",IF(AND(AB449="Disetujui",OR(Z449&lt;&gt;"Dikirim",AC449="",AD449="")),"Lengkapi pemeriksaan",IF(AND(AB449="Perlu Perbaikan",OR(AE449="",AC449="",AD449="")),"Isi pemeriksa dan catatan perbaikan","OK")))))))))))))))),"")</f>
        <v/>
      </c>
    </row>
    <row r="450" spans="1:39" ht="24.95" customHeight="1">
      <c r="A450" s="8"/>
      <c r="B450" s="6"/>
      <c r="C450" s="15" t="str">
        <f>IF(COUNTIFS(Master_PIC!$A$8:$A$73,$B450)=1,IF(VLOOKUP($B450,Master_PIC!$A$8:$G$73,2,FALSE)="","",VLOOKUP($B450,Master_PIC!$A$8:$G$73,2,FALSE)),"")</f>
        <v/>
      </c>
      <c r="D450" s="15" t="str">
        <f>IF(COUNTIFS(Master_PIC!$A$8:$A$73,$B450)=1,IF(VLOOKUP($B450,Master_PIC!$A$8:$G$73,4,FALSE)="","",VLOOKUP($B450,Master_PIC!$A$8:$G$73,4,FALSE)),"")</f>
        <v/>
      </c>
      <c r="E450" s="15" t="str">
        <f>IF(COUNTIFS(Master_PIC!$A$8:$A$73,$B450)=1,IF(VLOOKUP($B450,Master_PIC!$A$8:$G$73,5,FALSE)="","",VLOOKUP($B450,Master_PIC!$A$8:$G$73,5,FALSE)),"")</f>
        <v/>
      </c>
      <c r="F450" s="15" t="str">
        <f>IF(COUNTIFS(Master_PIC!$A$8:$A$73,$B450)=1,IF(VLOOKUP($B450,Master_PIC!$A$8:$G$73,6,FALSE)="","",VLOOKUP($B450,Master_PIC!$A$8:$G$73,6,FALSE)),"")</f>
        <v/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8"/>
      <c r="Y450" s="5"/>
      <c r="Z450" s="5"/>
      <c r="AA450" s="9"/>
      <c r="AB450" s="5"/>
      <c r="AC450" s="5"/>
      <c r="AD450" s="9"/>
      <c r="AE450" s="5"/>
      <c r="AF450" s="7" t="str">
        <f t="shared" si="42"/>
        <v/>
      </c>
      <c r="AG450" s="7" t="str">
        <f t="shared" si="43"/>
        <v/>
      </c>
      <c r="AH450" s="7" t="str">
        <f t="shared" si="44"/>
        <v/>
      </c>
      <c r="AI450" s="7" t="str">
        <f t="shared" si="45"/>
        <v/>
      </c>
      <c r="AJ450" s="7" t="str">
        <f t="shared" si="46"/>
        <v/>
      </c>
      <c r="AK450" s="7" t="str">
        <f t="shared" si="47"/>
        <v/>
      </c>
      <c r="AL450" s="10" t="str">
        <f t="shared" si="48"/>
        <v/>
      </c>
      <c r="AM450" s="15" t="str">
        <f>IF(OR($A450&lt;&gt;"",$B450&lt;&gt;""),IF(OR($A450="",$B450=""),"Isi tanggal dan ID PIC",IF(NOT(ISNUMBER($A450)),"Tanggal harus berupa tanggal Excel",IF(COUNTIFS(Master_PIC!$A$8:$A$73,$B450)&lt;&gt;1,"ID PIC tidak unik/terdaftar",IF(VLOOKUP($B450,Master_PIC!$A$8:$G$73,3,FALSE)&lt;&gt;"Sales","Jabatan tidak sesuai sheet",IF(OR($C450="",$D450="",$E450="",$F450=""),"Lengkapi master PIC",IF(COUNTIFS($A$8:$A$507,$A450,$B$8:$B$507,$B450)&gt;1,"Laporan ganda",IF(COUNTIFS(G450:P450,"Tidak Berlaku")&gt;0,"N/A hanya untuk kegiatan bersyarat",IF(SUM(AG450,AH450,AI450,AJ450,AK450)&lt;&gt;14,"Status kegiatan tidak valid",IF(AK450&gt;0,"Lengkapi status kegiatan",IF(AND(AJ450&gt;0,U450=""),"Isi alasan Tidak Berlaku",IF(AND(SUM(AH450,AI450)&gt;0,OR(U450="",V450="",W450="",X450="")),"Isi kendala dan tindak lanjut",IF(AND(Z450&lt;&gt;"Draft",Z450&lt;&gt;"Dikirim"),"Isi status laporan yang valid",IF(AND(AB450&lt;&gt;"",AB450&lt;&gt;"Belum Diperiksa",AB450&lt;&gt;"Disetujui",AB450&lt;&gt;"Perlu Perbaikan"),"Hasil review tidak valid",IF(AND(Z450="Dikirim",OR(Y450="",AA450="")),"Isi bukti dan waktu kirim",IF(AND(AB450="Disetujui",OR(Z450&lt;&gt;"Dikirim",AC450="",AD450="")),"Lengkapi pemeriksaan",IF(AND(AB450="Perlu Perbaikan",OR(AE450="",AC450="",AD450="")),"Isi pemeriksa dan catatan perbaikan","OK")))))))))))))))),"")</f>
        <v/>
      </c>
    </row>
    <row r="451" spans="1:39" ht="24.95" customHeight="1">
      <c r="A451" s="8"/>
      <c r="B451" s="6"/>
      <c r="C451" s="15" t="str">
        <f>IF(COUNTIFS(Master_PIC!$A$8:$A$73,$B451)=1,IF(VLOOKUP($B451,Master_PIC!$A$8:$G$73,2,FALSE)="","",VLOOKUP($B451,Master_PIC!$A$8:$G$73,2,FALSE)),"")</f>
        <v/>
      </c>
      <c r="D451" s="15" t="str">
        <f>IF(COUNTIFS(Master_PIC!$A$8:$A$73,$B451)=1,IF(VLOOKUP($B451,Master_PIC!$A$8:$G$73,4,FALSE)="","",VLOOKUP($B451,Master_PIC!$A$8:$G$73,4,FALSE)),"")</f>
        <v/>
      </c>
      <c r="E451" s="15" t="str">
        <f>IF(COUNTIFS(Master_PIC!$A$8:$A$73,$B451)=1,IF(VLOOKUP($B451,Master_PIC!$A$8:$G$73,5,FALSE)="","",VLOOKUP($B451,Master_PIC!$A$8:$G$73,5,FALSE)),"")</f>
        <v/>
      </c>
      <c r="F451" s="15" t="str">
        <f>IF(COUNTIFS(Master_PIC!$A$8:$A$73,$B451)=1,IF(VLOOKUP($B451,Master_PIC!$A$8:$G$73,6,FALSE)="","",VLOOKUP($B451,Master_PIC!$A$8:$G$73,6,FALSE)),"")</f>
        <v/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8"/>
      <c r="Y451" s="5"/>
      <c r="Z451" s="5"/>
      <c r="AA451" s="9"/>
      <c r="AB451" s="5"/>
      <c r="AC451" s="5"/>
      <c r="AD451" s="9"/>
      <c r="AE451" s="5"/>
      <c r="AF451" s="7" t="str">
        <f t="shared" si="42"/>
        <v/>
      </c>
      <c r="AG451" s="7" t="str">
        <f t="shared" si="43"/>
        <v/>
      </c>
      <c r="AH451" s="7" t="str">
        <f t="shared" si="44"/>
        <v/>
      </c>
      <c r="AI451" s="7" t="str">
        <f t="shared" si="45"/>
        <v/>
      </c>
      <c r="AJ451" s="7" t="str">
        <f t="shared" si="46"/>
        <v/>
      </c>
      <c r="AK451" s="7" t="str">
        <f t="shared" si="47"/>
        <v/>
      </c>
      <c r="AL451" s="10" t="str">
        <f t="shared" si="48"/>
        <v/>
      </c>
      <c r="AM451" s="15" t="str">
        <f>IF(OR($A451&lt;&gt;"",$B451&lt;&gt;""),IF(OR($A451="",$B451=""),"Isi tanggal dan ID PIC",IF(NOT(ISNUMBER($A451)),"Tanggal harus berupa tanggal Excel",IF(COUNTIFS(Master_PIC!$A$8:$A$73,$B451)&lt;&gt;1,"ID PIC tidak unik/terdaftar",IF(VLOOKUP($B451,Master_PIC!$A$8:$G$73,3,FALSE)&lt;&gt;"Sales","Jabatan tidak sesuai sheet",IF(OR($C451="",$D451="",$E451="",$F451=""),"Lengkapi master PIC",IF(COUNTIFS($A$8:$A$507,$A451,$B$8:$B$507,$B451)&gt;1,"Laporan ganda",IF(COUNTIFS(G451:P451,"Tidak Berlaku")&gt;0,"N/A hanya untuk kegiatan bersyarat",IF(SUM(AG451,AH451,AI451,AJ451,AK451)&lt;&gt;14,"Status kegiatan tidak valid",IF(AK451&gt;0,"Lengkapi status kegiatan",IF(AND(AJ451&gt;0,U451=""),"Isi alasan Tidak Berlaku",IF(AND(SUM(AH451,AI451)&gt;0,OR(U451="",V451="",W451="",X451="")),"Isi kendala dan tindak lanjut",IF(AND(Z451&lt;&gt;"Draft",Z451&lt;&gt;"Dikirim"),"Isi status laporan yang valid",IF(AND(AB451&lt;&gt;"",AB451&lt;&gt;"Belum Diperiksa",AB451&lt;&gt;"Disetujui",AB451&lt;&gt;"Perlu Perbaikan"),"Hasil review tidak valid",IF(AND(Z451="Dikirim",OR(Y451="",AA451="")),"Isi bukti dan waktu kirim",IF(AND(AB451="Disetujui",OR(Z451&lt;&gt;"Dikirim",AC451="",AD451="")),"Lengkapi pemeriksaan",IF(AND(AB451="Perlu Perbaikan",OR(AE451="",AC451="",AD451="")),"Isi pemeriksa dan catatan perbaikan","OK")))))))))))))))),"")</f>
        <v/>
      </c>
    </row>
    <row r="452" spans="1:39" ht="24.95" customHeight="1">
      <c r="A452" s="8"/>
      <c r="B452" s="6"/>
      <c r="C452" s="15" t="str">
        <f>IF(COUNTIFS(Master_PIC!$A$8:$A$73,$B452)=1,IF(VLOOKUP($B452,Master_PIC!$A$8:$G$73,2,FALSE)="","",VLOOKUP($B452,Master_PIC!$A$8:$G$73,2,FALSE)),"")</f>
        <v/>
      </c>
      <c r="D452" s="15" t="str">
        <f>IF(COUNTIFS(Master_PIC!$A$8:$A$73,$B452)=1,IF(VLOOKUP($B452,Master_PIC!$A$8:$G$73,4,FALSE)="","",VLOOKUP($B452,Master_PIC!$A$8:$G$73,4,FALSE)),"")</f>
        <v/>
      </c>
      <c r="E452" s="15" t="str">
        <f>IF(COUNTIFS(Master_PIC!$A$8:$A$73,$B452)=1,IF(VLOOKUP($B452,Master_PIC!$A$8:$G$73,5,FALSE)="","",VLOOKUP($B452,Master_PIC!$A$8:$G$73,5,FALSE)),"")</f>
        <v/>
      </c>
      <c r="F452" s="15" t="str">
        <f>IF(COUNTIFS(Master_PIC!$A$8:$A$73,$B452)=1,IF(VLOOKUP($B452,Master_PIC!$A$8:$G$73,6,FALSE)="","",VLOOKUP($B452,Master_PIC!$A$8:$G$73,6,FALSE)),"")</f>
        <v/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8"/>
      <c r="Y452" s="5"/>
      <c r="Z452" s="5"/>
      <c r="AA452" s="9"/>
      <c r="AB452" s="5"/>
      <c r="AC452" s="5"/>
      <c r="AD452" s="9"/>
      <c r="AE452" s="5"/>
      <c r="AF452" s="7" t="str">
        <f t="shared" si="42"/>
        <v/>
      </c>
      <c r="AG452" s="7" t="str">
        <f t="shared" si="43"/>
        <v/>
      </c>
      <c r="AH452" s="7" t="str">
        <f t="shared" si="44"/>
        <v/>
      </c>
      <c r="AI452" s="7" t="str">
        <f t="shared" si="45"/>
        <v/>
      </c>
      <c r="AJ452" s="7" t="str">
        <f t="shared" si="46"/>
        <v/>
      </c>
      <c r="AK452" s="7" t="str">
        <f t="shared" si="47"/>
        <v/>
      </c>
      <c r="AL452" s="10" t="str">
        <f t="shared" si="48"/>
        <v/>
      </c>
      <c r="AM452" s="15" t="str">
        <f>IF(OR($A452&lt;&gt;"",$B452&lt;&gt;""),IF(OR($A452="",$B452=""),"Isi tanggal dan ID PIC",IF(NOT(ISNUMBER($A452)),"Tanggal harus berupa tanggal Excel",IF(COUNTIFS(Master_PIC!$A$8:$A$73,$B452)&lt;&gt;1,"ID PIC tidak unik/terdaftar",IF(VLOOKUP($B452,Master_PIC!$A$8:$G$73,3,FALSE)&lt;&gt;"Sales","Jabatan tidak sesuai sheet",IF(OR($C452="",$D452="",$E452="",$F452=""),"Lengkapi master PIC",IF(COUNTIFS($A$8:$A$507,$A452,$B$8:$B$507,$B452)&gt;1,"Laporan ganda",IF(COUNTIFS(G452:P452,"Tidak Berlaku")&gt;0,"N/A hanya untuk kegiatan bersyarat",IF(SUM(AG452,AH452,AI452,AJ452,AK452)&lt;&gt;14,"Status kegiatan tidak valid",IF(AK452&gt;0,"Lengkapi status kegiatan",IF(AND(AJ452&gt;0,U452=""),"Isi alasan Tidak Berlaku",IF(AND(SUM(AH452,AI452)&gt;0,OR(U452="",V452="",W452="",X452="")),"Isi kendala dan tindak lanjut",IF(AND(Z452&lt;&gt;"Draft",Z452&lt;&gt;"Dikirim"),"Isi status laporan yang valid",IF(AND(AB452&lt;&gt;"",AB452&lt;&gt;"Belum Diperiksa",AB452&lt;&gt;"Disetujui",AB452&lt;&gt;"Perlu Perbaikan"),"Hasil review tidak valid",IF(AND(Z452="Dikirim",OR(Y452="",AA452="")),"Isi bukti dan waktu kirim",IF(AND(AB452="Disetujui",OR(Z452&lt;&gt;"Dikirim",AC452="",AD452="")),"Lengkapi pemeriksaan",IF(AND(AB452="Perlu Perbaikan",OR(AE452="",AC452="",AD452="")),"Isi pemeriksa dan catatan perbaikan","OK")))))))))))))))),"")</f>
        <v/>
      </c>
    </row>
    <row r="453" spans="1:39" ht="24.95" customHeight="1">
      <c r="A453" s="8"/>
      <c r="B453" s="6"/>
      <c r="C453" s="15" t="str">
        <f>IF(COUNTIFS(Master_PIC!$A$8:$A$73,$B453)=1,IF(VLOOKUP($B453,Master_PIC!$A$8:$G$73,2,FALSE)="","",VLOOKUP($B453,Master_PIC!$A$8:$G$73,2,FALSE)),"")</f>
        <v/>
      </c>
      <c r="D453" s="15" t="str">
        <f>IF(COUNTIFS(Master_PIC!$A$8:$A$73,$B453)=1,IF(VLOOKUP($B453,Master_PIC!$A$8:$G$73,4,FALSE)="","",VLOOKUP($B453,Master_PIC!$A$8:$G$73,4,FALSE)),"")</f>
        <v/>
      </c>
      <c r="E453" s="15" t="str">
        <f>IF(COUNTIFS(Master_PIC!$A$8:$A$73,$B453)=1,IF(VLOOKUP($B453,Master_PIC!$A$8:$G$73,5,FALSE)="","",VLOOKUP($B453,Master_PIC!$A$8:$G$73,5,FALSE)),"")</f>
        <v/>
      </c>
      <c r="F453" s="15" t="str">
        <f>IF(COUNTIFS(Master_PIC!$A$8:$A$73,$B453)=1,IF(VLOOKUP($B453,Master_PIC!$A$8:$G$73,6,FALSE)="","",VLOOKUP($B453,Master_PIC!$A$8:$G$73,6,FALSE)),"")</f>
        <v/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8"/>
      <c r="Y453" s="5"/>
      <c r="Z453" s="5"/>
      <c r="AA453" s="9"/>
      <c r="AB453" s="5"/>
      <c r="AC453" s="5"/>
      <c r="AD453" s="9"/>
      <c r="AE453" s="5"/>
      <c r="AF453" s="7" t="str">
        <f t="shared" si="42"/>
        <v/>
      </c>
      <c r="AG453" s="7" t="str">
        <f t="shared" si="43"/>
        <v/>
      </c>
      <c r="AH453" s="7" t="str">
        <f t="shared" si="44"/>
        <v/>
      </c>
      <c r="AI453" s="7" t="str">
        <f t="shared" si="45"/>
        <v/>
      </c>
      <c r="AJ453" s="7" t="str">
        <f t="shared" si="46"/>
        <v/>
      </c>
      <c r="AK453" s="7" t="str">
        <f t="shared" si="47"/>
        <v/>
      </c>
      <c r="AL453" s="10" t="str">
        <f t="shared" si="48"/>
        <v/>
      </c>
      <c r="AM453" s="15" t="str">
        <f>IF(OR($A453&lt;&gt;"",$B453&lt;&gt;""),IF(OR($A453="",$B453=""),"Isi tanggal dan ID PIC",IF(NOT(ISNUMBER($A453)),"Tanggal harus berupa tanggal Excel",IF(COUNTIFS(Master_PIC!$A$8:$A$73,$B453)&lt;&gt;1,"ID PIC tidak unik/terdaftar",IF(VLOOKUP($B453,Master_PIC!$A$8:$G$73,3,FALSE)&lt;&gt;"Sales","Jabatan tidak sesuai sheet",IF(OR($C453="",$D453="",$E453="",$F453=""),"Lengkapi master PIC",IF(COUNTIFS($A$8:$A$507,$A453,$B$8:$B$507,$B453)&gt;1,"Laporan ganda",IF(COUNTIFS(G453:P453,"Tidak Berlaku")&gt;0,"N/A hanya untuk kegiatan bersyarat",IF(SUM(AG453,AH453,AI453,AJ453,AK453)&lt;&gt;14,"Status kegiatan tidak valid",IF(AK453&gt;0,"Lengkapi status kegiatan",IF(AND(AJ453&gt;0,U453=""),"Isi alasan Tidak Berlaku",IF(AND(SUM(AH453,AI453)&gt;0,OR(U453="",V453="",W453="",X453="")),"Isi kendala dan tindak lanjut",IF(AND(Z453&lt;&gt;"Draft",Z453&lt;&gt;"Dikirim"),"Isi status laporan yang valid",IF(AND(AB453&lt;&gt;"",AB453&lt;&gt;"Belum Diperiksa",AB453&lt;&gt;"Disetujui",AB453&lt;&gt;"Perlu Perbaikan"),"Hasil review tidak valid",IF(AND(Z453="Dikirim",OR(Y453="",AA453="")),"Isi bukti dan waktu kirim",IF(AND(AB453="Disetujui",OR(Z453&lt;&gt;"Dikirim",AC453="",AD453="")),"Lengkapi pemeriksaan",IF(AND(AB453="Perlu Perbaikan",OR(AE453="",AC453="",AD453="")),"Isi pemeriksa dan catatan perbaikan","OK")))))))))))))))),"")</f>
        <v/>
      </c>
    </row>
    <row r="454" spans="1:39" ht="24.95" customHeight="1">
      <c r="A454" s="8"/>
      <c r="B454" s="6"/>
      <c r="C454" s="15" t="str">
        <f>IF(COUNTIFS(Master_PIC!$A$8:$A$73,$B454)=1,IF(VLOOKUP($B454,Master_PIC!$A$8:$G$73,2,FALSE)="","",VLOOKUP($B454,Master_PIC!$A$8:$G$73,2,FALSE)),"")</f>
        <v/>
      </c>
      <c r="D454" s="15" t="str">
        <f>IF(COUNTIFS(Master_PIC!$A$8:$A$73,$B454)=1,IF(VLOOKUP($B454,Master_PIC!$A$8:$G$73,4,FALSE)="","",VLOOKUP($B454,Master_PIC!$A$8:$G$73,4,FALSE)),"")</f>
        <v/>
      </c>
      <c r="E454" s="15" t="str">
        <f>IF(COUNTIFS(Master_PIC!$A$8:$A$73,$B454)=1,IF(VLOOKUP($B454,Master_PIC!$A$8:$G$73,5,FALSE)="","",VLOOKUP($B454,Master_PIC!$A$8:$G$73,5,FALSE)),"")</f>
        <v/>
      </c>
      <c r="F454" s="15" t="str">
        <f>IF(COUNTIFS(Master_PIC!$A$8:$A$73,$B454)=1,IF(VLOOKUP($B454,Master_PIC!$A$8:$G$73,6,FALSE)="","",VLOOKUP($B454,Master_PIC!$A$8:$G$73,6,FALSE)),"")</f>
        <v/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8"/>
      <c r="Y454" s="5"/>
      <c r="Z454" s="5"/>
      <c r="AA454" s="9"/>
      <c r="AB454" s="5"/>
      <c r="AC454" s="5"/>
      <c r="AD454" s="9"/>
      <c r="AE454" s="5"/>
      <c r="AF454" s="7" t="str">
        <f t="shared" si="42"/>
        <v/>
      </c>
      <c r="AG454" s="7" t="str">
        <f t="shared" si="43"/>
        <v/>
      </c>
      <c r="AH454" s="7" t="str">
        <f t="shared" si="44"/>
        <v/>
      </c>
      <c r="AI454" s="7" t="str">
        <f t="shared" si="45"/>
        <v/>
      </c>
      <c r="AJ454" s="7" t="str">
        <f t="shared" si="46"/>
        <v/>
      </c>
      <c r="AK454" s="7" t="str">
        <f t="shared" si="47"/>
        <v/>
      </c>
      <c r="AL454" s="10" t="str">
        <f t="shared" si="48"/>
        <v/>
      </c>
      <c r="AM454" s="15" t="str">
        <f>IF(OR($A454&lt;&gt;"",$B454&lt;&gt;""),IF(OR($A454="",$B454=""),"Isi tanggal dan ID PIC",IF(NOT(ISNUMBER($A454)),"Tanggal harus berupa tanggal Excel",IF(COUNTIFS(Master_PIC!$A$8:$A$73,$B454)&lt;&gt;1,"ID PIC tidak unik/terdaftar",IF(VLOOKUP($B454,Master_PIC!$A$8:$G$73,3,FALSE)&lt;&gt;"Sales","Jabatan tidak sesuai sheet",IF(OR($C454="",$D454="",$E454="",$F454=""),"Lengkapi master PIC",IF(COUNTIFS($A$8:$A$507,$A454,$B$8:$B$507,$B454)&gt;1,"Laporan ganda",IF(COUNTIFS(G454:P454,"Tidak Berlaku")&gt;0,"N/A hanya untuk kegiatan bersyarat",IF(SUM(AG454,AH454,AI454,AJ454,AK454)&lt;&gt;14,"Status kegiatan tidak valid",IF(AK454&gt;0,"Lengkapi status kegiatan",IF(AND(AJ454&gt;0,U454=""),"Isi alasan Tidak Berlaku",IF(AND(SUM(AH454,AI454)&gt;0,OR(U454="",V454="",W454="",X454="")),"Isi kendala dan tindak lanjut",IF(AND(Z454&lt;&gt;"Draft",Z454&lt;&gt;"Dikirim"),"Isi status laporan yang valid",IF(AND(AB454&lt;&gt;"",AB454&lt;&gt;"Belum Diperiksa",AB454&lt;&gt;"Disetujui",AB454&lt;&gt;"Perlu Perbaikan"),"Hasil review tidak valid",IF(AND(Z454="Dikirim",OR(Y454="",AA454="")),"Isi bukti dan waktu kirim",IF(AND(AB454="Disetujui",OR(Z454&lt;&gt;"Dikirim",AC454="",AD454="")),"Lengkapi pemeriksaan",IF(AND(AB454="Perlu Perbaikan",OR(AE454="",AC454="",AD454="")),"Isi pemeriksa dan catatan perbaikan","OK")))))))))))))))),"")</f>
        <v/>
      </c>
    </row>
    <row r="455" spans="1:39" ht="24.95" customHeight="1">
      <c r="A455" s="8"/>
      <c r="B455" s="6"/>
      <c r="C455" s="15" t="str">
        <f>IF(COUNTIFS(Master_PIC!$A$8:$A$73,$B455)=1,IF(VLOOKUP($B455,Master_PIC!$A$8:$G$73,2,FALSE)="","",VLOOKUP($B455,Master_PIC!$A$8:$G$73,2,FALSE)),"")</f>
        <v/>
      </c>
      <c r="D455" s="15" t="str">
        <f>IF(COUNTIFS(Master_PIC!$A$8:$A$73,$B455)=1,IF(VLOOKUP($B455,Master_PIC!$A$8:$G$73,4,FALSE)="","",VLOOKUP($B455,Master_PIC!$A$8:$G$73,4,FALSE)),"")</f>
        <v/>
      </c>
      <c r="E455" s="15" t="str">
        <f>IF(COUNTIFS(Master_PIC!$A$8:$A$73,$B455)=1,IF(VLOOKUP($B455,Master_PIC!$A$8:$G$73,5,FALSE)="","",VLOOKUP($B455,Master_PIC!$A$8:$G$73,5,FALSE)),"")</f>
        <v/>
      </c>
      <c r="F455" s="15" t="str">
        <f>IF(COUNTIFS(Master_PIC!$A$8:$A$73,$B455)=1,IF(VLOOKUP($B455,Master_PIC!$A$8:$G$73,6,FALSE)="","",VLOOKUP($B455,Master_PIC!$A$8:$G$73,6,FALSE)),"")</f>
        <v/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8"/>
      <c r="Y455" s="5"/>
      <c r="Z455" s="5"/>
      <c r="AA455" s="9"/>
      <c r="AB455" s="5"/>
      <c r="AC455" s="5"/>
      <c r="AD455" s="9"/>
      <c r="AE455" s="5"/>
      <c r="AF455" s="7" t="str">
        <f t="shared" si="42"/>
        <v/>
      </c>
      <c r="AG455" s="7" t="str">
        <f t="shared" si="43"/>
        <v/>
      </c>
      <c r="AH455" s="7" t="str">
        <f t="shared" si="44"/>
        <v/>
      </c>
      <c r="AI455" s="7" t="str">
        <f t="shared" si="45"/>
        <v/>
      </c>
      <c r="AJ455" s="7" t="str">
        <f t="shared" si="46"/>
        <v/>
      </c>
      <c r="AK455" s="7" t="str">
        <f t="shared" si="47"/>
        <v/>
      </c>
      <c r="AL455" s="10" t="str">
        <f t="shared" si="48"/>
        <v/>
      </c>
      <c r="AM455" s="15" t="str">
        <f>IF(OR($A455&lt;&gt;"",$B455&lt;&gt;""),IF(OR($A455="",$B455=""),"Isi tanggal dan ID PIC",IF(NOT(ISNUMBER($A455)),"Tanggal harus berupa tanggal Excel",IF(COUNTIFS(Master_PIC!$A$8:$A$73,$B455)&lt;&gt;1,"ID PIC tidak unik/terdaftar",IF(VLOOKUP($B455,Master_PIC!$A$8:$G$73,3,FALSE)&lt;&gt;"Sales","Jabatan tidak sesuai sheet",IF(OR($C455="",$D455="",$E455="",$F455=""),"Lengkapi master PIC",IF(COUNTIFS($A$8:$A$507,$A455,$B$8:$B$507,$B455)&gt;1,"Laporan ganda",IF(COUNTIFS(G455:P455,"Tidak Berlaku")&gt;0,"N/A hanya untuk kegiatan bersyarat",IF(SUM(AG455,AH455,AI455,AJ455,AK455)&lt;&gt;14,"Status kegiatan tidak valid",IF(AK455&gt;0,"Lengkapi status kegiatan",IF(AND(AJ455&gt;0,U455=""),"Isi alasan Tidak Berlaku",IF(AND(SUM(AH455,AI455)&gt;0,OR(U455="",V455="",W455="",X455="")),"Isi kendala dan tindak lanjut",IF(AND(Z455&lt;&gt;"Draft",Z455&lt;&gt;"Dikirim"),"Isi status laporan yang valid",IF(AND(AB455&lt;&gt;"",AB455&lt;&gt;"Belum Diperiksa",AB455&lt;&gt;"Disetujui",AB455&lt;&gt;"Perlu Perbaikan"),"Hasil review tidak valid",IF(AND(Z455="Dikirim",OR(Y455="",AA455="")),"Isi bukti dan waktu kirim",IF(AND(AB455="Disetujui",OR(Z455&lt;&gt;"Dikirim",AC455="",AD455="")),"Lengkapi pemeriksaan",IF(AND(AB455="Perlu Perbaikan",OR(AE455="",AC455="",AD455="")),"Isi pemeriksa dan catatan perbaikan","OK")))))))))))))))),"")</f>
        <v/>
      </c>
    </row>
    <row r="456" spans="1:39" ht="24.95" customHeight="1">
      <c r="A456" s="8"/>
      <c r="B456" s="6"/>
      <c r="C456" s="15" t="str">
        <f>IF(COUNTIFS(Master_PIC!$A$8:$A$73,$B456)=1,IF(VLOOKUP($B456,Master_PIC!$A$8:$G$73,2,FALSE)="","",VLOOKUP($B456,Master_PIC!$A$8:$G$73,2,FALSE)),"")</f>
        <v/>
      </c>
      <c r="D456" s="15" t="str">
        <f>IF(COUNTIFS(Master_PIC!$A$8:$A$73,$B456)=1,IF(VLOOKUP($B456,Master_PIC!$A$8:$G$73,4,FALSE)="","",VLOOKUP($B456,Master_PIC!$A$8:$G$73,4,FALSE)),"")</f>
        <v/>
      </c>
      <c r="E456" s="15" t="str">
        <f>IF(COUNTIFS(Master_PIC!$A$8:$A$73,$B456)=1,IF(VLOOKUP($B456,Master_PIC!$A$8:$G$73,5,FALSE)="","",VLOOKUP($B456,Master_PIC!$A$8:$G$73,5,FALSE)),"")</f>
        <v/>
      </c>
      <c r="F456" s="15" t="str">
        <f>IF(COUNTIFS(Master_PIC!$A$8:$A$73,$B456)=1,IF(VLOOKUP($B456,Master_PIC!$A$8:$G$73,6,FALSE)="","",VLOOKUP($B456,Master_PIC!$A$8:$G$73,6,FALSE)),"")</f>
        <v/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8"/>
      <c r="Y456" s="5"/>
      <c r="Z456" s="5"/>
      <c r="AA456" s="9"/>
      <c r="AB456" s="5"/>
      <c r="AC456" s="5"/>
      <c r="AD456" s="9"/>
      <c r="AE456" s="5"/>
      <c r="AF456" s="7" t="str">
        <f t="shared" ref="AF456:AF507" si="49">IF(OR($A456&lt;&gt;"",$B456&lt;&gt;""),14-AJ456,"")</f>
        <v/>
      </c>
      <c r="AG456" s="7" t="str">
        <f t="shared" ref="AG456:AG507" si="50">IF(OR($A456&lt;&gt;"",$B456&lt;&gt;""),COUNTIFS(G456:T456,"Selesai"),"")</f>
        <v/>
      </c>
      <c r="AH456" s="7" t="str">
        <f t="shared" ref="AH456:AH507" si="51">IF(OR($A456&lt;&gt;"",$B456&lt;&gt;""),COUNTIFS(G456:T456,"Proses"),"")</f>
        <v/>
      </c>
      <c r="AI456" s="7" t="str">
        <f t="shared" ref="AI456:AI507" si="52">IF(OR($A456&lt;&gt;"",$B456&lt;&gt;""),COUNTIFS(G456:T456,"Belum"),"")</f>
        <v/>
      </c>
      <c r="AJ456" s="7" t="str">
        <f t="shared" ref="AJ456:AJ507" si="53">IF(OR($A456&lt;&gt;"",$B456&lt;&gt;""),COUNTIFS(G456:T456,"Tidak Berlaku"),"")</f>
        <v/>
      </c>
      <c r="AK456" s="7" t="str">
        <f t="shared" ref="AK456:AK507" si="54">IF(OR($A456&lt;&gt;"",$B456&lt;&gt;""),COUNTBLANK(G456:T456),"")</f>
        <v/>
      </c>
      <c r="AL456" s="10" t="str">
        <f t="shared" ref="AL456:AL507" si="55">IF(OR($A456&lt;&gt;"",$B456&lt;&gt;""),IF(AF456=0,"n.a.",AG456/AF456),"")</f>
        <v/>
      </c>
      <c r="AM456" s="15" t="str">
        <f>IF(OR($A456&lt;&gt;"",$B456&lt;&gt;""),IF(OR($A456="",$B456=""),"Isi tanggal dan ID PIC",IF(NOT(ISNUMBER($A456)),"Tanggal harus berupa tanggal Excel",IF(COUNTIFS(Master_PIC!$A$8:$A$73,$B456)&lt;&gt;1,"ID PIC tidak unik/terdaftar",IF(VLOOKUP($B456,Master_PIC!$A$8:$G$73,3,FALSE)&lt;&gt;"Sales","Jabatan tidak sesuai sheet",IF(OR($C456="",$D456="",$E456="",$F456=""),"Lengkapi master PIC",IF(COUNTIFS($A$8:$A$507,$A456,$B$8:$B$507,$B456)&gt;1,"Laporan ganda",IF(COUNTIFS(G456:P456,"Tidak Berlaku")&gt;0,"N/A hanya untuk kegiatan bersyarat",IF(SUM(AG456,AH456,AI456,AJ456,AK456)&lt;&gt;14,"Status kegiatan tidak valid",IF(AK456&gt;0,"Lengkapi status kegiatan",IF(AND(AJ456&gt;0,U456=""),"Isi alasan Tidak Berlaku",IF(AND(SUM(AH456,AI456)&gt;0,OR(U456="",V456="",W456="",X456="")),"Isi kendala dan tindak lanjut",IF(AND(Z456&lt;&gt;"Draft",Z456&lt;&gt;"Dikirim"),"Isi status laporan yang valid",IF(AND(AB456&lt;&gt;"",AB456&lt;&gt;"Belum Diperiksa",AB456&lt;&gt;"Disetujui",AB456&lt;&gt;"Perlu Perbaikan"),"Hasil review tidak valid",IF(AND(Z456="Dikirim",OR(Y456="",AA456="")),"Isi bukti dan waktu kirim",IF(AND(AB456="Disetujui",OR(Z456&lt;&gt;"Dikirim",AC456="",AD456="")),"Lengkapi pemeriksaan",IF(AND(AB456="Perlu Perbaikan",OR(AE456="",AC456="",AD456="")),"Isi pemeriksa dan catatan perbaikan","OK")))))))))))))))),"")</f>
        <v/>
      </c>
    </row>
    <row r="457" spans="1:39" ht="24.95" customHeight="1">
      <c r="A457" s="8"/>
      <c r="B457" s="6"/>
      <c r="C457" s="15" t="str">
        <f>IF(COUNTIFS(Master_PIC!$A$8:$A$73,$B457)=1,IF(VLOOKUP($B457,Master_PIC!$A$8:$G$73,2,FALSE)="","",VLOOKUP($B457,Master_PIC!$A$8:$G$73,2,FALSE)),"")</f>
        <v/>
      </c>
      <c r="D457" s="15" t="str">
        <f>IF(COUNTIFS(Master_PIC!$A$8:$A$73,$B457)=1,IF(VLOOKUP($B457,Master_PIC!$A$8:$G$73,4,FALSE)="","",VLOOKUP($B457,Master_PIC!$A$8:$G$73,4,FALSE)),"")</f>
        <v/>
      </c>
      <c r="E457" s="15" t="str">
        <f>IF(COUNTIFS(Master_PIC!$A$8:$A$73,$B457)=1,IF(VLOOKUP($B457,Master_PIC!$A$8:$G$73,5,FALSE)="","",VLOOKUP($B457,Master_PIC!$A$8:$G$73,5,FALSE)),"")</f>
        <v/>
      </c>
      <c r="F457" s="15" t="str">
        <f>IF(COUNTIFS(Master_PIC!$A$8:$A$73,$B457)=1,IF(VLOOKUP($B457,Master_PIC!$A$8:$G$73,6,FALSE)="","",VLOOKUP($B457,Master_PIC!$A$8:$G$73,6,FALSE)),"")</f>
        <v/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8"/>
      <c r="Y457" s="5"/>
      <c r="Z457" s="5"/>
      <c r="AA457" s="9"/>
      <c r="AB457" s="5"/>
      <c r="AC457" s="5"/>
      <c r="AD457" s="9"/>
      <c r="AE457" s="5"/>
      <c r="AF457" s="7" t="str">
        <f t="shared" si="49"/>
        <v/>
      </c>
      <c r="AG457" s="7" t="str">
        <f t="shared" si="50"/>
        <v/>
      </c>
      <c r="AH457" s="7" t="str">
        <f t="shared" si="51"/>
        <v/>
      </c>
      <c r="AI457" s="7" t="str">
        <f t="shared" si="52"/>
        <v/>
      </c>
      <c r="AJ457" s="7" t="str">
        <f t="shared" si="53"/>
        <v/>
      </c>
      <c r="AK457" s="7" t="str">
        <f t="shared" si="54"/>
        <v/>
      </c>
      <c r="AL457" s="10" t="str">
        <f t="shared" si="55"/>
        <v/>
      </c>
      <c r="AM457" s="15" t="str">
        <f>IF(OR($A457&lt;&gt;"",$B457&lt;&gt;""),IF(OR($A457="",$B457=""),"Isi tanggal dan ID PIC",IF(NOT(ISNUMBER($A457)),"Tanggal harus berupa tanggal Excel",IF(COUNTIFS(Master_PIC!$A$8:$A$73,$B457)&lt;&gt;1,"ID PIC tidak unik/terdaftar",IF(VLOOKUP($B457,Master_PIC!$A$8:$G$73,3,FALSE)&lt;&gt;"Sales","Jabatan tidak sesuai sheet",IF(OR($C457="",$D457="",$E457="",$F457=""),"Lengkapi master PIC",IF(COUNTIFS($A$8:$A$507,$A457,$B$8:$B$507,$B457)&gt;1,"Laporan ganda",IF(COUNTIFS(G457:P457,"Tidak Berlaku")&gt;0,"N/A hanya untuk kegiatan bersyarat",IF(SUM(AG457,AH457,AI457,AJ457,AK457)&lt;&gt;14,"Status kegiatan tidak valid",IF(AK457&gt;0,"Lengkapi status kegiatan",IF(AND(AJ457&gt;0,U457=""),"Isi alasan Tidak Berlaku",IF(AND(SUM(AH457,AI457)&gt;0,OR(U457="",V457="",W457="",X457="")),"Isi kendala dan tindak lanjut",IF(AND(Z457&lt;&gt;"Draft",Z457&lt;&gt;"Dikirim"),"Isi status laporan yang valid",IF(AND(AB457&lt;&gt;"",AB457&lt;&gt;"Belum Diperiksa",AB457&lt;&gt;"Disetujui",AB457&lt;&gt;"Perlu Perbaikan"),"Hasil review tidak valid",IF(AND(Z457="Dikirim",OR(Y457="",AA457="")),"Isi bukti dan waktu kirim",IF(AND(AB457="Disetujui",OR(Z457&lt;&gt;"Dikirim",AC457="",AD457="")),"Lengkapi pemeriksaan",IF(AND(AB457="Perlu Perbaikan",OR(AE457="",AC457="",AD457="")),"Isi pemeriksa dan catatan perbaikan","OK")))))))))))))))),"")</f>
        <v/>
      </c>
    </row>
    <row r="458" spans="1:39" ht="24.95" customHeight="1">
      <c r="A458" s="8"/>
      <c r="B458" s="6"/>
      <c r="C458" s="15" t="str">
        <f>IF(COUNTIFS(Master_PIC!$A$8:$A$73,$B458)=1,IF(VLOOKUP($B458,Master_PIC!$A$8:$G$73,2,FALSE)="","",VLOOKUP($B458,Master_PIC!$A$8:$G$73,2,FALSE)),"")</f>
        <v/>
      </c>
      <c r="D458" s="15" t="str">
        <f>IF(COUNTIFS(Master_PIC!$A$8:$A$73,$B458)=1,IF(VLOOKUP($B458,Master_PIC!$A$8:$G$73,4,FALSE)="","",VLOOKUP($B458,Master_PIC!$A$8:$G$73,4,FALSE)),"")</f>
        <v/>
      </c>
      <c r="E458" s="15" t="str">
        <f>IF(COUNTIFS(Master_PIC!$A$8:$A$73,$B458)=1,IF(VLOOKUP($B458,Master_PIC!$A$8:$G$73,5,FALSE)="","",VLOOKUP($B458,Master_PIC!$A$8:$G$73,5,FALSE)),"")</f>
        <v/>
      </c>
      <c r="F458" s="15" t="str">
        <f>IF(COUNTIFS(Master_PIC!$A$8:$A$73,$B458)=1,IF(VLOOKUP($B458,Master_PIC!$A$8:$G$73,6,FALSE)="","",VLOOKUP($B458,Master_PIC!$A$8:$G$73,6,FALSE)),"")</f>
        <v/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8"/>
      <c r="Y458" s="5"/>
      <c r="Z458" s="5"/>
      <c r="AA458" s="9"/>
      <c r="AB458" s="5"/>
      <c r="AC458" s="5"/>
      <c r="AD458" s="9"/>
      <c r="AE458" s="5"/>
      <c r="AF458" s="7" t="str">
        <f t="shared" si="49"/>
        <v/>
      </c>
      <c r="AG458" s="7" t="str">
        <f t="shared" si="50"/>
        <v/>
      </c>
      <c r="AH458" s="7" t="str">
        <f t="shared" si="51"/>
        <v/>
      </c>
      <c r="AI458" s="7" t="str">
        <f t="shared" si="52"/>
        <v/>
      </c>
      <c r="AJ458" s="7" t="str">
        <f t="shared" si="53"/>
        <v/>
      </c>
      <c r="AK458" s="7" t="str">
        <f t="shared" si="54"/>
        <v/>
      </c>
      <c r="AL458" s="10" t="str">
        <f t="shared" si="55"/>
        <v/>
      </c>
      <c r="AM458" s="15" t="str">
        <f>IF(OR($A458&lt;&gt;"",$B458&lt;&gt;""),IF(OR($A458="",$B458=""),"Isi tanggal dan ID PIC",IF(NOT(ISNUMBER($A458)),"Tanggal harus berupa tanggal Excel",IF(COUNTIFS(Master_PIC!$A$8:$A$73,$B458)&lt;&gt;1,"ID PIC tidak unik/terdaftar",IF(VLOOKUP($B458,Master_PIC!$A$8:$G$73,3,FALSE)&lt;&gt;"Sales","Jabatan tidak sesuai sheet",IF(OR($C458="",$D458="",$E458="",$F458=""),"Lengkapi master PIC",IF(COUNTIFS($A$8:$A$507,$A458,$B$8:$B$507,$B458)&gt;1,"Laporan ganda",IF(COUNTIFS(G458:P458,"Tidak Berlaku")&gt;0,"N/A hanya untuk kegiatan bersyarat",IF(SUM(AG458,AH458,AI458,AJ458,AK458)&lt;&gt;14,"Status kegiatan tidak valid",IF(AK458&gt;0,"Lengkapi status kegiatan",IF(AND(AJ458&gt;0,U458=""),"Isi alasan Tidak Berlaku",IF(AND(SUM(AH458,AI458)&gt;0,OR(U458="",V458="",W458="",X458="")),"Isi kendala dan tindak lanjut",IF(AND(Z458&lt;&gt;"Draft",Z458&lt;&gt;"Dikirim"),"Isi status laporan yang valid",IF(AND(AB458&lt;&gt;"",AB458&lt;&gt;"Belum Diperiksa",AB458&lt;&gt;"Disetujui",AB458&lt;&gt;"Perlu Perbaikan"),"Hasil review tidak valid",IF(AND(Z458="Dikirim",OR(Y458="",AA458="")),"Isi bukti dan waktu kirim",IF(AND(AB458="Disetujui",OR(Z458&lt;&gt;"Dikirim",AC458="",AD458="")),"Lengkapi pemeriksaan",IF(AND(AB458="Perlu Perbaikan",OR(AE458="",AC458="",AD458="")),"Isi pemeriksa dan catatan perbaikan","OK")))))))))))))))),"")</f>
        <v/>
      </c>
    </row>
    <row r="459" spans="1:39" ht="24.95" customHeight="1">
      <c r="A459" s="8"/>
      <c r="B459" s="6"/>
      <c r="C459" s="15" t="str">
        <f>IF(COUNTIFS(Master_PIC!$A$8:$A$73,$B459)=1,IF(VLOOKUP($B459,Master_PIC!$A$8:$G$73,2,FALSE)="","",VLOOKUP($B459,Master_PIC!$A$8:$G$73,2,FALSE)),"")</f>
        <v/>
      </c>
      <c r="D459" s="15" t="str">
        <f>IF(COUNTIFS(Master_PIC!$A$8:$A$73,$B459)=1,IF(VLOOKUP($B459,Master_PIC!$A$8:$G$73,4,FALSE)="","",VLOOKUP($B459,Master_PIC!$A$8:$G$73,4,FALSE)),"")</f>
        <v/>
      </c>
      <c r="E459" s="15" t="str">
        <f>IF(COUNTIFS(Master_PIC!$A$8:$A$73,$B459)=1,IF(VLOOKUP($B459,Master_PIC!$A$8:$G$73,5,FALSE)="","",VLOOKUP($B459,Master_PIC!$A$8:$G$73,5,FALSE)),"")</f>
        <v/>
      </c>
      <c r="F459" s="15" t="str">
        <f>IF(COUNTIFS(Master_PIC!$A$8:$A$73,$B459)=1,IF(VLOOKUP($B459,Master_PIC!$A$8:$G$73,6,FALSE)="","",VLOOKUP($B459,Master_PIC!$A$8:$G$73,6,FALSE)),"")</f>
        <v/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8"/>
      <c r="Y459" s="5"/>
      <c r="Z459" s="5"/>
      <c r="AA459" s="9"/>
      <c r="AB459" s="5"/>
      <c r="AC459" s="5"/>
      <c r="AD459" s="9"/>
      <c r="AE459" s="5"/>
      <c r="AF459" s="7" t="str">
        <f t="shared" si="49"/>
        <v/>
      </c>
      <c r="AG459" s="7" t="str">
        <f t="shared" si="50"/>
        <v/>
      </c>
      <c r="AH459" s="7" t="str">
        <f t="shared" si="51"/>
        <v/>
      </c>
      <c r="AI459" s="7" t="str">
        <f t="shared" si="52"/>
        <v/>
      </c>
      <c r="AJ459" s="7" t="str">
        <f t="shared" si="53"/>
        <v/>
      </c>
      <c r="AK459" s="7" t="str">
        <f t="shared" si="54"/>
        <v/>
      </c>
      <c r="AL459" s="10" t="str">
        <f t="shared" si="55"/>
        <v/>
      </c>
      <c r="AM459" s="15" t="str">
        <f>IF(OR($A459&lt;&gt;"",$B459&lt;&gt;""),IF(OR($A459="",$B459=""),"Isi tanggal dan ID PIC",IF(NOT(ISNUMBER($A459)),"Tanggal harus berupa tanggal Excel",IF(COUNTIFS(Master_PIC!$A$8:$A$73,$B459)&lt;&gt;1,"ID PIC tidak unik/terdaftar",IF(VLOOKUP($B459,Master_PIC!$A$8:$G$73,3,FALSE)&lt;&gt;"Sales","Jabatan tidak sesuai sheet",IF(OR($C459="",$D459="",$E459="",$F459=""),"Lengkapi master PIC",IF(COUNTIFS($A$8:$A$507,$A459,$B$8:$B$507,$B459)&gt;1,"Laporan ganda",IF(COUNTIFS(G459:P459,"Tidak Berlaku")&gt;0,"N/A hanya untuk kegiatan bersyarat",IF(SUM(AG459,AH459,AI459,AJ459,AK459)&lt;&gt;14,"Status kegiatan tidak valid",IF(AK459&gt;0,"Lengkapi status kegiatan",IF(AND(AJ459&gt;0,U459=""),"Isi alasan Tidak Berlaku",IF(AND(SUM(AH459,AI459)&gt;0,OR(U459="",V459="",W459="",X459="")),"Isi kendala dan tindak lanjut",IF(AND(Z459&lt;&gt;"Draft",Z459&lt;&gt;"Dikirim"),"Isi status laporan yang valid",IF(AND(AB459&lt;&gt;"",AB459&lt;&gt;"Belum Diperiksa",AB459&lt;&gt;"Disetujui",AB459&lt;&gt;"Perlu Perbaikan"),"Hasil review tidak valid",IF(AND(Z459="Dikirim",OR(Y459="",AA459="")),"Isi bukti dan waktu kirim",IF(AND(AB459="Disetujui",OR(Z459&lt;&gt;"Dikirim",AC459="",AD459="")),"Lengkapi pemeriksaan",IF(AND(AB459="Perlu Perbaikan",OR(AE459="",AC459="",AD459="")),"Isi pemeriksa dan catatan perbaikan","OK")))))))))))))))),"")</f>
        <v/>
      </c>
    </row>
    <row r="460" spans="1:39" ht="24.95" customHeight="1">
      <c r="A460" s="8"/>
      <c r="B460" s="6"/>
      <c r="C460" s="15" t="str">
        <f>IF(COUNTIFS(Master_PIC!$A$8:$A$73,$B460)=1,IF(VLOOKUP($B460,Master_PIC!$A$8:$G$73,2,FALSE)="","",VLOOKUP($B460,Master_PIC!$A$8:$G$73,2,FALSE)),"")</f>
        <v/>
      </c>
      <c r="D460" s="15" t="str">
        <f>IF(COUNTIFS(Master_PIC!$A$8:$A$73,$B460)=1,IF(VLOOKUP($B460,Master_PIC!$A$8:$G$73,4,FALSE)="","",VLOOKUP($B460,Master_PIC!$A$8:$G$73,4,FALSE)),"")</f>
        <v/>
      </c>
      <c r="E460" s="15" t="str">
        <f>IF(COUNTIFS(Master_PIC!$A$8:$A$73,$B460)=1,IF(VLOOKUP($B460,Master_PIC!$A$8:$G$73,5,FALSE)="","",VLOOKUP($B460,Master_PIC!$A$8:$G$73,5,FALSE)),"")</f>
        <v/>
      </c>
      <c r="F460" s="15" t="str">
        <f>IF(COUNTIFS(Master_PIC!$A$8:$A$73,$B460)=1,IF(VLOOKUP($B460,Master_PIC!$A$8:$G$73,6,FALSE)="","",VLOOKUP($B460,Master_PIC!$A$8:$G$73,6,FALSE)),"")</f>
        <v/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8"/>
      <c r="Y460" s="5"/>
      <c r="Z460" s="5"/>
      <c r="AA460" s="9"/>
      <c r="AB460" s="5"/>
      <c r="AC460" s="5"/>
      <c r="AD460" s="9"/>
      <c r="AE460" s="5"/>
      <c r="AF460" s="7" t="str">
        <f t="shared" si="49"/>
        <v/>
      </c>
      <c r="AG460" s="7" t="str">
        <f t="shared" si="50"/>
        <v/>
      </c>
      <c r="AH460" s="7" t="str">
        <f t="shared" si="51"/>
        <v/>
      </c>
      <c r="AI460" s="7" t="str">
        <f t="shared" si="52"/>
        <v/>
      </c>
      <c r="AJ460" s="7" t="str">
        <f t="shared" si="53"/>
        <v/>
      </c>
      <c r="AK460" s="7" t="str">
        <f t="shared" si="54"/>
        <v/>
      </c>
      <c r="AL460" s="10" t="str">
        <f t="shared" si="55"/>
        <v/>
      </c>
      <c r="AM460" s="15" t="str">
        <f>IF(OR($A460&lt;&gt;"",$B460&lt;&gt;""),IF(OR($A460="",$B460=""),"Isi tanggal dan ID PIC",IF(NOT(ISNUMBER($A460)),"Tanggal harus berupa tanggal Excel",IF(COUNTIFS(Master_PIC!$A$8:$A$73,$B460)&lt;&gt;1,"ID PIC tidak unik/terdaftar",IF(VLOOKUP($B460,Master_PIC!$A$8:$G$73,3,FALSE)&lt;&gt;"Sales","Jabatan tidak sesuai sheet",IF(OR($C460="",$D460="",$E460="",$F460=""),"Lengkapi master PIC",IF(COUNTIFS($A$8:$A$507,$A460,$B$8:$B$507,$B460)&gt;1,"Laporan ganda",IF(COUNTIFS(G460:P460,"Tidak Berlaku")&gt;0,"N/A hanya untuk kegiatan bersyarat",IF(SUM(AG460,AH460,AI460,AJ460,AK460)&lt;&gt;14,"Status kegiatan tidak valid",IF(AK460&gt;0,"Lengkapi status kegiatan",IF(AND(AJ460&gt;0,U460=""),"Isi alasan Tidak Berlaku",IF(AND(SUM(AH460,AI460)&gt;0,OR(U460="",V460="",W460="",X460="")),"Isi kendala dan tindak lanjut",IF(AND(Z460&lt;&gt;"Draft",Z460&lt;&gt;"Dikirim"),"Isi status laporan yang valid",IF(AND(AB460&lt;&gt;"",AB460&lt;&gt;"Belum Diperiksa",AB460&lt;&gt;"Disetujui",AB460&lt;&gt;"Perlu Perbaikan"),"Hasil review tidak valid",IF(AND(Z460="Dikirim",OR(Y460="",AA460="")),"Isi bukti dan waktu kirim",IF(AND(AB460="Disetujui",OR(Z460&lt;&gt;"Dikirim",AC460="",AD460="")),"Lengkapi pemeriksaan",IF(AND(AB460="Perlu Perbaikan",OR(AE460="",AC460="",AD460="")),"Isi pemeriksa dan catatan perbaikan","OK")))))))))))))))),"")</f>
        <v/>
      </c>
    </row>
    <row r="461" spans="1:39" ht="24.95" customHeight="1">
      <c r="A461" s="8"/>
      <c r="B461" s="6"/>
      <c r="C461" s="15" t="str">
        <f>IF(COUNTIFS(Master_PIC!$A$8:$A$73,$B461)=1,IF(VLOOKUP($B461,Master_PIC!$A$8:$G$73,2,FALSE)="","",VLOOKUP($B461,Master_PIC!$A$8:$G$73,2,FALSE)),"")</f>
        <v/>
      </c>
      <c r="D461" s="15" t="str">
        <f>IF(COUNTIFS(Master_PIC!$A$8:$A$73,$B461)=1,IF(VLOOKUP($B461,Master_PIC!$A$8:$G$73,4,FALSE)="","",VLOOKUP($B461,Master_PIC!$A$8:$G$73,4,FALSE)),"")</f>
        <v/>
      </c>
      <c r="E461" s="15" t="str">
        <f>IF(COUNTIFS(Master_PIC!$A$8:$A$73,$B461)=1,IF(VLOOKUP($B461,Master_PIC!$A$8:$G$73,5,FALSE)="","",VLOOKUP($B461,Master_PIC!$A$8:$G$73,5,FALSE)),"")</f>
        <v/>
      </c>
      <c r="F461" s="15" t="str">
        <f>IF(COUNTIFS(Master_PIC!$A$8:$A$73,$B461)=1,IF(VLOOKUP($B461,Master_PIC!$A$8:$G$73,6,FALSE)="","",VLOOKUP($B461,Master_PIC!$A$8:$G$73,6,FALSE)),"")</f>
        <v/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8"/>
      <c r="Y461" s="5"/>
      <c r="Z461" s="5"/>
      <c r="AA461" s="9"/>
      <c r="AB461" s="5"/>
      <c r="AC461" s="5"/>
      <c r="AD461" s="9"/>
      <c r="AE461" s="5"/>
      <c r="AF461" s="7" t="str">
        <f t="shared" si="49"/>
        <v/>
      </c>
      <c r="AG461" s="7" t="str">
        <f t="shared" si="50"/>
        <v/>
      </c>
      <c r="AH461" s="7" t="str">
        <f t="shared" si="51"/>
        <v/>
      </c>
      <c r="AI461" s="7" t="str">
        <f t="shared" si="52"/>
        <v/>
      </c>
      <c r="AJ461" s="7" t="str">
        <f t="shared" si="53"/>
        <v/>
      </c>
      <c r="AK461" s="7" t="str">
        <f t="shared" si="54"/>
        <v/>
      </c>
      <c r="AL461" s="10" t="str">
        <f t="shared" si="55"/>
        <v/>
      </c>
      <c r="AM461" s="15" t="str">
        <f>IF(OR($A461&lt;&gt;"",$B461&lt;&gt;""),IF(OR($A461="",$B461=""),"Isi tanggal dan ID PIC",IF(NOT(ISNUMBER($A461)),"Tanggal harus berupa tanggal Excel",IF(COUNTIFS(Master_PIC!$A$8:$A$73,$B461)&lt;&gt;1,"ID PIC tidak unik/terdaftar",IF(VLOOKUP($B461,Master_PIC!$A$8:$G$73,3,FALSE)&lt;&gt;"Sales","Jabatan tidak sesuai sheet",IF(OR($C461="",$D461="",$E461="",$F461=""),"Lengkapi master PIC",IF(COUNTIFS($A$8:$A$507,$A461,$B$8:$B$507,$B461)&gt;1,"Laporan ganda",IF(COUNTIFS(G461:P461,"Tidak Berlaku")&gt;0,"N/A hanya untuk kegiatan bersyarat",IF(SUM(AG461,AH461,AI461,AJ461,AK461)&lt;&gt;14,"Status kegiatan tidak valid",IF(AK461&gt;0,"Lengkapi status kegiatan",IF(AND(AJ461&gt;0,U461=""),"Isi alasan Tidak Berlaku",IF(AND(SUM(AH461,AI461)&gt;0,OR(U461="",V461="",W461="",X461="")),"Isi kendala dan tindak lanjut",IF(AND(Z461&lt;&gt;"Draft",Z461&lt;&gt;"Dikirim"),"Isi status laporan yang valid",IF(AND(AB461&lt;&gt;"",AB461&lt;&gt;"Belum Diperiksa",AB461&lt;&gt;"Disetujui",AB461&lt;&gt;"Perlu Perbaikan"),"Hasil review tidak valid",IF(AND(Z461="Dikirim",OR(Y461="",AA461="")),"Isi bukti dan waktu kirim",IF(AND(AB461="Disetujui",OR(Z461&lt;&gt;"Dikirim",AC461="",AD461="")),"Lengkapi pemeriksaan",IF(AND(AB461="Perlu Perbaikan",OR(AE461="",AC461="",AD461="")),"Isi pemeriksa dan catatan perbaikan","OK")))))))))))))))),"")</f>
        <v/>
      </c>
    </row>
    <row r="462" spans="1:39" ht="24.95" customHeight="1">
      <c r="A462" s="8"/>
      <c r="B462" s="6"/>
      <c r="C462" s="15" t="str">
        <f>IF(COUNTIFS(Master_PIC!$A$8:$A$73,$B462)=1,IF(VLOOKUP($B462,Master_PIC!$A$8:$G$73,2,FALSE)="","",VLOOKUP($B462,Master_PIC!$A$8:$G$73,2,FALSE)),"")</f>
        <v/>
      </c>
      <c r="D462" s="15" t="str">
        <f>IF(COUNTIFS(Master_PIC!$A$8:$A$73,$B462)=1,IF(VLOOKUP($B462,Master_PIC!$A$8:$G$73,4,FALSE)="","",VLOOKUP($B462,Master_PIC!$A$8:$G$73,4,FALSE)),"")</f>
        <v/>
      </c>
      <c r="E462" s="15" t="str">
        <f>IF(COUNTIFS(Master_PIC!$A$8:$A$73,$B462)=1,IF(VLOOKUP($B462,Master_PIC!$A$8:$G$73,5,FALSE)="","",VLOOKUP($B462,Master_PIC!$A$8:$G$73,5,FALSE)),"")</f>
        <v/>
      </c>
      <c r="F462" s="15" t="str">
        <f>IF(COUNTIFS(Master_PIC!$A$8:$A$73,$B462)=1,IF(VLOOKUP($B462,Master_PIC!$A$8:$G$73,6,FALSE)="","",VLOOKUP($B462,Master_PIC!$A$8:$G$73,6,FALSE)),"")</f>
        <v/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8"/>
      <c r="Y462" s="5"/>
      <c r="Z462" s="5"/>
      <c r="AA462" s="9"/>
      <c r="AB462" s="5"/>
      <c r="AC462" s="5"/>
      <c r="AD462" s="9"/>
      <c r="AE462" s="5"/>
      <c r="AF462" s="7" t="str">
        <f t="shared" si="49"/>
        <v/>
      </c>
      <c r="AG462" s="7" t="str">
        <f t="shared" si="50"/>
        <v/>
      </c>
      <c r="AH462" s="7" t="str">
        <f t="shared" si="51"/>
        <v/>
      </c>
      <c r="AI462" s="7" t="str">
        <f t="shared" si="52"/>
        <v/>
      </c>
      <c r="AJ462" s="7" t="str">
        <f t="shared" si="53"/>
        <v/>
      </c>
      <c r="AK462" s="7" t="str">
        <f t="shared" si="54"/>
        <v/>
      </c>
      <c r="AL462" s="10" t="str">
        <f t="shared" si="55"/>
        <v/>
      </c>
      <c r="AM462" s="15" t="str">
        <f>IF(OR($A462&lt;&gt;"",$B462&lt;&gt;""),IF(OR($A462="",$B462=""),"Isi tanggal dan ID PIC",IF(NOT(ISNUMBER($A462)),"Tanggal harus berupa tanggal Excel",IF(COUNTIFS(Master_PIC!$A$8:$A$73,$B462)&lt;&gt;1,"ID PIC tidak unik/terdaftar",IF(VLOOKUP($B462,Master_PIC!$A$8:$G$73,3,FALSE)&lt;&gt;"Sales","Jabatan tidak sesuai sheet",IF(OR($C462="",$D462="",$E462="",$F462=""),"Lengkapi master PIC",IF(COUNTIFS($A$8:$A$507,$A462,$B$8:$B$507,$B462)&gt;1,"Laporan ganda",IF(COUNTIFS(G462:P462,"Tidak Berlaku")&gt;0,"N/A hanya untuk kegiatan bersyarat",IF(SUM(AG462,AH462,AI462,AJ462,AK462)&lt;&gt;14,"Status kegiatan tidak valid",IF(AK462&gt;0,"Lengkapi status kegiatan",IF(AND(AJ462&gt;0,U462=""),"Isi alasan Tidak Berlaku",IF(AND(SUM(AH462,AI462)&gt;0,OR(U462="",V462="",W462="",X462="")),"Isi kendala dan tindak lanjut",IF(AND(Z462&lt;&gt;"Draft",Z462&lt;&gt;"Dikirim"),"Isi status laporan yang valid",IF(AND(AB462&lt;&gt;"",AB462&lt;&gt;"Belum Diperiksa",AB462&lt;&gt;"Disetujui",AB462&lt;&gt;"Perlu Perbaikan"),"Hasil review tidak valid",IF(AND(Z462="Dikirim",OR(Y462="",AA462="")),"Isi bukti dan waktu kirim",IF(AND(AB462="Disetujui",OR(Z462&lt;&gt;"Dikirim",AC462="",AD462="")),"Lengkapi pemeriksaan",IF(AND(AB462="Perlu Perbaikan",OR(AE462="",AC462="",AD462="")),"Isi pemeriksa dan catatan perbaikan","OK")))))))))))))))),"")</f>
        <v/>
      </c>
    </row>
    <row r="463" spans="1:39" ht="24.95" customHeight="1">
      <c r="A463" s="8"/>
      <c r="B463" s="6"/>
      <c r="C463" s="15" t="str">
        <f>IF(COUNTIFS(Master_PIC!$A$8:$A$73,$B463)=1,IF(VLOOKUP($B463,Master_PIC!$A$8:$G$73,2,FALSE)="","",VLOOKUP($B463,Master_PIC!$A$8:$G$73,2,FALSE)),"")</f>
        <v/>
      </c>
      <c r="D463" s="15" t="str">
        <f>IF(COUNTIFS(Master_PIC!$A$8:$A$73,$B463)=1,IF(VLOOKUP($B463,Master_PIC!$A$8:$G$73,4,FALSE)="","",VLOOKUP($B463,Master_PIC!$A$8:$G$73,4,FALSE)),"")</f>
        <v/>
      </c>
      <c r="E463" s="15" t="str">
        <f>IF(COUNTIFS(Master_PIC!$A$8:$A$73,$B463)=1,IF(VLOOKUP($B463,Master_PIC!$A$8:$G$73,5,FALSE)="","",VLOOKUP($B463,Master_PIC!$A$8:$G$73,5,FALSE)),"")</f>
        <v/>
      </c>
      <c r="F463" s="15" t="str">
        <f>IF(COUNTIFS(Master_PIC!$A$8:$A$73,$B463)=1,IF(VLOOKUP($B463,Master_PIC!$A$8:$G$73,6,FALSE)="","",VLOOKUP($B463,Master_PIC!$A$8:$G$73,6,FALSE)),"")</f>
        <v/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8"/>
      <c r="Y463" s="5"/>
      <c r="Z463" s="5"/>
      <c r="AA463" s="9"/>
      <c r="AB463" s="5"/>
      <c r="AC463" s="5"/>
      <c r="AD463" s="9"/>
      <c r="AE463" s="5"/>
      <c r="AF463" s="7" t="str">
        <f t="shared" si="49"/>
        <v/>
      </c>
      <c r="AG463" s="7" t="str">
        <f t="shared" si="50"/>
        <v/>
      </c>
      <c r="AH463" s="7" t="str">
        <f t="shared" si="51"/>
        <v/>
      </c>
      <c r="AI463" s="7" t="str">
        <f t="shared" si="52"/>
        <v/>
      </c>
      <c r="AJ463" s="7" t="str">
        <f t="shared" si="53"/>
        <v/>
      </c>
      <c r="AK463" s="7" t="str">
        <f t="shared" si="54"/>
        <v/>
      </c>
      <c r="AL463" s="10" t="str">
        <f t="shared" si="55"/>
        <v/>
      </c>
      <c r="AM463" s="15" t="str">
        <f>IF(OR($A463&lt;&gt;"",$B463&lt;&gt;""),IF(OR($A463="",$B463=""),"Isi tanggal dan ID PIC",IF(NOT(ISNUMBER($A463)),"Tanggal harus berupa tanggal Excel",IF(COUNTIFS(Master_PIC!$A$8:$A$73,$B463)&lt;&gt;1,"ID PIC tidak unik/terdaftar",IF(VLOOKUP($B463,Master_PIC!$A$8:$G$73,3,FALSE)&lt;&gt;"Sales","Jabatan tidak sesuai sheet",IF(OR($C463="",$D463="",$E463="",$F463=""),"Lengkapi master PIC",IF(COUNTIFS($A$8:$A$507,$A463,$B$8:$B$507,$B463)&gt;1,"Laporan ganda",IF(COUNTIFS(G463:P463,"Tidak Berlaku")&gt;0,"N/A hanya untuk kegiatan bersyarat",IF(SUM(AG463,AH463,AI463,AJ463,AK463)&lt;&gt;14,"Status kegiatan tidak valid",IF(AK463&gt;0,"Lengkapi status kegiatan",IF(AND(AJ463&gt;0,U463=""),"Isi alasan Tidak Berlaku",IF(AND(SUM(AH463,AI463)&gt;0,OR(U463="",V463="",W463="",X463="")),"Isi kendala dan tindak lanjut",IF(AND(Z463&lt;&gt;"Draft",Z463&lt;&gt;"Dikirim"),"Isi status laporan yang valid",IF(AND(AB463&lt;&gt;"",AB463&lt;&gt;"Belum Diperiksa",AB463&lt;&gt;"Disetujui",AB463&lt;&gt;"Perlu Perbaikan"),"Hasil review tidak valid",IF(AND(Z463="Dikirim",OR(Y463="",AA463="")),"Isi bukti dan waktu kirim",IF(AND(AB463="Disetujui",OR(Z463&lt;&gt;"Dikirim",AC463="",AD463="")),"Lengkapi pemeriksaan",IF(AND(AB463="Perlu Perbaikan",OR(AE463="",AC463="",AD463="")),"Isi pemeriksa dan catatan perbaikan","OK")))))))))))))))),"")</f>
        <v/>
      </c>
    </row>
    <row r="464" spans="1:39" ht="24.95" customHeight="1">
      <c r="A464" s="8"/>
      <c r="B464" s="6"/>
      <c r="C464" s="15" t="str">
        <f>IF(COUNTIFS(Master_PIC!$A$8:$A$73,$B464)=1,IF(VLOOKUP($B464,Master_PIC!$A$8:$G$73,2,FALSE)="","",VLOOKUP($B464,Master_PIC!$A$8:$G$73,2,FALSE)),"")</f>
        <v/>
      </c>
      <c r="D464" s="15" t="str">
        <f>IF(COUNTIFS(Master_PIC!$A$8:$A$73,$B464)=1,IF(VLOOKUP($B464,Master_PIC!$A$8:$G$73,4,FALSE)="","",VLOOKUP($B464,Master_PIC!$A$8:$G$73,4,FALSE)),"")</f>
        <v/>
      </c>
      <c r="E464" s="15" t="str">
        <f>IF(COUNTIFS(Master_PIC!$A$8:$A$73,$B464)=1,IF(VLOOKUP($B464,Master_PIC!$A$8:$G$73,5,FALSE)="","",VLOOKUP($B464,Master_PIC!$A$8:$G$73,5,FALSE)),"")</f>
        <v/>
      </c>
      <c r="F464" s="15" t="str">
        <f>IF(COUNTIFS(Master_PIC!$A$8:$A$73,$B464)=1,IF(VLOOKUP($B464,Master_PIC!$A$8:$G$73,6,FALSE)="","",VLOOKUP($B464,Master_PIC!$A$8:$G$73,6,FALSE)),"")</f>
        <v/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8"/>
      <c r="Y464" s="5"/>
      <c r="Z464" s="5"/>
      <c r="AA464" s="9"/>
      <c r="AB464" s="5"/>
      <c r="AC464" s="5"/>
      <c r="AD464" s="9"/>
      <c r="AE464" s="5"/>
      <c r="AF464" s="7" t="str">
        <f t="shared" si="49"/>
        <v/>
      </c>
      <c r="AG464" s="7" t="str">
        <f t="shared" si="50"/>
        <v/>
      </c>
      <c r="AH464" s="7" t="str">
        <f t="shared" si="51"/>
        <v/>
      </c>
      <c r="AI464" s="7" t="str">
        <f t="shared" si="52"/>
        <v/>
      </c>
      <c r="AJ464" s="7" t="str">
        <f t="shared" si="53"/>
        <v/>
      </c>
      <c r="AK464" s="7" t="str">
        <f t="shared" si="54"/>
        <v/>
      </c>
      <c r="AL464" s="10" t="str">
        <f t="shared" si="55"/>
        <v/>
      </c>
      <c r="AM464" s="15" t="str">
        <f>IF(OR($A464&lt;&gt;"",$B464&lt;&gt;""),IF(OR($A464="",$B464=""),"Isi tanggal dan ID PIC",IF(NOT(ISNUMBER($A464)),"Tanggal harus berupa tanggal Excel",IF(COUNTIFS(Master_PIC!$A$8:$A$73,$B464)&lt;&gt;1,"ID PIC tidak unik/terdaftar",IF(VLOOKUP($B464,Master_PIC!$A$8:$G$73,3,FALSE)&lt;&gt;"Sales","Jabatan tidak sesuai sheet",IF(OR($C464="",$D464="",$E464="",$F464=""),"Lengkapi master PIC",IF(COUNTIFS($A$8:$A$507,$A464,$B$8:$B$507,$B464)&gt;1,"Laporan ganda",IF(COUNTIFS(G464:P464,"Tidak Berlaku")&gt;0,"N/A hanya untuk kegiatan bersyarat",IF(SUM(AG464,AH464,AI464,AJ464,AK464)&lt;&gt;14,"Status kegiatan tidak valid",IF(AK464&gt;0,"Lengkapi status kegiatan",IF(AND(AJ464&gt;0,U464=""),"Isi alasan Tidak Berlaku",IF(AND(SUM(AH464,AI464)&gt;0,OR(U464="",V464="",W464="",X464="")),"Isi kendala dan tindak lanjut",IF(AND(Z464&lt;&gt;"Draft",Z464&lt;&gt;"Dikirim"),"Isi status laporan yang valid",IF(AND(AB464&lt;&gt;"",AB464&lt;&gt;"Belum Diperiksa",AB464&lt;&gt;"Disetujui",AB464&lt;&gt;"Perlu Perbaikan"),"Hasil review tidak valid",IF(AND(Z464="Dikirim",OR(Y464="",AA464="")),"Isi bukti dan waktu kirim",IF(AND(AB464="Disetujui",OR(Z464&lt;&gt;"Dikirim",AC464="",AD464="")),"Lengkapi pemeriksaan",IF(AND(AB464="Perlu Perbaikan",OR(AE464="",AC464="",AD464="")),"Isi pemeriksa dan catatan perbaikan","OK")))))))))))))))),"")</f>
        <v/>
      </c>
    </row>
    <row r="465" spans="1:39" ht="24.95" customHeight="1">
      <c r="A465" s="8"/>
      <c r="B465" s="6"/>
      <c r="C465" s="15" t="str">
        <f>IF(COUNTIFS(Master_PIC!$A$8:$A$73,$B465)=1,IF(VLOOKUP($B465,Master_PIC!$A$8:$G$73,2,FALSE)="","",VLOOKUP($B465,Master_PIC!$A$8:$G$73,2,FALSE)),"")</f>
        <v/>
      </c>
      <c r="D465" s="15" t="str">
        <f>IF(COUNTIFS(Master_PIC!$A$8:$A$73,$B465)=1,IF(VLOOKUP($B465,Master_PIC!$A$8:$G$73,4,FALSE)="","",VLOOKUP($B465,Master_PIC!$A$8:$G$73,4,FALSE)),"")</f>
        <v/>
      </c>
      <c r="E465" s="15" t="str">
        <f>IF(COUNTIFS(Master_PIC!$A$8:$A$73,$B465)=1,IF(VLOOKUP($B465,Master_PIC!$A$8:$G$73,5,FALSE)="","",VLOOKUP($B465,Master_PIC!$A$8:$G$73,5,FALSE)),"")</f>
        <v/>
      </c>
      <c r="F465" s="15" t="str">
        <f>IF(COUNTIFS(Master_PIC!$A$8:$A$73,$B465)=1,IF(VLOOKUP($B465,Master_PIC!$A$8:$G$73,6,FALSE)="","",VLOOKUP($B465,Master_PIC!$A$8:$G$73,6,FALSE)),"")</f>
        <v/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8"/>
      <c r="Y465" s="5"/>
      <c r="Z465" s="5"/>
      <c r="AA465" s="9"/>
      <c r="AB465" s="5"/>
      <c r="AC465" s="5"/>
      <c r="AD465" s="9"/>
      <c r="AE465" s="5"/>
      <c r="AF465" s="7" t="str">
        <f t="shared" si="49"/>
        <v/>
      </c>
      <c r="AG465" s="7" t="str">
        <f t="shared" si="50"/>
        <v/>
      </c>
      <c r="AH465" s="7" t="str">
        <f t="shared" si="51"/>
        <v/>
      </c>
      <c r="AI465" s="7" t="str">
        <f t="shared" si="52"/>
        <v/>
      </c>
      <c r="AJ465" s="7" t="str">
        <f t="shared" si="53"/>
        <v/>
      </c>
      <c r="AK465" s="7" t="str">
        <f t="shared" si="54"/>
        <v/>
      </c>
      <c r="AL465" s="10" t="str">
        <f t="shared" si="55"/>
        <v/>
      </c>
      <c r="AM465" s="15" t="str">
        <f>IF(OR($A465&lt;&gt;"",$B465&lt;&gt;""),IF(OR($A465="",$B465=""),"Isi tanggal dan ID PIC",IF(NOT(ISNUMBER($A465)),"Tanggal harus berupa tanggal Excel",IF(COUNTIFS(Master_PIC!$A$8:$A$73,$B465)&lt;&gt;1,"ID PIC tidak unik/terdaftar",IF(VLOOKUP($B465,Master_PIC!$A$8:$G$73,3,FALSE)&lt;&gt;"Sales","Jabatan tidak sesuai sheet",IF(OR($C465="",$D465="",$E465="",$F465=""),"Lengkapi master PIC",IF(COUNTIFS($A$8:$A$507,$A465,$B$8:$B$507,$B465)&gt;1,"Laporan ganda",IF(COUNTIFS(G465:P465,"Tidak Berlaku")&gt;0,"N/A hanya untuk kegiatan bersyarat",IF(SUM(AG465,AH465,AI465,AJ465,AK465)&lt;&gt;14,"Status kegiatan tidak valid",IF(AK465&gt;0,"Lengkapi status kegiatan",IF(AND(AJ465&gt;0,U465=""),"Isi alasan Tidak Berlaku",IF(AND(SUM(AH465,AI465)&gt;0,OR(U465="",V465="",W465="",X465="")),"Isi kendala dan tindak lanjut",IF(AND(Z465&lt;&gt;"Draft",Z465&lt;&gt;"Dikirim"),"Isi status laporan yang valid",IF(AND(AB465&lt;&gt;"",AB465&lt;&gt;"Belum Diperiksa",AB465&lt;&gt;"Disetujui",AB465&lt;&gt;"Perlu Perbaikan"),"Hasil review tidak valid",IF(AND(Z465="Dikirim",OR(Y465="",AA465="")),"Isi bukti dan waktu kirim",IF(AND(AB465="Disetujui",OR(Z465&lt;&gt;"Dikirim",AC465="",AD465="")),"Lengkapi pemeriksaan",IF(AND(AB465="Perlu Perbaikan",OR(AE465="",AC465="",AD465="")),"Isi pemeriksa dan catatan perbaikan","OK")))))))))))))))),"")</f>
        <v/>
      </c>
    </row>
    <row r="466" spans="1:39" ht="24.95" customHeight="1">
      <c r="A466" s="8"/>
      <c r="B466" s="6"/>
      <c r="C466" s="15" t="str">
        <f>IF(COUNTIFS(Master_PIC!$A$8:$A$73,$B466)=1,IF(VLOOKUP($B466,Master_PIC!$A$8:$G$73,2,FALSE)="","",VLOOKUP($B466,Master_PIC!$A$8:$G$73,2,FALSE)),"")</f>
        <v/>
      </c>
      <c r="D466" s="15" t="str">
        <f>IF(COUNTIFS(Master_PIC!$A$8:$A$73,$B466)=1,IF(VLOOKUP($B466,Master_PIC!$A$8:$G$73,4,FALSE)="","",VLOOKUP($B466,Master_PIC!$A$8:$G$73,4,FALSE)),"")</f>
        <v/>
      </c>
      <c r="E466" s="15" t="str">
        <f>IF(COUNTIFS(Master_PIC!$A$8:$A$73,$B466)=1,IF(VLOOKUP($B466,Master_PIC!$A$8:$G$73,5,FALSE)="","",VLOOKUP($B466,Master_PIC!$A$8:$G$73,5,FALSE)),"")</f>
        <v/>
      </c>
      <c r="F466" s="15" t="str">
        <f>IF(COUNTIFS(Master_PIC!$A$8:$A$73,$B466)=1,IF(VLOOKUP($B466,Master_PIC!$A$8:$G$73,6,FALSE)="","",VLOOKUP($B466,Master_PIC!$A$8:$G$73,6,FALSE)),"")</f>
        <v/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8"/>
      <c r="Y466" s="5"/>
      <c r="Z466" s="5"/>
      <c r="AA466" s="9"/>
      <c r="AB466" s="5"/>
      <c r="AC466" s="5"/>
      <c r="AD466" s="9"/>
      <c r="AE466" s="5"/>
      <c r="AF466" s="7" t="str">
        <f t="shared" si="49"/>
        <v/>
      </c>
      <c r="AG466" s="7" t="str">
        <f t="shared" si="50"/>
        <v/>
      </c>
      <c r="AH466" s="7" t="str">
        <f t="shared" si="51"/>
        <v/>
      </c>
      <c r="AI466" s="7" t="str">
        <f t="shared" si="52"/>
        <v/>
      </c>
      <c r="AJ466" s="7" t="str">
        <f t="shared" si="53"/>
        <v/>
      </c>
      <c r="AK466" s="7" t="str">
        <f t="shared" si="54"/>
        <v/>
      </c>
      <c r="AL466" s="10" t="str">
        <f t="shared" si="55"/>
        <v/>
      </c>
      <c r="AM466" s="15" t="str">
        <f>IF(OR($A466&lt;&gt;"",$B466&lt;&gt;""),IF(OR($A466="",$B466=""),"Isi tanggal dan ID PIC",IF(NOT(ISNUMBER($A466)),"Tanggal harus berupa tanggal Excel",IF(COUNTIFS(Master_PIC!$A$8:$A$73,$B466)&lt;&gt;1,"ID PIC tidak unik/terdaftar",IF(VLOOKUP($B466,Master_PIC!$A$8:$G$73,3,FALSE)&lt;&gt;"Sales","Jabatan tidak sesuai sheet",IF(OR($C466="",$D466="",$E466="",$F466=""),"Lengkapi master PIC",IF(COUNTIFS($A$8:$A$507,$A466,$B$8:$B$507,$B466)&gt;1,"Laporan ganda",IF(COUNTIFS(G466:P466,"Tidak Berlaku")&gt;0,"N/A hanya untuk kegiatan bersyarat",IF(SUM(AG466,AH466,AI466,AJ466,AK466)&lt;&gt;14,"Status kegiatan tidak valid",IF(AK466&gt;0,"Lengkapi status kegiatan",IF(AND(AJ466&gt;0,U466=""),"Isi alasan Tidak Berlaku",IF(AND(SUM(AH466,AI466)&gt;0,OR(U466="",V466="",W466="",X466="")),"Isi kendala dan tindak lanjut",IF(AND(Z466&lt;&gt;"Draft",Z466&lt;&gt;"Dikirim"),"Isi status laporan yang valid",IF(AND(AB466&lt;&gt;"",AB466&lt;&gt;"Belum Diperiksa",AB466&lt;&gt;"Disetujui",AB466&lt;&gt;"Perlu Perbaikan"),"Hasil review tidak valid",IF(AND(Z466="Dikirim",OR(Y466="",AA466="")),"Isi bukti dan waktu kirim",IF(AND(AB466="Disetujui",OR(Z466&lt;&gt;"Dikirim",AC466="",AD466="")),"Lengkapi pemeriksaan",IF(AND(AB466="Perlu Perbaikan",OR(AE466="",AC466="",AD466="")),"Isi pemeriksa dan catatan perbaikan","OK")))))))))))))))),"")</f>
        <v/>
      </c>
    </row>
    <row r="467" spans="1:39" ht="24.95" customHeight="1">
      <c r="A467" s="8"/>
      <c r="B467" s="6"/>
      <c r="C467" s="15" t="str">
        <f>IF(COUNTIFS(Master_PIC!$A$8:$A$73,$B467)=1,IF(VLOOKUP($B467,Master_PIC!$A$8:$G$73,2,FALSE)="","",VLOOKUP($B467,Master_PIC!$A$8:$G$73,2,FALSE)),"")</f>
        <v/>
      </c>
      <c r="D467" s="15" t="str">
        <f>IF(COUNTIFS(Master_PIC!$A$8:$A$73,$B467)=1,IF(VLOOKUP($B467,Master_PIC!$A$8:$G$73,4,FALSE)="","",VLOOKUP($B467,Master_PIC!$A$8:$G$73,4,FALSE)),"")</f>
        <v/>
      </c>
      <c r="E467" s="15" t="str">
        <f>IF(COUNTIFS(Master_PIC!$A$8:$A$73,$B467)=1,IF(VLOOKUP($B467,Master_PIC!$A$8:$G$73,5,FALSE)="","",VLOOKUP($B467,Master_PIC!$A$8:$G$73,5,FALSE)),"")</f>
        <v/>
      </c>
      <c r="F467" s="15" t="str">
        <f>IF(COUNTIFS(Master_PIC!$A$8:$A$73,$B467)=1,IF(VLOOKUP($B467,Master_PIC!$A$8:$G$73,6,FALSE)="","",VLOOKUP($B467,Master_PIC!$A$8:$G$73,6,FALSE)),"")</f>
        <v/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8"/>
      <c r="Y467" s="5"/>
      <c r="Z467" s="5"/>
      <c r="AA467" s="9"/>
      <c r="AB467" s="5"/>
      <c r="AC467" s="5"/>
      <c r="AD467" s="9"/>
      <c r="AE467" s="5"/>
      <c r="AF467" s="7" t="str">
        <f t="shared" si="49"/>
        <v/>
      </c>
      <c r="AG467" s="7" t="str">
        <f t="shared" si="50"/>
        <v/>
      </c>
      <c r="AH467" s="7" t="str">
        <f t="shared" si="51"/>
        <v/>
      </c>
      <c r="AI467" s="7" t="str">
        <f t="shared" si="52"/>
        <v/>
      </c>
      <c r="AJ467" s="7" t="str">
        <f t="shared" si="53"/>
        <v/>
      </c>
      <c r="AK467" s="7" t="str">
        <f t="shared" si="54"/>
        <v/>
      </c>
      <c r="AL467" s="10" t="str">
        <f t="shared" si="55"/>
        <v/>
      </c>
      <c r="AM467" s="15" t="str">
        <f>IF(OR($A467&lt;&gt;"",$B467&lt;&gt;""),IF(OR($A467="",$B467=""),"Isi tanggal dan ID PIC",IF(NOT(ISNUMBER($A467)),"Tanggal harus berupa tanggal Excel",IF(COUNTIFS(Master_PIC!$A$8:$A$73,$B467)&lt;&gt;1,"ID PIC tidak unik/terdaftar",IF(VLOOKUP($B467,Master_PIC!$A$8:$G$73,3,FALSE)&lt;&gt;"Sales","Jabatan tidak sesuai sheet",IF(OR($C467="",$D467="",$E467="",$F467=""),"Lengkapi master PIC",IF(COUNTIFS($A$8:$A$507,$A467,$B$8:$B$507,$B467)&gt;1,"Laporan ganda",IF(COUNTIFS(G467:P467,"Tidak Berlaku")&gt;0,"N/A hanya untuk kegiatan bersyarat",IF(SUM(AG467,AH467,AI467,AJ467,AK467)&lt;&gt;14,"Status kegiatan tidak valid",IF(AK467&gt;0,"Lengkapi status kegiatan",IF(AND(AJ467&gt;0,U467=""),"Isi alasan Tidak Berlaku",IF(AND(SUM(AH467,AI467)&gt;0,OR(U467="",V467="",W467="",X467="")),"Isi kendala dan tindak lanjut",IF(AND(Z467&lt;&gt;"Draft",Z467&lt;&gt;"Dikirim"),"Isi status laporan yang valid",IF(AND(AB467&lt;&gt;"",AB467&lt;&gt;"Belum Diperiksa",AB467&lt;&gt;"Disetujui",AB467&lt;&gt;"Perlu Perbaikan"),"Hasil review tidak valid",IF(AND(Z467="Dikirim",OR(Y467="",AA467="")),"Isi bukti dan waktu kirim",IF(AND(AB467="Disetujui",OR(Z467&lt;&gt;"Dikirim",AC467="",AD467="")),"Lengkapi pemeriksaan",IF(AND(AB467="Perlu Perbaikan",OR(AE467="",AC467="",AD467="")),"Isi pemeriksa dan catatan perbaikan","OK")))))))))))))))),"")</f>
        <v/>
      </c>
    </row>
    <row r="468" spans="1:39" ht="24.95" customHeight="1">
      <c r="A468" s="8"/>
      <c r="B468" s="6"/>
      <c r="C468" s="15" t="str">
        <f>IF(COUNTIFS(Master_PIC!$A$8:$A$73,$B468)=1,IF(VLOOKUP($B468,Master_PIC!$A$8:$G$73,2,FALSE)="","",VLOOKUP($B468,Master_PIC!$A$8:$G$73,2,FALSE)),"")</f>
        <v/>
      </c>
      <c r="D468" s="15" t="str">
        <f>IF(COUNTIFS(Master_PIC!$A$8:$A$73,$B468)=1,IF(VLOOKUP($B468,Master_PIC!$A$8:$G$73,4,FALSE)="","",VLOOKUP($B468,Master_PIC!$A$8:$G$73,4,FALSE)),"")</f>
        <v/>
      </c>
      <c r="E468" s="15" t="str">
        <f>IF(COUNTIFS(Master_PIC!$A$8:$A$73,$B468)=1,IF(VLOOKUP($B468,Master_PIC!$A$8:$G$73,5,FALSE)="","",VLOOKUP($B468,Master_PIC!$A$8:$G$73,5,FALSE)),"")</f>
        <v/>
      </c>
      <c r="F468" s="15" t="str">
        <f>IF(COUNTIFS(Master_PIC!$A$8:$A$73,$B468)=1,IF(VLOOKUP($B468,Master_PIC!$A$8:$G$73,6,FALSE)="","",VLOOKUP($B468,Master_PIC!$A$8:$G$73,6,FALSE)),"")</f>
        <v/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8"/>
      <c r="Y468" s="5"/>
      <c r="Z468" s="5"/>
      <c r="AA468" s="9"/>
      <c r="AB468" s="5"/>
      <c r="AC468" s="5"/>
      <c r="AD468" s="9"/>
      <c r="AE468" s="5"/>
      <c r="AF468" s="7" t="str">
        <f t="shared" si="49"/>
        <v/>
      </c>
      <c r="AG468" s="7" t="str">
        <f t="shared" si="50"/>
        <v/>
      </c>
      <c r="AH468" s="7" t="str">
        <f t="shared" si="51"/>
        <v/>
      </c>
      <c r="AI468" s="7" t="str">
        <f t="shared" si="52"/>
        <v/>
      </c>
      <c r="AJ468" s="7" t="str">
        <f t="shared" si="53"/>
        <v/>
      </c>
      <c r="AK468" s="7" t="str">
        <f t="shared" si="54"/>
        <v/>
      </c>
      <c r="AL468" s="10" t="str">
        <f t="shared" si="55"/>
        <v/>
      </c>
      <c r="AM468" s="15" t="str">
        <f>IF(OR($A468&lt;&gt;"",$B468&lt;&gt;""),IF(OR($A468="",$B468=""),"Isi tanggal dan ID PIC",IF(NOT(ISNUMBER($A468)),"Tanggal harus berupa tanggal Excel",IF(COUNTIFS(Master_PIC!$A$8:$A$73,$B468)&lt;&gt;1,"ID PIC tidak unik/terdaftar",IF(VLOOKUP($B468,Master_PIC!$A$8:$G$73,3,FALSE)&lt;&gt;"Sales","Jabatan tidak sesuai sheet",IF(OR($C468="",$D468="",$E468="",$F468=""),"Lengkapi master PIC",IF(COUNTIFS($A$8:$A$507,$A468,$B$8:$B$507,$B468)&gt;1,"Laporan ganda",IF(COUNTIFS(G468:P468,"Tidak Berlaku")&gt;0,"N/A hanya untuk kegiatan bersyarat",IF(SUM(AG468,AH468,AI468,AJ468,AK468)&lt;&gt;14,"Status kegiatan tidak valid",IF(AK468&gt;0,"Lengkapi status kegiatan",IF(AND(AJ468&gt;0,U468=""),"Isi alasan Tidak Berlaku",IF(AND(SUM(AH468,AI468)&gt;0,OR(U468="",V468="",W468="",X468="")),"Isi kendala dan tindak lanjut",IF(AND(Z468&lt;&gt;"Draft",Z468&lt;&gt;"Dikirim"),"Isi status laporan yang valid",IF(AND(AB468&lt;&gt;"",AB468&lt;&gt;"Belum Diperiksa",AB468&lt;&gt;"Disetujui",AB468&lt;&gt;"Perlu Perbaikan"),"Hasil review tidak valid",IF(AND(Z468="Dikirim",OR(Y468="",AA468="")),"Isi bukti dan waktu kirim",IF(AND(AB468="Disetujui",OR(Z468&lt;&gt;"Dikirim",AC468="",AD468="")),"Lengkapi pemeriksaan",IF(AND(AB468="Perlu Perbaikan",OR(AE468="",AC468="",AD468="")),"Isi pemeriksa dan catatan perbaikan","OK")))))))))))))))),"")</f>
        <v/>
      </c>
    </row>
    <row r="469" spans="1:39" ht="24.95" customHeight="1">
      <c r="A469" s="8"/>
      <c r="B469" s="6"/>
      <c r="C469" s="15" t="str">
        <f>IF(COUNTIFS(Master_PIC!$A$8:$A$73,$B469)=1,IF(VLOOKUP($B469,Master_PIC!$A$8:$G$73,2,FALSE)="","",VLOOKUP($B469,Master_PIC!$A$8:$G$73,2,FALSE)),"")</f>
        <v/>
      </c>
      <c r="D469" s="15" t="str">
        <f>IF(COUNTIFS(Master_PIC!$A$8:$A$73,$B469)=1,IF(VLOOKUP($B469,Master_PIC!$A$8:$G$73,4,FALSE)="","",VLOOKUP($B469,Master_PIC!$A$8:$G$73,4,FALSE)),"")</f>
        <v/>
      </c>
      <c r="E469" s="15" t="str">
        <f>IF(COUNTIFS(Master_PIC!$A$8:$A$73,$B469)=1,IF(VLOOKUP($B469,Master_PIC!$A$8:$G$73,5,FALSE)="","",VLOOKUP($B469,Master_PIC!$A$8:$G$73,5,FALSE)),"")</f>
        <v/>
      </c>
      <c r="F469" s="15" t="str">
        <f>IF(COUNTIFS(Master_PIC!$A$8:$A$73,$B469)=1,IF(VLOOKUP($B469,Master_PIC!$A$8:$G$73,6,FALSE)="","",VLOOKUP($B469,Master_PIC!$A$8:$G$73,6,FALSE)),"")</f>
        <v/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8"/>
      <c r="Y469" s="5"/>
      <c r="Z469" s="5"/>
      <c r="AA469" s="9"/>
      <c r="AB469" s="5"/>
      <c r="AC469" s="5"/>
      <c r="AD469" s="9"/>
      <c r="AE469" s="5"/>
      <c r="AF469" s="7" t="str">
        <f t="shared" si="49"/>
        <v/>
      </c>
      <c r="AG469" s="7" t="str">
        <f t="shared" si="50"/>
        <v/>
      </c>
      <c r="AH469" s="7" t="str">
        <f t="shared" si="51"/>
        <v/>
      </c>
      <c r="AI469" s="7" t="str">
        <f t="shared" si="52"/>
        <v/>
      </c>
      <c r="AJ469" s="7" t="str">
        <f t="shared" si="53"/>
        <v/>
      </c>
      <c r="AK469" s="7" t="str">
        <f t="shared" si="54"/>
        <v/>
      </c>
      <c r="AL469" s="10" t="str">
        <f t="shared" si="55"/>
        <v/>
      </c>
      <c r="AM469" s="15" t="str">
        <f>IF(OR($A469&lt;&gt;"",$B469&lt;&gt;""),IF(OR($A469="",$B469=""),"Isi tanggal dan ID PIC",IF(NOT(ISNUMBER($A469)),"Tanggal harus berupa tanggal Excel",IF(COUNTIFS(Master_PIC!$A$8:$A$73,$B469)&lt;&gt;1,"ID PIC tidak unik/terdaftar",IF(VLOOKUP($B469,Master_PIC!$A$8:$G$73,3,FALSE)&lt;&gt;"Sales","Jabatan tidak sesuai sheet",IF(OR($C469="",$D469="",$E469="",$F469=""),"Lengkapi master PIC",IF(COUNTIFS($A$8:$A$507,$A469,$B$8:$B$507,$B469)&gt;1,"Laporan ganda",IF(COUNTIFS(G469:P469,"Tidak Berlaku")&gt;0,"N/A hanya untuk kegiatan bersyarat",IF(SUM(AG469,AH469,AI469,AJ469,AK469)&lt;&gt;14,"Status kegiatan tidak valid",IF(AK469&gt;0,"Lengkapi status kegiatan",IF(AND(AJ469&gt;0,U469=""),"Isi alasan Tidak Berlaku",IF(AND(SUM(AH469,AI469)&gt;0,OR(U469="",V469="",W469="",X469="")),"Isi kendala dan tindak lanjut",IF(AND(Z469&lt;&gt;"Draft",Z469&lt;&gt;"Dikirim"),"Isi status laporan yang valid",IF(AND(AB469&lt;&gt;"",AB469&lt;&gt;"Belum Diperiksa",AB469&lt;&gt;"Disetujui",AB469&lt;&gt;"Perlu Perbaikan"),"Hasil review tidak valid",IF(AND(Z469="Dikirim",OR(Y469="",AA469="")),"Isi bukti dan waktu kirim",IF(AND(AB469="Disetujui",OR(Z469&lt;&gt;"Dikirim",AC469="",AD469="")),"Lengkapi pemeriksaan",IF(AND(AB469="Perlu Perbaikan",OR(AE469="",AC469="",AD469="")),"Isi pemeriksa dan catatan perbaikan","OK")))))))))))))))),"")</f>
        <v/>
      </c>
    </row>
    <row r="470" spans="1:39" ht="24.95" customHeight="1">
      <c r="A470" s="8"/>
      <c r="B470" s="6"/>
      <c r="C470" s="15" t="str">
        <f>IF(COUNTIFS(Master_PIC!$A$8:$A$73,$B470)=1,IF(VLOOKUP($B470,Master_PIC!$A$8:$G$73,2,FALSE)="","",VLOOKUP($B470,Master_PIC!$A$8:$G$73,2,FALSE)),"")</f>
        <v/>
      </c>
      <c r="D470" s="15" t="str">
        <f>IF(COUNTIFS(Master_PIC!$A$8:$A$73,$B470)=1,IF(VLOOKUP($B470,Master_PIC!$A$8:$G$73,4,FALSE)="","",VLOOKUP($B470,Master_PIC!$A$8:$G$73,4,FALSE)),"")</f>
        <v/>
      </c>
      <c r="E470" s="15" t="str">
        <f>IF(COUNTIFS(Master_PIC!$A$8:$A$73,$B470)=1,IF(VLOOKUP($B470,Master_PIC!$A$8:$G$73,5,FALSE)="","",VLOOKUP($B470,Master_PIC!$A$8:$G$73,5,FALSE)),"")</f>
        <v/>
      </c>
      <c r="F470" s="15" t="str">
        <f>IF(COUNTIFS(Master_PIC!$A$8:$A$73,$B470)=1,IF(VLOOKUP($B470,Master_PIC!$A$8:$G$73,6,FALSE)="","",VLOOKUP($B470,Master_PIC!$A$8:$G$73,6,FALSE)),"")</f>
        <v/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8"/>
      <c r="Y470" s="5"/>
      <c r="Z470" s="5"/>
      <c r="AA470" s="9"/>
      <c r="AB470" s="5"/>
      <c r="AC470" s="5"/>
      <c r="AD470" s="9"/>
      <c r="AE470" s="5"/>
      <c r="AF470" s="7" t="str">
        <f t="shared" si="49"/>
        <v/>
      </c>
      <c r="AG470" s="7" t="str">
        <f t="shared" si="50"/>
        <v/>
      </c>
      <c r="AH470" s="7" t="str">
        <f t="shared" si="51"/>
        <v/>
      </c>
      <c r="AI470" s="7" t="str">
        <f t="shared" si="52"/>
        <v/>
      </c>
      <c r="AJ470" s="7" t="str">
        <f t="shared" si="53"/>
        <v/>
      </c>
      <c r="AK470" s="7" t="str">
        <f t="shared" si="54"/>
        <v/>
      </c>
      <c r="AL470" s="10" t="str">
        <f t="shared" si="55"/>
        <v/>
      </c>
      <c r="AM470" s="15" t="str">
        <f>IF(OR($A470&lt;&gt;"",$B470&lt;&gt;""),IF(OR($A470="",$B470=""),"Isi tanggal dan ID PIC",IF(NOT(ISNUMBER($A470)),"Tanggal harus berupa tanggal Excel",IF(COUNTIFS(Master_PIC!$A$8:$A$73,$B470)&lt;&gt;1,"ID PIC tidak unik/terdaftar",IF(VLOOKUP($B470,Master_PIC!$A$8:$G$73,3,FALSE)&lt;&gt;"Sales","Jabatan tidak sesuai sheet",IF(OR($C470="",$D470="",$E470="",$F470=""),"Lengkapi master PIC",IF(COUNTIFS($A$8:$A$507,$A470,$B$8:$B$507,$B470)&gt;1,"Laporan ganda",IF(COUNTIFS(G470:P470,"Tidak Berlaku")&gt;0,"N/A hanya untuk kegiatan bersyarat",IF(SUM(AG470,AH470,AI470,AJ470,AK470)&lt;&gt;14,"Status kegiatan tidak valid",IF(AK470&gt;0,"Lengkapi status kegiatan",IF(AND(AJ470&gt;0,U470=""),"Isi alasan Tidak Berlaku",IF(AND(SUM(AH470,AI470)&gt;0,OR(U470="",V470="",W470="",X470="")),"Isi kendala dan tindak lanjut",IF(AND(Z470&lt;&gt;"Draft",Z470&lt;&gt;"Dikirim"),"Isi status laporan yang valid",IF(AND(AB470&lt;&gt;"",AB470&lt;&gt;"Belum Diperiksa",AB470&lt;&gt;"Disetujui",AB470&lt;&gt;"Perlu Perbaikan"),"Hasil review tidak valid",IF(AND(Z470="Dikirim",OR(Y470="",AA470="")),"Isi bukti dan waktu kirim",IF(AND(AB470="Disetujui",OR(Z470&lt;&gt;"Dikirim",AC470="",AD470="")),"Lengkapi pemeriksaan",IF(AND(AB470="Perlu Perbaikan",OR(AE470="",AC470="",AD470="")),"Isi pemeriksa dan catatan perbaikan","OK")))))))))))))))),"")</f>
        <v/>
      </c>
    </row>
    <row r="471" spans="1:39" ht="24.95" customHeight="1">
      <c r="A471" s="8"/>
      <c r="B471" s="6"/>
      <c r="C471" s="15" t="str">
        <f>IF(COUNTIFS(Master_PIC!$A$8:$A$73,$B471)=1,IF(VLOOKUP($B471,Master_PIC!$A$8:$G$73,2,FALSE)="","",VLOOKUP($B471,Master_PIC!$A$8:$G$73,2,FALSE)),"")</f>
        <v/>
      </c>
      <c r="D471" s="15" t="str">
        <f>IF(COUNTIFS(Master_PIC!$A$8:$A$73,$B471)=1,IF(VLOOKUP($B471,Master_PIC!$A$8:$G$73,4,FALSE)="","",VLOOKUP($B471,Master_PIC!$A$8:$G$73,4,FALSE)),"")</f>
        <v/>
      </c>
      <c r="E471" s="15" t="str">
        <f>IF(COUNTIFS(Master_PIC!$A$8:$A$73,$B471)=1,IF(VLOOKUP($B471,Master_PIC!$A$8:$G$73,5,FALSE)="","",VLOOKUP($B471,Master_PIC!$A$8:$G$73,5,FALSE)),"")</f>
        <v/>
      </c>
      <c r="F471" s="15" t="str">
        <f>IF(COUNTIFS(Master_PIC!$A$8:$A$73,$B471)=1,IF(VLOOKUP($B471,Master_PIC!$A$8:$G$73,6,FALSE)="","",VLOOKUP($B471,Master_PIC!$A$8:$G$73,6,FALSE)),"")</f>
        <v/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8"/>
      <c r="Y471" s="5"/>
      <c r="Z471" s="5"/>
      <c r="AA471" s="9"/>
      <c r="AB471" s="5"/>
      <c r="AC471" s="5"/>
      <c r="AD471" s="9"/>
      <c r="AE471" s="5"/>
      <c r="AF471" s="7" t="str">
        <f t="shared" si="49"/>
        <v/>
      </c>
      <c r="AG471" s="7" t="str">
        <f t="shared" si="50"/>
        <v/>
      </c>
      <c r="AH471" s="7" t="str">
        <f t="shared" si="51"/>
        <v/>
      </c>
      <c r="AI471" s="7" t="str">
        <f t="shared" si="52"/>
        <v/>
      </c>
      <c r="AJ471" s="7" t="str">
        <f t="shared" si="53"/>
        <v/>
      </c>
      <c r="AK471" s="7" t="str">
        <f t="shared" si="54"/>
        <v/>
      </c>
      <c r="AL471" s="10" t="str">
        <f t="shared" si="55"/>
        <v/>
      </c>
      <c r="AM471" s="15" t="str">
        <f>IF(OR($A471&lt;&gt;"",$B471&lt;&gt;""),IF(OR($A471="",$B471=""),"Isi tanggal dan ID PIC",IF(NOT(ISNUMBER($A471)),"Tanggal harus berupa tanggal Excel",IF(COUNTIFS(Master_PIC!$A$8:$A$73,$B471)&lt;&gt;1,"ID PIC tidak unik/terdaftar",IF(VLOOKUP($B471,Master_PIC!$A$8:$G$73,3,FALSE)&lt;&gt;"Sales","Jabatan tidak sesuai sheet",IF(OR($C471="",$D471="",$E471="",$F471=""),"Lengkapi master PIC",IF(COUNTIFS($A$8:$A$507,$A471,$B$8:$B$507,$B471)&gt;1,"Laporan ganda",IF(COUNTIFS(G471:P471,"Tidak Berlaku")&gt;0,"N/A hanya untuk kegiatan bersyarat",IF(SUM(AG471,AH471,AI471,AJ471,AK471)&lt;&gt;14,"Status kegiatan tidak valid",IF(AK471&gt;0,"Lengkapi status kegiatan",IF(AND(AJ471&gt;0,U471=""),"Isi alasan Tidak Berlaku",IF(AND(SUM(AH471,AI471)&gt;0,OR(U471="",V471="",W471="",X471="")),"Isi kendala dan tindak lanjut",IF(AND(Z471&lt;&gt;"Draft",Z471&lt;&gt;"Dikirim"),"Isi status laporan yang valid",IF(AND(AB471&lt;&gt;"",AB471&lt;&gt;"Belum Diperiksa",AB471&lt;&gt;"Disetujui",AB471&lt;&gt;"Perlu Perbaikan"),"Hasil review tidak valid",IF(AND(Z471="Dikirim",OR(Y471="",AA471="")),"Isi bukti dan waktu kirim",IF(AND(AB471="Disetujui",OR(Z471&lt;&gt;"Dikirim",AC471="",AD471="")),"Lengkapi pemeriksaan",IF(AND(AB471="Perlu Perbaikan",OR(AE471="",AC471="",AD471="")),"Isi pemeriksa dan catatan perbaikan","OK")))))))))))))))),"")</f>
        <v/>
      </c>
    </row>
    <row r="472" spans="1:39" ht="24.95" customHeight="1">
      <c r="A472" s="8"/>
      <c r="B472" s="6"/>
      <c r="C472" s="15" t="str">
        <f>IF(COUNTIFS(Master_PIC!$A$8:$A$73,$B472)=1,IF(VLOOKUP($B472,Master_PIC!$A$8:$G$73,2,FALSE)="","",VLOOKUP($B472,Master_PIC!$A$8:$G$73,2,FALSE)),"")</f>
        <v/>
      </c>
      <c r="D472" s="15" t="str">
        <f>IF(COUNTIFS(Master_PIC!$A$8:$A$73,$B472)=1,IF(VLOOKUP($B472,Master_PIC!$A$8:$G$73,4,FALSE)="","",VLOOKUP($B472,Master_PIC!$A$8:$G$73,4,FALSE)),"")</f>
        <v/>
      </c>
      <c r="E472" s="15" t="str">
        <f>IF(COUNTIFS(Master_PIC!$A$8:$A$73,$B472)=1,IF(VLOOKUP($B472,Master_PIC!$A$8:$G$73,5,FALSE)="","",VLOOKUP($B472,Master_PIC!$A$8:$G$73,5,FALSE)),"")</f>
        <v/>
      </c>
      <c r="F472" s="15" t="str">
        <f>IF(COUNTIFS(Master_PIC!$A$8:$A$73,$B472)=1,IF(VLOOKUP($B472,Master_PIC!$A$8:$G$73,6,FALSE)="","",VLOOKUP($B472,Master_PIC!$A$8:$G$73,6,FALSE)),"")</f>
        <v/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8"/>
      <c r="Y472" s="5"/>
      <c r="Z472" s="5"/>
      <c r="AA472" s="9"/>
      <c r="AB472" s="5"/>
      <c r="AC472" s="5"/>
      <c r="AD472" s="9"/>
      <c r="AE472" s="5"/>
      <c r="AF472" s="7" t="str">
        <f t="shared" si="49"/>
        <v/>
      </c>
      <c r="AG472" s="7" t="str">
        <f t="shared" si="50"/>
        <v/>
      </c>
      <c r="AH472" s="7" t="str">
        <f t="shared" si="51"/>
        <v/>
      </c>
      <c r="AI472" s="7" t="str">
        <f t="shared" si="52"/>
        <v/>
      </c>
      <c r="AJ472" s="7" t="str">
        <f t="shared" si="53"/>
        <v/>
      </c>
      <c r="AK472" s="7" t="str">
        <f t="shared" si="54"/>
        <v/>
      </c>
      <c r="AL472" s="10" t="str">
        <f t="shared" si="55"/>
        <v/>
      </c>
      <c r="AM472" s="15" t="str">
        <f>IF(OR($A472&lt;&gt;"",$B472&lt;&gt;""),IF(OR($A472="",$B472=""),"Isi tanggal dan ID PIC",IF(NOT(ISNUMBER($A472)),"Tanggal harus berupa tanggal Excel",IF(COUNTIFS(Master_PIC!$A$8:$A$73,$B472)&lt;&gt;1,"ID PIC tidak unik/terdaftar",IF(VLOOKUP($B472,Master_PIC!$A$8:$G$73,3,FALSE)&lt;&gt;"Sales","Jabatan tidak sesuai sheet",IF(OR($C472="",$D472="",$E472="",$F472=""),"Lengkapi master PIC",IF(COUNTIFS($A$8:$A$507,$A472,$B$8:$B$507,$B472)&gt;1,"Laporan ganda",IF(COUNTIFS(G472:P472,"Tidak Berlaku")&gt;0,"N/A hanya untuk kegiatan bersyarat",IF(SUM(AG472,AH472,AI472,AJ472,AK472)&lt;&gt;14,"Status kegiatan tidak valid",IF(AK472&gt;0,"Lengkapi status kegiatan",IF(AND(AJ472&gt;0,U472=""),"Isi alasan Tidak Berlaku",IF(AND(SUM(AH472,AI472)&gt;0,OR(U472="",V472="",W472="",X472="")),"Isi kendala dan tindak lanjut",IF(AND(Z472&lt;&gt;"Draft",Z472&lt;&gt;"Dikirim"),"Isi status laporan yang valid",IF(AND(AB472&lt;&gt;"",AB472&lt;&gt;"Belum Diperiksa",AB472&lt;&gt;"Disetujui",AB472&lt;&gt;"Perlu Perbaikan"),"Hasil review tidak valid",IF(AND(Z472="Dikirim",OR(Y472="",AA472="")),"Isi bukti dan waktu kirim",IF(AND(AB472="Disetujui",OR(Z472&lt;&gt;"Dikirim",AC472="",AD472="")),"Lengkapi pemeriksaan",IF(AND(AB472="Perlu Perbaikan",OR(AE472="",AC472="",AD472="")),"Isi pemeriksa dan catatan perbaikan","OK")))))))))))))))),"")</f>
        <v/>
      </c>
    </row>
    <row r="473" spans="1:39" ht="24.95" customHeight="1">
      <c r="A473" s="8"/>
      <c r="B473" s="6"/>
      <c r="C473" s="15" t="str">
        <f>IF(COUNTIFS(Master_PIC!$A$8:$A$73,$B473)=1,IF(VLOOKUP($B473,Master_PIC!$A$8:$G$73,2,FALSE)="","",VLOOKUP($B473,Master_PIC!$A$8:$G$73,2,FALSE)),"")</f>
        <v/>
      </c>
      <c r="D473" s="15" t="str">
        <f>IF(COUNTIFS(Master_PIC!$A$8:$A$73,$B473)=1,IF(VLOOKUP($B473,Master_PIC!$A$8:$G$73,4,FALSE)="","",VLOOKUP($B473,Master_PIC!$A$8:$G$73,4,FALSE)),"")</f>
        <v/>
      </c>
      <c r="E473" s="15" t="str">
        <f>IF(COUNTIFS(Master_PIC!$A$8:$A$73,$B473)=1,IF(VLOOKUP($B473,Master_PIC!$A$8:$G$73,5,FALSE)="","",VLOOKUP($B473,Master_PIC!$A$8:$G$73,5,FALSE)),"")</f>
        <v/>
      </c>
      <c r="F473" s="15" t="str">
        <f>IF(COUNTIFS(Master_PIC!$A$8:$A$73,$B473)=1,IF(VLOOKUP($B473,Master_PIC!$A$8:$G$73,6,FALSE)="","",VLOOKUP($B473,Master_PIC!$A$8:$G$73,6,FALSE)),"")</f>
        <v/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8"/>
      <c r="Y473" s="5"/>
      <c r="Z473" s="5"/>
      <c r="AA473" s="9"/>
      <c r="AB473" s="5"/>
      <c r="AC473" s="5"/>
      <c r="AD473" s="9"/>
      <c r="AE473" s="5"/>
      <c r="AF473" s="7" t="str">
        <f t="shared" si="49"/>
        <v/>
      </c>
      <c r="AG473" s="7" t="str">
        <f t="shared" si="50"/>
        <v/>
      </c>
      <c r="AH473" s="7" t="str">
        <f t="shared" si="51"/>
        <v/>
      </c>
      <c r="AI473" s="7" t="str">
        <f t="shared" si="52"/>
        <v/>
      </c>
      <c r="AJ473" s="7" t="str">
        <f t="shared" si="53"/>
        <v/>
      </c>
      <c r="AK473" s="7" t="str">
        <f t="shared" si="54"/>
        <v/>
      </c>
      <c r="AL473" s="10" t="str">
        <f t="shared" si="55"/>
        <v/>
      </c>
      <c r="AM473" s="15" t="str">
        <f>IF(OR($A473&lt;&gt;"",$B473&lt;&gt;""),IF(OR($A473="",$B473=""),"Isi tanggal dan ID PIC",IF(NOT(ISNUMBER($A473)),"Tanggal harus berupa tanggal Excel",IF(COUNTIFS(Master_PIC!$A$8:$A$73,$B473)&lt;&gt;1,"ID PIC tidak unik/terdaftar",IF(VLOOKUP($B473,Master_PIC!$A$8:$G$73,3,FALSE)&lt;&gt;"Sales","Jabatan tidak sesuai sheet",IF(OR($C473="",$D473="",$E473="",$F473=""),"Lengkapi master PIC",IF(COUNTIFS($A$8:$A$507,$A473,$B$8:$B$507,$B473)&gt;1,"Laporan ganda",IF(COUNTIFS(G473:P473,"Tidak Berlaku")&gt;0,"N/A hanya untuk kegiatan bersyarat",IF(SUM(AG473,AH473,AI473,AJ473,AK473)&lt;&gt;14,"Status kegiatan tidak valid",IF(AK473&gt;0,"Lengkapi status kegiatan",IF(AND(AJ473&gt;0,U473=""),"Isi alasan Tidak Berlaku",IF(AND(SUM(AH473,AI473)&gt;0,OR(U473="",V473="",W473="",X473="")),"Isi kendala dan tindak lanjut",IF(AND(Z473&lt;&gt;"Draft",Z473&lt;&gt;"Dikirim"),"Isi status laporan yang valid",IF(AND(AB473&lt;&gt;"",AB473&lt;&gt;"Belum Diperiksa",AB473&lt;&gt;"Disetujui",AB473&lt;&gt;"Perlu Perbaikan"),"Hasil review tidak valid",IF(AND(Z473="Dikirim",OR(Y473="",AA473="")),"Isi bukti dan waktu kirim",IF(AND(AB473="Disetujui",OR(Z473&lt;&gt;"Dikirim",AC473="",AD473="")),"Lengkapi pemeriksaan",IF(AND(AB473="Perlu Perbaikan",OR(AE473="",AC473="",AD473="")),"Isi pemeriksa dan catatan perbaikan","OK")))))))))))))))),"")</f>
        <v/>
      </c>
    </row>
    <row r="474" spans="1:39" ht="24.95" customHeight="1">
      <c r="A474" s="8"/>
      <c r="B474" s="6"/>
      <c r="C474" s="15" t="str">
        <f>IF(COUNTIFS(Master_PIC!$A$8:$A$73,$B474)=1,IF(VLOOKUP($B474,Master_PIC!$A$8:$G$73,2,FALSE)="","",VLOOKUP($B474,Master_PIC!$A$8:$G$73,2,FALSE)),"")</f>
        <v/>
      </c>
      <c r="D474" s="15" t="str">
        <f>IF(COUNTIFS(Master_PIC!$A$8:$A$73,$B474)=1,IF(VLOOKUP($B474,Master_PIC!$A$8:$G$73,4,FALSE)="","",VLOOKUP($B474,Master_PIC!$A$8:$G$73,4,FALSE)),"")</f>
        <v/>
      </c>
      <c r="E474" s="15" t="str">
        <f>IF(COUNTIFS(Master_PIC!$A$8:$A$73,$B474)=1,IF(VLOOKUP($B474,Master_PIC!$A$8:$G$73,5,FALSE)="","",VLOOKUP($B474,Master_PIC!$A$8:$G$73,5,FALSE)),"")</f>
        <v/>
      </c>
      <c r="F474" s="15" t="str">
        <f>IF(COUNTIFS(Master_PIC!$A$8:$A$73,$B474)=1,IF(VLOOKUP($B474,Master_PIC!$A$8:$G$73,6,FALSE)="","",VLOOKUP($B474,Master_PIC!$A$8:$G$73,6,FALSE)),"")</f>
        <v/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8"/>
      <c r="Y474" s="5"/>
      <c r="Z474" s="5"/>
      <c r="AA474" s="9"/>
      <c r="AB474" s="5"/>
      <c r="AC474" s="5"/>
      <c r="AD474" s="9"/>
      <c r="AE474" s="5"/>
      <c r="AF474" s="7" t="str">
        <f t="shared" si="49"/>
        <v/>
      </c>
      <c r="AG474" s="7" t="str">
        <f t="shared" si="50"/>
        <v/>
      </c>
      <c r="AH474" s="7" t="str">
        <f t="shared" si="51"/>
        <v/>
      </c>
      <c r="AI474" s="7" t="str">
        <f t="shared" si="52"/>
        <v/>
      </c>
      <c r="AJ474" s="7" t="str">
        <f t="shared" si="53"/>
        <v/>
      </c>
      <c r="AK474" s="7" t="str">
        <f t="shared" si="54"/>
        <v/>
      </c>
      <c r="AL474" s="10" t="str">
        <f t="shared" si="55"/>
        <v/>
      </c>
      <c r="AM474" s="15" t="str">
        <f>IF(OR($A474&lt;&gt;"",$B474&lt;&gt;""),IF(OR($A474="",$B474=""),"Isi tanggal dan ID PIC",IF(NOT(ISNUMBER($A474)),"Tanggal harus berupa tanggal Excel",IF(COUNTIFS(Master_PIC!$A$8:$A$73,$B474)&lt;&gt;1,"ID PIC tidak unik/terdaftar",IF(VLOOKUP($B474,Master_PIC!$A$8:$G$73,3,FALSE)&lt;&gt;"Sales","Jabatan tidak sesuai sheet",IF(OR($C474="",$D474="",$E474="",$F474=""),"Lengkapi master PIC",IF(COUNTIFS($A$8:$A$507,$A474,$B$8:$B$507,$B474)&gt;1,"Laporan ganda",IF(COUNTIFS(G474:P474,"Tidak Berlaku")&gt;0,"N/A hanya untuk kegiatan bersyarat",IF(SUM(AG474,AH474,AI474,AJ474,AK474)&lt;&gt;14,"Status kegiatan tidak valid",IF(AK474&gt;0,"Lengkapi status kegiatan",IF(AND(AJ474&gt;0,U474=""),"Isi alasan Tidak Berlaku",IF(AND(SUM(AH474,AI474)&gt;0,OR(U474="",V474="",W474="",X474="")),"Isi kendala dan tindak lanjut",IF(AND(Z474&lt;&gt;"Draft",Z474&lt;&gt;"Dikirim"),"Isi status laporan yang valid",IF(AND(AB474&lt;&gt;"",AB474&lt;&gt;"Belum Diperiksa",AB474&lt;&gt;"Disetujui",AB474&lt;&gt;"Perlu Perbaikan"),"Hasil review tidak valid",IF(AND(Z474="Dikirim",OR(Y474="",AA474="")),"Isi bukti dan waktu kirim",IF(AND(AB474="Disetujui",OR(Z474&lt;&gt;"Dikirim",AC474="",AD474="")),"Lengkapi pemeriksaan",IF(AND(AB474="Perlu Perbaikan",OR(AE474="",AC474="",AD474="")),"Isi pemeriksa dan catatan perbaikan","OK")))))))))))))))),"")</f>
        <v/>
      </c>
    </row>
    <row r="475" spans="1:39" ht="24.95" customHeight="1">
      <c r="A475" s="8"/>
      <c r="B475" s="6"/>
      <c r="C475" s="15" t="str">
        <f>IF(COUNTIFS(Master_PIC!$A$8:$A$73,$B475)=1,IF(VLOOKUP($B475,Master_PIC!$A$8:$G$73,2,FALSE)="","",VLOOKUP($B475,Master_PIC!$A$8:$G$73,2,FALSE)),"")</f>
        <v/>
      </c>
      <c r="D475" s="15" t="str">
        <f>IF(COUNTIFS(Master_PIC!$A$8:$A$73,$B475)=1,IF(VLOOKUP($B475,Master_PIC!$A$8:$G$73,4,FALSE)="","",VLOOKUP($B475,Master_PIC!$A$8:$G$73,4,FALSE)),"")</f>
        <v/>
      </c>
      <c r="E475" s="15" t="str">
        <f>IF(COUNTIFS(Master_PIC!$A$8:$A$73,$B475)=1,IF(VLOOKUP($B475,Master_PIC!$A$8:$G$73,5,FALSE)="","",VLOOKUP($B475,Master_PIC!$A$8:$G$73,5,FALSE)),"")</f>
        <v/>
      </c>
      <c r="F475" s="15" t="str">
        <f>IF(COUNTIFS(Master_PIC!$A$8:$A$73,$B475)=1,IF(VLOOKUP($B475,Master_PIC!$A$8:$G$73,6,FALSE)="","",VLOOKUP($B475,Master_PIC!$A$8:$G$73,6,FALSE)),"")</f>
        <v/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8"/>
      <c r="Y475" s="5"/>
      <c r="Z475" s="5"/>
      <c r="AA475" s="9"/>
      <c r="AB475" s="5"/>
      <c r="AC475" s="5"/>
      <c r="AD475" s="9"/>
      <c r="AE475" s="5"/>
      <c r="AF475" s="7" t="str">
        <f t="shared" si="49"/>
        <v/>
      </c>
      <c r="AG475" s="7" t="str">
        <f t="shared" si="50"/>
        <v/>
      </c>
      <c r="AH475" s="7" t="str">
        <f t="shared" si="51"/>
        <v/>
      </c>
      <c r="AI475" s="7" t="str">
        <f t="shared" si="52"/>
        <v/>
      </c>
      <c r="AJ475" s="7" t="str">
        <f t="shared" si="53"/>
        <v/>
      </c>
      <c r="AK475" s="7" t="str">
        <f t="shared" si="54"/>
        <v/>
      </c>
      <c r="AL475" s="10" t="str">
        <f t="shared" si="55"/>
        <v/>
      </c>
      <c r="AM475" s="15" t="str">
        <f>IF(OR($A475&lt;&gt;"",$B475&lt;&gt;""),IF(OR($A475="",$B475=""),"Isi tanggal dan ID PIC",IF(NOT(ISNUMBER($A475)),"Tanggal harus berupa tanggal Excel",IF(COUNTIFS(Master_PIC!$A$8:$A$73,$B475)&lt;&gt;1,"ID PIC tidak unik/terdaftar",IF(VLOOKUP($B475,Master_PIC!$A$8:$G$73,3,FALSE)&lt;&gt;"Sales","Jabatan tidak sesuai sheet",IF(OR($C475="",$D475="",$E475="",$F475=""),"Lengkapi master PIC",IF(COUNTIFS($A$8:$A$507,$A475,$B$8:$B$507,$B475)&gt;1,"Laporan ganda",IF(COUNTIFS(G475:P475,"Tidak Berlaku")&gt;0,"N/A hanya untuk kegiatan bersyarat",IF(SUM(AG475,AH475,AI475,AJ475,AK475)&lt;&gt;14,"Status kegiatan tidak valid",IF(AK475&gt;0,"Lengkapi status kegiatan",IF(AND(AJ475&gt;0,U475=""),"Isi alasan Tidak Berlaku",IF(AND(SUM(AH475,AI475)&gt;0,OR(U475="",V475="",W475="",X475="")),"Isi kendala dan tindak lanjut",IF(AND(Z475&lt;&gt;"Draft",Z475&lt;&gt;"Dikirim"),"Isi status laporan yang valid",IF(AND(AB475&lt;&gt;"",AB475&lt;&gt;"Belum Diperiksa",AB475&lt;&gt;"Disetujui",AB475&lt;&gt;"Perlu Perbaikan"),"Hasil review tidak valid",IF(AND(Z475="Dikirim",OR(Y475="",AA475="")),"Isi bukti dan waktu kirim",IF(AND(AB475="Disetujui",OR(Z475&lt;&gt;"Dikirim",AC475="",AD475="")),"Lengkapi pemeriksaan",IF(AND(AB475="Perlu Perbaikan",OR(AE475="",AC475="",AD475="")),"Isi pemeriksa dan catatan perbaikan","OK")))))))))))))))),"")</f>
        <v/>
      </c>
    </row>
    <row r="476" spans="1:39" ht="24.95" customHeight="1">
      <c r="A476" s="8"/>
      <c r="B476" s="6"/>
      <c r="C476" s="15" t="str">
        <f>IF(COUNTIFS(Master_PIC!$A$8:$A$73,$B476)=1,IF(VLOOKUP($B476,Master_PIC!$A$8:$G$73,2,FALSE)="","",VLOOKUP($B476,Master_PIC!$A$8:$G$73,2,FALSE)),"")</f>
        <v/>
      </c>
      <c r="D476" s="15" t="str">
        <f>IF(COUNTIFS(Master_PIC!$A$8:$A$73,$B476)=1,IF(VLOOKUP($B476,Master_PIC!$A$8:$G$73,4,FALSE)="","",VLOOKUP($B476,Master_PIC!$A$8:$G$73,4,FALSE)),"")</f>
        <v/>
      </c>
      <c r="E476" s="15" t="str">
        <f>IF(COUNTIFS(Master_PIC!$A$8:$A$73,$B476)=1,IF(VLOOKUP($B476,Master_PIC!$A$8:$G$73,5,FALSE)="","",VLOOKUP($B476,Master_PIC!$A$8:$G$73,5,FALSE)),"")</f>
        <v/>
      </c>
      <c r="F476" s="15" t="str">
        <f>IF(COUNTIFS(Master_PIC!$A$8:$A$73,$B476)=1,IF(VLOOKUP($B476,Master_PIC!$A$8:$G$73,6,FALSE)="","",VLOOKUP($B476,Master_PIC!$A$8:$G$73,6,FALSE)),"")</f>
        <v/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8"/>
      <c r="Y476" s="5"/>
      <c r="Z476" s="5"/>
      <c r="AA476" s="9"/>
      <c r="AB476" s="5"/>
      <c r="AC476" s="5"/>
      <c r="AD476" s="9"/>
      <c r="AE476" s="5"/>
      <c r="AF476" s="7" t="str">
        <f t="shared" si="49"/>
        <v/>
      </c>
      <c r="AG476" s="7" t="str">
        <f t="shared" si="50"/>
        <v/>
      </c>
      <c r="AH476" s="7" t="str">
        <f t="shared" si="51"/>
        <v/>
      </c>
      <c r="AI476" s="7" t="str">
        <f t="shared" si="52"/>
        <v/>
      </c>
      <c r="AJ476" s="7" t="str">
        <f t="shared" si="53"/>
        <v/>
      </c>
      <c r="AK476" s="7" t="str">
        <f t="shared" si="54"/>
        <v/>
      </c>
      <c r="AL476" s="10" t="str">
        <f t="shared" si="55"/>
        <v/>
      </c>
      <c r="AM476" s="15" t="str">
        <f>IF(OR($A476&lt;&gt;"",$B476&lt;&gt;""),IF(OR($A476="",$B476=""),"Isi tanggal dan ID PIC",IF(NOT(ISNUMBER($A476)),"Tanggal harus berupa tanggal Excel",IF(COUNTIFS(Master_PIC!$A$8:$A$73,$B476)&lt;&gt;1,"ID PIC tidak unik/terdaftar",IF(VLOOKUP($B476,Master_PIC!$A$8:$G$73,3,FALSE)&lt;&gt;"Sales","Jabatan tidak sesuai sheet",IF(OR($C476="",$D476="",$E476="",$F476=""),"Lengkapi master PIC",IF(COUNTIFS($A$8:$A$507,$A476,$B$8:$B$507,$B476)&gt;1,"Laporan ganda",IF(COUNTIFS(G476:P476,"Tidak Berlaku")&gt;0,"N/A hanya untuk kegiatan bersyarat",IF(SUM(AG476,AH476,AI476,AJ476,AK476)&lt;&gt;14,"Status kegiatan tidak valid",IF(AK476&gt;0,"Lengkapi status kegiatan",IF(AND(AJ476&gt;0,U476=""),"Isi alasan Tidak Berlaku",IF(AND(SUM(AH476,AI476)&gt;0,OR(U476="",V476="",W476="",X476="")),"Isi kendala dan tindak lanjut",IF(AND(Z476&lt;&gt;"Draft",Z476&lt;&gt;"Dikirim"),"Isi status laporan yang valid",IF(AND(AB476&lt;&gt;"",AB476&lt;&gt;"Belum Diperiksa",AB476&lt;&gt;"Disetujui",AB476&lt;&gt;"Perlu Perbaikan"),"Hasil review tidak valid",IF(AND(Z476="Dikirim",OR(Y476="",AA476="")),"Isi bukti dan waktu kirim",IF(AND(AB476="Disetujui",OR(Z476&lt;&gt;"Dikirim",AC476="",AD476="")),"Lengkapi pemeriksaan",IF(AND(AB476="Perlu Perbaikan",OR(AE476="",AC476="",AD476="")),"Isi pemeriksa dan catatan perbaikan","OK")))))))))))))))),"")</f>
        <v/>
      </c>
    </row>
    <row r="477" spans="1:39" ht="24.95" customHeight="1">
      <c r="A477" s="8"/>
      <c r="B477" s="6"/>
      <c r="C477" s="15" t="str">
        <f>IF(COUNTIFS(Master_PIC!$A$8:$A$73,$B477)=1,IF(VLOOKUP($B477,Master_PIC!$A$8:$G$73,2,FALSE)="","",VLOOKUP($B477,Master_PIC!$A$8:$G$73,2,FALSE)),"")</f>
        <v/>
      </c>
      <c r="D477" s="15" t="str">
        <f>IF(COUNTIFS(Master_PIC!$A$8:$A$73,$B477)=1,IF(VLOOKUP($B477,Master_PIC!$A$8:$G$73,4,FALSE)="","",VLOOKUP($B477,Master_PIC!$A$8:$G$73,4,FALSE)),"")</f>
        <v/>
      </c>
      <c r="E477" s="15" t="str">
        <f>IF(COUNTIFS(Master_PIC!$A$8:$A$73,$B477)=1,IF(VLOOKUP($B477,Master_PIC!$A$8:$G$73,5,FALSE)="","",VLOOKUP($B477,Master_PIC!$A$8:$G$73,5,FALSE)),"")</f>
        <v/>
      </c>
      <c r="F477" s="15" t="str">
        <f>IF(COUNTIFS(Master_PIC!$A$8:$A$73,$B477)=1,IF(VLOOKUP($B477,Master_PIC!$A$8:$G$73,6,FALSE)="","",VLOOKUP($B477,Master_PIC!$A$8:$G$73,6,FALSE)),"")</f>
        <v/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8"/>
      <c r="Y477" s="5"/>
      <c r="Z477" s="5"/>
      <c r="AA477" s="9"/>
      <c r="AB477" s="5"/>
      <c r="AC477" s="5"/>
      <c r="AD477" s="9"/>
      <c r="AE477" s="5"/>
      <c r="AF477" s="7" t="str">
        <f t="shared" si="49"/>
        <v/>
      </c>
      <c r="AG477" s="7" t="str">
        <f t="shared" si="50"/>
        <v/>
      </c>
      <c r="AH477" s="7" t="str">
        <f t="shared" si="51"/>
        <v/>
      </c>
      <c r="AI477" s="7" t="str">
        <f t="shared" si="52"/>
        <v/>
      </c>
      <c r="AJ477" s="7" t="str">
        <f t="shared" si="53"/>
        <v/>
      </c>
      <c r="AK477" s="7" t="str">
        <f t="shared" si="54"/>
        <v/>
      </c>
      <c r="AL477" s="10" t="str">
        <f t="shared" si="55"/>
        <v/>
      </c>
      <c r="AM477" s="15" t="str">
        <f>IF(OR($A477&lt;&gt;"",$B477&lt;&gt;""),IF(OR($A477="",$B477=""),"Isi tanggal dan ID PIC",IF(NOT(ISNUMBER($A477)),"Tanggal harus berupa tanggal Excel",IF(COUNTIFS(Master_PIC!$A$8:$A$73,$B477)&lt;&gt;1,"ID PIC tidak unik/terdaftar",IF(VLOOKUP($B477,Master_PIC!$A$8:$G$73,3,FALSE)&lt;&gt;"Sales","Jabatan tidak sesuai sheet",IF(OR($C477="",$D477="",$E477="",$F477=""),"Lengkapi master PIC",IF(COUNTIFS($A$8:$A$507,$A477,$B$8:$B$507,$B477)&gt;1,"Laporan ganda",IF(COUNTIFS(G477:P477,"Tidak Berlaku")&gt;0,"N/A hanya untuk kegiatan bersyarat",IF(SUM(AG477,AH477,AI477,AJ477,AK477)&lt;&gt;14,"Status kegiatan tidak valid",IF(AK477&gt;0,"Lengkapi status kegiatan",IF(AND(AJ477&gt;0,U477=""),"Isi alasan Tidak Berlaku",IF(AND(SUM(AH477,AI477)&gt;0,OR(U477="",V477="",W477="",X477="")),"Isi kendala dan tindak lanjut",IF(AND(Z477&lt;&gt;"Draft",Z477&lt;&gt;"Dikirim"),"Isi status laporan yang valid",IF(AND(AB477&lt;&gt;"",AB477&lt;&gt;"Belum Diperiksa",AB477&lt;&gt;"Disetujui",AB477&lt;&gt;"Perlu Perbaikan"),"Hasil review tidak valid",IF(AND(Z477="Dikirim",OR(Y477="",AA477="")),"Isi bukti dan waktu kirim",IF(AND(AB477="Disetujui",OR(Z477&lt;&gt;"Dikirim",AC477="",AD477="")),"Lengkapi pemeriksaan",IF(AND(AB477="Perlu Perbaikan",OR(AE477="",AC477="",AD477="")),"Isi pemeriksa dan catatan perbaikan","OK")))))))))))))))),"")</f>
        <v/>
      </c>
    </row>
    <row r="478" spans="1:39" ht="24.95" customHeight="1">
      <c r="A478" s="8"/>
      <c r="B478" s="6"/>
      <c r="C478" s="15" t="str">
        <f>IF(COUNTIFS(Master_PIC!$A$8:$A$73,$B478)=1,IF(VLOOKUP($B478,Master_PIC!$A$8:$G$73,2,FALSE)="","",VLOOKUP($B478,Master_PIC!$A$8:$G$73,2,FALSE)),"")</f>
        <v/>
      </c>
      <c r="D478" s="15" t="str">
        <f>IF(COUNTIFS(Master_PIC!$A$8:$A$73,$B478)=1,IF(VLOOKUP($B478,Master_PIC!$A$8:$G$73,4,FALSE)="","",VLOOKUP($B478,Master_PIC!$A$8:$G$73,4,FALSE)),"")</f>
        <v/>
      </c>
      <c r="E478" s="15" t="str">
        <f>IF(COUNTIFS(Master_PIC!$A$8:$A$73,$B478)=1,IF(VLOOKUP($B478,Master_PIC!$A$8:$G$73,5,FALSE)="","",VLOOKUP($B478,Master_PIC!$A$8:$G$73,5,FALSE)),"")</f>
        <v/>
      </c>
      <c r="F478" s="15" t="str">
        <f>IF(COUNTIFS(Master_PIC!$A$8:$A$73,$B478)=1,IF(VLOOKUP($B478,Master_PIC!$A$8:$G$73,6,FALSE)="","",VLOOKUP($B478,Master_PIC!$A$8:$G$73,6,FALSE)),"")</f>
        <v/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8"/>
      <c r="Y478" s="5"/>
      <c r="Z478" s="5"/>
      <c r="AA478" s="9"/>
      <c r="AB478" s="5"/>
      <c r="AC478" s="5"/>
      <c r="AD478" s="9"/>
      <c r="AE478" s="5"/>
      <c r="AF478" s="7" t="str">
        <f t="shared" si="49"/>
        <v/>
      </c>
      <c r="AG478" s="7" t="str">
        <f t="shared" si="50"/>
        <v/>
      </c>
      <c r="AH478" s="7" t="str">
        <f t="shared" si="51"/>
        <v/>
      </c>
      <c r="AI478" s="7" t="str">
        <f t="shared" si="52"/>
        <v/>
      </c>
      <c r="AJ478" s="7" t="str">
        <f t="shared" si="53"/>
        <v/>
      </c>
      <c r="AK478" s="7" t="str">
        <f t="shared" si="54"/>
        <v/>
      </c>
      <c r="AL478" s="10" t="str">
        <f t="shared" si="55"/>
        <v/>
      </c>
      <c r="AM478" s="15" t="str">
        <f>IF(OR($A478&lt;&gt;"",$B478&lt;&gt;""),IF(OR($A478="",$B478=""),"Isi tanggal dan ID PIC",IF(NOT(ISNUMBER($A478)),"Tanggal harus berupa tanggal Excel",IF(COUNTIFS(Master_PIC!$A$8:$A$73,$B478)&lt;&gt;1,"ID PIC tidak unik/terdaftar",IF(VLOOKUP($B478,Master_PIC!$A$8:$G$73,3,FALSE)&lt;&gt;"Sales","Jabatan tidak sesuai sheet",IF(OR($C478="",$D478="",$E478="",$F478=""),"Lengkapi master PIC",IF(COUNTIFS($A$8:$A$507,$A478,$B$8:$B$507,$B478)&gt;1,"Laporan ganda",IF(COUNTIFS(G478:P478,"Tidak Berlaku")&gt;0,"N/A hanya untuk kegiatan bersyarat",IF(SUM(AG478,AH478,AI478,AJ478,AK478)&lt;&gt;14,"Status kegiatan tidak valid",IF(AK478&gt;0,"Lengkapi status kegiatan",IF(AND(AJ478&gt;0,U478=""),"Isi alasan Tidak Berlaku",IF(AND(SUM(AH478,AI478)&gt;0,OR(U478="",V478="",W478="",X478="")),"Isi kendala dan tindak lanjut",IF(AND(Z478&lt;&gt;"Draft",Z478&lt;&gt;"Dikirim"),"Isi status laporan yang valid",IF(AND(AB478&lt;&gt;"",AB478&lt;&gt;"Belum Diperiksa",AB478&lt;&gt;"Disetujui",AB478&lt;&gt;"Perlu Perbaikan"),"Hasil review tidak valid",IF(AND(Z478="Dikirim",OR(Y478="",AA478="")),"Isi bukti dan waktu kirim",IF(AND(AB478="Disetujui",OR(Z478&lt;&gt;"Dikirim",AC478="",AD478="")),"Lengkapi pemeriksaan",IF(AND(AB478="Perlu Perbaikan",OR(AE478="",AC478="",AD478="")),"Isi pemeriksa dan catatan perbaikan","OK")))))))))))))))),"")</f>
        <v/>
      </c>
    </row>
    <row r="479" spans="1:39" ht="24.95" customHeight="1">
      <c r="A479" s="8"/>
      <c r="B479" s="6"/>
      <c r="C479" s="15" t="str">
        <f>IF(COUNTIFS(Master_PIC!$A$8:$A$73,$B479)=1,IF(VLOOKUP($B479,Master_PIC!$A$8:$G$73,2,FALSE)="","",VLOOKUP($B479,Master_PIC!$A$8:$G$73,2,FALSE)),"")</f>
        <v/>
      </c>
      <c r="D479" s="15" t="str">
        <f>IF(COUNTIFS(Master_PIC!$A$8:$A$73,$B479)=1,IF(VLOOKUP($B479,Master_PIC!$A$8:$G$73,4,FALSE)="","",VLOOKUP($B479,Master_PIC!$A$8:$G$73,4,FALSE)),"")</f>
        <v/>
      </c>
      <c r="E479" s="15" t="str">
        <f>IF(COUNTIFS(Master_PIC!$A$8:$A$73,$B479)=1,IF(VLOOKUP($B479,Master_PIC!$A$8:$G$73,5,FALSE)="","",VLOOKUP($B479,Master_PIC!$A$8:$G$73,5,FALSE)),"")</f>
        <v/>
      </c>
      <c r="F479" s="15" t="str">
        <f>IF(COUNTIFS(Master_PIC!$A$8:$A$73,$B479)=1,IF(VLOOKUP($B479,Master_PIC!$A$8:$G$73,6,FALSE)="","",VLOOKUP($B479,Master_PIC!$A$8:$G$73,6,FALSE)),"")</f>
        <v/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8"/>
      <c r="Y479" s="5"/>
      <c r="Z479" s="5"/>
      <c r="AA479" s="9"/>
      <c r="AB479" s="5"/>
      <c r="AC479" s="5"/>
      <c r="AD479" s="9"/>
      <c r="AE479" s="5"/>
      <c r="AF479" s="7" t="str">
        <f t="shared" si="49"/>
        <v/>
      </c>
      <c r="AG479" s="7" t="str">
        <f t="shared" si="50"/>
        <v/>
      </c>
      <c r="AH479" s="7" t="str">
        <f t="shared" si="51"/>
        <v/>
      </c>
      <c r="AI479" s="7" t="str">
        <f t="shared" si="52"/>
        <v/>
      </c>
      <c r="AJ479" s="7" t="str">
        <f t="shared" si="53"/>
        <v/>
      </c>
      <c r="AK479" s="7" t="str">
        <f t="shared" si="54"/>
        <v/>
      </c>
      <c r="AL479" s="10" t="str">
        <f t="shared" si="55"/>
        <v/>
      </c>
      <c r="AM479" s="15" t="str">
        <f>IF(OR($A479&lt;&gt;"",$B479&lt;&gt;""),IF(OR($A479="",$B479=""),"Isi tanggal dan ID PIC",IF(NOT(ISNUMBER($A479)),"Tanggal harus berupa tanggal Excel",IF(COUNTIFS(Master_PIC!$A$8:$A$73,$B479)&lt;&gt;1,"ID PIC tidak unik/terdaftar",IF(VLOOKUP($B479,Master_PIC!$A$8:$G$73,3,FALSE)&lt;&gt;"Sales","Jabatan tidak sesuai sheet",IF(OR($C479="",$D479="",$E479="",$F479=""),"Lengkapi master PIC",IF(COUNTIFS($A$8:$A$507,$A479,$B$8:$B$507,$B479)&gt;1,"Laporan ganda",IF(COUNTIFS(G479:P479,"Tidak Berlaku")&gt;0,"N/A hanya untuk kegiatan bersyarat",IF(SUM(AG479,AH479,AI479,AJ479,AK479)&lt;&gt;14,"Status kegiatan tidak valid",IF(AK479&gt;0,"Lengkapi status kegiatan",IF(AND(AJ479&gt;0,U479=""),"Isi alasan Tidak Berlaku",IF(AND(SUM(AH479,AI479)&gt;0,OR(U479="",V479="",W479="",X479="")),"Isi kendala dan tindak lanjut",IF(AND(Z479&lt;&gt;"Draft",Z479&lt;&gt;"Dikirim"),"Isi status laporan yang valid",IF(AND(AB479&lt;&gt;"",AB479&lt;&gt;"Belum Diperiksa",AB479&lt;&gt;"Disetujui",AB479&lt;&gt;"Perlu Perbaikan"),"Hasil review tidak valid",IF(AND(Z479="Dikirim",OR(Y479="",AA479="")),"Isi bukti dan waktu kirim",IF(AND(AB479="Disetujui",OR(Z479&lt;&gt;"Dikirim",AC479="",AD479="")),"Lengkapi pemeriksaan",IF(AND(AB479="Perlu Perbaikan",OR(AE479="",AC479="",AD479="")),"Isi pemeriksa dan catatan perbaikan","OK")))))))))))))))),"")</f>
        <v/>
      </c>
    </row>
    <row r="480" spans="1:39" ht="24.95" customHeight="1">
      <c r="A480" s="8"/>
      <c r="B480" s="6"/>
      <c r="C480" s="15" t="str">
        <f>IF(COUNTIFS(Master_PIC!$A$8:$A$73,$B480)=1,IF(VLOOKUP($B480,Master_PIC!$A$8:$G$73,2,FALSE)="","",VLOOKUP($B480,Master_PIC!$A$8:$G$73,2,FALSE)),"")</f>
        <v/>
      </c>
      <c r="D480" s="15" t="str">
        <f>IF(COUNTIFS(Master_PIC!$A$8:$A$73,$B480)=1,IF(VLOOKUP($B480,Master_PIC!$A$8:$G$73,4,FALSE)="","",VLOOKUP($B480,Master_PIC!$A$8:$G$73,4,FALSE)),"")</f>
        <v/>
      </c>
      <c r="E480" s="15" t="str">
        <f>IF(COUNTIFS(Master_PIC!$A$8:$A$73,$B480)=1,IF(VLOOKUP($B480,Master_PIC!$A$8:$G$73,5,FALSE)="","",VLOOKUP($B480,Master_PIC!$A$8:$G$73,5,FALSE)),"")</f>
        <v/>
      </c>
      <c r="F480" s="15" t="str">
        <f>IF(COUNTIFS(Master_PIC!$A$8:$A$73,$B480)=1,IF(VLOOKUP($B480,Master_PIC!$A$8:$G$73,6,FALSE)="","",VLOOKUP($B480,Master_PIC!$A$8:$G$73,6,FALSE)),"")</f>
        <v/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8"/>
      <c r="Y480" s="5"/>
      <c r="Z480" s="5"/>
      <c r="AA480" s="9"/>
      <c r="AB480" s="5"/>
      <c r="AC480" s="5"/>
      <c r="AD480" s="9"/>
      <c r="AE480" s="5"/>
      <c r="AF480" s="7" t="str">
        <f t="shared" si="49"/>
        <v/>
      </c>
      <c r="AG480" s="7" t="str">
        <f t="shared" si="50"/>
        <v/>
      </c>
      <c r="AH480" s="7" t="str">
        <f t="shared" si="51"/>
        <v/>
      </c>
      <c r="AI480" s="7" t="str">
        <f t="shared" si="52"/>
        <v/>
      </c>
      <c r="AJ480" s="7" t="str">
        <f t="shared" si="53"/>
        <v/>
      </c>
      <c r="AK480" s="7" t="str">
        <f t="shared" si="54"/>
        <v/>
      </c>
      <c r="AL480" s="10" t="str">
        <f t="shared" si="55"/>
        <v/>
      </c>
      <c r="AM480" s="15" t="str">
        <f>IF(OR($A480&lt;&gt;"",$B480&lt;&gt;""),IF(OR($A480="",$B480=""),"Isi tanggal dan ID PIC",IF(NOT(ISNUMBER($A480)),"Tanggal harus berupa tanggal Excel",IF(COUNTIFS(Master_PIC!$A$8:$A$73,$B480)&lt;&gt;1,"ID PIC tidak unik/terdaftar",IF(VLOOKUP($B480,Master_PIC!$A$8:$G$73,3,FALSE)&lt;&gt;"Sales","Jabatan tidak sesuai sheet",IF(OR($C480="",$D480="",$E480="",$F480=""),"Lengkapi master PIC",IF(COUNTIFS($A$8:$A$507,$A480,$B$8:$B$507,$B480)&gt;1,"Laporan ganda",IF(COUNTIFS(G480:P480,"Tidak Berlaku")&gt;0,"N/A hanya untuk kegiatan bersyarat",IF(SUM(AG480,AH480,AI480,AJ480,AK480)&lt;&gt;14,"Status kegiatan tidak valid",IF(AK480&gt;0,"Lengkapi status kegiatan",IF(AND(AJ480&gt;0,U480=""),"Isi alasan Tidak Berlaku",IF(AND(SUM(AH480,AI480)&gt;0,OR(U480="",V480="",W480="",X480="")),"Isi kendala dan tindak lanjut",IF(AND(Z480&lt;&gt;"Draft",Z480&lt;&gt;"Dikirim"),"Isi status laporan yang valid",IF(AND(AB480&lt;&gt;"",AB480&lt;&gt;"Belum Diperiksa",AB480&lt;&gt;"Disetujui",AB480&lt;&gt;"Perlu Perbaikan"),"Hasil review tidak valid",IF(AND(Z480="Dikirim",OR(Y480="",AA480="")),"Isi bukti dan waktu kirim",IF(AND(AB480="Disetujui",OR(Z480&lt;&gt;"Dikirim",AC480="",AD480="")),"Lengkapi pemeriksaan",IF(AND(AB480="Perlu Perbaikan",OR(AE480="",AC480="",AD480="")),"Isi pemeriksa dan catatan perbaikan","OK")))))))))))))))),"")</f>
        <v/>
      </c>
    </row>
    <row r="481" spans="1:39" ht="24.95" customHeight="1">
      <c r="A481" s="8"/>
      <c r="B481" s="6"/>
      <c r="C481" s="15" t="str">
        <f>IF(COUNTIFS(Master_PIC!$A$8:$A$73,$B481)=1,IF(VLOOKUP($B481,Master_PIC!$A$8:$G$73,2,FALSE)="","",VLOOKUP($B481,Master_PIC!$A$8:$G$73,2,FALSE)),"")</f>
        <v/>
      </c>
      <c r="D481" s="15" t="str">
        <f>IF(COUNTIFS(Master_PIC!$A$8:$A$73,$B481)=1,IF(VLOOKUP($B481,Master_PIC!$A$8:$G$73,4,FALSE)="","",VLOOKUP($B481,Master_PIC!$A$8:$G$73,4,FALSE)),"")</f>
        <v/>
      </c>
      <c r="E481" s="15" t="str">
        <f>IF(COUNTIFS(Master_PIC!$A$8:$A$73,$B481)=1,IF(VLOOKUP($B481,Master_PIC!$A$8:$G$73,5,FALSE)="","",VLOOKUP($B481,Master_PIC!$A$8:$G$73,5,FALSE)),"")</f>
        <v/>
      </c>
      <c r="F481" s="15" t="str">
        <f>IF(COUNTIFS(Master_PIC!$A$8:$A$73,$B481)=1,IF(VLOOKUP($B481,Master_PIC!$A$8:$G$73,6,FALSE)="","",VLOOKUP($B481,Master_PIC!$A$8:$G$73,6,FALSE)),"")</f>
        <v/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8"/>
      <c r="Y481" s="5"/>
      <c r="Z481" s="5"/>
      <c r="AA481" s="9"/>
      <c r="AB481" s="5"/>
      <c r="AC481" s="5"/>
      <c r="AD481" s="9"/>
      <c r="AE481" s="5"/>
      <c r="AF481" s="7" t="str">
        <f t="shared" si="49"/>
        <v/>
      </c>
      <c r="AG481" s="7" t="str">
        <f t="shared" si="50"/>
        <v/>
      </c>
      <c r="AH481" s="7" t="str">
        <f t="shared" si="51"/>
        <v/>
      </c>
      <c r="AI481" s="7" t="str">
        <f t="shared" si="52"/>
        <v/>
      </c>
      <c r="AJ481" s="7" t="str">
        <f t="shared" si="53"/>
        <v/>
      </c>
      <c r="AK481" s="7" t="str">
        <f t="shared" si="54"/>
        <v/>
      </c>
      <c r="AL481" s="10" t="str">
        <f t="shared" si="55"/>
        <v/>
      </c>
      <c r="AM481" s="15" t="str">
        <f>IF(OR($A481&lt;&gt;"",$B481&lt;&gt;""),IF(OR($A481="",$B481=""),"Isi tanggal dan ID PIC",IF(NOT(ISNUMBER($A481)),"Tanggal harus berupa tanggal Excel",IF(COUNTIFS(Master_PIC!$A$8:$A$73,$B481)&lt;&gt;1,"ID PIC tidak unik/terdaftar",IF(VLOOKUP($B481,Master_PIC!$A$8:$G$73,3,FALSE)&lt;&gt;"Sales","Jabatan tidak sesuai sheet",IF(OR($C481="",$D481="",$E481="",$F481=""),"Lengkapi master PIC",IF(COUNTIFS($A$8:$A$507,$A481,$B$8:$B$507,$B481)&gt;1,"Laporan ganda",IF(COUNTIFS(G481:P481,"Tidak Berlaku")&gt;0,"N/A hanya untuk kegiatan bersyarat",IF(SUM(AG481,AH481,AI481,AJ481,AK481)&lt;&gt;14,"Status kegiatan tidak valid",IF(AK481&gt;0,"Lengkapi status kegiatan",IF(AND(AJ481&gt;0,U481=""),"Isi alasan Tidak Berlaku",IF(AND(SUM(AH481,AI481)&gt;0,OR(U481="",V481="",W481="",X481="")),"Isi kendala dan tindak lanjut",IF(AND(Z481&lt;&gt;"Draft",Z481&lt;&gt;"Dikirim"),"Isi status laporan yang valid",IF(AND(AB481&lt;&gt;"",AB481&lt;&gt;"Belum Diperiksa",AB481&lt;&gt;"Disetujui",AB481&lt;&gt;"Perlu Perbaikan"),"Hasil review tidak valid",IF(AND(Z481="Dikirim",OR(Y481="",AA481="")),"Isi bukti dan waktu kirim",IF(AND(AB481="Disetujui",OR(Z481&lt;&gt;"Dikirim",AC481="",AD481="")),"Lengkapi pemeriksaan",IF(AND(AB481="Perlu Perbaikan",OR(AE481="",AC481="",AD481="")),"Isi pemeriksa dan catatan perbaikan","OK")))))))))))))))),"")</f>
        <v/>
      </c>
    </row>
    <row r="482" spans="1:39" ht="24.95" customHeight="1">
      <c r="A482" s="8"/>
      <c r="B482" s="6"/>
      <c r="C482" s="15" t="str">
        <f>IF(COUNTIFS(Master_PIC!$A$8:$A$73,$B482)=1,IF(VLOOKUP($B482,Master_PIC!$A$8:$G$73,2,FALSE)="","",VLOOKUP($B482,Master_PIC!$A$8:$G$73,2,FALSE)),"")</f>
        <v/>
      </c>
      <c r="D482" s="15" t="str">
        <f>IF(COUNTIFS(Master_PIC!$A$8:$A$73,$B482)=1,IF(VLOOKUP($B482,Master_PIC!$A$8:$G$73,4,FALSE)="","",VLOOKUP($B482,Master_PIC!$A$8:$G$73,4,FALSE)),"")</f>
        <v/>
      </c>
      <c r="E482" s="15" t="str">
        <f>IF(COUNTIFS(Master_PIC!$A$8:$A$73,$B482)=1,IF(VLOOKUP($B482,Master_PIC!$A$8:$G$73,5,FALSE)="","",VLOOKUP($B482,Master_PIC!$A$8:$G$73,5,FALSE)),"")</f>
        <v/>
      </c>
      <c r="F482" s="15" t="str">
        <f>IF(COUNTIFS(Master_PIC!$A$8:$A$73,$B482)=1,IF(VLOOKUP($B482,Master_PIC!$A$8:$G$73,6,FALSE)="","",VLOOKUP($B482,Master_PIC!$A$8:$G$73,6,FALSE)),"")</f>
        <v/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8"/>
      <c r="Y482" s="5"/>
      <c r="Z482" s="5"/>
      <c r="AA482" s="9"/>
      <c r="AB482" s="5"/>
      <c r="AC482" s="5"/>
      <c r="AD482" s="9"/>
      <c r="AE482" s="5"/>
      <c r="AF482" s="7" t="str">
        <f t="shared" si="49"/>
        <v/>
      </c>
      <c r="AG482" s="7" t="str">
        <f t="shared" si="50"/>
        <v/>
      </c>
      <c r="AH482" s="7" t="str">
        <f t="shared" si="51"/>
        <v/>
      </c>
      <c r="AI482" s="7" t="str">
        <f t="shared" si="52"/>
        <v/>
      </c>
      <c r="AJ482" s="7" t="str">
        <f t="shared" si="53"/>
        <v/>
      </c>
      <c r="AK482" s="7" t="str">
        <f t="shared" si="54"/>
        <v/>
      </c>
      <c r="AL482" s="10" t="str">
        <f t="shared" si="55"/>
        <v/>
      </c>
      <c r="AM482" s="15" t="str">
        <f>IF(OR($A482&lt;&gt;"",$B482&lt;&gt;""),IF(OR($A482="",$B482=""),"Isi tanggal dan ID PIC",IF(NOT(ISNUMBER($A482)),"Tanggal harus berupa tanggal Excel",IF(COUNTIFS(Master_PIC!$A$8:$A$73,$B482)&lt;&gt;1,"ID PIC tidak unik/terdaftar",IF(VLOOKUP($B482,Master_PIC!$A$8:$G$73,3,FALSE)&lt;&gt;"Sales","Jabatan tidak sesuai sheet",IF(OR($C482="",$D482="",$E482="",$F482=""),"Lengkapi master PIC",IF(COUNTIFS($A$8:$A$507,$A482,$B$8:$B$507,$B482)&gt;1,"Laporan ganda",IF(COUNTIFS(G482:P482,"Tidak Berlaku")&gt;0,"N/A hanya untuk kegiatan bersyarat",IF(SUM(AG482,AH482,AI482,AJ482,AK482)&lt;&gt;14,"Status kegiatan tidak valid",IF(AK482&gt;0,"Lengkapi status kegiatan",IF(AND(AJ482&gt;0,U482=""),"Isi alasan Tidak Berlaku",IF(AND(SUM(AH482,AI482)&gt;0,OR(U482="",V482="",W482="",X482="")),"Isi kendala dan tindak lanjut",IF(AND(Z482&lt;&gt;"Draft",Z482&lt;&gt;"Dikirim"),"Isi status laporan yang valid",IF(AND(AB482&lt;&gt;"",AB482&lt;&gt;"Belum Diperiksa",AB482&lt;&gt;"Disetujui",AB482&lt;&gt;"Perlu Perbaikan"),"Hasil review tidak valid",IF(AND(Z482="Dikirim",OR(Y482="",AA482="")),"Isi bukti dan waktu kirim",IF(AND(AB482="Disetujui",OR(Z482&lt;&gt;"Dikirim",AC482="",AD482="")),"Lengkapi pemeriksaan",IF(AND(AB482="Perlu Perbaikan",OR(AE482="",AC482="",AD482="")),"Isi pemeriksa dan catatan perbaikan","OK")))))))))))))))),"")</f>
        <v/>
      </c>
    </row>
    <row r="483" spans="1:39" ht="24.95" customHeight="1">
      <c r="A483" s="8"/>
      <c r="B483" s="6"/>
      <c r="C483" s="15" t="str">
        <f>IF(COUNTIFS(Master_PIC!$A$8:$A$73,$B483)=1,IF(VLOOKUP($B483,Master_PIC!$A$8:$G$73,2,FALSE)="","",VLOOKUP($B483,Master_PIC!$A$8:$G$73,2,FALSE)),"")</f>
        <v/>
      </c>
      <c r="D483" s="15" t="str">
        <f>IF(COUNTIFS(Master_PIC!$A$8:$A$73,$B483)=1,IF(VLOOKUP($B483,Master_PIC!$A$8:$G$73,4,FALSE)="","",VLOOKUP($B483,Master_PIC!$A$8:$G$73,4,FALSE)),"")</f>
        <v/>
      </c>
      <c r="E483" s="15" t="str">
        <f>IF(COUNTIFS(Master_PIC!$A$8:$A$73,$B483)=1,IF(VLOOKUP($B483,Master_PIC!$A$8:$G$73,5,FALSE)="","",VLOOKUP($B483,Master_PIC!$A$8:$G$73,5,FALSE)),"")</f>
        <v/>
      </c>
      <c r="F483" s="15" t="str">
        <f>IF(COUNTIFS(Master_PIC!$A$8:$A$73,$B483)=1,IF(VLOOKUP($B483,Master_PIC!$A$8:$G$73,6,FALSE)="","",VLOOKUP($B483,Master_PIC!$A$8:$G$73,6,FALSE)),"")</f>
        <v/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8"/>
      <c r="Y483" s="5"/>
      <c r="Z483" s="5"/>
      <c r="AA483" s="9"/>
      <c r="AB483" s="5"/>
      <c r="AC483" s="5"/>
      <c r="AD483" s="9"/>
      <c r="AE483" s="5"/>
      <c r="AF483" s="7" t="str">
        <f t="shared" si="49"/>
        <v/>
      </c>
      <c r="AG483" s="7" t="str">
        <f t="shared" si="50"/>
        <v/>
      </c>
      <c r="AH483" s="7" t="str">
        <f t="shared" si="51"/>
        <v/>
      </c>
      <c r="AI483" s="7" t="str">
        <f t="shared" si="52"/>
        <v/>
      </c>
      <c r="AJ483" s="7" t="str">
        <f t="shared" si="53"/>
        <v/>
      </c>
      <c r="AK483" s="7" t="str">
        <f t="shared" si="54"/>
        <v/>
      </c>
      <c r="AL483" s="10" t="str">
        <f t="shared" si="55"/>
        <v/>
      </c>
      <c r="AM483" s="15" t="str">
        <f>IF(OR($A483&lt;&gt;"",$B483&lt;&gt;""),IF(OR($A483="",$B483=""),"Isi tanggal dan ID PIC",IF(NOT(ISNUMBER($A483)),"Tanggal harus berupa tanggal Excel",IF(COUNTIFS(Master_PIC!$A$8:$A$73,$B483)&lt;&gt;1,"ID PIC tidak unik/terdaftar",IF(VLOOKUP($B483,Master_PIC!$A$8:$G$73,3,FALSE)&lt;&gt;"Sales","Jabatan tidak sesuai sheet",IF(OR($C483="",$D483="",$E483="",$F483=""),"Lengkapi master PIC",IF(COUNTIFS($A$8:$A$507,$A483,$B$8:$B$507,$B483)&gt;1,"Laporan ganda",IF(COUNTIFS(G483:P483,"Tidak Berlaku")&gt;0,"N/A hanya untuk kegiatan bersyarat",IF(SUM(AG483,AH483,AI483,AJ483,AK483)&lt;&gt;14,"Status kegiatan tidak valid",IF(AK483&gt;0,"Lengkapi status kegiatan",IF(AND(AJ483&gt;0,U483=""),"Isi alasan Tidak Berlaku",IF(AND(SUM(AH483,AI483)&gt;0,OR(U483="",V483="",W483="",X483="")),"Isi kendala dan tindak lanjut",IF(AND(Z483&lt;&gt;"Draft",Z483&lt;&gt;"Dikirim"),"Isi status laporan yang valid",IF(AND(AB483&lt;&gt;"",AB483&lt;&gt;"Belum Diperiksa",AB483&lt;&gt;"Disetujui",AB483&lt;&gt;"Perlu Perbaikan"),"Hasil review tidak valid",IF(AND(Z483="Dikirim",OR(Y483="",AA483="")),"Isi bukti dan waktu kirim",IF(AND(AB483="Disetujui",OR(Z483&lt;&gt;"Dikirim",AC483="",AD483="")),"Lengkapi pemeriksaan",IF(AND(AB483="Perlu Perbaikan",OR(AE483="",AC483="",AD483="")),"Isi pemeriksa dan catatan perbaikan","OK")))))))))))))))),"")</f>
        <v/>
      </c>
    </row>
    <row r="484" spans="1:39" ht="24.95" customHeight="1">
      <c r="A484" s="8"/>
      <c r="B484" s="6"/>
      <c r="C484" s="15" t="str">
        <f>IF(COUNTIFS(Master_PIC!$A$8:$A$73,$B484)=1,IF(VLOOKUP($B484,Master_PIC!$A$8:$G$73,2,FALSE)="","",VLOOKUP($B484,Master_PIC!$A$8:$G$73,2,FALSE)),"")</f>
        <v/>
      </c>
      <c r="D484" s="15" t="str">
        <f>IF(COUNTIFS(Master_PIC!$A$8:$A$73,$B484)=1,IF(VLOOKUP($B484,Master_PIC!$A$8:$G$73,4,FALSE)="","",VLOOKUP($B484,Master_PIC!$A$8:$G$73,4,FALSE)),"")</f>
        <v/>
      </c>
      <c r="E484" s="15" t="str">
        <f>IF(COUNTIFS(Master_PIC!$A$8:$A$73,$B484)=1,IF(VLOOKUP($B484,Master_PIC!$A$8:$G$73,5,FALSE)="","",VLOOKUP($B484,Master_PIC!$A$8:$G$73,5,FALSE)),"")</f>
        <v/>
      </c>
      <c r="F484" s="15" t="str">
        <f>IF(COUNTIFS(Master_PIC!$A$8:$A$73,$B484)=1,IF(VLOOKUP($B484,Master_PIC!$A$8:$G$73,6,FALSE)="","",VLOOKUP($B484,Master_PIC!$A$8:$G$73,6,FALSE)),"")</f>
        <v/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8"/>
      <c r="Y484" s="5"/>
      <c r="Z484" s="5"/>
      <c r="AA484" s="9"/>
      <c r="AB484" s="5"/>
      <c r="AC484" s="5"/>
      <c r="AD484" s="9"/>
      <c r="AE484" s="5"/>
      <c r="AF484" s="7" t="str">
        <f t="shared" si="49"/>
        <v/>
      </c>
      <c r="AG484" s="7" t="str">
        <f t="shared" si="50"/>
        <v/>
      </c>
      <c r="AH484" s="7" t="str">
        <f t="shared" si="51"/>
        <v/>
      </c>
      <c r="AI484" s="7" t="str">
        <f t="shared" si="52"/>
        <v/>
      </c>
      <c r="AJ484" s="7" t="str">
        <f t="shared" si="53"/>
        <v/>
      </c>
      <c r="AK484" s="7" t="str">
        <f t="shared" si="54"/>
        <v/>
      </c>
      <c r="AL484" s="10" t="str">
        <f t="shared" si="55"/>
        <v/>
      </c>
      <c r="AM484" s="15" t="str">
        <f>IF(OR($A484&lt;&gt;"",$B484&lt;&gt;""),IF(OR($A484="",$B484=""),"Isi tanggal dan ID PIC",IF(NOT(ISNUMBER($A484)),"Tanggal harus berupa tanggal Excel",IF(COUNTIFS(Master_PIC!$A$8:$A$73,$B484)&lt;&gt;1,"ID PIC tidak unik/terdaftar",IF(VLOOKUP($B484,Master_PIC!$A$8:$G$73,3,FALSE)&lt;&gt;"Sales","Jabatan tidak sesuai sheet",IF(OR($C484="",$D484="",$E484="",$F484=""),"Lengkapi master PIC",IF(COUNTIFS($A$8:$A$507,$A484,$B$8:$B$507,$B484)&gt;1,"Laporan ganda",IF(COUNTIFS(G484:P484,"Tidak Berlaku")&gt;0,"N/A hanya untuk kegiatan bersyarat",IF(SUM(AG484,AH484,AI484,AJ484,AK484)&lt;&gt;14,"Status kegiatan tidak valid",IF(AK484&gt;0,"Lengkapi status kegiatan",IF(AND(AJ484&gt;0,U484=""),"Isi alasan Tidak Berlaku",IF(AND(SUM(AH484,AI484)&gt;0,OR(U484="",V484="",W484="",X484="")),"Isi kendala dan tindak lanjut",IF(AND(Z484&lt;&gt;"Draft",Z484&lt;&gt;"Dikirim"),"Isi status laporan yang valid",IF(AND(AB484&lt;&gt;"",AB484&lt;&gt;"Belum Diperiksa",AB484&lt;&gt;"Disetujui",AB484&lt;&gt;"Perlu Perbaikan"),"Hasil review tidak valid",IF(AND(Z484="Dikirim",OR(Y484="",AA484="")),"Isi bukti dan waktu kirim",IF(AND(AB484="Disetujui",OR(Z484&lt;&gt;"Dikirim",AC484="",AD484="")),"Lengkapi pemeriksaan",IF(AND(AB484="Perlu Perbaikan",OR(AE484="",AC484="",AD484="")),"Isi pemeriksa dan catatan perbaikan","OK")))))))))))))))),"")</f>
        <v/>
      </c>
    </row>
    <row r="485" spans="1:39" ht="24.95" customHeight="1">
      <c r="A485" s="8"/>
      <c r="B485" s="6"/>
      <c r="C485" s="15" t="str">
        <f>IF(COUNTIFS(Master_PIC!$A$8:$A$73,$B485)=1,IF(VLOOKUP($B485,Master_PIC!$A$8:$G$73,2,FALSE)="","",VLOOKUP($B485,Master_PIC!$A$8:$G$73,2,FALSE)),"")</f>
        <v/>
      </c>
      <c r="D485" s="15" t="str">
        <f>IF(COUNTIFS(Master_PIC!$A$8:$A$73,$B485)=1,IF(VLOOKUP($B485,Master_PIC!$A$8:$G$73,4,FALSE)="","",VLOOKUP($B485,Master_PIC!$A$8:$G$73,4,FALSE)),"")</f>
        <v/>
      </c>
      <c r="E485" s="15" t="str">
        <f>IF(COUNTIFS(Master_PIC!$A$8:$A$73,$B485)=1,IF(VLOOKUP($B485,Master_PIC!$A$8:$G$73,5,FALSE)="","",VLOOKUP($B485,Master_PIC!$A$8:$G$73,5,FALSE)),"")</f>
        <v/>
      </c>
      <c r="F485" s="15" t="str">
        <f>IF(COUNTIFS(Master_PIC!$A$8:$A$73,$B485)=1,IF(VLOOKUP($B485,Master_PIC!$A$8:$G$73,6,FALSE)="","",VLOOKUP($B485,Master_PIC!$A$8:$G$73,6,FALSE)),"")</f>
        <v/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8"/>
      <c r="Y485" s="5"/>
      <c r="Z485" s="5"/>
      <c r="AA485" s="9"/>
      <c r="AB485" s="5"/>
      <c r="AC485" s="5"/>
      <c r="AD485" s="9"/>
      <c r="AE485" s="5"/>
      <c r="AF485" s="7" t="str">
        <f t="shared" si="49"/>
        <v/>
      </c>
      <c r="AG485" s="7" t="str">
        <f t="shared" si="50"/>
        <v/>
      </c>
      <c r="AH485" s="7" t="str">
        <f t="shared" si="51"/>
        <v/>
      </c>
      <c r="AI485" s="7" t="str">
        <f t="shared" si="52"/>
        <v/>
      </c>
      <c r="AJ485" s="7" t="str">
        <f t="shared" si="53"/>
        <v/>
      </c>
      <c r="AK485" s="7" t="str">
        <f t="shared" si="54"/>
        <v/>
      </c>
      <c r="AL485" s="10" t="str">
        <f t="shared" si="55"/>
        <v/>
      </c>
      <c r="AM485" s="15" t="str">
        <f>IF(OR($A485&lt;&gt;"",$B485&lt;&gt;""),IF(OR($A485="",$B485=""),"Isi tanggal dan ID PIC",IF(NOT(ISNUMBER($A485)),"Tanggal harus berupa tanggal Excel",IF(COUNTIFS(Master_PIC!$A$8:$A$73,$B485)&lt;&gt;1,"ID PIC tidak unik/terdaftar",IF(VLOOKUP($B485,Master_PIC!$A$8:$G$73,3,FALSE)&lt;&gt;"Sales","Jabatan tidak sesuai sheet",IF(OR($C485="",$D485="",$E485="",$F485=""),"Lengkapi master PIC",IF(COUNTIFS($A$8:$A$507,$A485,$B$8:$B$507,$B485)&gt;1,"Laporan ganda",IF(COUNTIFS(G485:P485,"Tidak Berlaku")&gt;0,"N/A hanya untuk kegiatan bersyarat",IF(SUM(AG485,AH485,AI485,AJ485,AK485)&lt;&gt;14,"Status kegiatan tidak valid",IF(AK485&gt;0,"Lengkapi status kegiatan",IF(AND(AJ485&gt;0,U485=""),"Isi alasan Tidak Berlaku",IF(AND(SUM(AH485,AI485)&gt;0,OR(U485="",V485="",W485="",X485="")),"Isi kendala dan tindak lanjut",IF(AND(Z485&lt;&gt;"Draft",Z485&lt;&gt;"Dikirim"),"Isi status laporan yang valid",IF(AND(AB485&lt;&gt;"",AB485&lt;&gt;"Belum Diperiksa",AB485&lt;&gt;"Disetujui",AB485&lt;&gt;"Perlu Perbaikan"),"Hasil review tidak valid",IF(AND(Z485="Dikirim",OR(Y485="",AA485="")),"Isi bukti dan waktu kirim",IF(AND(AB485="Disetujui",OR(Z485&lt;&gt;"Dikirim",AC485="",AD485="")),"Lengkapi pemeriksaan",IF(AND(AB485="Perlu Perbaikan",OR(AE485="",AC485="",AD485="")),"Isi pemeriksa dan catatan perbaikan","OK")))))))))))))))),"")</f>
        <v/>
      </c>
    </row>
    <row r="486" spans="1:39" ht="24.95" customHeight="1">
      <c r="A486" s="8"/>
      <c r="B486" s="6"/>
      <c r="C486" s="15" t="str">
        <f>IF(COUNTIFS(Master_PIC!$A$8:$A$73,$B486)=1,IF(VLOOKUP($B486,Master_PIC!$A$8:$G$73,2,FALSE)="","",VLOOKUP($B486,Master_PIC!$A$8:$G$73,2,FALSE)),"")</f>
        <v/>
      </c>
      <c r="D486" s="15" t="str">
        <f>IF(COUNTIFS(Master_PIC!$A$8:$A$73,$B486)=1,IF(VLOOKUP($B486,Master_PIC!$A$8:$G$73,4,FALSE)="","",VLOOKUP($B486,Master_PIC!$A$8:$G$73,4,FALSE)),"")</f>
        <v/>
      </c>
      <c r="E486" s="15" t="str">
        <f>IF(COUNTIFS(Master_PIC!$A$8:$A$73,$B486)=1,IF(VLOOKUP($B486,Master_PIC!$A$8:$G$73,5,FALSE)="","",VLOOKUP($B486,Master_PIC!$A$8:$G$73,5,FALSE)),"")</f>
        <v/>
      </c>
      <c r="F486" s="15" t="str">
        <f>IF(COUNTIFS(Master_PIC!$A$8:$A$73,$B486)=1,IF(VLOOKUP($B486,Master_PIC!$A$8:$G$73,6,FALSE)="","",VLOOKUP($B486,Master_PIC!$A$8:$G$73,6,FALSE)),"")</f>
        <v/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8"/>
      <c r="Y486" s="5"/>
      <c r="Z486" s="5"/>
      <c r="AA486" s="9"/>
      <c r="AB486" s="5"/>
      <c r="AC486" s="5"/>
      <c r="AD486" s="9"/>
      <c r="AE486" s="5"/>
      <c r="AF486" s="7" t="str">
        <f t="shared" si="49"/>
        <v/>
      </c>
      <c r="AG486" s="7" t="str">
        <f t="shared" si="50"/>
        <v/>
      </c>
      <c r="AH486" s="7" t="str">
        <f t="shared" si="51"/>
        <v/>
      </c>
      <c r="AI486" s="7" t="str">
        <f t="shared" si="52"/>
        <v/>
      </c>
      <c r="AJ486" s="7" t="str">
        <f t="shared" si="53"/>
        <v/>
      </c>
      <c r="AK486" s="7" t="str">
        <f t="shared" si="54"/>
        <v/>
      </c>
      <c r="AL486" s="10" t="str">
        <f t="shared" si="55"/>
        <v/>
      </c>
      <c r="AM486" s="15" t="str">
        <f>IF(OR($A486&lt;&gt;"",$B486&lt;&gt;""),IF(OR($A486="",$B486=""),"Isi tanggal dan ID PIC",IF(NOT(ISNUMBER($A486)),"Tanggal harus berupa tanggal Excel",IF(COUNTIFS(Master_PIC!$A$8:$A$73,$B486)&lt;&gt;1,"ID PIC tidak unik/terdaftar",IF(VLOOKUP($B486,Master_PIC!$A$8:$G$73,3,FALSE)&lt;&gt;"Sales","Jabatan tidak sesuai sheet",IF(OR($C486="",$D486="",$E486="",$F486=""),"Lengkapi master PIC",IF(COUNTIFS($A$8:$A$507,$A486,$B$8:$B$507,$B486)&gt;1,"Laporan ganda",IF(COUNTIFS(G486:P486,"Tidak Berlaku")&gt;0,"N/A hanya untuk kegiatan bersyarat",IF(SUM(AG486,AH486,AI486,AJ486,AK486)&lt;&gt;14,"Status kegiatan tidak valid",IF(AK486&gt;0,"Lengkapi status kegiatan",IF(AND(AJ486&gt;0,U486=""),"Isi alasan Tidak Berlaku",IF(AND(SUM(AH486,AI486)&gt;0,OR(U486="",V486="",W486="",X486="")),"Isi kendala dan tindak lanjut",IF(AND(Z486&lt;&gt;"Draft",Z486&lt;&gt;"Dikirim"),"Isi status laporan yang valid",IF(AND(AB486&lt;&gt;"",AB486&lt;&gt;"Belum Diperiksa",AB486&lt;&gt;"Disetujui",AB486&lt;&gt;"Perlu Perbaikan"),"Hasil review tidak valid",IF(AND(Z486="Dikirim",OR(Y486="",AA486="")),"Isi bukti dan waktu kirim",IF(AND(AB486="Disetujui",OR(Z486&lt;&gt;"Dikirim",AC486="",AD486="")),"Lengkapi pemeriksaan",IF(AND(AB486="Perlu Perbaikan",OR(AE486="",AC486="",AD486="")),"Isi pemeriksa dan catatan perbaikan","OK")))))))))))))))),"")</f>
        <v/>
      </c>
    </row>
    <row r="487" spans="1:39" ht="24.95" customHeight="1">
      <c r="A487" s="8"/>
      <c r="B487" s="6"/>
      <c r="C487" s="15" t="str">
        <f>IF(COUNTIFS(Master_PIC!$A$8:$A$73,$B487)=1,IF(VLOOKUP($B487,Master_PIC!$A$8:$G$73,2,FALSE)="","",VLOOKUP($B487,Master_PIC!$A$8:$G$73,2,FALSE)),"")</f>
        <v/>
      </c>
      <c r="D487" s="15" t="str">
        <f>IF(COUNTIFS(Master_PIC!$A$8:$A$73,$B487)=1,IF(VLOOKUP($B487,Master_PIC!$A$8:$G$73,4,FALSE)="","",VLOOKUP($B487,Master_PIC!$A$8:$G$73,4,FALSE)),"")</f>
        <v/>
      </c>
      <c r="E487" s="15" t="str">
        <f>IF(COUNTIFS(Master_PIC!$A$8:$A$73,$B487)=1,IF(VLOOKUP($B487,Master_PIC!$A$8:$G$73,5,FALSE)="","",VLOOKUP($B487,Master_PIC!$A$8:$G$73,5,FALSE)),"")</f>
        <v/>
      </c>
      <c r="F487" s="15" t="str">
        <f>IF(COUNTIFS(Master_PIC!$A$8:$A$73,$B487)=1,IF(VLOOKUP($B487,Master_PIC!$A$8:$G$73,6,FALSE)="","",VLOOKUP($B487,Master_PIC!$A$8:$G$73,6,FALSE)),"")</f>
        <v/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8"/>
      <c r="Y487" s="5"/>
      <c r="Z487" s="5"/>
      <c r="AA487" s="9"/>
      <c r="AB487" s="5"/>
      <c r="AC487" s="5"/>
      <c r="AD487" s="9"/>
      <c r="AE487" s="5"/>
      <c r="AF487" s="7" t="str">
        <f t="shared" si="49"/>
        <v/>
      </c>
      <c r="AG487" s="7" t="str">
        <f t="shared" si="50"/>
        <v/>
      </c>
      <c r="AH487" s="7" t="str">
        <f t="shared" si="51"/>
        <v/>
      </c>
      <c r="AI487" s="7" t="str">
        <f t="shared" si="52"/>
        <v/>
      </c>
      <c r="AJ487" s="7" t="str">
        <f t="shared" si="53"/>
        <v/>
      </c>
      <c r="AK487" s="7" t="str">
        <f t="shared" si="54"/>
        <v/>
      </c>
      <c r="AL487" s="10" t="str">
        <f t="shared" si="55"/>
        <v/>
      </c>
      <c r="AM487" s="15" t="str">
        <f>IF(OR($A487&lt;&gt;"",$B487&lt;&gt;""),IF(OR($A487="",$B487=""),"Isi tanggal dan ID PIC",IF(NOT(ISNUMBER($A487)),"Tanggal harus berupa tanggal Excel",IF(COUNTIFS(Master_PIC!$A$8:$A$73,$B487)&lt;&gt;1,"ID PIC tidak unik/terdaftar",IF(VLOOKUP($B487,Master_PIC!$A$8:$G$73,3,FALSE)&lt;&gt;"Sales","Jabatan tidak sesuai sheet",IF(OR($C487="",$D487="",$E487="",$F487=""),"Lengkapi master PIC",IF(COUNTIFS($A$8:$A$507,$A487,$B$8:$B$507,$B487)&gt;1,"Laporan ganda",IF(COUNTIFS(G487:P487,"Tidak Berlaku")&gt;0,"N/A hanya untuk kegiatan bersyarat",IF(SUM(AG487,AH487,AI487,AJ487,AK487)&lt;&gt;14,"Status kegiatan tidak valid",IF(AK487&gt;0,"Lengkapi status kegiatan",IF(AND(AJ487&gt;0,U487=""),"Isi alasan Tidak Berlaku",IF(AND(SUM(AH487,AI487)&gt;0,OR(U487="",V487="",W487="",X487="")),"Isi kendala dan tindak lanjut",IF(AND(Z487&lt;&gt;"Draft",Z487&lt;&gt;"Dikirim"),"Isi status laporan yang valid",IF(AND(AB487&lt;&gt;"",AB487&lt;&gt;"Belum Diperiksa",AB487&lt;&gt;"Disetujui",AB487&lt;&gt;"Perlu Perbaikan"),"Hasil review tidak valid",IF(AND(Z487="Dikirim",OR(Y487="",AA487="")),"Isi bukti dan waktu kirim",IF(AND(AB487="Disetujui",OR(Z487&lt;&gt;"Dikirim",AC487="",AD487="")),"Lengkapi pemeriksaan",IF(AND(AB487="Perlu Perbaikan",OR(AE487="",AC487="",AD487="")),"Isi pemeriksa dan catatan perbaikan","OK")))))))))))))))),"")</f>
        <v/>
      </c>
    </row>
    <row r="488" spans="1:39" ht="24.95" customHeight="1">
      <c r="A488" s="8"/>
      <c r="B488" s="6"/>
      <c r="C488" s="15" t="str">
        <f>IF(COUNTIFS(Master_PIC!$A$8:$A$73,$B488)=1,IF(VLOOKUP($B488,Master_PIC!$A$8:$G$73,2,FALSE)="","",VLOOKUP($B488,Master_PIC!$A$8:$G$73,2,FALSE)),"")</f>
        <v/>
      </c>
      <c r="D488" s="15" t="str">
        <f>IF(COUNTIFS(Master_PIC!$A$8:$A$73,$B488)=1,IF(VLOOKUP($B488,Master_PIC!$A$8:$G$73,4,FALSE)="","",VLOOKUP($B488,Master_PIC!$A$8:$G$73,4,FALSE)),"")</f>
        <v/>
      </c>
      <c r="E488" s="15" t="str">
        <f>IF(COUNTIFS(Master_PIC!$A$8:$A$73,$B488)=1,IF(VLOOKUP($B488,Master_PIC!$A$8:$G$73,5,FALSE)="","",VLOOKUP($B488,Master_PIC!$A$8:$G$73,5,FALSE)),"")</f>
        <v/>
      </c>
      <c r="F488" s="15" t="str">
        <f>IF(COUNTIFS(Master_PIC!$A$8:$A$73,$B488)=1,IF(VLOOKUP($B488,Master_PIC!$A$8:$G$73,6,FALSE)="","",VLOOKUP($B488,Master_PIC!$A$8:$G$73,6,FALSE)),"")</f>
        <v/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8"/>
      <c r="Y488" s="5"/>
      <c r="Z488" s="5"/>
      <c r="AA488" s="9"/>
      <c r="AB488" s="5"/>
      <c r="AC488" s="5"/>
      <c r="AD488" s="9"/>
      <c r="AE488" s="5"/>
      <c r="AF488" s="7" t="str">
        <f t="shared" si="49"/>
        <v/>
      </c>
      <c r="AG488" s="7" t="str">
        <f t="shared" si="50"/>
        <v/>
      </c>
      <c r="AH488" s="7" t="str">
        <f t="shared" si="51"/>
        <v/>
      </c>
      <c r="AI488" s="7" t="str">
        <f t="shared" si="52"/>
        <v/>
      </c>
      <c r="AJ488" s="7" t="str">
        <f t="shared" si="53"/>
        <v/>
      </c>
      <c r="AK488" s="7" t="str">
        <f t="shared" si="54"/>
        <v/>
      </c>
      <c r="AL488" s="10" t="str">
        <f t="shared" si="55"/>
        <v/>
      </c>
      <c r="AM488" s="15" t="str">
        <f>IF(OR($A488&lt;&gt;"",$B488&lt;&gt;""),IF(OR($A488="",$B488=""),"Isi tanggal dan ID PIC",IF(NOT(ISNUMBER($A488)),"Tanggal harus berupa tanggal Excel",IF(COUNTIFS(Master_PIC!$A$8:$A$73,$B488)&lt;&gt;1,"ID PIC tidak unik/terdaftar",IF(VLOOKUP($B488,Master_PIC!$A$8:$G$73,3,FALSE)&lt;&gt;"Sales","Jabatan tidak sesuai sheet",IF(OR($C488="",$D488="",$E488="",$F488=""),"Lengkapi master PIC",IF(COUNTIFS($A$8:$A$507,$A488,$B$8:$B$507,$B488)&gt;1,"Laporan ganda",IF(COUNTIFS(G488:P488,"Tidak Berlaku")&gt;0,"N/A hanya untuk kegiatan bersyarat",IF(SUM(AG488,AH488,AI488,AJ488,AK488)&lt;&gt;14,"Status kegiatan tidak valid",IF(AK488&gt;0,"Lengkapi status kegiatan",IF(AND(AJ488&gt;0,U488=""),"Isi alasan Tidak Berlaku",IF(AND(SUM(AH488,AI488)&gt;0,OR(U488="",V488="",W488="",X488="")),"Isi kendala dan tindak lanjut",IF(AND(Z488&lt;&gt;"Draft",Z488&lt;&gt;"Dikirim"),"Isi status laporan yang valid",IF(AND(AB488&lt;&gt;"",AB488&lt;&gt;"Belum Diperiksa",AB488&lt;&gt;"Disetujui",AB488&lt;&gt;"Perlu Perbaikan"),"Hasil review tidak valid",IF(AND(Z488="Dikirim",OR(Y488="",AA488="")),"Isi bukti dan waktu kirim",IF(AND(AB488="Disetujui",OR(Z488&lt;&gt;"Dikirim",AC488="",AD488="")),"Lengkapi pemeriksaan",IF(AND(AB488="Perlu Perbaikan",OR(AE488="",AC488="",AD488="")),"Isi pemeriksa dan catatan perbaikan","OK")))))))))))))))),"")</f>
        <v/>
      </c>
    </row>
    <row r="489" spans="1:39" ht="24.95" customHeight="1">
      <c r="A489" s="8"/>
      <c r="B489" s="6"/>
      <c r="C489" s="15" t="str">
        <f>IF(COUNTIFS(Master_PIC!$A$8:$A$73,$B489)=1,IF(VLOOKUP($B489,Master_PIC!$A$8:$G$73,2,FALSE)="","",VLOOKUP($B489,Master_PIC!$A$8:$G$73,2,FALSE)),"")</f>
        <v/>
      </c>
      <c r="D489" s="15" t="str">
        <f>IF(COUNTIFS(Master_PIC!$A$8:$A$73,$B489)=1,IF(VLOOKUP($B489,Master_PIC!$A$8:$G$73,4,FALSE)="","",VLOOKUP($B489,Master_PIC!$A$8:$G$73,4,FALSE)),"")</f>
        <v/>
      </c>
      <c r="E489" s="15" t="str">
        <f>IF(COUNTIFS(Master_PIC!$A$8:$A$73,$B489)=1,IF(VLOOKUP($B489,Master_PIC!$A$8:$G$73,5,FALSE)="","",VLOOKUP($B489,Master_PIC!$A$8:$G$73,5,FALSE)),"")</f>
        <v/>
      </c>
      <c r="F489" s="15" t="str">
        <f>IF(COUNTIFS(Master_PIC!$A$8:$A$73,$B489)=1,IF(VLOOKUP($B489,Master_PIC!$A$8:$G$73,6,FALSE)="","",VLOOKUP($B489,Master_PIC!$A$8:$G$73,6,FALSE)),"")</f>
        <v/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8"/>
      <c r="Y489" s="5"/>
      <c r="Z489" s="5"/>
      <c r="AA489" s="9"/>
      <c r="AB489" s="5"/>
      <c r="AC489" s="5"/>
      <c r="AD489" s="9"/>
      <c r="AE489" s="5"/>
      <c r="AF489" s="7" t="str">
        <f t="shared" si="49"/>
        <v/>
      </c>
      <c r="AG489" s="7" t="str">
        <f t="shared" si="50"/>
        <v/>
      </c>
      <c r="AH489" s="7" t="str">
        <f t="shared" si="51"/>
        <v/>
      </c>
      <c r="AI489" s="7" t="str">
        <f t="shared" si="52"/>
        <v/>
      </c>
      <c r="AJ489" s="7" t="str">
        <f t="shared" si="53"/>
        <v/>
      </c>
      <c r="AK489" s="7" t="str">
        <f t="shared" si="54"/>
        <v/>
      </c>
      <c r="AL489" s="10" t="str">
        <f t="shared" si="55"/>
        <v/>
      </c>
      <c r="AM489" s="15" t="str">
        <f>IF(OR($A489&lt;&gt;"",$B489&lt;&gt;""),IF(OR($A489="",$B489=""),"Isi tanggal dan ID PIC",IF(NOT(ISNUMBER($A489)),"Tanggal harus berupa tanggal Excel",IF(COUNTIFS(Master_PIC!$A$8:$A$73,$B489)&lt;&gt;1,"ID PIC tidak unik/terdaftar",IF(VLOOKUP($B489,Master_PIC!$A$8:$G$73,3,FALSE)&lt;&gt;"Sales","Jabatan tidak sesuai sheet",IF(OR($C489="",$D489="",$E489="",$F489=""),"Lengkapi master PIC",IF(COUNTIFS($A$8:$A$507,$A489,$B$8:$B$507,$B489)&gt;1,"Laporan ganda",IF(COUNTIFS(G489:P489,"Tidak Berlaku")&gt;0,"N/A hanya untuk kegiatan bersyarat",IF(SUM(AG489,AH489,AI489,AJ489,AK489)&lt;&gt;14,"Status kegiatan tidak valid",IF(AK489&gt;0,"Lengkapi status kegiatan",IF(AND(AJ489&gt;0,U489=""),"Isi alasan Tidak Berlaku",IF(AND(SUM(AH489,AI489)&gt;0,OR(U489="",V489="",W489="",X489="")),"Isi kendala dan tindak lanjut",IF(AND(Z489&lt;&gt;"Draft",Z489&lt;&gt;"Dikirim"),"Isi status laporan yang valid",IF(AND(AB489&lt;&gt;"",AB489&lt;&gt;"Belum Diperiksa",AB489&lt;&gt;"Disetujui",AB489&lt;&gt;"Perlu Perbaikan"),"Hasil review tidak valid",IF(AND(Z489="Dikirim",OR(Y489="",AA489="")),"Isi bukti dan waktu kirim",IF(AND(AB489="Disetujui",OR(Z489&lt;&gt;"Dikirim",AC489="",AD489="")),"Lengkapi pemeriksaan",IF(AND(AB489="Perlu Perbaikan",OR(AE489="",AC489="",AD489="")),"Isi pemeriksa dan catatan perbaikan","OK")))))))))))))))),"")</f>
        <v/>
      </c>
    </row>
    <row r="490" spans="1:39" ht="24.95" customHeight="1">
      <c r="A490" s="8"/>
      <c r="B490" s="6"/>
      <c r="C490" s="15" t="str">
        <f>IF(COUNTIFS(Master_PIC!$A$8:$A$73,$B490)=1,IF(VLOOKUP($B490,Master_PIC!$A$8:$G$73,2,FALSE)="","",VLOOKUP($B490,Master_PIC!$A$8:$G$73,2,FALSE)),"")</f>
        <v/>
      </c>
      <c r="D490" s="15" t="str">
        <f>IF(COUNTIFS(Master_PIC!$A$8:$A$73,$B490)=1,IF(VLOOKUP($B490,Master_PIC!$A$8:$G$73,4,FALSE)="","",VLOOKUP($B490,Master_PIC!$A$8:$G$73,4,FALSE)),"")</f>
        <v/>
      </c>
      <c r="E490" s="15" t="str">
        <f>IF(COUNTIFS(Master_PIC!$A$8:$A$73,$B490)=1,IF(VLOOKUP($B490,Master_PIC!$A$8:$G$73,5,FALSE)="","",VLOOKUP($B490,Master_PIC!$A$8:$G$73,5,FALSE)),"")</f>
        <v/>
      </c>
      <c r="F490" s="15" t="str">
        <f>IF(COUNTIFS(Master_PIC!$A$8:$A$73,$B490)=1,IF(VLOOKUP($B490,Master_PIC!$A$8:$G$73,6,FALSE)="","",VLOOKUP($B490,Master_PIC!$A$8:$G$73,6,FALSE)),"")</f>
        <v/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8"/>
      <c r="Y490" s="5"/>
      <c r="Z490" s="5"/>
      <c r="AA490" s="9"/>
      <c r="AB490" s="5"/>
      <c r="AC490" s="5"/>
      <c r="AD490" s="9"/>
      <c r="AE490" s="5"/>
      <c r="AF490" s="7" t="str">
        <f t="shared" si="49"/>
        <v/>
      </c>
      <c r="AG490" s="7" t="str">
        <f t="shared" si="50"/>
        <v/>
      </c>
      <c r="AH490" s="7" t="str">
        <f t="shared" si="51"/>
        <v/>
      </c>
      <c r="AI490" s="7" t="str">
        <f t="shared" si="52"/>
        <v/>
      </c>
      <c r="AJ490" s="7" t="str">
        <f t="shared" si="53"/>
        <v/>
      </c>
      <c r="AK490" s="7" t="str">
        <f t="shared" si="54"/>
        <v/>
      </c>
      <c r="AL490" s="10" t="str">
        <f t="shared" si="55"/>
        <v/>
      </c>
      <c r="AM490" s="15" t="str">
        <f>IF(OR($A490&lt;&gt;"",$B490&lt;&gt;""),IF(OR($A490="",$B490=""),"Isi tanggal dan ID PIC",IF(NOT(ISNUMBER($A490)),"Tanggal harus berupa tanggal Excel",IF(COUNTIFS(Master_PIC!$A$8:$A$73,$B490)&lt;&gt;1,"ID PIC tidak unik/terdaftar",IF(VLOOKUP($B490,Master_PIC!$A$8:$G$73,3,FALSE)&lt;&gt;"Sales","Jabatan tidak sesuai sheet",IF(OR($C490="",$D490="",$E490="",$F490=""),"Lengkapi master PIC",IF(COUNTIFS($A$8:$A$507,$A490,$B$8:$B$507,$B490)&gt;1,"Laporan ganda",IF(COUNTIFS(G490:P490,"Tidak Berlaku")&gt;0,"N/A hanya untuk kegiatan bersyarat",IF(SUM(AG490,AH490,AI490,AJ490,AK490)&lt;&gt;14,"Status kegiatan tidak valid",IF(AK490&gt;0,"Lengkapi status kegiatan",IF(AND(AJ490&gt;0,U490=""),"Isi alasan Tidak Berlaku",IF(AND(SUM(AH490,AI490)&gt;0,OR(U490="",V490="",W490="",X490="")),"Isi kendala dan tindak lanjut",IF(AND(Z490&lt;&gt;"Draft",Z490&lt;&gt;"Dikirim"),"Isi status laporan yang valid",IF(AND(AB490&lt;&gt;"",AB490&lt;&gt;"Belum Diperiksa",AB490&lt;&gt;"Disetujui",AB490&lt;&gt;"Perlu Perbaikan"),"Hasil review tidak valid",IF(AND(Z490="Dikirim",OR(Y490="",AA490="")),"Isi bukti dan waktu kirim",IF(AND(AB490="Disetujui",OR(Z490&lt;&gt;"Dikirim",AC490="",AD490="")),"Lengkapi pemeriksaan",IF(AND(AB490="Perlu Perbaikan",OR(AE490="",AC490="",AD490="")),"Isi pemeriksa dan catatan perbaikan","OK")))))))))))))))),"")</f>
        <v/>
      </c>
    </row>
    <row r="491" spans="1:39" ht="24.95" customHeight="1">
      <c r="A491" s="8"/>
      <c r="B491" s="6"/>
      <c r="C491" s="15" t="str">
        <f>IF(COUNTIFS(Master_PIC!$A$8:$A$73,$B491)=1,IF(VLOOKUP($B491,Master_PIC!$A$8:$G$73,2,FALSE)="","",VLOOKUP($B491,Master_PIC!$A$8:$G$73,2,FALSE)),"")</f>
        <v/>
      </c>
      <c r="D491" s="15" t="str">
        <f>IF(COUNTIFS(Master_PIC!$A$8:$A$73,$B491)=1,IF(VLOOKUP($B491,Master_PIC!$A$8:$G$73,4,FALSE)="","",VLOOKUP($B491,Master_PIC!$A$8:$G$73,4,FALSE)),"")</f>
        <v/>
      </c>
      <c r="E491" s="15" t="str">
        <f>IF(COUNTIFS(Master_PIC!$A$8:$A$73,$B491)=1,IF(VLOOKUP($B491,Master_PIC!$A$8:$G$73,5,FALSE)="","",VLOOKUP($B491,Master_PIC!$A$8:$G$73,5,FALSE)),"")</f>
        <v/>
      </c>
      <c r="F491" s="15" t="str">
        <f>IF(COUNTIFS(Master_PIC!$A$8:$A$73,$B491)=1,IF(VLOOKUP($B491,Master_PIC!$A$8:$G$73,6,FALSE)="","",VLOOKUP($B491,Master_PIC!$A$8:$G$73,6,FALSE)),"")</f>
        <v/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8"/>
      <c r="Y491" s="5"/>
      <c r="Z491" s="5"/>
      <c r="AA491" s="9"/>
      <c r="AB491" s="5"/>
      <c r="AC491" s="5"/>
      <c r="AD491" s="9"/>
      <c r="AE491" s="5"/>
      <c r="AF491" s="7" t="str">
        <f t="shared" si="49"/>
        <v/>
      </c>
      <c r="AG491" s="7" t="str">
        <f t="shared" si="50"/>
        <v/>
      </c>
      <c r="AH491" s="7" t="str">
        <f t="shared" si="51"/>
        <v/>
      </c>
      <c r="AI491" s="7" t="str">
        <f t="shared" si="52"/>
        <v/>
      </c>
      <c r="AJ491" s="7" t="str">
        <f t="shared" si="53"/>
        <v/>
      </c>
      <c r="AK491" s="7" t="str">
        <f t="shared" si="54"/>
        <v/>
      </c>
      <c r="AL491" s="10" t="str">
        <f t="shared" si="55"/>
        <v/>
      </c>
      <c r="AM491" s="15" t="str">
        <f>IF(OR($A491&lt;&gt;"",$B491&lt;&gt;""),IF(OR($A491="",$B491=""),"Isi tanggal dan ID PIC",IF(NOT(ISNUMBER($A491)),"Tanggal harus berupa tanggal Excel",IF(COUNTIFS(Master_PIC!$A$8:$A$73,$B491)&lt;&gt;1,"ID PIC tidak unik/terdaftar",IF(VLOOKUP($B491,Master_PIC!$A$8:$G$73,3,FALSE)&lt;&gt;"Sales","Jabatan tidak sesuai sheet",IF(OR($C491="",$D491="",$E491="",$F491=""),"Lengkapi master PIC",IF(COUNTIFS($A$8:$A$507,$A491,$B$8:$B$507,$B491)&gt;1,"Laporan ganda",IF(COUNTIFS(G491:P491,"Tidak Berlaku")&gt;0,"N/A hanya untuk kegiatan bersyarat",IF(SUM(AG491,AH491,AI491,AJ491,AK491)&lt;&gt;14,"Status kegiatan tidak valid",IF(AK491&gt;0,"Lengkapi status kegiatan",IF(AND(AJ491&gt;0,U491=""),"Isi alasan Tidak Berlaku",IF(AND(SUM(AH491,AI491)&gt;0,OR(U491="",V491="",W491="",X491="")),"Isi kendala dan tindak lanjut",IF(AND(Z491&lt;&gt;"Draft",Z491&lt;&gt;"Dikirim"),"Isi status laporan yang valid",IF(AND(AB491&lt;&gt;"",AB491&lt;&gt;"Belum Diperiksa",AB491&lt;&gt;"Disetujui",AB491&lt;&gt;"Perlu Perbaikan"),"Hasil review tidak valid",IF(AND(Z491="Dikirim",OR(Y491="",AA491="")),"Isi bukti dan waktu kirim",IF(AND(AB491="Disetujui",OR(Z491&lt;&gt;"Dikirim",AC491="",AD491="")),"Lengkapi pemeriksaan",IF(AND(AB491="Perlu Perbaikan",OR(AE491="",AC491="",AD491="")),"Isi pemeriksa dan catatan perbaikan","OK")))))))))))))))),"")</f>
        <v/>
      </c>
    </row>
    <row r="492" spans="1:39" ht="24.95" customHeight="1">
      <c r="A492" s="8"/>
      <c r="B492" s="6"/>
      <c r="C492" s="15" t="str">
        <f>IF(COUNTIFS(Master_PIC!$A$8:$A$73,$B492)=1,IF(VLOOKUP($B492,Master_PIC!$A$8:$G$73,2,FALSE)="","",VLOOKUP($B492,Master_PIC!$A$8:$G$73,2,FALSE)),"")</f>
        <v/>
      </c>
      <c r="D492" s="15" t="str">
        <f>IF(COUNTIFS(Master_PIC!$A$8:$A$73,$B492)=1,IF(VLOOKUP($B492,Master_PIC!$A$8:$G$73,4,FALSE)="","",VLOOKUP($B492,Master_PIC!$A$8:$G$73,4,FALSE)),"")</f>
        <v/>
      </c>
      <c r="E492" s="15" t="str">
        <f>IF(COUNTIFS(Master_PIC!$A$8:$A$73,$B492)=1,IF(VLOOKUP($B492,Master_PIC!$A$8:$G$73,5,FALSE)="","",VLOOKUP($B492,Master_PIC!$A$8:$G$73,5,FALSE)),"")</f>
        <v/>
      </c>
      <c r="F492" s="15" t="str">
        <f>IF(COUNTIFS(Master_PIC!$A$8:$A$73,$B492)=1,IF(VLOOKUP($B492,Master_PIC!$A$8:$G$73,6,FALSE)="","",VLOOKUP($B492,Master_PIC!$A$8:$G$73,6,FALSE)),"")</f>
        <v/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8"/>
      <c r="Y492" s="5"/>
      <c r="Z492" s="5"/>
      <c r="AA492" s="9"/>
      <c r="AB492" s="5"/>
      <c r="AC492" s="5"/>
      <c r="AD492" s="9"/>
      <c r="AE492" s="5"/>
      <c r="AF492" s="7" t="str">
        <f t="shared" si="49"/>
        <v/>
      </c>
      <c r="AG492" s="7" t="str">
        <f t="shared" si="50"/>
        <v/>
      </c>
      <c r="AH492" s="7" t="str">
        <f t="shared" si="51"/>
        <v/>
      </c>
      <c r="AI492" s="7" t="str">
        <f t="shared" si="52"/>
        <v/>
      </c>
      <c r="AJ492" s="7" t="str">
        <f t="shared" si="53"/>
        <v/>
      </c>
      <c r="AK492" s="7" t="str">
        <f t="shared" si="54"/>
        <v/>
      </c>
      <c r="AL492" s="10" t="str">
        <f t="shared" si="55"/>
        <v/>
      </c>
      <c r="AM492" s="15" t="str">
        <f>IF(OR($A492&lt;&gt;"",$B492&lt;&gt;""),IF(OR($A492="",$B492=""),"Isi tanggal dan ID PIC",IF(NOT(ISNUMBER($A492)),"Tanggal harus berupa tanggal Excel",IF(COUNTIFS(Master_PIC!$A$8:$A$73,$B492)&lt;&gt;1,"ID PIC tidak unik/terdaftar",IF(VLOOKUP($B492,Master_PIC!$A$8:$G$73,3,FALSE)&lt;&gt;"Sales","Jabatan tidak sesuai sheet",IF(OR($C492="",$D492="",$E492="",$F492=""),"Lengkapi master PIC",IF(COUNTIFS($A$8:$A$507,$A492,$B$8:$B$507,$B492)&gt;1,"Laporan ganda",IF(COUNTIFS(G492:P492,"Tidak Berlaku")&gt;0,"N/A hanya untuk kegiatan bersyarat",IF(SUM(AG492,AH492,AI492,AJ492,AK492)&lt;&gt;14,"Status kegiatan tidak valid",IF(AK492&gt;0,"Lengkapi status kegiatan",IF(AND(AJ492&gt;0,U492=""),"Isi alasan Tidak Berlaku",IF(AND(SUM(AH492,AI492)&gt;0,OR(U492="",V492="",W492="",X492="")),"Isi kendala dan tindak lanjut",IF(AND(Z492&lt;&gt;"Draft",Z492&lt;&gt;"Dikirim"),"Isi status laporan yang valid",IF(AND(AB492&lt;&gt;"",AB492&lt;&gt;"Belum Diperiksa",AB492&lt;&gt;"Disetujui",AB492&lt;&gt;"Perlu Perbaikan"),"Hasil review tidak valid",IF(AND(Z492="Dikirim",OR(Y492="",AA492="")),"Isi bukti dan waktu kirim",IF(AND(AB492="Disetujui",OR(Z492&lt;&gt;"Dikirim",AC492="",AD492="")),"Lengkapi pemeriksaan",IF(AND(AB492="Perlu Perbaikan",OR(AE492="",AC492="",AD492="")),"Isi pemeriksa dan catatan perbaikan","OK")))))))))))))))),"")</f>
        <v/>
      </c>
    </row>
    <row r="493" spans="1:39" ht="24.95" customHeight="1">
      <c r="A493" s="8"/>
      <c r="B493" s="6"/>
      <c r="C493" s="15" t="str">
        <f>IF(COUNTIFS(Master_PIC!$A$8:$A$73,$B493)=1,IF(VLOOKUP($B493,Master_PIC!$A$8:$G$73,2,FALSE)="","",VLOOKUP($B493,Master_PIC!$A$8:$G$73,2,FALSE)),"")</f>
        <v/>
      </c>
      <c r="D493" s="15" t="str">
        <f>IF(COUNTIFS(Master_PIC!$A$8:$A$73,$B493)=1,IF(VLOOKUP($B493,Master_PIC!$A$8:$G$73,4,FALSE)="","",VLOOKUP($B493,Master_PIC!$A$8:$G$73,4,FALSE)),"")</f>
        <v/>
      </c>
      <c r="E493" s="15" t="str">
        <f>IF(COUNTIFS(Master_PIC!$A$8:$A$73,$B493)=1,IF(VLOOKUP($B493,Master_PIC!$A$8:$G$73,5,FALSE)="","",VLOOKUP($B493,Master_PIC!$A$8:$G$73,5,FALSE)),"")</f>
        <v/>
      </c>
      <c r="F493" s="15" t="str">
        <f>IF(COUNTIFS(Master_PIC!$A$8:$A$73,$B493)=1,IF(VLOOKUP($B493,Master_PIC!$A$8:$G$73,6,FALSE)="","",VLOOKUP($B493,Master_PIC!$A$8:$G$73,6,FALSE)),"")</f>
        <v/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8"/>
      <c r="Y493" s="5"/>
      <c r="Z493" s="5"/>
      <c r="AA493" s="9"/>
      <c r="AB493" s="5"/>
      <c r="AC493" s="5"/>
      <c r="AD493" s="9"/>
      <c r="AE493" s="5"/>
      <c r="AF493" s="7" t="str">
        <f t="shared" si="49"/>
        <v/>
      </c>
      <c r="AG493" s="7" t="str">
        <f t="shared" si="50"/>
        <v/>
      </c>
      <c r="AH493" s="7" t="str">
        <f t="shared" si="51"/>
        <v/>
      </c>
      <c r="AI493" s="7" t="str">
        <f t="shared" si="52"/>
        <v/>
      </c>
      <c r="AJ493" s="7" t="str">
        <f t="shared" si="53"/>
        <v/>
      </c>
      <c r="AK493" s="7" t="str">
        <f t="shared" si="54"/>
        <v/>
      </c>
      <c r="AL493" s="10" t="str">
        <f t="shared" si="55"/>
        <v/>
      </c>
      <c r="AM493" s="15" t="str">
        <f>IF(OR($A493&lt;&gt;"",$B493&lt;&gt;""),IF(OR($A493="",$B493=""),"Isi tanggal dan ID PIC",IF(NOT(ISNUMBER($A493)),"Tanggal harus berupa tanggal Excel",IF(COUNTIFS(Master_PIC!$A$8:$A$73,$B493)&lt;&gt;1,"ID PIC tidak unik/terdaftar",IF(VLOOKUP($B493,Master_PIC!$A$8:$G$73,3,FALSE)&lt;&gt;"Sales","Jabatan tidak sesuai sheet",IF(OR($C493="",$D493="",$E493="",$F493=""),"Lengkapi master PIC",IF(COUNTIFS($A$8:$A$507,$A493,$B$8:$B$507,$B493)&gt;1,"Laporan ganda",IF(COUNTIFS(G493:P493,"Tidak Berlaku")&gt;0,"N/A hanya untuk kegiatan bersyarat",IF(SUM(AG493,AH493,AI493,AJ493,AK493)&lt;&gt;14,"Status kegiatan tidak valid",IF(AK493&gt;0,"Lengkapi status kegiatan",IF(AND(AJ493&gt;0,U493=""),"Isi alasan Tidak Berlaku",IF(AND(SUM(AH493,AI493)&gt;0,OR(U493="",V493="",W493="",X493="")),"Isi kendala dan tindak lanjut",IF(AND(Z493&lt;&gt;"Draft",Z493&lt;&gt;"Dikirim"),"Isi status laporan yang valid",IF(AND(AB493&lt;&gt;"",AB493&lt;&gt;"Belum Diperiksa",AB493&lt;&gt;"Disetujui",AB493&lt;&gt;"Perlu Perbaikan"),"Hasil review tidak valid",IF(AND(Z493="Dikirim",OR(Y493="",AA493="")),"Isi bukti dan waktu kirim",IF(AND(AB493="Disetujui",OR(Z493&lt;&gt;"Dikirim",AC493="",AD493="")),"Lengkapi pemeriksaan",IF(AND(AB493="Perlu Perbaikan",OR(AE493="",AC493="",AD493="")),"Isi pemeriksa dan catatan perbaikan","OK")))))))))))))))),"")</f>
        <v/>
      </c>
    </row>
    <row r="494" spans="1:39" ht="24.95" customHeight="1">
      <c r="A494" s="8"/>
      <c r="B494" s="6"/>
      <c r="C494" s="15" t="str">
        <f>IF(COUNTIFS(Master_PIC!$A$8:$A$73,$B494)=1,IF(VLOOKUP($B494,Master_PIC!$A$8:$G$73,2,FALSE)="","",VLOOKUP($B494,Master_PIC!$A$8:$G$73,2,FALSE)),"")</f>
        <v/>
      </c>
      <c r="D494" s="15" t="str">
        <f>IF(COUNTIFS(Master_PIC!$A$8:$A$73,$B494)=1,IF(VLOOKUP($B494,Master_PIC!$A$8:$G$73,4,FALSE)="","",VLOOKUP($B494,Master_PIC!$A$8:$G$73,4,FALSE)),"")</f>
        <v/>
      </c>
      <c r="E494" s="15" t="str">
        <f>IF(COUNTIFS(Master_PIC!$A$8:$A$73,$B494)=1,IF(VLOOKUP($B494,Master_PIC!$A$8:$G$73,5,FALSE)="","",VLOOKUP($B494,Master_PIC!$A$8:$G$73,5,FALSE)),"")</f>
        <v/>
      </c>
      <c r="F494" s="15" t="str">
        <f>IF(COUNTIFS(Master_PIC!$A$8:$A$73,$B494)=1,IF(VLOOKUP($B494,Master_PIC!$A$8:$G$73,6,FALSE)="","",VLOOKUP($B494,Master_PIC!$A$8:$G$73,6,FALSE)),"")</f>
        <v/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8"/>
      <c r="Y494" s="5"/>
      <c r="Z494" s="5"/>
      <c r="AA494" s="9"/>
      <c r="AB494" s="5"/>
      <c r="AC494" s="5"/>
      <c r="AD494" s="9"/>
      <c r="AE494" s="5"/>
      <c r="AF494" s="7" t="str">
        <f t="shared" si="49"/>
        <v/>
      </c>
      <c r="AG494" s="7" t="str">
        <f t="shared" si="50"/>
        <v/>
      </c>
      <c r="AH494" s="7" t="str">
        <f t="shared" si="51"/>
        <v/>
      </c>
      <c r="AI494" s="7" t="str">
        <f t="shared" si="52"/>
        <v/>
      </c>
      <c r="AJ494" s="7" t="str">
        <f t="shared" si="53"/>
        <v/>
      </c>
      <c r="AK494" s="7" t="str">
        <f t="shared" si="54"/>
        <v/>
      </c>
      <c r="AL494" s="10" t="str">
        <f t="shared" si="55"/>
        <v/>
      </c>
      <c r="AM494" s="15" t="str">
        <f>IF(OR($A494&lt;&gt;"",$B494&lt;&gt;""),IF(OR($A494="",$B494=""),"Isi tanggal dan ID PIC",IF(NOT(ISNUMBER($A494)),"Tanggal harus berupa tanggal Excel",IF(COUNTIFS(Master_PIC!$A$8:$A$73,$B494)&lt;&gt;1,"ID PIC tidak unik/terdaftar",IF(VLOOKUP($B494,Master_PIC!$A$8:$G$73,3,FALSE)&lt;&gt;"Sales","Jabatan tidak sesuai sheet",IF(OR($C494="",$D494="",$E494="",$F494=""),"Lengkapi master PIC",IF(COUNTIFS($A$8:$A$507,$A494,$B$8:$B$507,$B494)&gt;1,"Laporan ganda",IF(COUNTIFS(G494:P494,"Tidak Berlaku")&gt;0,"N/A hanya untuk kegiatan bersyarat",IF(SUM(AG494,AH494,AI494,AJ494,AK494)&lt;&gt;14,"Status kegiatan tidak valid",IF(AK494&gt;0,"Lengkapi status kegiatan",IF(AND(AJ494&gt;0,U494=""),"Isi alasan Tidak Berlaku",IF(AND(SUM(AH494,AI494)&gt;0,OR(U494="",V494="",W494="",X494="")),"Isi kendala dan tindak lanjut",IF(AND(Z494&lt;&gt;"Draft",Z494&lt;&gt;"Dikirim"),"Isi status laporan yang valid",IF(AND(AB494&lt;&gt;"",AB494&lt;&gt;"Belum Diperiksa",AB494&lt;&gt;"Disetujui",AB494&lt;&gt;"Perlu Perbaikan"),"Hasil review tidak valid",IF(AND(Z494="Dikirim",OR(Y494="",AA494="")),"Isi bukti dan waktu kirim",IF(AND(AB494="Disetujui",OR(Z494&lt;&gt;"Dikirim",AC494="",AD494="")),"Lengkapi pemeriksaan",IF(AND(AB494="Perlu Perbaikan",OR(AE494="",AC494="",AD494="")),"Isi pemeriksa dan catatan perbaikan","OK")))))))))))))))),"")</f>
        <v/>
      </c>
    </row>
    <row r="495" spans="1:39" ht="24.95" customHeight="1">
      <c r="A495" s="8"/>
      <c r="B495" s="6"/>
      <c r="C495" s="15" t="str">
        <f>IF(COUNTIFS(Master_PIC!$A$8:$A$73,$B495)=1,IF(VLOOKUP($B495,Master_PIC!$A$8:$G$73,2,FALSE)="","",VLOOKUP($B495,Master_PIC!$A$8:$G$73,2,FALSE)),"")</f>
        <v/>
      </c>
      <c r="D495" s="15" t="str">
        <f>IF(COUNTIFS(Master_PIC!$A$8:$A$73,$B495)=1,IF(VLOOKUP($B495,Master_PIC!$A$8:$G$73,4,FALSE)="","",VLOOKUP($B495,Master_PIC!$A$8:$G$73,4,FALSE)),"")</f>
        <v/>
      </c>
      <c r="E495" s="15" t="str">
        <f>IF(COUNTIFS(Master_PIC!$A$8:$A$73,$B495)=1,IF(VLOOKUP($B495,Master_PIC!$A$8:$G$73,5,FALSE)="","",VLOOKUP($B495,Master_PIC!$A$8:$G$73,5,FALSE)),"")</f>
        <v/>
      </c>
      <c r="F495" s="15" t="str">
        <f>IF(COUNTIFS(Master_PIC!$A$8:$A$73,$B495)=1,IF(VLOOKUP($B495,Master_PIC!$A$8:$G$73,6,FALSE)="","",VLOOKUP($B495,Master_PIC!$A$8:$G$73,6,FALSE)),"")</f>
        <v/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8"/>
      <c r="Y495" s="5"/>
      <c r="Z495" s="5"/>
      <c r="AA495" s="9"/>
      <c r="AB495" s="5"/>
      <c r="AC495" s="5"/>
      <c r="AD495" s="9"/>
      <c r="AE495" s="5"/>
      <c r="AF495" s="7" t="str">
        <f t="shared" si="49"/>
        <v/>
      </c>
      <c r="AG495" s="7" t="str">
        <f t="shared" si="50"/>
        <v/>
      </c>
      <c r="AH495" s="7" t="str">
        <f t="shared" si="51"/>
        <v/>
      </c>
      <c r="AI495" s="7" t="str">
        <f t="shared" si="52"/>
        <v/>
      </c>
      <c r="AJ495" s="7" t="str">
        <f t="shared" si="53"/>
        <v/>
      </c>
      <c r="AK495" s="7" t="str">
        <f t="shared" si="54"/>
        <v/>
      </c>
      <c r="AL495" s="10" t="str">
        <f t="shared" si="55"/>
        <v/>
      </c>
      <c r="AM495" s="15" t="str">
        <f>IF(OR($A495&lt;&gt;"",$B495&lt;&gt;""),IF(OR($A495="",$B495=""),"Isi tanggal dan ID PIC",IF(NOT(ISNUMBER($A495)),"Tanggal harus berupa tanggal Excel",IF(COUNTIFS(Master_PIC!$A$8:$A$73,$B495)&lt;&gt;1,"ID PIC tidak unik/terdaftar",IF(VLOOKUP($B495,Master_PIC!$A$8:$G$73,3,FALSE)&lt;&gt;"Sales","Jabatan tidak sesuai sheet",IF(OR($C495="",$D495="",$E495="",$F495=""),"Lengkapi master PIC",IF(COUNTIFS($A$8:$A$507,$A495,$B$8:$B$507,$B495)&gt;1,"Laporan ganda",IF(COUNTIFS(G495:P495,"Tidak Berlaku")&gt;0,"N/A hanya untuk kegiatan bersyarat",IF(SUM(AG495,AH495,AI495,AJ495,AK495)&lt;&gt;14,"Status kegiatan tidak valid",IF(AK495&gt;0,"Lengkapi status kegiatan",IF(AND(AJ495&gt;0,U495=""),"Isi alasan Tidak Berlaku",IF(AND(SUM(AH495,AI495)&gt;0,OR(U495="",V495="",W495="",X495="")),"Isi kendala dan tindak lanjut",IF(AND(Z495&lt;&gt;"Draft",Z495&lt;&gt;"Dikirim"),"Isi status laporan yang valid",IF(AND(AB495&lt;&gt;"",AB495&lt;&gt;"Belum Diperiksa",AB495&lt;&gt;"Disetujui",AB495&lt;&gt;"Perlu Perbaikan"),"Hasil review tidak valid",IF(AND(Z495="Dikirim",OR(Y495="",AA495="")),"Isi bukti dan waktu kirim",IF(AND(AB495="Disetujui",OR(Z495&lt;&gt;"Dikirim",AC495="",AD495="")),"Lengkapi pemeriksaan",IF(AND(AB495="Perlu Perbaikan",OR(AE495="",AC495="",AD495="")),"Isi pemeriksa dan catatan perbaikan","OK")))))))))))))))),"")</f>
        <v/>
      </c>
    </row>
    <row r="496" spans="1:39" ht="24.95" customHeight="1">
      <c r="A496" s="8"/>
      <c r="B496" s="6"/>
      <c r="C496" s="15" t="str">
        <f>IF(COUNTIFS(Master_PIC!$A$8:$A$73,$B496)=1,IF(VLOOKUP($B496,Master_PIC!$A$8:$G$73,2,FALSE)="","",VLOOKUP($B496,Master_PIC!$A$8:$G$73,2,FALSE)),"")</f>
        <v/>
      </c>
      <c r="D496" s="15" t="str">
        <f>IF(COUNTIFS(Master_PIC!$A$8:$A$73,$B496)=1,IF(VLOOKUP($B496,Master_PIC!$A$8:$G$73,4,FALSE)="","",VLOOKUP($B496,Master_PIC!$A$8:$G$73,4,FALSE)),"")</f>
        <v/>
      </c>
      <c r="E496" s="15" t="str">
        <f>IF(COUNTIFS(Master_PIC!$A$8:$A$73,$B496)=1,IF(VLOOKUP($B496,Master_PIC!$A$8:$G$73,5,FALSE)="","",VLOOKUP($B496,Master_PIC!$A$8:$G$73,5,FALSE)),"")</f>
        <v/>
      </c>
      <c r="F496" s="15" t="str">
        <f>IF(COUNTIFS(Master_PIC!$A$8:$A$73,$B496)=1,IF(VLOOKUP($B496,Master_PIC!$A$8:$G$73,6,FALSE)="","",VLOOKUP($B496,Master_PIC!$A$8:$G$73,6,FALSE)),"")</f>
        <v/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8"/>
      <c r="Y496" s="5"/>
      <c r="Z496" s="5"/>
      <c r="AA496" s="9"/>
      <c r="AB496" s="5"/>
      <c r="AC496" s="5"/>
      <c r="AD496" s="9"/>
      <c r="AE496" s="5"/>
      <c r="AF496" s="7" t="str">
        <f t="shared" si="49"/>
        <v/>
      </c>
      <c r="AG496" s="7" t="str">
        <f t="shared" si="50"/>
        <v/>
      </c>
      <c r="AH496" s="7" t="str">
        <f t="shared" si="51"/>
        <v/>
      </c>
      <c r="AI496" s="7" t="str">
        <f t="shared" si="52"/>
        <v/>
      </c>
      <c r="AJ496" s="7" t="str">
        <f t="shared" si="53"/>
        <v/>
      </c>
      <c r="AK496" s="7" t="str">
        <f t="shared" si="54"/>
        <v/>
      </c>
      <c r="AL496" s="10" t="str">
        <f t="shared" si="55"/>
        <v/>
      </c>
      <c r="AM496" s="15" t="str">
        <f>IF(OR($A496&lt;&gt;"",$B496&lt;&gt;""),IF(OR($A496="",$B496=""),"Isi tanggal dan ID PIC",IF(NOT(ISNUMBER($A496)),"Tanggal harus berupa tanggal Excel",IF(COUNTIFS(Master_PIC!$A$8:$A$73,$B496)&lt;&gt;1,"ID PIC tidak unik/terdaftar",IF(VLOOKUP($B496,Master_PIC!$A$8:$G$73,3,FALSE)&lt;&gt;"Sales","Jabatan tidak sesuai sheet",IF(OR($C496="",$D496="",$E496="",$F496=""),"Lengkapi master PIC",IF(COUNTIFS($A$8:$A$507,$A496,$B$8:$B$507,$B496)&gt;1,"Laporan ganda",IF(COUNTIFS(G496:P496,"Tidak Berlaku")&gt;0,"N/A hanya untuk kegiatan bersyarat",IF(SUM(AG496,AH496,AI496,AJ496,AK496)&lt;&gt;14,"Status kegiatan tidak valid",IF(AK496&gt;0,"Lengkapi status kegiatan",IF(AND(AJ496&gt;0,U496=""),"Isi alasan Tidak Berlaku",IF(AND(SUM(AH496,AI496)&gt;0,OR(U496="",V496="",W496="",X496="")),"Isi kendala dan tindak lanjut",IF(AND(Z496&lt;&gt;"Draft",Z496&lt;&gt;"Dikirim"),"Isi status laporan yang valid",IF(AND(AB496&lt;&gt;"",AB496&lt;&gt;"Belum Diperiksa",AB496&lt;&gt;"Disetujui",AB496&lt;&gt;"Perlu Perbaikan"),"Hasil review tidak valid",IF(AND(Z496="Dikirim",OR(Y496="",AA496="")),"Isi bukti dan waktu kirim",IF(AND(AB496="Disetujui",OR(Z496&lt;&gt;"Dikirim",AC496="",AD496="")),"Lengkapi pemeriksaan",IF(AND(AB496="Perlu Perbaikan",OR(AE496="",AC496="",AD496="")),"Isi pemeriksa dan catatan perbaikan","OK")))))))))))))))),"")</f>
        <v/>
      </c>
    </row>
    <row r="497" spans="1:39" ht="24.95" customHeight="1">
      <c r="A497" s="8"/>
      <c r="B497" s="6"/>
      <c r="C497" s="15" t="str">
        <f>IF(COUNTIFS(Master_PIC!$A$8:$A$73,$B497)=1,IF(VLOOKUP($B497,Master_PIC!$A$8:$G$73,2,FALSE)="","",VLOOKUP($B497,Master_PIC!$A$8:$G$73,2,FALSE)),"")</f>
        <v/>
      </c>
      <c r="D497" s="15" t="str">
        <f>IF(COUNTIFS(Master_PIC!$A$8:$A$73,$B497)=1,IF(VLOOKUP($B497,Master_PIC!$A$8:$G$73,4,FALSE)="","",VLOOKUP($B497,Master_PIC!$A$8:$G$73,4,FALSE)),"")</f>
        <v/>
      </c>
      <c r="E497" s="15" t="str">
        <f>IF(COUNTIFS(Master_PIC!$A$8:$A$73,$B497)=1,IF(VLOOKUP($B497,Master_PIC!$A$8:$G$73,5,FALSE)="","",VLOOKUP($B497,Master_PIC!$A$8:$G$73,5,FALSE)),"")</f>
        <v/>
      </c>
      <c r="F497" s="15" t="str">
        <f>IF(COUNTIFS(Master_PIC!$A$8:$A$73,$B497)=1,IF(VLOOKUP($B497,Master_PIC!$A$8:$G$73,6,FALSE)="","",VLOOKUP($B497,Master_PIC!$A$8:$G$73,6,FALSE)),"")</f>
        <v/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8"/>
      <c r="Y497" s="5"/>
      <c r="Z497" s="5"/>
      <c r="AA497" s="9"/>
      <c r="AB497" s="5"/>
      <c r="AC497" s="5"/>
      <c r="AD497" s="9"/>
      <c r="AE497" s="5"/>
      <c r="AF497" s="7" t="str">
        <f t="shared" si="49"/>
        <v/>
      </c>
      <c r="AG497" s="7" t="str">
        <f t="shared" si="50"/>
        <v/>
      </c>
      <c r="AH497" s="7" t="str">
        <f t="shared" si="51"/>
        <v/>
      </c>
      <c r="AI497" s="7" t="str">
        <f t="shared" si="52"/>
        <v/>
      </c>
      <c r="AJ497" s="7" t="str">
        <f t="shared" si="53"/>
        <v/>
      </c>
      <c r="AK497" s="7" t="str">
        <f t="shared" si="54"/>
        <v/>
      </c>
      <c r="AL497" s="10" t="str">
        <f t="shared" si="55"/>
        <v/>
      </c>
      <c r="AM497" s="15" t="str">
        <f>IF(OR($A497&lt;&gt;"",$B497&lt;&gt;""),IF(OR($A497="",$B497=""),"Isi tanggal dan ID PIC",IF(NOT(ISNUMBER($A497)),"Tanggal harus berupa tanggal Excel",IF(COUNTIFS(Master_PIC!$A$8:$A$73,$B497)&lt;&gt;1,"ID PIC tidak unik/terdaftar",IF(VLOOKUP($B497,Master_PIC!$A$8:$G$73,3,FALSE)&lt;&gt;"Sales","Jabatan tidak sesuai sheet",IF(OR($C497="",$D497="",$E497="",$F497=""),"Lengkapi master PIC",IF(COUNTIFS($A$8:$A$507,$A497,$B$8:$B$507,$B497)&gt;1,"Laporan ganda",IF(COUNTIFS(G497:P497,"Tidak Berlaku")&gt;0,"N/A hanya untuk kegiatan bersyarat",IF(SUM(AG497,AH497,AI497,AJ497,AK497)&lt;&gt;14,"Status kegiatan tidak valid",IF(AK497&gt;0,"Lengkapi status kegiatan",IF(AND(AJ497&gt;0,U497=""),"Isi alasan Tidak Berlaku",IF(AND(SUM(AH497,AI497)&gt;0,OR(U497="",V497="",W497="",X497="")),"Isi kendala dan tindak lanjut",IF(AND(Z497&lt;&gt;"Draft",Z497&lt;&gt;"Dikirim"),"Isi status laporan yang valid",IF(AND(AB497&lt;&gt;"",AB497&lt;&gt;"Belum Diperiksa",AB497&lt;&gt;"Disetujui",AB497&lt;&gt;"Perlu Perbaikan"),"Hasil review tidak valid",IF(AND(Z497="Dikirim",OR(Y497="",AA497="")),"Isi bukti dan waktu kirim",IF(AND(AB497="Disetujui",OR(Z497&lt;&gt;"Dikirim",AC497="",AD497="")),"Lengkapi pemeriksaan",IF(AND(AB497="Perlu Perbaikan",OR(AE497="",AC497="",AD497="")),"Isi pemeriksa dan catatan perbaikan","OK")))))))))))))))),"")</f>
        <v/>
      </c>
    </row>
    <row r="498" spans="1:39" ht="24.95" customHeight="1">
      <c r="A498" s="8"/>
      <c r="B498" s="6"/>
      <c r="C498" s="15" t="str">
        <f>IF(COUNTIFS(Master_PIC!$A$8:$A$73,$B498)=1,IF(VLOOKUP($B498,Master_PIC!$A$8:$G$73,2,FALSE)="","",VLOOKUP($B498,Master_PIC!$A$8:$G$73,2,FALSE)),"")</f>
        <v/>
      </c>
      <c r="D498" s="15" t="str">
        <f>IF(COUNTIFS(Master_PIC!$A$8:$A$73,$B498)=1,IF(VLOOKUP($B498,Master_PIC!$A$8:$G$73,4,FALSE)="","",VLOOKUP($B498,Master_PIC!$A$8:$G$73,4,FALSE)),"")</f>
        <v/>
      </c>
      <c r="E498" s="15" t="str">
        <f>IF(COUNTIFS(Master_PIC!$A$8:$A$73,$B498)=1,IF(VLOOKUP($B498,Master_PIC!$A$8:$G$73,5,FALSE)="","",VLOOKUP($B498,Master_PIC!$A$8:$G$73,5,FALSE)),"")</f>
        <v/>
      </c>
      <c r="F498" s="15" t="str">
        <f>IF(COUNTIFS(Master_PIC!$A$8:$A$73,$B498)=1,IF(VLOOKUP($B498,Master_PIC!$A$8:$G$73,6,FALSE)="","",VLOOKUP($B498,Master_PIC!$A$8:$G$73,6,FALSE)),"")</f>
        <v/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8"/>
      <c r="Y498" s="5"/>
      <c r="Z498" s="5"/>
      <c r="AA498" s="9"/>
      <c r="AB498" s="5"/>
      <c r="AC498" s="5"/>
      <c r="AD498" s="9"/>
      <c r="AE498" s="5"/>
      <c r="AF498" s="7" t="str">
        <f t="shared" si="49"/>
        <v/>
      </c>
      <c r="AG498" s="7" t="str">
        <f t="shared" si="50"/>
        <v/>
      </c>
      <c r="AH498" s="7" t="str">
        <f t="shared" si="51"/>
        <v/>
      </c>
      <c r="AI498" s="7" t="str">
        <f t="shared" si="52"/>
        <v/>
      </c>
      <c r="AJ498" s="7" t="str">
        <f t="shared" si="53"/>
        <v/>
      </c>
      <c r="AK498" s="7" t="str">
        <f t="shared" si="54"/>
        <v/>
      </c>
      <c r="AL498" s="10" t="str">
        <f t="shared" si="55"/>
        <v/>
      </c>
      <c r="AM498" s="15" t="str">
        <f>IF(OR($A498&lt;&gt;"",$B498&lt;&gt;""),IF(OR($A498="",$B498=""),"Isi tanggal dan ID PIC",IF(NOT(ISNUMBER($A498)),"Tanggal harus berupa tanggal Excel",IF(COUNTIFS(Master_PIC!$A$8:$A$73,$B498)&lt;&gt;1,"ID PIC tidak unik/terdaftar",IF(VLOOKUP($B498,Master_PIC!$A$8:$G$73,3,FALSE)&lt;&gt;"Sales","Jabatan tidak sesuai sheet",IF(OR($C498="",$D498="",$E498="",$F498=""),"Lengkapi master PIC",IF(COUNTIFS($A$8:$A$507,$A498,$B$8:$B$507,$B498)&gt;1,"Laporan ganda",IF(COUNTIFS(G498:P498,"Tidak Berlaku")&gt;0,"N/A hanya untuk kegiatan bersyarat",IF(SUM(AG498,AH498,AI498,AJ498,AK498)&lt;&gt;14,"Status kegiatan tidak valid",IF(AK498&gt;0,"Lengkapi status kegiatan",IF(AND(AJ498&gt;0,U498=""),"Isi alasan Tidak Berlaku",IF(AND(SUM(AH498,AI498)&gt;0,OR(U498="",V498="",W498="",X498="")),"Isi kendala dan tindak lanjut",IF(AND(Z498&lt;&gt;"Draft",Z498&lt;&gt;"Dikirim"),"Isi status laporan yang valid",IF(AND(AB498&lt;&gt;"",AB498&lt;&gt;"Belum Diperiksa",AB498&lt;&gt;"Disetujui",AB498&lt;&gt;"Perlu Perbaikan"),"Hasil review tidak valid",IF(AND(Z498="Dikirim",OR(Y498="",AA498="")),"Isi bukti dan waktu kirim",IF(AND(AB498="Disetujui",OR(Z498&lt;&gt;"Dikirim",AC498="",AD498="")),"Lengkapi pemeriksaan",IF(AND(AB498="Perlu Perbaikan",OR(AE498="",AC498="",AD498="")),"Isi pemeriksa dan catatan perbaikan","OK")))))))))))))))),"")</f>
        <v/>
      </c>
    </row>
    <row r="499" spans="1:39" ht="24.95" customHeight="1">
      <c r="A499" s="8"/>
      <c r="B499" s="6"/>
      <c r="C499" s="15" t="str">
        <f>IF(COUNTIFS(Master_PIC!$A$8:$A$73,$B499)=1,IF(VLOOKUP($B499,Master_PIC!$A$8:$G$73,2,FALSE)="","",VLOOKUP($B499,Master_PIC!$A$8:$G$73,2,FALSE)),"")</f>
        <v/>
      </c>
      <c r="D499" s="15" t="str">
        <f>IF(COUNTIFS(Master_PIC!$A$8:$A$73,$B499)=1,IF(VLOOKUP($B499,Master_PIC!$A$8:$G$73,4,FALSE)="","",VLOOKUP($B499,Master_PIC!$A$8:$G$73,4,FALSE)),"")</f>
        <v/>
      </c>
      <c r="E499" s="15" t="str">
        <f>IF(COUNTIFS(Master_PIC!$A$8:$A$73,$B499)=1,IF(VLOOKUP($B499,Master_PIC!$A$8:$G$73,5,FALSE)="","",VLOOKUP($B499,Master_PIC!$A$8:$G$73,5,FALSE)),"")</f>
        <v/>
      </c>
      <c r="F499" s="15" t="str">
        <f>IF(COUNTIFS(Master_PIC!$A$8:$A$73,$B499)=1,IF(VLOOKUP($B499,Master_PIC!$A$8:$G$73,6,FALSE)="","",VLOOKUP($B499,Master_PIC!$A$8:$G$73,6,FALSE)),"")</f>
        <v/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8"/>
      <c r="Y499" s="5"/>
      <c r="Z499" s="5"/>
      <c r="AA499" s="9"/>
      <c r="AB499" s="5"/>
      <c r="AC499" s="5"/>
      <c r="AD499" s="9"/>
      <c r="AE499" s="5"/>
      <c r="AF499" s="7" t="str">
        <f t="shared" si="49"/>
        <v/>
      </c>
      <c r="AG499" s="7" t="str">
        <f t="shared" si="50"/>
        <v/>
      </c>
      <c r="AH499" s="7" t="str">
        <f t="shared" si="51"/>
        <v/>
      </c>
      <c r="AI499" s="7" t="str">
        <f t="shared" si="52"/>
        <v/>
      </c>
      <c r="AJ499" s="7" t="str">
        <f t="shared" si="53"/>
        <v/>
      </c>
      <c r="AK499" s="7" t="str">
        <f t="shared" si="54"/>
        <v/>
      </c>
      <c r="AL499" s="10" t="str">
        <f t="shared" si="55"/>
        <v/>
      </c>
      <c r="AM499" s="15" t="str">
        <f>IF(OR($A499&lt;&gt;"",$B499&lt;&gt;""),IF(OR($A499="",$B499=""),"Isi tanggal dan ID PIC",IF(NOT(ISNUMBER($A499)),"Tanggal harus berupa tanggal Excel",IF(COUNTIFS(Master_PIC!$A$8:$A$73,$B499)&lt;&gt;1,"ID PIC tidak unik/terdaftar",IF(VLOOKUP($B499,Master_PIC!$A$8:$G$73,3,FALSE)&lt;&gt;"Sales","Jabatan tidak sesuai sheet",IF(OR($C499="",$D499="",$E499="",$F499=""),"Lengkapi master PIC",IF(COUNTIFS($A$8:$A$507,$A499,$B$8:$B$507,$B499)&gt;1,"Laporan ganda",IF(COUNTIFS(G499:P499,"Tidak Berlaku")&gt;0,"N/A hanya untuk kegiatan bersyarat",IF(SUM(AG499,AH499,AI499,AJ499,AK499)&lt;&gt;14,"Status kegiatan tidak valid",IF(AK499&gt;0,"Lengkapi status kegiatan",IF(AND(AJ499&gt;0,U499=""),"Isi alasan Tidak Berlaku",IF(AND(SUM(AH499,AI499)&gt;0,OR(U499="",V499="",W499="",X499="")),"Isi kendala dan tindak lanjut",IF(AND(Z499&lt;&gt;"Draft",Z499&lt;&gt;"Dikirim"),"Isi status laporan yang valid",IF(AND(AB499&lt;&gt;"",AB499&lt;&gt;"Belum Diperiksa",AB499&lt;&gt;"Disetujui",AB499&lt;&gt;"Perlu Perbaikan"),"Hasil review tidak valid",IF(AND(Z499="Dikirim",OR(Y499="",AA499="")),"Isi bukti dan waktu kirim",IF(AND(AB499="Disetujui",OR(Z499&lt;&gt;"Dikirim",AC499="",AD499="")),"Lengkapi pemeriksaan",IF(AND(AB499="Perlu Perbaikan",OR(AE499="",AC499="",AD499="")),"Isi pemeriksa dan catatan perbaikan","OK")))))))))))))))),"")</f>
        <v/>
      </c>
    </row>
    <row r="500" spans="1:39" ht="24.95" customHeight="1">
      <c r="A500" s="8"/>
      <c r="B500" s="6"/>
      <c r="C500" s="15" t="str">
        <f>IF(COUNTIFS(Master_PIC!$A$8:$A$73,$B500)=1,IF(VLOOKUP($B500,Master_PIC!$A$8:$G$73,2,FALSE)="","",VLOOKUP($B500,Master_PIC!$A$8:$G$73,2,FALSE)),"")</f>
        <v/>
      </c>
      <c r="D500" s="15" t="str">
        <f>IF(COUNTIFS(Master_PIC!$A$8:$A$73,$B500)=1,IF(VLOOKUP($B500,Master_PIC!$A$8:$G$73,4,FALSE)="","",VLOOKUP($B500,Master_PIC!$A$8:$G$73,4,FALSE)),"")</f>
        <v/>
      </c>
      <c r="E500" s="15" t="str">
        <f>IF(COUNTIFS(Master_PIC!$A$8:$A$73,$B500)=1,IF(VLOOKUP($B500,Master_PIC!$A$8:$G$73,5,FALSE)="","",VLOOKUP($B500,Master_PIC!$A$8:$G$73,5,FALSE)),"")</f>
        <v/>
      </c>
      <c r="F500" s="15" t="str">
        <f>IF(COUNTIFS(Master_PIC!$A$8:$A$73,$B500)=1,IF(VLOOKUP($B500,Master_PIC!$A$8:$G$73,6,FALSE)="","",VLOOKUP($B500,Master_PIC!$A$8:$G$73,6,FALSE)),"")</f>
        <v/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8"/>
      <c r="Y500" s="5"/>
      <c r="Z500" s="5"/>
      <c r="AA500" s="9"/>
      <c r="AB500" s="5"/>
      <c r="AC500" s="5"/>
      <c r="AD500" s="9"/>
      <c r="AE500" s="5"/>
      <c r="AF500" s="7" t="str">
        <f t="shared" si="49"/>
        <v/>
      </c>
      <c r="AG500" s="7" t="str">
        <f t="shared" si="50"/>
        <v/>
      </c>
      <c r="AH500" s="7" t="str">
        <f t="shared" si="51"/>
        <v/>
      </c>
      <c r="AI500" s="7" t="str">
        <f t="shared" si="52"/>
        <v/>
      </c>
      <c r="AJ500" s="7" t="str">
        <f t="shared" si="53"/>
        <v/>
      </c>
      <c r="AK500" s="7" t="str">
        <f t="shared" si="54"/>
        <v/>
      </c>
      <c r="AL500" s="10" t="str">
        <f t="shared" si="55"/>
        <v/>
      </c>
      <c r="AM500" s="15" t="str">
        <f>IF(OR($A500&lt;&gt;"",$B500&lt;&gt;""),IF(OR($A500="",$B500=""),"Isi tanggal dan ID PIC",IF(NOT(ISNUMBER($A500)),"Tanggal harus berupa tanggal Excel",IF(COUNTIFS(Master_PIC!$A$8:$A$73,$B500)&lt;&gt;1,"ID PIC tidak unik/terdaftar",IF(VLOOKUP($B500,Master_PIC!$A$8:$G$73,3,FALSE)&lt;&gt;"Sales","Jabatan tidak sesuai sheet",IF(OR($C500="",$D500="",$E500="",$F500=""),"Lengkapi master PIC",IF(COUNTIFS($A$8:$A$507,$A500,$B$8:$B$507,$B500)&gt;1,"Laporan ganda",IF(COUNTIFS(G500:P500,"Tidak Berlaku")&gt;0,"N/A hanya untuk kegiatan bersyarat",IF(SUM(AG500,AH500,AI500,AJ500,AK500)&lt;&gt;14,"Status kegiatan tidak valid",IF(AK500&gt;0,"Lengkapi status kegiatan",IF(AND(AJ500&gt;0,U500=""),"Isi alasan Tidak Berlaku",IF(AND(SUM(AH500,AI500)&gt;0,OR(U500="",V500="",W500="",X500="")),"Isi kendala dan tindak lanjut",IF(AND(Z500&lt;&gt;"Draft",Z500&lt;&gt;"Dikirim"),"Isi status laporan yang valid",IF(AND(AB500&lt;&gt;"",AB500&lt;&gt;"Belum Diperiksa",AB500&lt;&gt;"Disetujui",AB500&lt;&gt;"Perlu Perbaikan"),"Hasil review tidak valid",IF(AND(Z500="Dikirim",OR(Y500="",AA500="")),"Isi bukti dan waktu kirim",IF(AND(AB500="Disetujui",OR(Z500&lt;&gt;"Dikirim",AC500="",AD500="")),"Lengkapi pemeriksaan",IF(AND(AB500="Perlu Perbaikan",OR(AE500="",AC500="",AD500="")),"Isi pemeriksa dan catatan perbaikan","OK")))))))))))))))),"")</f>
        <v/>
      </c>
    </row>
    <row r="501" spans="1:39" ht="24.95" customHeight="1">
      <c r="A501" s="8"/>
      <c r="B501" s="6"/>
      <c r="C501" s="15" t="str">
        <f>IF(COUNTIFS(Master_PIC!$A$8:$A$73,$B501)=1,IF(VLOOKUP($B501,Master_PIC!$A$8:$G$73,2,FALSE)="","",VLOOKUP($B501,Master_PIC!$A$8:$G$73,2,FALSE)),"")</f>
        <v/>
      </c>
      <c r="D501" s="15" t="str">
        <f>IF(COUNTIFS(Master_PIC!$A$8:$A$73,$B501)=1,IF(VLOOKUP($B501,Master_PIC!$A$8:$G$73,4,FALSE)="","",VLOOKUP($B501,Master_PIC!$A$8:$G$73,4,FALSE)),"")</f>
        <v/>
      </c>
      <c r="E501" s="15" t="str">
        <f>IF(COUNTIFS(Master_PIC!$A$8:$A$73,$B501)=1,IF(VLOOKUP($B501,Master_PIC!$A$8:$G$73,5,FALSE)="","",VLOOKUP($B501,Master_PIC!$A$8:$G$73,5,FALSE)),"")</f>
        <v/>
      </c>
      <c r="F501" s="15" t="str">
        <f>IF(COUNTIFS(Master_PIC!$A$8:$A$73,$B501)=1,IF(VLOOKUP($B501,Master_PIC!$A$8:$G$73,6,FALSE)="","",VLOOKUP($B501,Master_PIC!$A$8:$G$73,6,FALSE)),"")</f>
        <v/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8"/>
      <c r="Y501" s="5"/>
      <c r="Z501" s="5"/>
      <c r="AA501" s="9"/>
      <c r="AB501" s="5"/>
      <c r="AC501" s="5"/>
      <c r="AD501" s="9"/>
      <c r="AE501" s="5"/>
      <c r="AF501" s="7" t="str">
        <f t="shared" si="49"/>
        <v/>
      </c>
      <c r="AG501" s="7" t="str">
        <f t="shared" si="50"/>
        <v/>
      </c>
      <c r="AH501" s="7" t="str">
        <f t="shared" si="51"/>
        <v/>
      </c>
      <c r="AI501" s="7" t="str">
        <f t="shared" si="52"/>
        <v/>
      </c>
      <c r="AJ501" s="7" t="str">
        <f t="shared" si="53"/>
        <v/>
      </c>
      <c r="AK501" s="7" t="str">
        <f t="shared" si="54"/>
        <v/>
      </c>
      <c r="AL501" s="10" t="str">
        <f t="shared" si="55"/>
        <v/>
      </c>
      <c r="AM501" s="15" t="str">
        <f>IF(OR($A501&lt;&gt;"",$B501&lt;&gt;""),IF(OR($A501="",$B501=""),"Isi tanggal dan ID PIC",IF(NOT(ISNUMBER($A501)),"Tanggal harus berupa tanggal Excel",IF(COUNTIFS(Master_PIC!$A$8:$A$73,$B501)&lt;&gt;1,"ID PIC tidak unik/terdaftar",IF(VLOOKUP($B501,Master_PIC!$A$8:$G$73,3,FALSE)&lt;&gt;"Sales","Jabatan tidak sesuai sheet",IF(OR($C501="",$D501="",$E501="",$F501=""),"Lengkapi master PIC",IF(COUNTIFS($A$8:$A$507,$A501,$B$8:$B$507,$B501)&gt;1,"Laporan ganda",IF(COUNTIFS(G501:P501,"Tidak Berlaku")&gt;0,"N/A hanya untuk kegiatan bersyarat",IF(SUM(AG501,AH501,AI501,AJ501,AK501)&lt;&gt;14,"Status kegiatan tidak valid",IF(AK501&gt;0,"Lengkapi status kegiatan",IF(AND(AJ501&gt;0,U501=""),"Isi alasan Tidak Berlaku",IF(AND(SUM(AH501,AI501)&gt;0,OR(U501="",V501="",W501="",X501="")),"Isi kendala dan tindak lanjut",IF(AND(Z501&lt;&gt;"Draft",Z501&lt;&gt;"Dikirim"),"Isi status laporan yang valid",IF(AND(AB501&lt;&gt;"",AB501&lt;&gt;"Belum Diperiksa",AB501&lt;&gt;"Disetujui",AB501&lt;&gt;"Perlu Perbaikan"),"Hasil review tidak valid",IF(AND(Z501="Dikirim",OR(Y501="",AA501="")),"Isi bukti dan waktu kirim",IF(AND(AB501="Disetujui",OR(Z501&lt;&gt;"Dikirim",AC501="",AD501="")),"Lengkapi pemeriksaan",IF(AND(AB501="Perlu Perbaikan",OR(AE501="",AC501="",AD501="")),"Isi pemeriksa dan catatan perbaikan","OK")))))))))))))))),"")</f>
        <v/>
      </c>
    </row>
    <row r="502" spans="1:39" ht="24.95" customHeight="1">
      <c r="A502" s="8"/>
      <c r="B502" s="6"/>
      <c r="C502" s="15" t="str">
        <f>IF(COUNTIFS(Master_PIC!$A$8:$A$73,$B502)=1,IF(VLOOKUP($B502,Master_PIC!$A$8:$G$73,2,FALSE)="","",VLOOKUP($B502,Master_PIC!$A$8:$G$73,2,FALSE)),"")</f>
        <v/>
      </c>
      <c r="D502" s="15" t="str">
        <f>IF(COUNTIFS(Master_PIC!$A$8:$A$73,$B502)=1,IF(VLOOKUP($B502,Master_PIC!$A$8:$G$73,4,FALSE)="","",VLOOKUP($B502,Master_PIC!$A$8:$G$73,4,FALSE)),"")</f>
        <v/>
      </c>
      <c r="E502" s="15" t="str">
        <f>IF(COUNTIFS(Master_PIC!$A$8:$A$73,$B502)=1,IF(VLOOKUP($B502,Master_PIC!$A$8:$G$73,5,FALSE)="","",VLOOKUP($B502,Master_PIC!$A$8:$G$73,5,FALSE)),"")</f>
        <v/>
      </c>
      <c r="F502" s="15" t="str">
        <f>IF(COUNTIFS(Master_PIC!$A$8:$A$73,$B502)=1,IF(VLOOKUP($B502,Master_PIC!$A$8:$G$73,6,FALSE)="","",VLOOKUP($B502,Master_PIC!$A$8:$G$73,6,FALSE)),"")</f>
        <v/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8"/>
      <c r="Y502" s="5"/>
      <c r="Z502" s="5"/>
      <c r="AA502" s="9"/>
      <c r="AB502" s="5"/>
      <c r="AC502" s="5"/>
      <c r="AD502" s="9"/>
      <c r="AE502" s="5"/>
      <c r="AF502" s="7" t="str">
        <f t="shared" si="49"/>
        <v/>
      </c>
      <c r="AG502" s="7" t="str">
        <f t="shared" si="50"/>
        <v/>
      </c>
      <c r="AH502" s="7" t="str">
        <f t="shared" si="51"/>
        <v/>
      </c>
      <c r="AI502" s="7" t="str">
        <f t="shared" si="52"/>
        <v/>
      </c>
      <c r="AJ502" s="7" t="str">
        <f t="shared" si="53"/>
        <v/>
      </c>
      <c r="AK502" s="7" t="str">
        <f t="shared" si="54"/>
        <v/>
      </c>
      <c r="AL502" s="10" t="str">
        <f t="shared" si="55"/>
        <v/>
      </c>
      <c r="AM502" s="15" t="str">
        <f>IF(OR($A502&lt;&gt;"",$B502&lt;&gt;""),IF(OR($A502="",$B502=""),"Isi tanggal dan ID PIC",IF(NOT(ISNUMBER($A502)),"Tanggal harus berupa tanggal Excel",IF(COUNTIFS(Master_PIC!$A$8:$A$73,$B502)&lt;&gt;1,"ID PIC tidak unik/terdaftar",IF(VLOOKUP($B502,Master_PIC!$A$8:$G$73,3,FALSE)&lt;&gt;"Sales","Jabatan tidak sesuai sheet",IF(OR($C502="",$D502="",$E502="",$F502=""),"Lengkapi master PIC",IF(COUNTIFS($A$8:$A$507,$A502,$B$8:$B$507,$B502)&gt;1,"Laporan ganda",IF(COUNTIFS(G502:P502,"Tidak Berlaku")&gt;0,"N/A hanya untuk kegiatan bersyarat",IF(SUM(AG502,AH502,AI502,AJ502,AK502)&lt;&gt;14,"Status kegiatan tidak valid",IF(AK502&gt;0,"Lengkapi status kegiatan",IF(AND(AJ502&gt;0,U502=""),"Isi alasan Tidak Berlaku",IF(AND(SUM(AH502,AI502)&gt;0,OR(U502="",V502="",W502="",X502="")),"Isi kendala dan tindak lanjut",IF(AND(Z502&lt;&gt;"Draft",Z502&lt;&gt;"Dikirim"),"Isi status laporan yang valid",IF(AND(AB502&lt;&gt;"",AB502&lt;&gt;"Belum Diperiksa",AB502&lt;&gt;"Disetujui",AB502&lt;&gt;"Perlu Perbaikan"),"Hasil review tidak valid",IF(AND(Z502="Dikirim",OR(Y502="",AA502="")),"Isi bukti dan waktu kirim",IF(AND(AB502="Disetujui",OR(Z502&lt;&gt;"Dikirim",AC502="",AD502="")),"Lengkapi pemeriksaan",IF(AND(AB502="Perlu Perbaikan",OR(AE502="",AC502="",AD502="")),"Isi pemeriksa dan catatan perbaikan","OK")))))))))))))))),"")</f>
        <v/>
      </c>
    </row>
    <row r="503" spans="1:39" ht="24.95" customHeight="1">
      <c r="A503" s="8"/>
      <c r="B503" s="6"/>
      <c r="C503" s="15" t="str">
        <f>IF(COUNTIFS(Master_PIC!$A$8:$A$73,$B503)=1,IF(VLOOKUP($B503,Master_PIC!$A$8:$G$73,2,FALSE)="","",VLOOKUP($B503,Master_PIC!$A$8:$G$73,2,FALSE)),"")</f>
        <v/>
      </c>
      <c r="D503" s="15" t="str">
        <f>IF(COUNTIFS(Master_PIC!$A$8:$A$73,$B503)=1,IF(VLOOKUP($B503,Master_PIC!$A$8:$G$73,4,FALSE)="","",VLOOKUP($B503,Master_PIC!$A$8:$G$73,4,FALSE)),"")</f>
        <v/>
      </c>
      <c r="E503" s="15" t="str">
        <f>IF(COUNTIFS(Master_PIC!$A$8:$A$73,$B503)=1,IF(VLOOKUP($B503,Master_PIC!$A$8:$G$73,5,FALSE)="","",VLOOKUP($B503,Master_PIC!$A$8:$G$73,5,FALSE)),"")</f>
        <v/>
      </c>
      <c r="F503" s="15" t="str">
        <f>IF(COUNTIFS(Master_PIC!$A$8:$A$73,$B503)=1,IF(VLOOKUP($B503,Master_PIC!$A$8:$G$73,6,FALSE)="","",VLOOKUP($B503,Master_PIC!$A$8:$G$73,6,FALSE)),"")</f>
        <v/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8"/>
      <c r="Y503" s="5"/>
      <c r="Z503" s="5"/>
      <c r="AA503" s="9"/>
      <c r="AB503" s="5"/>
      <c r="AC503" s="5"/>
      <c r="AD503" s="9"/>
      <c r="AE503" s="5"/>
      <c r="AF503" s="7" t="str">
        <f t="shared" si="49"/>
        <v/>
      </c>
      <c r="AG503" s="7" t="str">
        <f t="shared" si="50"/>
        <v/>
      </c>
      <c r="AH503" s="7" t="str">
        <f t="shared" si="51"/>
        <v/>
      </c>
      <c r="AI503" s="7" t="str">
        <f t="shared" si="52"/>
        <v/>
      </c>
      <c r="AJ503" s="7" t="str">
        <f t="shared" si="53"/>
        <v/>
      </c>
      <c r="AK503" s="7" t="str">
        <f t="shared" si="54"/>
        <v/>
      </c>
      <c r="AL503" s="10" t="str">
        <f t="shared" si="55"/>
        <v/>
      </c>
      <c r="AM503" s="15" t="str">
        <f>IF(OR($A503&lt;&gt;"",$B503&lt;&gt;""),IF(OR($A503="",$B503=""),"Isi tanggal dan ID PIC",IF(NOT(ISNUMBER($A503)),"Tanggal harus berupa tanggal Excel",IF(COUNTIFS(Master_PIC!$A$8:$A$73,$B503)&lt;&gt;1,"ID PIC tidak unik/terdaftar",IF(VLOOKUP($B503,Master_PIC!$A$8:$G$73,3,FALSE)&lt;&gt;"Sales","Jabatan tidak sesuai sheet",IF(OR($C503="",$D503="",$E503="",$F503=""),"Lengkapi master PIC",IF(COUNTIFS($A$8:$A$507,$A503,$B$8:$B$507,$B503)&gt;1,"Laporan ganda",IF(COUNTIFS(G503:P503,"Tidak Berlaku")&gt;0,"N/A hanya untuk kegiatan bersyarat",IF(SUM(AG503,AH503,AI503,AJ503,AK503)&lt;&gt;14,"Status kegiatan tidak valid",IF(AK503&gt;0,"Lengkapi status kegiatan",IF(AND(AJ503&gt;0,U503=""),"Isi alasan Tidak Berlaku",IF(AND(SUM(AH503,AI503)&gt;0,OR(U503="",V503="",W503="",X503="")),"Isi kendala dan tindak lanjut",IF(AND(Z503&lt;&gt;"Draft",Z503&lt;&gt;"Dikirim"),"Isi status laporan yang valid",IF(AND(AB503&lt;&gt;"",AB503&lt;&gt;"Belum Diperiksa",AB503&lt;&gt;"Disetujui",AB503&lt;&gt;"Perlu Perbaikan"),"Hasil review tidak valid",IF(AND(Z503="Dikirim",OR(Y503="",AA503="")),"Isi bukti dan waktu kirim",IF(AND(AB503="Disetujui",OR(Z503&lt;&gt;"Dikirim",AC503="",AD503="")),"Lengkapi pemeriksaan",IF(AND(AB503="Perlu Perbaikan",OR(AE503="",AC503="",AD503="")),"Isi pemeriksa dan catatan perbaikan","OK")))))))))))))))),"")</f>
        <v/>
      </c>
    </row>
    <row r="504" spans="1:39" ht="24.95" customHeight="1">
      <c r="A504" s="8"/>
      <c r="B504" s="6"/>
      <c r="C504" s="15" t="str">
        <f>IF(COUNTIFS(Master_PIC!$A$8:$A$73,$B504)=1,IF(VLOOKUP($B504,Master_PIC!$A$8:$G$73,2,FALSE)="","",VLOOKUP($B504,Master_PIC!$A$8:$G$73,2,FALSE)),"")</f>
        <v/>
      </c>
      <c r="D504" s="15" t="str">
        <f>IF(COUNTIFS(Master_PIC!$A$8:$A$73,$B504)=1,IF(VLOOKUP($B504,Master_PIC!$A$8:$G$73,4,FALSE)="","",VLOOKUP($B504,Master_PIC!$A$8:$G$73,4,FALSE)),"")</f>
        <v/>
      </c>
      <c r="E504" s="15" t="str">
        <f>IF(COUNTIFS(Master_PIC!$A$8:$A$73,$B504)=1,IF(VLOOKUP($B504,Master_PIC!$A$8:$G$73,5,FALSE)="","",VLOOKUP($B504,Master_PIC!$A$8:$G$73,5,FALSE)),"")</f>
        <v/>
      </c>
      <c r="F504" s="15" t="str">
        <f>IF(COUNTIFS(Master_PIC!$A$8:$A$73,$B504)=1,IF(VLOOKUP($B504,Master_PIC!$A$8:$G$73,6,FALSE)="","",VLOOKUP($B504,Master_PIC!$A$8:$G$73,6,FALSE)),"")</f>
        <v/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8"/>
      <c r="Y504" s="5"/>
      <c r="Z504" s="5"/>
      <c r="AA504" s="9"/>
      <c r="AB504" s="5"/>
      <c r="AC504" s="5"/>
      <c r="AD504" s="9"/>
      <c r="AE504" s="5"/>
      <c r="AF504" s="7" t="str">
        <f t="shared" si="49"/>
        <v/>
      </c>
      <c r="AG504" s="7" t="str">
        <f t="shared" si="50"/>
        <v/>
      </c>
      <c r="AH504" s="7" t="str">
        <f t="shared" si="51"/>
        <v/>
      </c>
      <c r="AI504" s="7" t="str">
        <f t="shared" si="52"/>
        <v/>
      </c>
      <c r="AJ504" s="7" t="str">
        <f t="shared" si="53"/>
        <v/>
      </c>
      <c r="AK504" s="7" t="str">
        <f t="shared" si="54"/>
        <v/>
      </c>
      <c r="AL504" s="10" t="str">
        <f t="shared" si="55"/>
        <v/>
      </c>
      <c r="AM504" s="15" t="str">
        <f>IF(OR($A504&lt;&gt;"",$B504&lt;&gt;""),IF(OR($A504="",$B504=""),"Isi tanggal dan ID PIC",IF(NOT(ISNUMBER($A504)),"Tanggal harus berupa tanggal Excel",IF(COUNTIFS(Master_PIC!$A$8:$A$73,$B504)&lt;&gt;1,"ID PIC tidak unik/terdaftar",IF(VLOOKUP($B504,Master_PIC!$A$8:$G$73,3,FALSE)&lt;&gt;"Sales","Jabatan tidak sesuai sheet",IF(OR($C504="",$D504="",$E504="",$F504=""),"Lengkapi master PIC",IF(COUNTIFS($A$8:$A$507,$A504,$B$8:$B$507,$B504)&gt;1,"Laporan ganda",IF(COUNTIFS(G504:P504,"Tidak Berlaku")&gt;0,"N/A hanya untuk kegiatan bersyarat",IF(SUM(AG504,AH504,AI504,AJ504,AK504)&lt;&gt;14,"Status kegiatan tidak valid",IF(AK504&gt;0,"Lengkapi status kegiatan",IF(AND(AJ504&gt;0,U504=""),"Isi alasan Tidak Berlaku",IF(AND(SUM(AH504,AI504)&gt;0,OR(U504="",V504="",W504="",X504="")),"Isi kendala dan tindak lanjut",IF(AND(Z504&lt;&gt;"Draft",Z504&lt;&gt;"Dikirim"),"Isi status laporan yang valid",IF(AND(AB504&lt;&gt;"",AB504&lt;&gt;"Belum Diperiksa",AB504&lt;&gt;"Disetujui",AB504&lt;&gt;"Perlu Perbaikan"),"Hasil review tidak valid",IF(AND(Z504="Dikirim",OR(Y504="",AA504="")),"Isi bukti dan waktu kirim",IF(AND(AB504="Disetujui",OR(Z504&lt;&gt;"Dikirim",AC504="",AD504="")),"Lengkapi pemeriksaan",IF(AND(AB504="Perlu Perbaikan",OR(AE504="",AC504="",AD504="")),"Isi pemeriksa dan catatan perbaikan","OK")))))))))))))))),"")</f>
        <v/>
      </c>
    </row>
    <row r="505" spans="1:39" ht="24.95" customHeight="1">
      <c r="A505" s="8"/>
      <c r="B505" s="6"/>
      <c r="C505" s="15" t="str">
        <f>IF(COUNTIFS(Master_PIC!$A$8:$A$73,$B505)=1,IF(VLOOKUP($B505,Master_PIC!$A$8:$G$73,2,FALSE)="","",VLOOKUP($B505,Master_PIC!$A$8:$G$73,2,FALSE)),"")</f>
        <v/>
      </c>
      <c r="D505" s="15" t="str">
        <f>IF(COUNTIFS(Master_PIC!$A$8:$A$73,$B505)=1,IF(VLOOKUP($B505,Master_PIC!$A$8:$G$73,4,FALSE)="","",VLOOKUP($B505,Master_PIC!$A$8:$G$73,4,FALSE)),"")</f>
        <v/>
      </c>
      <c r="E505" s="15" t="str">
        <f>IF(COUNTIFS(Master_PIC!$A$8:$A$73,$B505)=1,IF(VLOOKUP($B505,Master_PIC!$A$8:$G$73,5,FALSE)="","",VLOOKUP($B505,Master_PIC!$A$8:$G$73,5,FALSE)),"")</f>
        <v/>
      </c>
      <c r="F505" s="15" t="str">
        <f>IF(COUNTIFS(Master_PIC!$A$8:$A$73,$B505)=1,IF(VLOOKUP($B505,Master_PIC!$A$8:$G$73,6,FALSE)="","",VLOOKUP($B505,Master_PIC!$A$8:$G$73,6,FALSE)),"")</f>
        <v/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8"/>
      <c r="Y505" s="5"/>
      <c r="Z505" s="5"/>
      <c r="AA505" s="9"/>
      <c r="AB505" s="5"/>
      <c r="AC505" s="5"/>
      <c r="AD505" s="9"/>
      <c r="AE505" s="5"/>
      <c r="AF505" s="7" t="str">
        <f t="shared" si="49"/>
        <v/>
      </c>
      <c r="AG505" s="7" t="str">
        <f t="shared" si="50"/>
        <v/>
      </c>
      <c r="AH505" s="7" t="str">
        <f t="shared" si="51"/>
        <v/>
      </c>
      <c r="AI505" s="7" t="str">
        <f t="shared" si="52"/>
        <v/>
      </c>
      <c r="AJ505" s="7" t="str">
        <f t="shared" si="53"/>
        <v/>
      </c>
      <c r="AK505" s="7" t="str">
        <f t="shared" si="54"/>
        <v/>
      </c>
      <c r="AL505" s="10" t="str">
        <f t="shared" si="55"/>
        <v/>
      </c>
      <c r="AM505" s="15" t="str">
        <f>IF(OR($A505&lt;&gt;"",$B505&lt;&gt;""),IF(OR($A505="",$B505=""),"Isi tanggal dan ID PIC",IF(NOT(ISNUMBER($A505)),"Tanggal harus berupa tanggal Excel",IF(COUNTIFS(Master_PIC!$A$8:$A$73,$B505)&lt;&gt;1,"ID PIC tidak unik/terdaftar",IF(VLOOKUP($B505,Master_PIC!$A$8:$G$73,3,FALSE)&lt;&gt;"Sales","Jabatan tidak sesuai sheet",IF(OR($C505="",$D505="",$E505="",$F505=""),"Lengkapi master PIC",IF(COUNTIFS($A$8:$A$507,$A505,$B$8:$B$507,$B505)&gt;1,"Laporan ganda",IF(COUNTIFS(G505:P505,"Tidak Berlaku")&gt;0,"N/A hanya untuk kegiatan bersyarat",IF(SUM(AG505,AH505,AI505,AJ505,AK505)&lt;&gt;14,"Status kegiatan tidak valid",IF(AK505&gt;0,"Lengkapi status kegiatan",IF(AND(AJ505&gt;0,U505=""),"Isi alasan Tidak Berlaku",IF(AND(SUM(AH505,AI505)&gt;0,OR(U505="",V505="",W505="",X505="")),"Isi kendala dan tindak lanjut",IF(AND(Z505&lt;&gt;"Draft",Z505&lt;&gt;"Dikirim"),"Isi status laporan yang valid",IF(AND(AB505&lt;&gt;"",AB505&lt;&gt;"Belum Diperiksa",AB505&lt;&gt;"Disetujui",AB505&lt;&gt;"Perlu Perbaikan"),"Hasil review tidak valid",IF(AND(Z505="Dikirim",OR(Y505="",AA505="")),"Isi bukti dan waktu kirim",IF(AND(AB505="Disetujui",OR(Z505&lt;&gt;"Dikirim",AC505="",AD505="")),"Lengkapi pemeriksaan",IF(AND(AB505="Perlu Perbaikan",OR(AE505="",AC505="",AD505="")),"Isi pemeriksa dan catatan perbaikan","OK")))))))))))))))),"")</f>
        <v/>
      </c>
    </row>
    <row r="506" spans="1:39" ht="24.95" customHeight="1">
      <c r="A506" s="8"/>
      <c r="B506" s="6"/>
      <c r="C506" s="15" t="str">
        <f>IF(COUNTIFS(Master_PIC!$A$8:$A$73,$B506)=1,IF(VLOOKUP($B506,Master_PIC!$A$8:$G$73,2,FALSE)="","",VLOOKUP($B506,Master_PIC!$A$8:$G$73,2,FALSE)),"")</f>
        <v/>
      </c>
      <c r="D506" s="15" t="str">
        <f>IF(COUNTIFS(Master_PIC!$A$8:$A$73,$B506)=1,IF(VLOOKUP($B506,Master_PIC!$A$8:$G$73,4,FALSE)="","",VLOOKUP($B506,Master_PIC!$A$8:$G$73,4,FALSE)),"")</f>
        <v/>
      </c>
      <c r="E506" s="15" t="str">
        <f>IF(COUNTIFS(Master_PIC!$A$8:$A$73,$B506)=1,IF(VLOOKUP($B506,Master_PIC!$A$8:$G$73,5,FALSE)="","",VLOOKUP($B506,Master_PIC!$A$8:$G$73,5,FALSE)),"")</f>
        <v/>
      </c>
      <c r="F506" s="15" t="str">
        <f>IF(COUNTIFS(Master_PIC!$A$8:$A$73,$B506)=1,IF(VLOOKUP($B506,Master_PIC!$A$8:$G$73,6,FALSE)="","",VLOOKUP($B506,Master_PIC!$A$8:$G$73,6,FALSE)),"")</f>
        <v/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8"/>
      <c r="Y506" s="5"/>
      <c r="Z506" s="5"/>
      <c r="AA506" s="9"/>
      <c r="AB506" s="5"/>
      <c r="AC506" s="5"/>
      <c r="AD506" s="9"/>
      <c r="AE506" s="5"/>
      <c r="AF506" s="7" t="str">
        <f t="shared" si="49"/>
        <v/>
      </c>
      <c r="AG506" s="7" t="str">
        <f t="shared" si="50"/>
        <v/>
      </c>
      <c r="AH506" s="7" t="str">
        <f t="shared" si="51"/>
        <v/>
      </c>
      <c r="AI506" s="7" t="str">
        <f t="shared" si="52"/>
        <v/>
      </c>
      <c r="AJ506" s="7" t="str">
        <f t="shared" si="53"/>
        <v/>
      </c>
      <c r="AK506" s="7" t="str">
        <f t="shared" si="54"/>
        <v/>
      </c>
      <c r="AL506" s="10" t="str">
        <f t="shared" si="55"/>
        <v/>
      </c>
      <c r="AM506" s="15" t="str">
        <f>IF(OR($A506&lt;&gt;"",$B506&lt;&gt;""),IF(OR($A506="",$B506=""),"Isi tanggal dan ID PIC",IF(NOT(ISNUMBER($A506)),"Tanggal harus berupa tanggal Excel",IF(COUNTIFS(Master_PIC!$A$8:$A$73,$B506)&lt;&gt;1,"ID PIC tidak unik/terdaftar",IF(VLOOKUP($B506,Master_PIC!$A$8:$G$73,3,FALSE)&lt;&gt;"Sales","Jabatan tidak sesuai sheet",IF(OR($C506="",$D506="",$E506="",$F506=""),"Lengkapi master PIC",IF(COUNTIFS($A$8:$A$507,$A506,$B$8:$B$507,$B506)&gt;1,"Laporan ganda",IF(COUNTIFS(G506:P506,"Tidak Berlaku")&gt;0,"N/A hanya untuk kegiatan bersyarat",IF(SUM(AG506,AH506,AI506,AJ506,AK506)&lt;&gt;14,"Status kegiatan tidak valid",IF(AK506&gt;0,"Lengkapi status kegiatan",IF(AND(AJ506&gt;0,U506=""),"Isi alasan Tidak Berlaku",IF(AND(SUM(AH506,AI506)&gt;0,OR(U506="",V506="",W506="",X506="")),"Isi kendala dan tindak lanjut",IF(AND(Z506&lt;&gt;"Draft",Z506&lt;&gt;"Dikirim"),"Isi status laporan yang valid",IF(AND(AB506&lt;&gt;"",AB506&lt;&gt;"Belum Diperiksa",AB506&lt;&gt;"Disetujui",AB506&lt;&gt;"Perlu Perbaikan"),"Hasil review tidak valid",IF(AND(Z506="Dikirim",OR(Y506="",AA506="")),"Isi bukti dan waktu kirim",IF(AND(AB506="Disetujui",OR(Z506&lt;&gt;"Dikirim",AC506="",AD506="")),"Lengkapi pemeriksaan",IF(AND(AB506="Perlu Perbaikan",OR(AE506="",AC506="",AD506="")),"Isi pemeriksa dan catatan perbaikan","OK")))))))))))))))),"")</f>
        <v/>
      </c>
    </row>
    <row r="507" spans="1:39" ht="24.95" customHeight="1">
      <c r="A507" s="8"/>
      <c r="B507" s="6"/>
      <c r="C507" s="15" t="str">
        <f>IF(COUNTIFS(Master_PIC!$A$8:$A$73,$B507)=1,IF(VLOOKUP($B507,Master_PIC!$A$8:$G$73,2,FALSE)="","",VLOOKUP($B507,Master_PIC!$A$8:$G$73,2,FALSE)),"")</f>
        <v/>
      </c>
      <c r="D507" s="15" t="str">
        <f>IF(COUNTIFS(Master_PIC!$A$8:$A$73,$B507)=1,IF(VLOOKUP($B507,Master_PIC!$A$8:$G$73,4,FALSE)="","",VLOOKUP($B507,Master_PIC!$A$8:$G$73,4,FALSE)),"")</f>
        <v/>
      </c>
      <c r="E507" s="15" t="str">
        <f>IF(COUNTIFS(Master_PIC!$A$8:$A$73,$B507)=1,IF(VLOOKUP($B507,Master_PIC!$A$8:$G$73,5,FALSE)="","",VLOOKUP($B507,Master_PIC!$A$8:$G$73,5,FALSE)),"")</f>
        <v/>
      </c>
      <c r="F507" s="15" t="str">
        <f>IF(COUNTIFS(Master_PIC!$A$8:$A$73,$B507)=1,IF(VLOOKUP($B507,Master_PIC!$A$8:$G$73,6,FALSE)="","",VLOOKUP($B507,Master_PIC!$A$8:$G$73,6,FALSE)),"")</f>
        <v/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8"/>
      <c r="Y507" s="5"/>
      <c r="Z507" s="5"/>
      <c r="AA507" s="9"/>
      <c r="AB507" s="5"/>
      <c r="AC507" s="5"/>
      <c r="AD507" s="9"/>
      <c r="AE507" s="5"/>
      <c r="AF507" s="7" t="str">
        <f t="shared" si="49"/>
        <v/>
      </c>
      <c r="AG507" s="7" t="str">
        <f t="shared" si="50"/>
        <v/>
      </c>
      <c r="AH507" s="7" t="str">
        <f t="shared" si="51"/>
        <v/>
      </c>
      <c r="AI507" s="7" t="str">
        <f t="shared" si="52"/>
        <v/>
      </c>
      <c r="AJ507" s="7" t="str">
        <f t="shared" si="53"/>
        <v/>
      </c>
      <c r="AK507" s="7" t="str">
        <f t="shared" si="54"/>
        <v/>
      </c>
      <c r="AL507" s="10" t="str">
        <f t="shared" si="55"/>
        <v/>
      </c>
      <c r="AM507" s="15" t="str">
        <f>IF(OR($A507&lt;&gt;"",$B507&lt;&gt;""),IF(OR($A507="",$B507=""),"Isi tanggal dan ID PIC",IF(NOT(ISNUMBER($A507)),"Tanggal harus berupa tanggal Excel",IF(COUNTIFS(Master_PIC!$A$8:$A$73,$B507)&lt;&gt;1,"ID PIC tidak unik/terdaftar",IF(VLOOKUP($B507,Master_PIC!$A$8:$G$73,3,FALSE)&lt;&gt;"Sales","Jabatan tidak sesuai sheet",IF(OR($C507="",$D507="",$E507="",$F507=""),"Lengkapi master PIC",IF(COUNTIFS($A$8:$A$507,$A507,$B$8:$B$507,$B507)&gt;1,"Laporan ganda",IF(COUNTIFS(G507:P507,"Tidak Berlaku")&gt;0,"N/A hanya untuk kegiatan bersyarat",IF(SUM(AG507,AH507,AI507,AJ507,AK507)&lt;&gt;14,"Status kegiatan tidak valid",IF(AK507&gt;0,"Lengkapi status kegiatan",IF(AND(AJ507&gt;0,U507=""),"Isi alasan Tidak Berlaku",IF(AND(SUM(AH507,AI507)&gt;0,OR(U507="",V507="",W507="",X507="")),"Isi kendala dan tindak lanjut",IF(AND(Z507&lt;&gt;"Draft",Z507&lt;&gt;"Dikirim"),"Isi status laporan yang valid",IF(AND(AB507&lt;&gt;"",AB507&lt;&gt;"Belum Diperiksa",AB507&lt;&gt;"Disetujui",AB507&lt;&gt;"Perlu Perbaikan"),"Hasil review tidak valid",IF(AND(Z507="Dikirim",OR(Y507="",AA507="")),"Isi bukti dan waktu kirim",IF(AND(AB507="Disetujui",OR(Z507&lt;&gt;"Dikirim",AC507="",AD507="")),"Lengkapi pemeriksaan",IF(AND(AB507="Perlu Perbaikan",OR(AE507="",AC507="",AD507="")),"Isi pemeriksa dan catatan perbaikan","OK")))))))))))))))),"")</f>
        <v/>
      </c>
    </row>
  </sheetData>
  <conditionalFormatting sqref="G8:T507">
    <cfRule type="cellIs" dxfId="31" priority="1" operator="equal">
      <formula>"Selesai"</formula>
    </cfRule>
    <cfRule type="cellIs" dxfId="30" priority="2" operator="equal">
      <formula>"Proses"</formula>
    </cfRule>
    <cfRule type="cellIs" dxfId="29" priority="3" operator="equal">
      <formula>"Belum"</formula>
    </cfRule>
    <cfRule type="cellIs" dxfId="28" priority="4" operator="equal">
      <formula>"Tidak Berlaku"</formula>
    </cfRule>
  </conditionalFormatting>
  <conditionalFormatting sqref="AB8:AB507">
    <cfRule type="cellIs" dxfId="27" priority="5" operator="equal">
      <formula>"Selesai"</formula>
    </cfRule>
    <cfRule type="cellIs" dxfId="26" priority="6" operator="equal">
      <formula>"Proses"</formula>
    </cfRule>
    <cfRule type="cellIs" dxfId="25" priority="7" operator="equal">
      <formula>"Belum"</formula>
    </cfRule>
    <cfRule type="cellIs" dxfId="24" priority="8" operator="equal">
      <formula>"Tidak Berlaku"</formula>
    </cfRule>
  </conditionalFormatting>
  <conditionalFormatting sqref="AM8:AM507">
    <cfRule type="expression" dxfId="23" priority="9">
      <formula>AND(AM8&lt;&gt;"",AM8&lt;&gt;"OK")</formula>
    </cfRule>
  </conditionalFormatting>
  <dataValidations count="4">
    <dataValidation type="list" sqref="G8:P507" xr:uid="{00000000-0002-0000-0100-000001000000}">
      <formula1>"Selesai,Proses,Belum"</formula1>
    </dataValidation>
    <dataValidation type="list" sqref="Q8:T507" xr:uid="{00000000-0002-0000-0100-00000B000000}">
      <formula1>"Selesai,Proses,Belum,Tidak Berlaku"</formula1>
    </dataValidation>
    <dataValidation type="list" sqref="Z8:Z507" xr:uid="{00000000-0002-0000-0100-00000F000000}">
      <formula1>"Draft,Dikirim"</formula1>
    </dataValidation>
    <dataValidation type="list" sqref="AB8:AB507" xr:uid="{00000000-0002-0000-0100-000010000000}">
      <formula1>"Belum Diperiksa,Disetujui,Perlu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Master_PIC!$A$12:$A$73</xm:f>
          </x14:formula1>
          <xm:sqref>B8:B507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591A4"/>
  </sheetPr>
  <dimension ref="A1:AL507"/>
  <sheetViews>
    <sheetView showGridLines="0" workbookViewId="0">
      <pane xSplit="2" ySplit="7" topLeftCell="X8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RowHeight="14.25"/>
  <cols>
    <col min="1" max="1" width="15" customWidth="1"/>
    <col min="2" max="2" width="16" customWidth="1"/>
    <col min="3" max="3" width="24" customWidth="1"/>
    <col min="4" max="4" width="21" customWidth="1"/>
    <col min="5" max="5" width="23" customWidth="1"/>
    <col min="6" max="6" width="17" customWidth="1"/>
    <col min="7" max="19" width="18" customWidth="1"/>
    <col min="20" max="21" width="38" customWidth="1"/>
    <col min="22" max="22" width="19" customWidth="1"/>
    <col min="23" max="23" width="21" customWidth="1"/>
    <col min="24" max="24" width="35" customWidth="1"/>
    <col min="25" max="25" width="21" customWidth="1"/>
    <col min="26" max="26" width="23" customWidth="1"/>
    <col min="27" max="27" width="21" customWidth="1"/>
    <col min="28" max="28" width="19" customWidth="1"/>
    <col min="29" max="29" width="23" customWidth="1"/>
    <col min="30" max="30" width="38" customWidth="1"/>
    <col min="31" max="37" width="16" customWidth="1"/>
    <col min="38" max="38" width="36" customWidth="1"/>
  </cols>
  <sheetData>
    <row r="1" spans="1:38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0.95" customHeight="1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24" customHeight="1">
      <c r="A4" s="1" t="s">
        <v>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4" customHeight="1">
      <c r="A5" s="1" t="s">
        <v>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45" customHeight="1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76</v>
      </c>
      <c r="H7" s="4" t="s">
        <v>77</v>
      </c>
      <c r="I7" s="4" t="s">
        <v>78</v>
      </c>
      <c r="J7" s="4" t="s">
        <v>79</v>
      </c>
      <c r="K7" s="4" t="s">
        <v>80</v>
      </c>
      <c r="L7" s="4" t="s">
        <v>81</v>
      </c>
      <c r="M7" s="4" t="s">
        <v>82</v>
      </c>
      <c r="N7" s="4" t="s">
        <v>83</v>
      </c>
      <c r="O7" s="4" t="s">
        <v>84</v>
      </c>
      <c r="P7" s="4" t="s">
        <v>85</v>
      </c>
      <c r="Q7" s="4" t="s">
        <v>86</v>
      </c>
      <c r="R7" s="4" t="s">
        <v>87</v>
      </c>
      <c r="S7" s="4" t="s">
        <v>88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4" t="s">
        <v>60</v>
      </c>
      <c r="Z7" s="4" t="s">
        <v>61</v>
      </c>
      <c r="AA7" s="4" t="s">
        <v>62</v>
      </c>
      <c r="AB7" s="4" t="s">
        <v>63</v>
      </c>
      <c r="AC7" s="4" t="s">
        <v>64</v>
      </c>
      <c r="AD7" s="4" t="s">
        <v>65</v>
      </c>
      <c r="AE7" s="4" t="s">
        <v>66</v>
      </c>
      <c r="AF7" s="4" t="s">
        <v>67</v>
      </c>
      <c r="AG7" s="4" t="s">
        <v>68</v>
      </c>
      <c r="AH7" s="4" t="s">
        <v>69</v>
      </c>
      <c r="AI7" s="4" t="s">
        <v>70</v>
      </c>
      <c r="AJ7" s="4" t="s">
        <v>71</v>
      </c>
      <c r="AK7" s="4" t="s">
        <v>72</v>
      </c>
      <c r="AL7" s="4" t="s">
        <v>73</v>
      </c>
    </row>
    <row r="8" spans="1:38" ht="24.95" customHeight="1">
      <c r="A8" s="8"/>
      <c r="B8" s="6"/>
      <c r="C8" s="15" t="str">
        <f>IF(COUNTIFS(Master_PIC!$A$8:$A$73,$B8)=1,IF(VLOOKUP($B8,Master_PIC!$A$8:$G$73,2,FALSE)="","",VLOOKUP($B8,Master_PIC!$A$8:$G$73,2,FALSE)),"")</f>
        <v/>
      </c>
      <c r="D8" s="15" t="str">
        <f>IF(COUNTIFS(Master_PIC!$A$8:$A$73,$B8)=1,IF(VLOOKUP($B8,Master_PIC!$A$8:$G$73,4,FALSE)="","",VLOOKUP($B8,Master_PIC!$A$8:$G$73,4,FALSE)),"")</f>
        <v/>
      </c>
      <c r="E8" s="15" t="str">
        <f>IF(COUNTIFS(Master_PIC!$A$8:$A$73,$B8)=1,IF(VLOOKUP($B8,Master_PIC!$A$8:$G$73,5,FALSE)="","",VLOOKUP($B8,Master_PIC!$A$8:$G$73,5,FALSE)),"")</f>
        <v/>
      </c>
      <c r="F8" s="15" t="str">
        <f>IF(COUNTIFS(Master_PIC!$A$8:$A$73,$B8)=1,IF(VLOOKUP($B8,Master_PIC!$A$8:$G$73,6,FALSE)="","",VLOOKUP($B8,Master_PIC!$A$8:$G$73,6,FALSE)),"")</f>
        <v/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8"/>
      <c r="X8" s="5"/>
      <c r="Y8" s="5"/>
      <c r="Z8" s="9"/>
      <c r="AA8" s="5"/>
      <c r="AB8" s="5"/>
      <c r="AC8" s="9"/>
      <c r="AD8" s="5"/>
      <c r="AE8" s="7" t="str">
        <f t="shared" ref="AE8:AE71" si="0">IF(OR($A8&lt;&gt;"",$B8&lt;&gt;""),13-AI8,"")</f>
        <v/>
      </c>
      <c r="AF8" s="7" t="str">
        <f t="shared" ref="AF8:AF71" si="1">IF(OR($A8&lt;&gt;"",$B8&lt;&gt;""),COUNTIFS(G8:S8,"Selesai"),"")</f>
        <v/>
      </c>
      <c r="AG8" s="7" t="str">
        <f t="shared" ref="AG8:AG71" si="2">IF(OR($A8&lt;&gt;"",$B8&lt;&gt;""),COUNTIFS(G8:S8,"Proses"),"")</f>
        <v/>
      </c>
      <c r="AH8" s="7" t="str">
        <f t="shared" ref="AH8:AH71" si="3">IF(OR($A8&lt;&gt;"",$B8&lt;&gt;""),COUNTIFS(G8:S8,"Belum"),"")</f>
        <v/>
      </c>
      <c r="AI8" s="7" t="str">
        <f t="shared" ref="AI8:AI71" si="4">IF(OR($A8&lt;&gt;"",$B8&lt;&gt;""),COUNTIFS(G8:S8,"Tidak Berlaku"),"")</f>
        <v/>
      </c>
      <c r="AJ8" s="7" t="str">
        <f t="shared" ref="AJ8:AJ71" si="5">IF(OR($A8&lt;&gt;"",$B8&lt;&gt;""),COUNTBLANK(G8:S8),"")</f>
        <v/>
      </c>
      <c r="AK8" s="10" t="str">
        <f t="shared" ref="AK8:AK71" si="6">IF(OR($A8&lt;&gt;"",$B8&lt;&gt;""),IF(AE8=0,"n.a.",AF8/AE8),"")</f>
        <v/>
      </c>
      <c r="AL8" s="15" t="str">
        <f>IF(OR($A8&lt;&gt;"",$B8&lt;&gt;""),IF(OR($A8="",$B8=""),"Isi tanggal dan ID PIC",IF(NOT(ISNUMBER($A8)),"Tanggal harus berupa tanggal Excel",IF(COUNTIFS(Master_PIC!$A$8:$A$73,$B8)&lt;&gt;1,"ID PIC tidak unik/terdaftar",IF(VLOOKUP($B8,Master_PIC!$A$8:$G$73,3,FALSE)&lt;&gt;"SPV","Jabatan tidak sesuai sheet",IF(OR($C8="",$D8="",$E8="",$F8=""),"Lengkapi master PIC",IF(COUNTIFS($A$8:$A$507,$A8,$B$8:$B$507,$B8)&gt;1,"Laporan ganda",IF(COUNTIFS(G8:O8,"Tidak Berlaku")&gt;0,"N/A hanya untuk kegiatan bersyarat",IF(SUM(AF8,AG8,AH8,AI8,AJ8)&lt;&gt;13,"Status kegiatan tidak valid",IF(AJ8&gt;0,"Lengkapi status kegiatan",IF(AND(AI8&gt;0,T8=""),"Isi alasan Tidak Berlaku",IF(AND(SUM(AG8,AH8)&gt;0,OR(T8="",U8="",V8="",W8="")),"Isi kendala dan tindak lanjut",IF(AND(Y8&lt;&gt;"Draft",Y8&lt;&gt;"Dikirim"),"Isi status laporan yang valid",IF(AND(AA8&lt;&gt;"",AA8&lt;&gt;"Belum Diperiksa",AA8&lt;&gt;"Disetujui",AA8&lt;&gt;"Perlu Perbaikan"),"Hasil review tidak valid",IF(AND(Y8="Dikirim",OR(X8="",Z8="")),"Isi bukti dan waktu kirim",IF(AND(AA8="Disetujui",OR(Y8&lt;&gt;"Dikirim",AB8="",AC8="")),"Lengkapi pemeriksaan",IF(AND(AA8="Perlu Perbaikan",OR(AD8="",AB8="",AC8="")),"Isi pemeriksa dan catatan perbaikan","OK")))))))))))))))),"")</f>
        <v/>
      </c>
    </row>
    <row r="9" spans="1:38" ht="24.95" customHeight="1">
      <c r="A9" s="8"/>
      <c r="B9" s="6"/>
      <c r="C9" s="15" t="str">
        <f>IF(COUNTIFS(Master_PIC!$A$8:$A$73,$B9)=1,IF(VLOOKUP($B9,Master_PIC!$A$8:$G$73,2,FALSE)="","",VLOOKUP($B9,Master_PIC!$A$8:$G$73,2,FALSE)),"")</f>
        <v/>
      </c>
      <c r="D9" s="15" t="str">
        <f>IF(COUNTIFS(Master_PIC!$A$8:$A$73,$B9)=1,IF(VLOOKUP($B9,Master_PIC!$A$8:$G$73,4,FALSE)="","",VLOOKUP($B9,Master_PIC!$A$8:$G$73,4,FALSE)),"")</f>
        <v/>
      </c>
      <c r="E9" s="15" t="str">
        <f>IF(COUNTIFS(Master_PIC!$A$8:$A$73,$B9)=1,IF(VLOOKUP($B9,Master_PIC!$A$8:$G$73,5,FALSE)="","",VLOOKUP($B9,Master_PIC!$A$8:$G$73,5,FALSE)),"")</f>
        <v/>
      </c>
      <c r="F9" s="15" t="str">
        <f>IF(COUNTIFS(Master_PIC!$A$8:$A$73,$B9)=1,IF(VLOOKUP($B9,Master_PIC!$A$8:$G$73,6,FALSE)="","",VLOOKUP($B9,Master_PIC!$A$8:$G$73,6,FALSE)),"")</f>
        <v/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8"/>
      <c r="X9" s="5"/>
      <c r="Y9" s="5"/>
      <c r="Z9" s="9"/>
      <c r="AA9" s="5"/>
      <c r="AB9" s="5"/>
      <c r="AC9" s="9"/>
      <c r="AD9" s="5"/>
      <c r="AE9" s="7" t="str">
        <f t="shared" si="0"/>
        <v/>
      </c>
      <c r="AF9" s="7" t="str">
        <f t="shared" si="1"/>
        <v/>
      </c>
      <c r="AG9" s="7" t="str">
        <f t="shared" si="2"/>
        <v/>
      </c>
      <c r="AH9" s="7" t="str">
        <f t="shared" si="3"/>
        <v/>
      </c>
      <c r="AI9" s="7" t="str">
        <f t="shared" si="4"/>
        <v/>
      </c>
      <c r="AJ9" s="7" t="str">
        <f t="shared" si="5"/>
        <v/>
      </c>
      <c r="AK9" s="10" t="str">
        <f t="shared" si="6"/>
        <v/>
      </c>
      <c r="AL9" s="15" t="str">
        <f>IF(OR($A9&lt;&gt;"",$B9&lt;&gt;""),IF(OR($A9="",$B9=""),"Isi tanggal dan ID PIC",IF(NOT(ISNUMBER($A9)),"Tanggal harus berupa tanggal Excel",IF(COUNTIFS(Master_PIC!$A$8:$A$73,$B9)&lt;&gt;1,"ID PIC tidak unik/terdaftar",IF(VLOOKUP($B9,Master_PIC!$A$8:$G$73,3,FALSE)&lt;&gt;"SPV","Jabatan tidak sesuai sheet",IF(OR($C9="",$D9="",$E9="",$F9=""),"Lengkapi master PIC",IF(COUNTIFS($A$8:$A$507,$A9,$B$8:$B$507,$B9)&gt;1,"Laporan ganda",IF(COUNTIFS(G9:O9,"Tidak Berlaku")&gt;0,"N/A hanya untuk kegiatan bersyarat",IF(SUM(AF9,AG9,AH9,AI9,AJ9)&lt;&gt;13,"Status kegiatan tidak valid",IF(AJ9&gt;0,"Lengkapi status kegiatan",IF(AND(AI9&gt;0,T9=""),"Isi alasan Tidak Berlaku",IF(AND(SUM(AG9,AH9)&gt;0,OR(T9="",U9="",V9="",W9="")),"Isi kendala dan tindak lanjut",IF(AND(Y9&lt;&gt;"Draft",Y9&lt;&gt;"Dikirim"),"Isi status laporan yang valid",IF(AND(AA9&lt;&gt;"",AA9&lt;&gt;"Belum Diperiksa",AA9&lt;&gt;"Disetujui",AA9&lt;&gt;"Perlu Perbaikan"),"Hasil review tidak valid",IF(AND(Y9="Dikirim",OR(X9="",Z9="")),"Isi bukti dan waktu kirim",IF(AND(AA9="Disetujui",OR(Y9&lt;&gt;"Dikirim",AB9="",AC9="")),"Lengkapi pemeriksaan",IF(AND(AA9="Perlu Perbaikan",OR(AD9="",AB9="",AC9="")),"Isi pemeriksa dan catatan perbaikan","OK")))))))))))))))),"")</f>
        <v/>
      </c>
    </row>
    <row r="10" spans="1:38" ht="24.95" customHeight="1">
      <c r="A10" s="8"/>
      <c r="B10" s="6"/>
      <c r="C10" s="15" t="str">
        <f>IF(COUNTIFS(Master_PIC!$A$8:$A$73,$B10)=1,IF(VLOOKUP($B10,Master_PIC!$A$8:$G$73,2,FALSE)="","",VLOOKUP($B10,Master_PIC!$A$8:$G$73,2,FALSE)),"")</f>
        <v/>
      </c>
      <c r="D10" s="15" t="str">
        <f>IF(COUNTIFS(Master_PIC!$A$8:$A$73,$B10)=1,IF(VLOOKUP($B10,Master_PIC!$A$8:$G$73,4,FALSE)="","",VLOOKUP($B10,Master_PIC!$A$8:$G$73,4,FALSE)),"")</f>
        <v/>
      </c>
      <c r="E10" s="15" t="str">
        <f>IF(COUNTIFS(Master_PIC!$A$8:$A$73,$B10)=1,IF(VLOOKUP($B10,Master_PIC!$A$8:$G$73,5,FALSE)="","",VLOOKUP($B10,Master_PIC!$A$8:$G$73,5,FALSE)),"")</f>
        <v/>
      </c>
      <c r="F10" s="15" t="str">
        <f>IF(COUNTIFS(Master_PIC!$A$8:$A$73,$B10)=1,IF(VLOOKUP($B10,Master_PIC!$A$8:$G$73,6,FALSE)="","",VLOOKUP($B10,Master_PIC!$A$8:$G$73,6,FALSE)),"")</f>
        <v/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8"/>
      <c r="X10" s="5"/>
      <c r="Y10" s="5"/>
      <c r="Z10" s="9"/>
      <c r="AA10" s="5"/>
      <c r="AB10" s="5"/>
      <c r="AC10" s="9"/>
      <c r="AD10" s="5"/>
      <c r="AE10" s="7" t="str">
        <f t="shared" si="0"/>
        <v/>
      </c>
      <c r="AF10" s="7" t="str">
        <f t="shared" si="1"/>
        <v/>
      </c>
      <c r="AG10" s="7" t="str">
        <f t="shared" si="2"/>
        <v/>
      </c>
      <c r="AH10" s="7" t="str">
        <f t="shared" si="3"/>
        <v/>
      </c>
      <c r="AI10" s="7" t="str">
        <f t="shared" si="4"/>
        <v/>
      </c>
      <c r="AJ10" s="7" t="str">
        <f t="shared" si="5"/>
        <v/>
      </c>
      <c r="AK10" s="10" t="str">
        <f t="shared" si="6"/>
        <v/>
      </c>
      <c r="AL10" s="15" t="str">
        <f>IF(OR($A10&lt;&gt;"",$B10&lt;&gt;""),IF(OR($A10="",$B10=""),"Isi tanggal dan ID PIC",IF(NOT(ISNUMBER($A10)),"Tanggal harus berupa tanggal Excel",IF(COUNTIFS(Master_PIC!$A$8:$A$73,$B10)&lt;&gt;1,"ID PIC tidak unik/terdaftar",IF(VLOOKUP($B10,Master_PIC!$A$8:$G$73,3,FALSE)&lt;&gt;"SPV","Jabatan tidak sesuai sheet",IF(OR($C10="",$D10="",$E10="",$F10=""),"Lengkapi master PIC",IF(COUNTIFS($A$8:$A$507,$A10,$B$8:$B$507,$B10)&gt;1,"Laporan ganda",IF(COUNTIFS(G10:O10,"Tidak Berlaku")&gt;0,"N/A hanya untuk kegiatan bersyarat",IF(SUM(AF10,AG10,AH10,AI10,AJ10)&lt;&gt;13,"Status kegiatan tidak valid",IF(AJ10&gt;0,"Lengkapi status kegiatan",IF(AND(AI10&gt;0,T10=""),"Isi alasan Tidak Berlaku",IF(AND(SUM(AG10,AH10)&gt;0,OR(T10="",U10="",V10="",W10="")),"Isi kendala dan tindak lanjut",IF(AND(Y10&lt;&gt;"Draft",Y10&lt;&gt;"Dikirim"),"Isi status laporan yang valid",IF(AND(AA10&lt;&gt;"",AA10&lt;&gt;"Belum Diperiksa",AA10&lt;&gt;"Disetujui",AA10&lt;&gt;"Perlu Perbaikan"),"Hasil review tidak valid",IF(AND(Y10="Dikirim",OR(X10="",Z10="")),"Isi bukti dan waktu kirim",IF(AND(AA10="Disetujui",OR(Y10&lt;&gt;"Dikirim",AB10="",AC10="")),"Lengkapi pemeriksaan",IF(AND(AA10="Perlu Perbaikan",OR(AD10="",AB10="",AC10="")),"Isi pemeriksa dan catatan perbaikan","OK")))))))))))))))),"")</f>
        <v/>
      </c>
    </row>
    <row r="11" spans="1:38" ht="24.95" customHeight="1">
      <c r="A11" s="8"/>
      <c r="B11" s="6"/>
      <c r="C11" s="15" t="str">
        <f>IF(COUNTIFS(Master_PIC!$A$8:$A$73,$B11)=1,IF(VLOOKUP($B11,Master_PIC!$A$8:$G$73,2,FALSE)="","",VLOOKUP($B11,Master_PIC!$A$8:$G$73,2,FALSE)),"")</f>
        <v/>
      </c>
      <c r="D11" s="15" t="str">
        <f>IF(COUNTIFS(Master_PIC!$A$8:$A$73,$B11)=1,IF(VLOOKUP($B11,Master_PIC!$A$8:$G$73,4,FALSE)="","",VLOOKUP($B11,Master_PIC!$A$8:$G$73,4,FALSE)),"")</f>
        <v/>
      </c>
      <c r="E11" s="15" t="str">
        <f>IF(COUNTIFS(Master_PIC!$A$8:$A$73,$B11)=1,IF(VLOOKUP($B11,Master_PIC!$A$8:$G$73,5,FALSE)="","",VLOOKUP($B11,Master_PIC!$A$8:$G$73,5,FALSE)),"")</f>
        <v/>
      </c>
      <c r="F11" s="15" t="str">
        <f>IF(COUNTIFS(Master_PIC!$A$8:$A$73,$B11)=1,IF(VLOOKUP($B11,Master_PIC!$A$8:$G$73,6,FALSE)="","",VLOOKUP($B11,Master_PIC!$A$8:$G$73,6,FALSE)),"")</f>
        <v/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8"/>
      <c r="X11" s="5"/>
      <c r="Y11" s="5"/>
      <c r="Z11" s="9"/>
      <c r="AA11" s="5"/>
      <c r="AB11" s="5"/>
      <c r="AC11" s="9"/>
      <c r="AD11" s="5"/>
      <c r="AE11" s="7" t="str">
        <f t="shared" si="0"/>
        <v/>
      </c>
      <c r="AF11" s="7" t="str">
        <f t="shared" si="1"/>
        <v/>
      </c>
      <c r="AG11" s="7" t="str">
        <f t="shared" si="2"/>
        <v/>
      </c>
      <c r="AH11" s="7" t="str">
        <f t="shared" si="3"/>
        <v/>
      </c>
      <c r="AI11" s="7" t="str">
        <f t="shared" si="4"/>
        <v/>
      </c>
      <c r="AJ11" s="7" t="str">
        <f t="shared" si="5"/>
        <v/>
      </c>
      <c r="AK11" s="10" t="str">
        <f t="shared" si="6"/>
        <v/>
      </c>
      <c r="AL11" s="15" t="str">
        <f>IF(OR($A11&lt;&gt;"",$B11&lt;&gt;""),IF(OR($A11="",$B11=""),"Isi tanggal dan ID PIC",IF(NOT(ISNUMBER($A11)),"Tanggal harus berupa tanggal Excel",IF(COUNTIFS(Master_PIC!$A$8:$A$73,$B11)&lt;&gt;1,"ID PIC tidak unik/terdaftar",IF(VLOOKUP($B11,Master_PIC!$A$8:$G$73,3,FALSE)&lt;&gt;"SPV","Jabatan tidak sesuai sheet",IF(OR($C11="",$D11="",$E11="",$F11=""),"Lengkapi master PIC",IF(COUNTIFS($A$8:$A$507,$A11,$B$8:$B$507,$B11)&gt;1,"Laporan ganda",IF(COUNTIFS(G11:O11,"Tidak Berlaku")&gt;0,"N/A hanya untuk kegiatan bersyarat",IF(SUM(AF11,AG11,AH11,AI11,AJ11)&lt;&gt;13,"Status kegiatan tidak valid",IF(AJ11&gt;0,"Lengkapi status kegiatan",IF(AND(AI11&gt;0,T11=""),"Isi alasan Tidak Berlaku",IF(AND(SUM(AG11,AH11)&gt;0,OR(T11="",U11="",V11="",W11="")),"Isi kendala dan tindak lanjut",IF(AND(Y11&lt;&gt;"Draft",Y11&lt;&gt;"Dikirim"),"Isi status laporan yang valid",IF(AND(AA11&lt;&gt;"",AA11&lt;&gt;"Belum Diperiksa",AA11&lt;&gt;"Disetujui",AA11&lt;&gt;"Perlu Perbaikan"),"Hasil review tidak valid",IF(AND(Y11="Dikirim",OR(X11="",Z11="")),"Isi bukti dan waktu kirim",IF(AND(AA11="Disetujui",OR(Y11&lt;&gt;"Dikirim",AB11="",AC11="")),"Lengkapi pemeriksaan",IF(AND(AA11="Perlu Perbaikan",OR(AD11="",AB11="",AC11="")),"Isi pemeriksa dan catatan perbaikan","OK")))))))))))))))),"")</f>
        <v/>
      </c>
    </row>
    <row r="12" spans="1:38" ht="24.95" customHeight="1">
      <c r="A12" s="8"/>
      <c r="B12" s="6"/>
      <c r="C12" s="15" t="str">
        <f>IF(COUNTIFS(Master_PIC!$A$8:$A$73,$B12)=1,IF(VLOOKUP($B12,Master_PIC!$A$8:$G$73,2,FALSE)="","",VLOOKUP($B12,Master_PIC!$A$8:$G$73,2,FALSE)),"")</f>
        <v/>
      </c>
      <c r="D12" s="15" t="str">
        <f>IF(COUNTIFS(Master_PIC!$A$8:$A$73,$B12)=1,IF(VLOOKUP($B12,Master_PIC!$A$8:$G$73,4,FALSE)="","",VLOOKUP($B12,Master_PIC!$A$8:$G$73,4,FALSE)),"")</f>
        <v/>
      </c>
      <c r="E12" s="15" t="str">
        <f>IF(COUNTIFS(Master_PIC!$A$8:$A$73,$B12)=1,IF(VLOOKUP($B12,Master_PIC!$A$8:$G$73,5,FALSE)="","",VLOOKUP($B12,Master_PIC!$A$8:$G$73,5,FALSE)),"")</f>
        <v/>
      </c>
      <c r="F12" s="15" t="str">
        <f>IF(COUNTIFS(Master_PIC!$A$8:$A$73,$B12)=1,IF(VLOOKUP($B12,Master_PIC!$A$8:$G$73,6,FALSE)="","",VLOOKUP($B12,Master_PIC!$A$8:$G$73,6,FALSE)),"")</f>
        <v/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8"/>
      <c r="X12" s="5"/>
      <c r="Y12" s="5"/>
      <c r="Z12" s="9"/>
      <c r="AA12" s="5"/>
      <c r="AB12" s="5"/>
      <c r="AC12" s="9"/>
      <c r="AD12" s="5"/>
      <c r="AE12" s="7" t="str">
        <f t="shared" si="0"/>
        <v/>
      </c>
      <c r="AF12" s="7" t="str">
        <f t="shared" si="1"/>
        <v/>
      </c>
      <c r="AG12" s="7" t="str">
        <f t="shared" si="2"/>
        <v/>
      </c>
      <c r="AH12" s="7" t="str">
        <f t="shared" si="3"/>
        <v/>
      </c>
      <c r="AI12" s="7" t="str">
        <f t="shared" si="4"/>
        <v/>
      </c>
      <c r="AJ12" s="7" t="str">
        <f t="shared" si="5"/>
        <v/>
      </c>
      <c r="AK12" s="10" t="str">
        <f t="shared" si="6"/>
        <v/>
      </c>
      <c r="AL12" s="15" t="str">
        <f>IF(OR($A12&lt;&gt;"",$B12&lt;&gt;""),IF(OR($A12="",$B12=""),"Isi tanggal dan ID PIC",IF(NOT(ISNUMBER($A12)),"Tanggal harus berupa tanggal Excel",IF(COUNTIFS(Master_PIC!$A$8:$A$73,$B12)&lt;&gt;1,"ID PIC tidak unik/terdaftar",IF(VLOOKUP($B12,Master_PIC!$A$8:$G$73,3,FALSE)&lt;&gt;"SPV","Jabatan tidak sesuai sheet",IF(OR($C12="",$D12="",$E12="",$F12=""),"Lengkapi master PIC",IF(COUNTIFS($A$8:$A$507,$A12,$B$8:$B$507,$B12)&gt;1,"Laporan ganda",IF(COUNTIFS(G12:O12,"Tidak Berlaku")&gt;0,"N/A hanya untuk kegiatan bersyarat",IF(SUM(AF12,AG12,AH12,AI12,AJ12)&lt;&gt;13,"Status kegiatan tidak valid",IF(AJ12&gt;0,"Lengkapi status kegiatan",IF(AND(AI12&gt;0,T12=""),"Isi alasan Tidak Berlaku",IF(AND(SUM(AG12,AH12)&gt;0,OR(T12="",U12="",V12="",W12="")),"Isi kendala dan tindak lanjut",IF(AND(Y12&lt;&gt;"Draft",Y12&lt;&gt;"Dikirim"),"Isi status laporan yang valid",IF(AND(AA12&lt;&gt;"",AA12&lt;&gt;"Belum Diperiksa",AA12&lt;&gt;"Disetujui",AA12&lt;&gt;"Perlu Perbaikan"),"Hasil review tidak valid",IF(AND(Y12="Dikirim",OR(X12="",Z12="")),"Isi bukti dan waktu kirim",IF(AND(AA12="Disetujui",OR(Y12&lt;&gt;"Dikirim",AB12="",AC12="")),"Lengkapi pemeriksaan",IF(AND(AA12="Perlu Perbaikan",OR(AD12="",AB12="",AC12="")),"Isi pemeriksa dan catatan perbaikan","OK")))))))))))))))),"")</f>
        <v/>
      </c>
    </row>
    <row r="13" spans="1:38" ht="24.95" customHeight="1">
      <c r="A13" s="8"/>
      <c r="B13" s="6"/>
      <c r="C13" s="15" t="str">
        <f>IF(COUNTIFS(Master_PIC!$A$8:$A$73,$B13)=1,IF(VLOOKUP($B13,Master_PIC!$A$8:$G$73,2,FALSE)="","",VLOOKUP($B13,Master_PIC!$A$8:$G$73,2,FALSE)),"")</f>
        <v/>
      </c>
      <c r="D13" s="15" t="str">
        <f>IF(COUNTIFS(Master_PIC!$A$8:$A$73,$B13)=1,IF(VLOOKUP($B13,Master_PIC!$A$8:$G$73,4,FALSE)="","",VLOOKUP($B13,Master_PIC!$A$8:$G$73,4,FALSE)),"")</f>
        <v/>
      </c>
      <c r="E13" s="15" t="str">
        <f>IF(COUNTIFS(Master_PIC!$A$8:$A$73,$B13)=1,IF(VLOOKUP($B13,Master_PIC!$A$8:$G$73,5,FALSE)="","",VLOOKUP($B13,Master_PIC!$A$8:$G$73,5,FALSE)),"")</f>
        <v/>
      </c>
      <c r="F13" s="15" t="str">
        <f>IF(COUNTIFS(Master_PIC!$A$8:$A$73,$B13)=1,IF(VLOOKUP($B13,Master_PIC!$A$8:$G$73,6,FALSE)="","",VLOOKUP($B13,Master_PIC!$A$8:$G$73,6,FALSE)),"")</f>
        <v/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8"/>
      <c r="X13" s="5"/>
      <c r="Y13" s="5"/>
      <c r="Z13" s="9"/>
      <c r="AA13" s="5"/>
      <c r="AB13" s="5"/>
      <c r="AC13" s="9"/>
      <c r="AD13" s="5"/>
      <c r="AE13" s="7" t="str">
        <f t="shared" si="0"/>
        <v/>
      </c>
      <c r="AF13" s="7" t="str">
        <f t="shared" si="1"/>
        <v/>
      </c>
      <c r="AG13" s="7" t="str">
        <f t="shared" si="2"/>
        <v/>
      </c>
      <c r="AH13" s="7" t="str">
        <f t="shared" si="3"/>
        <v/>
      </c>
      <c r="AI13" s="7" t="str">
        <f t="shared" si="4"/>
        <v/>
      </c>
      <c r="AJ13" s="7" t="str">
        <f t="shared" si="5"/>
        <v/>
      </c>
      <c r="AK13" s="10" t="str">
        <f t="shared" si="6"/>
        <v/>
      </c>
      <c r="AL13" s="15" t="str">
        <f>IF(OR($A13&lt;&gt;"",$B13&lt;&gt;""),IF(OR($A13="",$B13=""),"Isi tanggal dan ID PIC",IF(NOT(ISNUMBER($A13)),"Tanggal harus berupa tanggal Excel",IF(COUNTIFS(Master_PIC!$A$8:$A$73,$B13)&lt;&gt;1,"ID PIC tidak unik/terdaftar",IF(VLOOKUP($B13,Master_PIC!$A$8:$G$73,3,FALSE)&lt;&gt;"SPV","Jabatan tidak sesuai sheet",IF(OR($C13="",$D13="",$E13="",$F13=""),"Lengkapi master PIC",IF(COUNTIFS($A$8:$A$507,$A13,$B$8:$B$507,$B13)&gt;1,"Laporan ganda",IF(COUNTIFS(G13:O13,"Tidak Berlaku")&gt;0,"N/A hanya untuk kegiatan bersyarat",IF(SUM(AF13,AG13,AH13,AI13,AJ13)&lt;&gt;13,"Status kegiatan tidak valid",IF(AJ13&gt;0,"Lengkapi status kegiatan",IF(AND(AI13&gt;0,T13=""),"Isi alasan Tidak Berlaku",IF(AND(SUM(AG13,AH13)&gt;0,OR(T13="",U13="",V13="",W13="")),"Isi kendala dan tindak lanjut",IF(AND(Y13&lt;&gt;"Draft",Y13&lt;&gt;"Dikirim"),"Isi status laporan yang valid",IF(AND(AA13&lt;&gt;"",AA13&lt;&gt;"Belum Diperiksa",AA13&lt;&gt;"Disetujui",AA13&lt;&gt;"Perlu Perbaikan"),"Hasil review tidak valid",IF(AND(Y13="Dikirim",OR(X13="",Z13="")),"Isi bukti dan waktu kirim",IF(AND(AA13="Disetujui",OR(Y13&lt;&gt;"Dikirim",AB13="",AC13="")),"Lengkapi pemeriksaan",IF(AND(AA13="Perlu Perbaikan",OR(AD13="",AB13="",AC13="")),"Isi pemeriksa dan catatan perbaikan","OK")))))))))))))))),"")</f>
        <v/>
      </c>
    </row>
    <row r="14" spans="1:38" ht="24.95" customHeight="1">
      <c r="A14" s="8"/>
      <c r="B14" s="6"/>
      <c r="C14" s="15" t="str">
        <f>IF(COUNTIFS(Master_PIC!$A$8:$A$73,$B14)=1,IF(VLOOKUP($B14,Master_PIC!$A$8:$G$73,2,FALSE)="","",VLOOKUP($B14,Master_PIC!$A$8:$G$73,2,FALSE)),"")</f>
        <v/>
      </c>
      <c r="D14" s="15" t="str">
        <f>IF(COUNTIFS(Master_PIC!$A$8:$A$73,$B14)=1,IF(VLOOKUP($B14,Master_PIC!$A$8:$G$73,4,FALSE)="","",VLOOKUP($B14,Master_PIC!$A$8:$G$73,4,FALSE)),"")</f>
        <v/>
      </c>
      <c r="E14" s="15" t="str">
        <f>IF(COUNTIFS(Master_PIC!$A$8:$A$73,$B14)=1,IF(VLOOKUP($B14,Master_PIC!$A$8:$G$73,5,FALSE)="","",VLOOKUP($B14,Master_PIC!$A$8:$G$73,5,FALSE)),"")</f>
        <v/>
      </c>
      <c r="F14" s="15" t="str">
        <f>IF(COUNTIFS(Master_PIC!$A$8:$A$73,$B14)=1,IF(VLOOKUP($B14,Master_PIC!$A$8:$G$73,6,FALSE)="","",VLOOKUP($B14,Master_PIC!$A$8:$G$73,6,FALSE)),"")</f>
        <v/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8"/>
      <c r="X14" s="5"/>
      <c r="Y14" s="5"/>
      <c r="Z14" s="9"/>
      <c r="AA14" s="5"/>
      <c r="AB14" s="5"/>
      <c r="AC14" s="9"/>
      <c r="AD14" s="5"/>
      <c r="AE14" s="7" t="str">
        <f t="shared" si="0"/>
        <v/>
      </c>
      <c r="AF14" s="7" t="str">
        <f t="shared" si="1"/>
        <v/>
      </c>
      <c r="AG14" s="7" t="str">
        <f t="shared" si="2"/>
        <v/>
      </c>
      <c r="AH14" s="7" t="str">
        <f t="shared" si="3"/>
        <v/>
      </c>
      <c r="AI14" s="7" t="str">
        <f t="shared" si="4"/>
        <v/>
      </c>
      <c r="AJ14" s="7" t="str">
        <f t="shared" si="5"/>
        <v/>
      </c>
      <c r="AK14" s="10" t="str">
        <f t="shared" si="6"/>
        <v/>
      </c>
      <c r="AL14" s="15" t="str">
        <f>IF(OR($A14&lt;&gt;"",$B14&lt;&gt;""),IF(OR($A14="",$B14=""),"Isi tanggal dan ID PIC",IF(NOT(ISNUMBER($A14)),"Tanggal harus berupa tanggal Excel",IF(COUNTIFS(Master_PIC!$A$8:$A$73,$B14)&lt;&gt;1,"ID PIC tidak unik/terdaftar",IF(VLOOKUP($B14,Master_PIC!$A$8:$G$73,3,FALSE)&lt;&gt;"SPV","Jabatan tidak sesuai sheet",IF(OR($C14="",$D14="",$E14="",$F14=""),"Lengkapi master PIC",IF(COUNTIFS($A$8:$A$507,$A14,$B$8:$B$507,$B14)&gt;1,"Laporan ganda",IF(COUNTIFS(G14:O14,"Tidak Berlaku")&gt;0,"N/A hanya untuk kegiatan bersyarat",IF(SUM(AF14,AG14,AH14,AI14,AJ14)&lt;&gt;13,"Status kegiatan tidak valid",IF(AJ14&gt;0,"Lengkapi status kegiatan",IF(AND(AI14&gt;0,T14=""),"Isi alasan Tidak Berlaku",IF(AND(SUM(AG14,AH14)&gt;0,OR(T14="",U14="",V14="",W14="")),"Isi kendala dan tindak lanjut",IF(AND(Y14&lt;&gt;"Draft",Y14&lt;&gt;"Dikirim"),"Isi status laporan yang valid",IF(AND(AA14&lt;&gt;"",AA14&lt;&gt;"Belum Diperiksa",AA14&lt;&gt;"Disetujui",AA14&lt;&gt;"Perlu Perbaikan"),"Hasil review tidak valid",IF(AND(Y14="Dikirim",OR(X14="",Z14="")),"Isi bukti dan waktu kirim",IF(AND(AA14="Disetujui",OR(Y14&lt;&gt;"Dikirim",AB14="",AC14="")),"Lengkapi pemeriksaan",IF(AND(AA14="Perlu Perbaikan",OR(AD14="",AB14="",AC14="")),"Isi pemeriksa dan catatan perbaikan","OK")))))))))))))))),"")</f>
        <v/>
      </c>
    </row>
    <row r="15" spans="1:38" ht="24.95" customHeight="1">
      <c r="A15" s="8"/>
      <c r="B15" s="6"/>
      <c r="C15" s="15" t="str">
        <f>IF(COUNTIFS(Master_PIC!$A$8:$A$73,$B15)=1,IF(VLOOKUP($B15,Master_PIC!$A$8:$G$73,2,FALSE)="","",VLOOKUP($B15,Master_PIC!$A$8:$G$73,2,FALSE)),"")</f>
        <v/>
      </c>
      <c r="D15" s="15" t="str">
        <f>IF(COUNTIFS(Master_PIC!$A$8:$A$73,$B15)=1,IF(VLOOKUP($B15,Master_PIC!$A$8:$G$73,4,FALSE)="","",VLOOKUP($B15,Master_PIC!$A$8:$G$73,4,FALSE)),"")</f>
        <v/>
      </c>
      <c r="E15" s="15" t="str">
        <f>IF(COUNTIFS(Master_PIC!$A$8:$A$73,$B15)=1,IF(VLOOKUP($B15,Master_PIC!$A$8:$G$73,5,FALSE)="","",VLOOKUP($B15,Master_PIC!$A$8:$G$73,5,FALSE)),"")</f>
        <v/>
      </c>
      <c r="F15" s="15" t="str">
        <f>IF(COUNTIFS(Master_PIC!$A$8:$A$73,$B15)=1,IF(VLOOKUP($B15,Master_PIC!$A$8:$G$73,6,FALSE)="","",VLOOKUP($B15,Master_PIC!$A$8:$G$73,6,FALSE)),"")</f>
        <v/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  <c r="X15" s="5"/>
      <c r="Y15" s="5"/>
      <c r="Z15" s="9"/>
      <c r="AA15" s="5"/>
      <c r="AB15" s="5"/>
      <c r="AC15" s="9"/>
      <c r="AD15" s="5"/>
      <c r="AE15" s="7" t="str">
        <f t="shared" si="0"/>
        <v/>
      </c>
      <c r="AF15" s="7" t="str">
        <f t="shared" si="1"/>
        <v/>
      </c>
      <c r="AG15" s="7" t="str">
        <f t="shared" si="2"/>
        <v/>
      </c>
      <c r="AH15" s="7" t="str">
        <f t="shared" si="3"/>
        <v/>
      </c>
      <c r="AI15" s="7" t="str">
        <f t="shared" si="4"/>
        <v/>
      </c>
      <c r="AJ15" s="7" t="str">
        <f t="shared" si="5"/>
        <v/>
      </c>
      <c r="AK15" s="10" t="str">
        <f t="shared" si="6"/>
        <v/>
      </c>
      <c r="AL15" s="15" t="str">
        <f>IF(OR($A15&lt;&gt;"",$B15&lt;&gt;""),IF(OR($A15="",$B15=""),"Isi tanggal dan ID PIC",IF(NOT(ISNUMBER($A15)),"Tanggal harus berupa tanggal Excel",IF(COUNTIFS(Master_PIC!$A$8:$A$73,$B15)&lt;&gt;1,"ID PIC tidak unik/terdaftar",IF(VLOOKUP($B15,Master_PIC!$A$8:$G$73,3,FALSE)&lt;&gt;"SPV","Jabatan tidak sesuai sheet",IF(OR($C15="",$D15="",$E15="",$F15=""),"Lengkapi master PIC",IF(COUNTIFS($A$8:$A$507,$A15,$B$8:$B$507,$B15)&gt;1,"Laporan ganda",IF(COUNTIFS(G15:O15,"Tidak Berlaku")&gt;0,"N/A hanya untuk kegiatan bersyarat",IF(SUM(AF15,AG15,AH15,AI15,AJ15)&lt;&gt;13,"Status kegiatan tidak valid",IF(AJ15&gt;0,"Lengkapi status kegiatan",IF(AND(AI15&gt;0,T15=""),"Isi alasan Tidak Berlaku",IF(AND(SUM(AG15,AH15)&gt;0,OR(T15="",U15="",V15="",W15="")),"Isi kendala dan tindak lanjut",IF(AND(Y15&lt;&gt;"Draft",Y15&lt;&gt;"Dikirim"),"Isi status laporan yang valid",IF(AND(AA15&lt;&gt;"",AA15&lt;&gt;"Belum Diperiksa",AA15&lt;&gt;"Disetujui",AA15&lt;&gt;"Perlu Perbaikan"),"Hasil review tidak valid",IF(AND(Y15="Dikirim",OR(X15="",Z15="")),"Isi bukti dan waktu kirim",IF(AND(AA15="Disetujui",OR(Y15&lt;&gt;"Dikirim",AB15="",AC15="")),"Lengkapi pemeriksaan",IF(AND(AA15="Perlu Perbaikan",OR(AD15="",AB15="",AC15="")),"Isi pemeriksa dan catatan perbaikan","OK")))))))))))))))),"")</f>
        <v/>
      </c>
    </row>
    <row r="16" spans="1:38" ht="24.95" customHeight="1">
      <c r="A16" s="8"/>
      <c r="B16" s="6"/>
      <c r="C16" s="15" t="str">
        <f>IF(COUNTIFS(Master_PIC!$A$8:$A$73,$B16)=1,IF(VLOOKUP($B16,Master_PIC!$A$8:$G$73,2,FALSE)="","",VLOOKUP($B16,Master_PIC!$A$8:$G$73,2,FALSE)),"")</f>
        <v/>
      </c>
      <c r="D16" s="15" t="str">
        <f>IF(COUNTIFS(Master_PIC!$A$8:$A$73,$B16)=1,IF(VLOOKUP($B16,Master_PIC!$A$8:$G$73,4,FALSE)="","",VLOOKUP($B16,Master_PIC!$A$8:$G$73,4,FALSE)),"")</f>
        <v/>
      </c>
      <c r="E16" s="15" t="str">
        <f>IF(COUNTIFS(Master_PIC!$A$8:$A$73,$B16)=1,IF(VLOOKUP($B16,Master_PIC!$A$8:$G$73,5,FALSE)="","",VLOOKUP($B16,Master_PIC!$A$8:$G$73,5,FALSE)),"")</f>
        <v/>
      </c>
      <c r="F16" s="15" t="str">
        <f>IF(COUNTIFS(Master_PIC!$A$8:$A$73,$B16)=1,IF(VLOOKUP($B16,Master_PIC!$A$8:$G$73,6,FALSE)="","",VLOOKUP($B16,Master_PIC!$A$8:$G$73,6,FALSE)),"")</f>
        <v/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  <c r="X16" s="5"/>
      <c r="Y16" s="5"/>
      <c r="Z16" s="9"/>
      <c r="AA16" s="5"/>
      <c r="AB16" s="5"/>
      <c r="AC16" s="9"/>
      <c r="AD16" s="5"/>
      <c r="AE16" s="7" t="str">
        <f t="shared" si="0"/>
        <v/>
      </c>
      <c r="AF16" s="7" t="str">
        <f t="shared" si="1"/>
        <v/>
      </c>
      <c r="AG16" s="7" t="str">
        <f t="shared" si="2"/>
        <v/>
      </c>
      <c r="AH16" s="7" t="str">
        <f t="shared" si="3"/>
        <v/>
      </c>
      <c r="AI16" s="7" t="str">
        <f t="shared" si="4"/>
        <v/>
      </c>
      <c r="AJ16" s="7" t="str">
        <f t="shared" si="5"/>
        <v/>
      </c>
      <c r="AK16" s="10" t="str">
        <f t="shared" si="6"/>
        <v/>
      </c>
      <c r="AL16" s="15" t="str">
        <f>IF(OR($A16&lt;&gt;"",$B16&lt;&gt;""),IF(OR($A16="",$B16=""),"Isi tanggal dan ID PIC",IF(NOT(ISNUMBER($A16)),"Tanggal harus berupa tanggal Excel",IF(COUNTIFS(Master_PIC!$A$8:$A$73,$B16)&lt;&gt;1,"ID PIC tidak unik/terdaftar",IF(VLOOKUP($B16,Master_PIC!$A$8:$G$73,3,FALSE)&lt;&gt;"SPV","Jabatan tidak sesuai sheet",IF(OR($C16="",$D16="",$E16="",$F16=""),"Lengkapi master PIC",IF(COUNTIFS($A$8:$A$507,$A16,$B$8:$B$507,$B16)&gt;1,"Laporan ganda",IF(COUNTIFS(G16:O16,"Tidak Berlaku")&gt;0,"N/A hanya untuk kegiatan bersyarat",IF(SUM(AF16,AG16,AH16,AI16,AJ16)&lt;&gt;13,"Status kegiatan tidak valid",IF(AJ16&gt;0,"Lengkapi status kegiatan",IF(AND(AI16&gt;0,T16=""),"Isi alasan Tidak Berlaku",IF(AND(SUM(AG16,AH16)&gt;0,OR(T16="",U16="",V16="",W16="")),"Isi kendala dan tindak lanjut",IF(AND(Y16&lt;&gt;"Draft",Y16&lt;&gt;"Dikirim"),"Isi status laporan yang valid",IF(AND(AA16&lt;&gt;"",AA16&lt;&gt;"Belum Diperiksa",AA16&lt;&gt;"Disetujui",AA16&lt;&gt;"Perlu Perbaikan"),"Hasil review tidak valid",IF(AND(Y16="Dikirim",OR(X16="",Z16="")),"Isi bukti dan waktu kirim",IF(AND(AA16="Disetujui",OR(Y16&lt;&gt;"Dikirim",AB16="",AC16="")),"Lengkapi pemeriksaan",IF(AND(AA16="Perlu Perbaikan",OR(AD16="",AB16="",AC16="")),"Isi pemeriksa dan catatan perbaikan","OK")))))))))))))))),"")</f>
        <v/>
      </c>
    </row>
    <row r="17" spans="1:38" ht="24.95" customHeight="1">
      <c r="A17" s="8"/>
      <c r="B17" s="6"/>
      <c r="C17" s="15" t="str">
        <f>IF(COUNTIFS(Master_PIC!$A$8:$A$73,$B17)=1,IF(VLOOKUP($B17,Master_PIC!$A$8:$G$73,2,FALSE)="","",VLOOKUP($B17,Master_PIC!$A$8:$G$73,2,FALSE)),"")</f>
        <v/>
      </c>
      <c r="D17" s="15" t="str">
        <f>IF(COUNTIFS(Master_PIC!$A$8:$A$73,$B17)=1,IF(VLOOKUP($B17,Master_PIC!$A$8:$G$73,4,FALSE)="","",VLOOKUP($B17,Master_PIC!$A$8:$G$73,4,FALSE)),"")</f>
        <v/>
      </c>
      <c r="E17" s="15" t="str">
        <f>IF(COUNTIFS(Master_PIC!$A$8:$A$73,$B17)=1,IF(VLOOKUP($B17,Master_PIC!$A$8:$G$73,5,FALSE)="","",VLOOKUP($B17,Master_PIC!$A$8:$G$73,5,FALSE)),"")</f>
        <v/>
      </c>
      <c r="F17" s="15" t="str">
        <f>IF(COUNTIFS(Master_PIC!$A$8:$A$73,$B17)=1,IF(VLOOKUP($B17,Master_PIC!$A$8:$G$73,6,FALSE)="","",VLOOKUP($B17,Master_PIC!$A$8:$G$73,6,FALSE)),"")</f>
        <v/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  <c r="X17" s="5"/>
      <c r="Y17" s="5"/>
      <c r="Z17" s="9"/>
      <c r="AA17" s="5"/>
      <c r="AB17" s="5"/>
      <c r="AC17" s="9"/>
      <c r="AD17" s="5"/>
      <c r="AE17" s="7" t="str">
        <f t="shared" si="0"/>
        <v/>
      </c>
      <c r="AF17" s="7" t="str">
        <f t="shared" si="1"/>
        <v/>
      </c>
      <c r="AG17" s="7" t="str">
        <f t="shared" si="2"/>
        <v/>
      </c>
      <c r="AH17" s="7" t="str">
        <f t="shared" si="3"/>
        <v/>
      </c>
      <c r="AI17" s="7" t="str">
        <f t="shared" si="4"/>
        <v/>
      </c>
      <c r="AJ17" s="7" t="str">
        <f t="shared" si="5"/>
        <v/>
      </c>
      <c r="AK17" s="10" t="str">
        <f t="shared" si="6"/>
        <v/>
      </c>
      <c r="AL17" s="15" t="str">
        <f>IF(OR($A17&lt;&gt;"",$B17&lt;&gt;""),IF(OR($A17="",$B17=""),"Isi tanggal dan ID PIC",IF(NOT(ISNUMBER($A17)),"Tanggal harus berupa tanggal Excel",IF(COUNTIFS(Master_PIC!$A$8:$A$73,$B17)&lt;&gt;1,"ID PIC tidak unik/terdaftar",IF(VLOOKUP($B17,Master_PIC!$A$8:$G$73,3,FALSE)&lt;&gt;"SPV","Jabatan tidak sesuai sheet",IF(OR($C17="",$D17="",$E17="",$F17=""),"Lengkapi master PIC",IF(COUNTIFS($A$8:$A$507,$A17,$B$8:$B$507,$B17)&gt;1,"Laporan ganda",IF(COUNTIFS(G17:O17,"Tidak Berlaku")&gt;0,"N/A hanya untuk kegiatan bersyarat",IF(SUM(AF17,AG17,AH17,AI17,AJ17)&lt;&gt;13,"Status kegiatan tidak valid",IF(AJ17&gt;0,"Lengkapi status kegiatan",IF(AND(AI17&gt;0,T17=""),"Isi alasan Tidak Berlaku",IF(AND(SUM(AG17,AH17)&gt;0,OR(T17="",U17="",V17="",W17="")),"Isi kendala dan tindak lanjut",IF(AND(Y17&lt;&gt;"Draft",Y17&lt;&gt;"Dikirim"),"Isi status laporan yang valid",IF(AND(AA17&lt;&gt;"",AA17&lt;&gt;"Belum Diperiksa",AA17&lt;&gt;"Disetujui",AA17&lt;&gt;"Perlu Perbaikan"),"Hasil review tidak valid",IF(AND(Y17="Dikirim",OR(X17="",Z17="")),"Isi bukti dan waktu kirim",IF(AND(AA17="Disetujui",OR(Y17&lt;&gt;"Dikirim",AB17="",AC17="")),"Lengkapi pemeriksaan",IF(AND(AA17="Perlu Perbaikan",OR(AD17="",AB17="",AC17="")),"Isi pemeriksa dan catatan perbaikan","OK")))))))))))))))),"")</f>
        <v/>
      </c>
    </row>
    <row r="18" spans="1:38" ht="24.95" customHeight="1">
      <c r="A18" s="8"/>
      <c r="B18" s="6"/>
      <c r="C18" s="15" t="str">
        <f>IF(COUNTIFS(Master_PIC!$A$8:$A$73,$B18)=1,IF(VLOOKUP($B18,Master_PIC!$A$8:$G$73,2,FALSE)="","",VLOOKUP($B18,Master_PIC!$A$8:$G$73,2,FALSE)),"")</f>
        <v/>
      </c>
      <c r="D18" s="15" t="str">
        <f>IF(COUNTIFS(Master_PIC!$A$8:$A$73,$B18)=1,IF(VLOOKUP($B18,Master_PIC!$A$8:$G$73,4,FALSE)="","",VLOOKUP($B18,Master_PIC!$A$8:$G$73,4,FALSE)),"")</f>
        <v/>
      </c>
      <c r="E18" s="15" t="str">
        <f>IF(COUNTIFS(Master_PIC!$A$8:$A$73,$B18)=1,IF(VLOOKUP($B18,Master_PIC!$A$8:$G$73,5,FALSE)="","",VLOOKUP($B18,Master_PIC!$A$8:$G$73,5,FALSE)),"")</f>
        <v/>
      </c>
      <c r="F18" s="15" t="str">
        <f>IF(COUNTIFS(Master_PIC!$A$8:$A$73,$B18)=1,IF(VLOOKUP($B18,Master_PIC!$A$8:$G$73,6,FALSE)="","",VLOOKUP($B18,Master_PIC!$A$8:$G$73,6,FALSE)),"")</f>
        <v/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8"/>
      <c r="X18" s="5"/>
      <c r="Y18" s="5"/>
      <c r="Z18" s="9"/>
      <c r="AA18" s="5"/>
      <c r="AB18" s="5"/>
      <c r="AC18" s="9"/>
      <c r="AD18" s="5"/>
      <c r="AE18" s="7" t="str">
        <f t="shared" si="0"/>
        <v/>
      </c>
      <c r="AF18" s="7" t="str">
        <f t="shared" si="1"/>
        <v/>
      </c>
      <c r="AG18" s="7" t="str">
        <f t="shared" si="2"/>
        <v/>
      </c>
      <c r="AH18" s="7" t="str">
        <f t="shared" si="3"/>
        <v/>
      </c>
      <c r="AI18" s="7" t="str">
        <f t="shared" si="4"/>
        <v/>
      </c>
      <c r="AJ18" s="7" t="str">
        <f t="shared" si="5"/>
        <v/>
      </c>
      <c r="AK18" s="10" t="str">
        <f t="shared" si="6"/>
        <v/>
      </c>
      <c r="AL18" s="15" t="str">
        <f>IF(OR($A18&lt;&gt;"",$B18&lt;&gt;""),IF(OR($A18="",$B18=""),"Isi tanggal dan ID PIC",IF(NOT(ISNUMBER($A18)),"Tanggal harus berupa tanggal Excel",IF(COUNTIFS(Master_PIC!$A$8:$A$73,$B18)&lt;&gt;1,"ID PIC tidak unik/terdaftar",IF(VLOOKUP($B18,Master_PIC!$A$8:$G$73,3,FALSE)&lt;&gt;"SPV","Jabatan tidak sesuai sheet",IF(OR($C18="",$D18="",$E18="",$F18=""),"Lengkapi master PIC",IF(COUNTIFS($A$8:$A$507,$A18,$B$8:$B$507,$B18)&gt;1,"Laporan ganda",IF(COUNTIFS(G18:O18,"Tidak Berlaku")&gt;0,"N/A hanya untuk kegiatan bersyarat",IF(SUM(AF18,AG18,AH18,AI18,AJ18)&lt;&gt;13,"Status kegiatan tidak valid",IF(AJ18&gt;0,"Lengkapi status kegiatan",IF(AND(AI18&gt;0,T18=""),"Isi alasan Tidak Berlaku",IF(AND(SUM(AG18,AH18)&gt;0,OR(T18="",U18="",V18="",W18="")),"Isi kendala dan tindak lanjut",IF(AND(Y18&lt;&gt;"Draft",Y18&lt;&gt;"Dikirim"),"Isi status laporan yang valid",IF(AND(AA18&lt;&gt;"",AA18&lt;&gt;"Belum Diperiksa",AA18&lt;&gt;"Disetujui",AA18&lt;&gt;"Perlu Perbaikan"),"Hasil review tidak valid",IF(AND(Y18="Dikirim",OR(X18="",Z18="")),"Isi bukti dan waktu kirim",IF(AND(AA18="Disetujui",OR(Y18&lt;&gt;"Dikirim",AB18="",AC18="")),"Lengkapi pemeriksaan",IF(AND(AA18="Perlu Perbaikan",OR(AD18="",AB18="",AC18="")),"Isi pemeriksa dan catatan perbaikan","OK")))))))))))))))),"")</f>
        <v/>
      </c>
    </row>
    <row r="19" spans="1:38" ht="24.95" customHeight="1">
      <c r="A19" s="8"/>
      <c r="B19" s="6"/>
      <c r="C19" s="15" t="str">
        <f>IF(COUNTIFS(Master_PIC!$A$8:$A$73,$B19)=1,IF(VLOOKUP($B19,Master_PIC!$A$8:$G$73,2,FALSE)="","",VLOOKUP($B19,Master_PIC!$A$8:$G$73,2,FALSE)),"")</f>
        <v/>
      </c>
      <c r="D19" s="15" t="str">
        <f>IF(COUNTIFS(Master_PIC!$A$8:$A$73,$B19)=1,IF(VLOOKUP($B19,Master_PIC!$A$8:$G$73,4,FALSE)="","",VLOOKUP($B19,Master_PIC!$A$8:$G$73,4,FALSE)),"")</f>
        <v/>
      </c>
      <c r="E19" s="15" t="str">
        <f>IF(COUNTIFS(Master_PIC!$A$8:$A$73,$B19)=1,IF(VLOOKUP($B19,Master_PIC!$A$8:$G$73,5,FALSE)="","",VLOOKUP($B19,Master_PIC!$A$8:$G$73,5,FALSE)),"")</f>
        <v/>
      </c>
      <c r="F19" s="15" t="str">
        <f>IF(COUNTIFS(Master_PIC!$A$8:$A$73,$B19)=1,IF(VLOOKUP($B19,Master_PIC!$A$8:$G$73,6,FALSE)="","",VLOOKUP($B19,Master_PIC!$A$8:$G$73,6,FALSE)),"")</f>
        <v/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  <c r="X19" s="5"/>
      <c r="Y19" s="5"/>
      <c r="Z19" s="9"/>
      <c r="AA19" s="5"/>
      <c r="AB19" s="5"/>
      <c r="AC19" s="9"/>
      <c r="AD19" s="5"/>
      <c r="AE19" s="7" t="str">
        <f t="shared" si="0"/>
        <v/>
      </c>
      <c r="AF19" s="7" t="str">
        <f t="shared" si="1"/>
        <v/>
      </c>
      <c r="AG19" s="7" t="str">
        <f t="shared" si="2"/>
        <v/>
      </c>
      <c r="AH19" s="7" t="str">
        <f t="shared" si="3"/>
        <v/>
      </c>
      <c r="AI19" s="7" t="str">
        <f t="shared" si="4"/>
        <v/>
      </c>
      <c r="AJ19" s="7" t="str">
        <f t="shared" si="5"/>
        <v/>
      </c>
      <c r="AK19" s="10" t="str">
        <f t="shared" si="6"/>
        <v/>
      </c>
      <c r="AL19" s="15" t="str">
        <f>IF(OR($A19&lt;&gt;"",$B19&lt;&gt;""),IF(OR($A19="",$B19=""),"Isi tanggal dan ID PIC",IF(NOT(ISNUMBER($A19)),"Tanggal harus berupa tanggal Excel",IF(COUNTIFS(Master_PIC!$A$8:$A$73,$B19)&lt;&gt;1,"ID PIC tidak unik/terdaftar",IF(VLOOKUP($B19,Master_PIC!$A$8:$G$73,3,FALSE)&lt;&gt;"SPV","Jabatan tidak sesuai sheet",IF(OR($C19="",$D19="",$E19="",$F19=""),"Lengkapi master PIC",IF(COUNTIFS($A$8:$A$507,$A19,$B$8:$B$507,$B19)&gt;1,"Laporan ganda",IF(COUNTIFS(G19:O19,"Tidak Berlaku")&gt;0,"N/A hanya untuk kegiatan bersyarat",IF(SUM(AF19,AG19,AH19,AI19,AJ19)&lt;&gt;13,"Status kegiatan tidak valid",IF(AJ19&gt;0,"Lengkapi status kegiatan",IF(AND(AI19&gt;0,T19=""),"Isi alasan Tidak Berlaku",IF(AND(SUM(AG19,AH19)&gt;0,OR(T19="",U19="",V19="",W19="")),"Isi kendala dan tindak lanjut",IF(AND(Y19&lt;&gt;"Draft",Y19&lt;&gt;"Dikirim"),"Isi status laporan yang valid",IF(AND(AA19&lt;&gt;"",AA19&lt;&gt;"Belum Diperiksa",AA19&lt;&gt;"Disetujui",AA19&lt;&gt;"Perlu Perbaikan"),"Hasil review tidak valid",IF(AND(Y19="Dikirim",OR(X19="",Z19="")),"Isi bukti dan waktu kirim",IF(AND(AA19="Disetujui",OR(Y19&lt;&gt;"Dikirim",AB19="",AC19="")),"Lengkapi pemeriksaan",IF(AND(AA19="Perlu Perbaikan",OR(AD19="",AB19="",AC19="")),"Isi pemeriksa dan catatan perbaikan","OK")))))))))))))))),"")</f>
        <v/>
      </c>
    </row>
    <row r="20" spans="1:38" ht="24.95" customHeight="1">
      <c r="A20" s="8"/>
      <c r="B20" s="6"/>
      <c r="C20" s="15" t="str">
        <f>IF(COUNTIFS(Master_PIC!$A$8:$A$73,$B20)=1,IF(VLOOKUP($B20,Master_PIC!$A$8:$G$73,2,FALSE)="","",VLOOKUP($B20,Master_PIC!$A$8:$G$73,2,FALSE)),"")</f>
        <v/>
      </c>
      <c r="D20" s="15" t="str">
        <f>IF(COUNTIFS(Master_PIC!$A$8:$A$73,$B20)=1,IF(VLOOKUP($B20,Master_PIC!$A$8:$G$73,4,FALSE)="","",VLOOKUP($B20,Master_PIC!$A$8:$G$73,4,FALSE)),"")</f>
        <v/>
      </c>
      <c r="E20" s="15" t="str">
        <f>IF(COUNTIFS(Master_PIC!$A$8:$A$73,$B20)=1,IF(VLOOKUP($B20,Master_PIC!$A$8:$G$73,5,FALSE)="","",VLOOKUP($B20,Master_PIC!$A$8:$G$73,5,FALSE)),"")</f>
        <v/>
      </c>
      <c r="F20" s="15" t="str">
        <f>IF(COUNTIFS(Master_PIC!$A$8:$A$73,$B20)=1,IF(VLOOKUP($B20,Master_PIC!$A$8:$G$73,6,FALSE)="","",VLOOKUP($B20,Master_PIC!$A$8:$G$73,6,FALSE)),"")</f>
        <v/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  <c r="X20" s="5"/>
      <c r="Y20" s="5"/>
      <c r="Z20" s="9"/>
      <c r="AA20" s="5"/>
      <c r="AB20" s="5"/>
      <c r="AC20" s="9"/>
      <c r="AD20" s="5"/>
      <c r="AE20" s="7" t="str">
        <f t="shared" si="0"/>
        <v/>
      </c>
      <c r="AF20" s="7" t="str">
        <f t="shared" si="1"/>
        <v/>
      </c>
      <c r="AG20" s="7" t="str">
        <f t="shared" si="2"/>
        <v/>
      </c>
      <c r="AH20" s="7" t="str">
        <f t="shared" si="3"/>
        <v/>
      </c>
      <c r="AI20" s="7" t="str">
        <f t="shared" si="4"/>
        <v/>
      </c>
      <c r="AJ20" s="7" t="str">
        <f t="shared" si="5"/>
        <v/>
      </c>
      <c r="AK20" s="10" t="str">
        <f t="shared" si="6"/>
        <v/>
      </c>
      <c r="AL20" s="15" t="str">
        <f>IF(OR($A20&lt;&gt;"",$B20&lt;&gt;""),IF(OR($A20="",$B20=""),"Isi tanggal dan ID PIC",IF(NOT(ISNUMBER($A20)),"Tanggal harus berupa tanggal Excel",IF(COUNTIFS(Master_PIC!$A$8:$A$73,$B20)&lt;&gt;1,"ID PIC tidak unik/terdaftar",IF(VLOOKUP($B20,Master_PIC!$A$8:$G$73,3,FALSE)&lt;&gt;"SPV","Jabatan tidak sesuai sheet",IF(OR($C20="",$D20="",$E20="",$F20=""),"Lengkapi master PIC",IF(COUNTIFS($A$8:$A$507,$A20,$B$8:$B$507,$B20)&gt;1,"Laporan ganda",IF(COUNTIFS(G20:O20,"Tidak Berlaku")&gt;0,"N/A hanya untuk kegiatan bersyarat",IF(SUM(AF20,AG20,AH20,AI20,AJ20)&lt;&gt;13,"Status kegiatan tidak valid",IF(AJ20&gt;0,"Lengkapi status kegiatan",IF(AND(AI20&gt;0,T20=""),"Isi alasan Tidak Berlaku",IF(AND(SUM(AG20,AH20)&gt;0,OR(T20="",U20="",V20="",W20="")),"Isi kendala dan tindak lanjut",IF(AND(Y20&lt;&gt;"Draft",Y20&lt;&gt;"Dikirim"),"Isi status laporan yang valid",IF(AND(AA20&lt;&gt;"",AA20&lt;&gt;"Belum Diperiksa",AA20&lt;&gt;"Disetujui",AA20&lt;&gt;"Perlu Perbaikan"),"Hasil review tidak valid",IF(AND(Y20="Dikirim",OR(X20="",Z20="")),"Isi bukti dan waktu kirim",IF(AND(AA20="Disetujui",OR(Y20&lt;&gt;"Dikirim",AB20="",AC20="")),"Lengkapi pemeriksaan",IF(AND(AA20="Perlu Perbaikan",OR(AD20="",AB20="",AC20="")),"Isi pemeriksa dan catatan perbaikan","OK")))))))))))))))),"")</f>
        <v/>
      </c>
    </row>
    <row r="21" spans="1:38" ht="24.95" customHeight="1">
      <c r="A21" s="8"/>
      <c r="B21" s="6"/>
      <c r="C21" s="15" t="str">
        <f>IF(COUNTIFS(Master_PIC!$A$8:$A$73,$B21)=1,IF(VLOOKUP($B21,Master_PIC!$A$8:$G$73,2,FALSE)="","",VLOOKUP($B21,Master_PIC!$A$8:$G$73,2,FALSE)),"")</f>
        <v/>
      </c>
      <c r="D21" s="15" t="str">
        <f>IF(COUNTIFS(Master_PIC!$A$8:$A$73,$B21)=1,IF(VLOOKUP($B21,Master_PIC!$A$8:$G$73,4,FALSE)="","",VLOOKUP($B21,Master_PIC!$A$8:$G$73,4,FALSE)),"")</f>
        <v/>
      </c>
      <c r="E21" s="15" t="str">
        <f>IF(COUNTIFS(Master_PIC!$A$8:$A$73,$B21)=1,IF(VLOOKUP($B21,Master_PIC!$A$8:$G$73,5,FALSE)="","",VLOOKUP($B21,Master_PIC!$A$8:$G$73,5,FALSE)),"")</f>
        <v/>
      </c>
      <c r="F21" s="15" t="str">
        <f>IF(COUNTIFS(Master_PIC!$A$8:$A$73,$B21)=1,IF(VLOOKUP($B21,Master_PIC!$A$8:$G$73,6,FALSE)="","",VLOOKUP($B21,Master_PIC!$A$8:$G$73,6,FALSE)),"")</f>
        <v/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  <c r="X21" s="5"/>
      <c r="Y21" s="5"/>
      <c r="Z21" s="9"/>
      <c r="AA21" s="5"/>
      <c r="AB21" s="5"/>
      <c r="AC21" s="9"/>
      <c r="AD21" s="5"/>
      <c r="AE21" s="7" t="str">
        <f t="shared" si="0"/>
        <v/>
      </c>
      <c r="AF21" s="7" t="str">
        <f t="shared" si="1"/>
        <v/>
      </c>
      <c r="AG21" s="7" t="str">
        <f t="shared" si="2"/>
        <v/>
      </c>
      <c r="AH21" s="7" t="str">
        <f t="shared" si="3"/>
        <v/>
      </c>
      <c r="AI21" s="7" t="str">
        <f t="shared" si="4"/>
        <v/>
      </c>
      <c r="AJ21" s="7" t="str">
        <f t="shared" si="5"/>
        <v/>
      </c>
      <c r="AK21" s="10" t="str">
        <f t="shared" si="6"/>
        <v/>
      </c>
      <c r="AL21" s="15" t="str">
        <f>IF(OR($A21&lt;&gt;"",$B21&lt;&gt;""),IF(OR($A21="",$B21=""),"Isi tanggal dan ID PIC",IF(NOT(ISNUMBER($A21)),"Tanggal harus berupa tanggal Excel",IF(COUNTIFS(Master_PIC!$A$8:$A$73,$B21)&lt;&gt;1,"ID PIC tidak unik/terdaftar",IF(VLOOKUP($B21,Master_PIC!$A$8:$G$73,3,FALSE)&lt;&gt;"SPV","Jabatan tidak sesuai sheet",IF(OR($C21="",$D21="",$E21="",$F21=""),"Lengkapi master PIC",IF(COUNTIFS($A$8:$A$507,$A21,$B$8:$B$507,$B21)&gt;1,"Laporan ganda",IF(COUNTIFS(G21:O21,"Tidak Berlaku")&gt;0,"N/A hanya untuk kegiatan bersyarat",IF(SUM(AF21,AG21,AH21,AI21,AJ21)&lt;&gt;13,"Status kegiatan tidak valid",IF(AJ21&gt;0,"Lengkapi status kegiatan",IF(AND(AI21&gt;0,T21=""),"Isi alasan Tidak Berlaku",IF(AND(SUM(AG21,AH21)&gt;0,OR(T21="",U21="",V21="",W21="")),"Isi kendala dan tindak lanjut",IF(AND(Y21&lt;&gt;"Draft",Y21&lt;&gt;"Dikirim"),"Isi status laporan yang valid",IF(AND(AA21&lt;&gt;"",AA21&lt;&gt;"Belum Diperiksa",AA21&lt;&gt;"Disetujui",AA21&lt;&gt;"Perlu Perbaikan"),"Hasil review tidak valid",IF(AND(Y21="Dikirim",OR(X21="",Z21="")),"Isi bukti dan waktu kirim",IF(AND(AA21="Disetujui",OR(Y21&lt;&gt;"Dikirim",AB21="",AC21="")),"Lengkapi pemeriksaan",IF(AND(AA21="Perlu Perbaikan",OR(AD21="",AB21="",AC21="")),"Isi pemeriksa dan catatan perbaikan","OK")))))))))))))))),"")</f>
        <v/>
      </c>
    </row>
    <row r="22" spans="1:38" ht="24.95" customHeight="1">
      <c r="A22" s="8"/>
      <c r="B22" s="6"/>
      <c r="C22" s="15" t="str">
        <f>IF(COUNTIFS(Master_PIC!$A$8:$A$73,$B22)=1,IF(VLOOKUP($B22,Master_PIC!$A$8:$G$73,2,FALSE)="","",VLOOKUP($B22,Master_PIC!$A$8:$G$73,2,FALSE)),"")</f>
        <v/>
      </c>
      <c r="D22" s="15" t="str">
        <f>IF(COUNTIFS(Master_PIC!$A$8:$A$73,$B22)=1,IF(VLOOKUP($B22,Master_PIC!$A$8:$G$73,4,FALSE)="","",VLOOKUP($B22,Master_PIC!$A$8:$G$73,4,FALSE)),"")</f>
        <v/>
      </c>
      <c r="E22" s="15" t="str">
        <f>IF(COUNTIFS(Master_PIC!$A$8:$A$73,$B22)=1,IF(VLOOKUP($B22,Master_PIC!$A$8:$G$73,5,FALSE)="","",VLOOKUP($B22,Master_PIC!$A$8:$G$73,5,FALSE)),"")</f>
        <v/>
      </c>
      <c r="F22" s="15" t="str">
        <f>IF(COUNTIFS(Master_PIC!$A$8:$A$73,$B22)=1,IF(VLOOKUP($B22,Master_PIC!$A$8:$G$73,6,FALSE)="","",VLOOKUP($B22,Master_PIC!$A$8:$G$73,6,FALSE)),"")</f>
        <v/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  <c r="X22" s="5"/>
      <c r="Y22" s="5"/>
      <c r="Z22" s="9"/>
      <c r="AA22" s="5"/>
      <c r="AB22" s="5"/>
      <c r="AC22" s="9"/>
      <c r="AD22" s="5"/>
      <c r="AE22" s="7" t="str">
        <f t="shared" si="0"/>
        <v/>
      </c>
      <c r="AF22" s="7" t="str">
        <f t="shared" si="1"/>
        <v/>
      </c>
      <c r="AG22" s="7" t="str">
        <f t="shared" si="2"/>
        <v/>
      </c>
      <c r="AH22" s="7" t="str">
        <f t="shared" si="3"/>
        <v/>
      </c>
      <c r="AI22" s="7" t="str">
        <f t="shared" si="4"/>
        <v/>
      </c>
      <c r="AJ22" s="7" t="str">
        <f t="shared" si="5"/>
        <v/>
      </c>
      <c r="AK22" s="10" t="str">
        <f t="shared" si="6"/>
        <v/>
      </c>
      <c r="AL22" s="15" t="str">
        <f>IF(OR($A22&lt;&gt;"",$B22&lt;&gt;""),IF(OR($A22="",$B22=""),"Isi tanggal dan ID PIC",IF(NOT(ISNUMBER($A22)),"Tanggal harus berupa tanggal Excel",IF(COUNTIFS(Master_PIC!$A$8:$A$73,$B22)&lt;&gt;1,"ID PIC tidak unik/terdaftar",IF(VLOOKUP($B22,Master_PIC!$A$8:$G$73,3,FALSE)&lt;&gt;"SPV","Jabatan tidak sesuai sheet",IF(OR($C22="",$D22="",$E22="",$F22=""),"Lengkapi master PIC",IF(COUNTIFS($A$8:$A$507,$A22,$B$8:$B$507,$B22)&gt;1,"Laporan ganda",IF(COUNTIFS(G22:O22,"Tidak Berlaku")&gt;0,"N/A hanya untuk kegiatan bersyarat",IF(SUM(AF22,AG22,AH22,AI22,AJ22)&lt;&gt;13,"Status kegiatan tidak valid",IF(AJ22&gt;0,"Lengkapi status kegiatan",IF(AND(AI22&gt;0,T22=""),"Isi alasan Tidak Berlaku",IF(AND(SUM(AG22,AH22)&gt;0,OR(T22="",U22="",V22="",W22="")),"Isi kendala dan tindak lanjut",IF(AND(Y22&lt;&gt;"Draft",Y22&lt;&gt;"Dikirim"),"Isi status laporan yang valid",IF(AND(AA22&lt;&gt;"",AA22&lt;&gt;"Belum Diperiksa",AA22&lt;&gt;"Disetujui",AA22&lt;&gt;"Perlu Perbaikan"),"Hasil review tidak valid",IF(AND(Y22="Dikirim",OR(X22="",Z22="")),"Isi bukti dan waktu kirim",IF(AND(AA22="Disetujui",OR(Y22&lt;&gt;"Dikirim",AB22="",AC22="")),"Lengkapi pemeriksaan",IF(AND(AA22="Perlu Perbaikan",OR(AD22="",AB22="",AC22="")),"Isi pemeriksa dan catatan perbaikan","OK")))))))))))))))),"")</f>
        <v/>
      </c>
    </row>
    <row r="23" spans="1:38" ht="24.95" customHeight="1">
      <c r="A23" s="8"/>
      <c r="B23" s="6"/>
      <c r="C23" s="15" t="str">
        <f>IF(COUNTIFS(Master_PIC!$A$8:$A$73,$B23)=1,IF(VLOOKUP($B23,Master_PIC!$A$8:$G$73,2,FALSE)="","",VLOOKUP($B23,Master_PIC!$A$8:$G$73,2,FALSE)),"")</f>
        <v/>
      </c>
      <c r="D23" s="15" t="str">
        <f>IF(COUNTIFS(Master_PIC!$A$8:$A$73,$B23)=1,IF(VLOOKUP($B23,Master_PIC!$A$8:$G$73,4,FALSE)="","",VLOOKUP($B23,Master_PIC!$A$8:$G$73,4,FALSE)),"")</f>
        <v/>
      </c>
      <c r="E23" s="15" t="str">
        <f>IF(COUNTIFS(Master_PIC!$A$8:$A$73,$B23)=1,IF(VLOOKUP($B23,Master_PIC!$A$8:$G$73,5,FALSE)="","",VLOOKUP($B23,Master_PIC!$A$8:$G$73,5,FALSE)),"")</f>
        <v/>
      </c>
      <c r="F23" s="15" t="str">
        <f>IF(COUNTIFS(Master_PIC!$A$8:$A$73,$B23)=1,IF(VLOOKUP($B23,Master_PIC!$A$8:$G$73,6,FALSE)="","",VLOOKUP($B23,Master_PIC!$A$8:$G$73,6,FALSE)),"")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  <c r="X23" s="5"/>
      <c r="Y23" s="5"/>
      <c r="Z23" s="9"/>
      <c r="AA23" s="5"/>
      <c r="AB23" s="5"/>
      <c r="AC23" s="9"/>
      <c r="AD23" s="5"/>
      <c r="AE23" s="7" t="str">
        <f t="shared" si="0"/>
        <v/>
      </c>
      <c r="AF23" s="7" t="str">
        <f t="shared" si="1"/>
        <v/>
      </c>
      <c r="AG23" s="7" t="str">
        <f t="shared" si="2"/>
        <v/>
      </c>
      <c r="AH23" s="7" t="str">
        <f t="shared" si="3"/>
        <v/>
      </c>
      <c r="AI23" s="7" t="str">
        <f t="shared" si="4"/>
        <v/>
      </c>
      <c r="AJ23" s="7" t="str">
        <f t="shared" si="5"/>
        <v/>
      </c>
      <c r="AK23" s="10" t="str">
        <f t="shared" si="6"/>
        <v/>
      </c>
      <c r="AL23" s="15" t="str">
        <f>IF(OR($A23&lt;&gt;"",$B23&lt;&gt;""),IF(OR($A23="",$B23=""),"Isi tanggal dan ID PIC",IF(NOT(ISNUMBER($A23)),"Tanggal harus berupa tanggal Excel",IF(COUNTIFS(Master_PIC!$A$8:$A$73,$B23)&lt;&gt;1,"ID PIC tidak unik/terdaftar",IF(VLOOKUP($B23,Master_PIC!$A$8:$G$73,3,FALSE)&lt;&gt;"SPV","Jabatan tidak sesuai sheet",IF(OR($C23="",$D23="",$E23="",$F23=""),"Lengkapi master PIC",IF(COUNTIFS($A$8:$A$507,$A23,$B$8:$B$507,$B23)&gt;1,"Laporan ganda",IF(COUNTIFS(G23:O23,"Tidak Berlaku")&gt;0,"N/A hanya untuk kegiatan bersyarat",IF(SUM(AF23,AG23,AH23,AI23,AJ23)&lt;&gt;13,"Status kegiatan tidak valid",IF(AJ23&gt;0,"Lengkapi status kegiatan",IF(AND(AI23&gt;0,T23=""),"Isi alasan Tidak Berlaku",IF(AND(SUM(AG23,AH23)&gt;0,OR(T23="",U23="",V23="",W23="")),"Isi kendala dan tindak lanjut",IF(AND(Y23&lt;&gt;"Draft",Y23&lt;&gt;"Dikirim"),"Isi status laporan yang valid",IF(AND(AA23&lt;&gt;"",AA23&lt;&gt;"Belum Diperiksa",AA23&lt;&gt;"Disetujui",AA23&lt;&gt;"Perlu Perbaikan"),"Hasil review tidak valid",IF(AND(Y23="Dikirim",OR(X23="",Z23="")),"Isi bukti dan waktu kirim",IF(AND(AA23="Disetujui",OR(Y23&lt;&gt;"Dikirim",AB23="",AC23="")),"Lengkapi pemeriksaan",IF(AND(AA23="Perlu Perbaikan",OR(AD23="",AB23="",AC23="")),"Isi pemeriksa dan catatan perbaikan","OK")))))))))))))))),"")</f>
        <v/>
      </c>
    </row>
    <row r="24" spans="1:38" ht="24.95" customHeight="1">
      <c r="A24" s="8"/>
      <c r="B24" s="6"/>
      <c r="C24" s="15" t="str">
        <f>IF(COUNTIFS(Master_PIC!$A$8:$A$73,$B24)=1,IF(VLOOKUP($B24,Master_PIC!$A$8:$G$73,2,FALSE)="","",VLOOKUP($B24,Master_PIC!$A$8:$G$73,2,FALSE)),"")</f>
        <v/>
      </c>
      <c r="D24" s="15" t="str">
        <f>IF(COUNTIFS(Master_PIC!$A$8:$A$73,$B24)=1,IF(VLOOKUP($B24,Master_PIC!$A$8:$G$73,4,FALSE)="","",VLOOKUP($B24,Master_PIC!$A$8:$G$73,4,FALSE)),"")</f>
        <v/>
      </c>
      <c r="E24" s="15" t="str">
        <f>IF(COUNTIFS(Master_PIC!$A$8:$A$73,$B24)=1,IF(VLOOKUP($B24,Master_PIC!$A$8:$G$73,5,FALSE)="","",VLOOKUP($B24,Master_PIC!$A$8:$G$73,5,FALSE)),"")</f>
        <v/>
      </c>
      <c r="F24" s="15" t="str">
        <f>IF(COUNTIFS(Master_PIC!$A$8:$A$73,$B24)=1,IF(VLOOKUP($B24,Master_PIC!$A$8:$G$73,6,FALSE)="","",VLOOKUP($B24,Master_PIC!$A$8:$G$73,6,FALSE)),"")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8"/>
      <c r="X24" s="5"/>
      <c r="Y24" s="5"/>
      <c r="Z24" s="9"/>
      <c r="AA24" s="5"/>
      <c r="AB24" s="5"/>
      <c r="AC24" s="9"/>
      <c r="AD24" s="5"/>
      <c r="AE24" s="7" t="str">
        <f t="shared" si="0"/>
        <v/>
      </c>
      <c r="AF24" s="7" t="str">
        <f t="shared" si="1"/>
        <v/>
      </c>
      <c r="AG24" s="7" t="str">
        <f t="shared" si="2"/>
        <v/>
      </c>
      <c r="AH24" s="7" t="str">
        <f t="shared" si="3"/>
        <v/>
      </c>
      <c r="AI24" s="7" t="str">
        <f t="shared" si="4"/>
        <v/>
      </c>
      <c r="AJ24" s="7" t="str">
        <f t="shared" si="5"/>
        <v/>
      </c>
      <c r="AK24" s="10" t="str">
        <f t="shared" si="6"/>
        <v/>
      </c>
      <c r="AL24" s="15" t="str">
        <f>IF(OR($A24&lt;&gt;"",$B24&lt;&gt;""),IF(OR($A24="",$B24=""),"Isi tanggal dan ID PIC",IF(NOT(ISNUMBER($A24)),"Tanggal harus berupa tanggal Excel",IF(COUNTIFS(Master_PIC!$A$8:$A$73,$B24)&lt;&gt;1,"ID PIC tidak unik/terdaftar",IF(VLOOKUP($B24,Master_PIC!$A$8:$G$73,3,FALSE)&lt;&gt;"SPV","Jabatan tidak sesuai sheet",IF(OR($C24="",$D24="",$E24="",$F24=""),"Lengkapi master PIC",IF(COUNTIFS($A$8:$A$507,$A24,$B$8:$B$507,$B24)&gt;1,"Laporan ganda",IF(COUNTIFS(G24:O24,"Tidak Berlaku")&gt;0,"N/A hanya untuk kegiatan bersyarat",IF(SUM(AF24,AG24,AH24,AI24,AJ24)&lt;&gt;13,"Status kegiatan tidak valid",IF(AJ24&gt;0,"Lengkapi status kegiatan",IF(AND(AI24&gt;0,T24=""),"Isi alasan Tidak Berlaku",IF(AND(SUM(AG24,AH24)&gt;0,OR(T24="",U24="",V24="",W24="")),"Isi kendala dan tindak lanjut",IF(AND(Y24&lt;&gt;"Draft",Y24&lt;&gt;"Dikirim"),"Isi status laporan yang valid",IF(AND(AA24&lt;&gt;"",AA24&lt;&gt;"Belum Diperiksa",AA24&lt;&gt;"Disetujui",AA24&lt;&gt;"Perlu Perbaikan"),"Hasil review tidak valid",IF(AND(Y24="Dikirim",OR(X24="",Z24="")),"Isi bukti dan waktu kirim",IF(AND(AA24="Disetujui",OR(Y24&lt;&gt;"Dikirim",AB24="",AC24="")),"Lengkapi pemeriksaan",IF(AND(AA24="Perlu Perbaikan",OR(AD24="",AB24="",AC24="")),"Isi pemeriksa dan catatan perbaikan","OK")))))))))))))))),"")</f>
        <v/>
      </c>
    </row>
    <row r="25" spans="1:38" ht="24.95" customHeight="1">
      <c r="A25" s="8"/>
      <c r="B25" s="6"/>
      <c r="C25" s="15" t="str">
        <f>IF(COUNTIFS(Master_PIC!$A$8:$A$73,$B25)=1,IF(VLOOKUP($B25,Master_PIC!$A$8:$G$73,2,FALSE)="","",VLOOKUP($B25,Master_PIC!$A$8:$G$73,2,FALSE)),"")</f>
        <v/>
      </c>
      <c r="D25" s="15" t="str">
        <f>IF(COUNTIFS(Master_PIC!$A$8:$A$73,$B25)=1,IF(VLOOKUP($B25,Master_PIC!$A$8:$G$73,4,FALSE)="","",VLOOKUP($B25,Master_PIC!$A$8:$G$73,4,FALSE)),"")</f>
        <v/>
      </c>
      <c r="E25" s="15" t="str">
        <f>IF(COUNTIFS(Master_PIC!$A$8:$A$73,$B25)=1,IF(VLOOKUP($B25,Master_PIC!$A$8:$G$73,5,FALSE)="","",VLOOKUP($B25,Master_PIC!$A$8:$G$73,5,FALSE)),"")</f>
        <v/>
      </c>
      <c r="F25" s="15" t="str">
        <f>IF(COUNTIFS(Master_PIC!$A$8:$A$73,$B25)=1,IF(VLOOKUP($B25,Master_PIC!$A$8:$G$73,6,FALSE)="","",VLOOKUP($B25,Master_PIC!$A$8:$G$73,6,FALSE)),"")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8"/>
      <c r="X25" s="5"/>
      <c r="Y25" s="5"/>
      <c r="Z25" s="9"/>
      <c r="AA25" s="5"/>
      <c r="AB25" s="5"/>
      <c r="AC25" s="9"/>
      <c r="AD25" s="5"/>
      <c r="AE25" s="7" t="str">
        <f t="shared" si="0"/>
        <v/>
      </c>
      <c r="AF25" s="7" t="str">
        <f t="shared" si="1"/>
        <v/>
      </c>
      <c r="AG25" s="7" t="str">
        <f t="shared" si="2"/>
        <v/>
      </c>
      <c r="AH25" s="7" t="str">
        <f t="shared" si="3"/>
        <v/>
      </c>
      <c r="AI25" s="7" t="str">
        <f t="shared" si="4"/>
        <v/>
      </c>
      <c r="AJ25" s="7" t="str">
        <f t="shared" si="5"/>
        <v/>
      </c>
      <c r="AK25" s="10" t="str">
        <f t="shared" si="6"/>
        <v/>
      </c>
      <c r="AL25" s="15" t="str">
        <f>IF(OR($A25&lt;&gt;"",$B25&lt;&gt;""),IF(OR($A25="",$B25=""),"Isi tanggal dan ID PIC",IF(NOT(ISNUMBER($A25)),"Tanggal harus berupa tanggal Excel",IF(COUNTIFS(Master_PIC!$A$8:$A$73,$B25)&lt;&gt;1,"ID PIC tidak unik/terdaftar",IF(VLOOKUP($B25,Master_PIC!$A$8:$G$73,3,FALSE)&lt;&gt;"SPV","Jabatan tidak sesuai sheet",IF(OR($C25="",$D25="",$E25="",$F25=""),"Lengkapi master PIC",IF(COUNTIFS($A$8:$A$507,$A25,$B$8:$B$507,$B25)&gt;1,"Laporan ganda",IF(COUNTIFS(G25:O25,"Tidak Berlaku")&gt;0,"N/A hanya untuk kegiatan bersyarat",IF(SUM(AF25,AG25,AH25,AI25,AJ25)&lt;&gt;13,"Status kegiatan tidak valid",IF(AJ25&gt;0,"Lengkapi status kegiatan",IF(AND(AI25&gt;0,T25=""),"Isi alasan Tidak Berlaku",IF(AND(SUM(AG25,AH25)&gt;0,OR(T25="",U25="",V25="",W25="")),"Isi kendala dan tindak lanjut",IF(AND(Y25&lt;&gt;"Draft",Y25&lt;&gt;"Dikirim"),"Isi status laporan yang valid",IF(AND(AA25&lt;&gt;"",AA25&lt;&gt;"Belum Diperiksa",AA25&lt;&gt;"Disetujui",AA25&lt;&gt;"Perlu Perbaikan"),"Hasil review tidak valid",IF(AND(Y25="Dikirim",OR(X25="",Z25="")),"Isi bukti dan waktu kirim",IF(AND(AA25="Disetujui",OR(Y25&lt;&gt;"Dikirim",AB25="",AC25="")),"Lengkapi pemeriksaan",IF(AND(AA25="Perlu Perbaikan",OR(AD25="",AB25="",AC25="")),"Isi pemeriksa dan catatan perbaikan","OK")))))))))))))))),"")</f>
        <v/>
      </c>
    </row>
    <row r="26" spans="1:38" ht="24.95" customHeight="1">
      <c r="A26" s="8"/>
      <c r="B26" s="6"/>
      <c r="C26" s="15" t="str">
        <f>IF(COUNTIFS(Master_PIC!$A$8:$A$73,$B26)=1,IF(VLOOKUP($B26,Master_PIC!$A$8:$G$73,2,FALSE)="","",VLOOKUP($B26,Master_PIC!$A$8:$G$73,2,FALSE)),"")</f>
        <v/>
      </c>
      <c r="D26" s="15" t="str">
        <f>IF(COUNTIFS(Master_PIC!$A$8:$A$73,$B26)=1,IF(VLOOKUP($B26,Master_PIC!$A$8:$G$73,4,FALSE)="","",VLOOKUP($B26,Master_PIC!$A$8:$G$73,4,FALSE)),"")</f>
        <v/>
      </c>
      <c r="E26" s="15" t="str">
        <f>IF(COUNTIFS(Master_PIC!$A$8:$A$73,$B26)=1,IF(VLOOKUP($B26,Master_PIC!$A$8:$G$73,5,FALSE)="","",VLOOKUP($B26,Master_PIC!$A$8:$G$73,5,FALSE)),"")</f>
        <v/>
      </c>
      <c r="F26" s="15" t="str">
        <f>IF(COUNTIFS(Master_PIC!$A$8:$A$73,$B26)=1,IF(VLOOKUP($B26,Master_PIC!$A$8:$G$73,6,FALSE)="","",VLOOKUP($B26,Master_PIC!$A$8:$G$73,6,FALSE)),"")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8"/>
      <c r="X26" s="5"/>
      <c r="Y26" s="5"/>
      <c r="Z26" s="9"/>
      <c r="AA26" s="5"/>
      <c r="AB26" s="5"/>
      <c r="AC26" s="9"/>
      <c r="AD26" s="5"/>
      <c r="AE26" s="7" t="str">
        <f t="shared" si="0"/>
        <v/>
      </c>
      <c r="AF26" s="7" t="str">
        <f t="shared" si="1"/>
        <v/>
      </c>
      <c r="AG26" s="7" t="str">
        <f t="shared" si="2"/>
        <v/>
      </c>
      <c r="AH26" s="7" t="str">
        <f t="shared" si="3"/>
        <v/>
      </c>
      <c r="AI26" s="7" t="str">
        <f t="shared" si="4"/>
        <v/>
      </c>
      <c r="AJ26" s="7" t="str">
        <f t="shared" si="5"/>
        <v/>
      </c>
      <c r="AK26" s="10" t="str">
        <f t="shared" si="6"/>
        <v/>
      </c>
      <c r="AL26" s="15" t="str">
        <f>IF(OR($A26&lt;&gt;"",$B26&lt;&gt;""),IF(OR($A26="",$B26=""),"Isi tanggal dan ID PIC",IF(NOT(ISNUMBER($A26)),"Tanggal harus berupa tanggal Excel",IF(COUNTIFS(Master_PIC!$A$8:$A$73,$B26)&lt;&gt;1,"ID PIC tidak unik/terdaftar",IF(VLOOKUP($B26,Master_PIC!$A$8:$G$73,3,FALSE)&lt;&gt;"SPV","Jabatan tidak sesuai sheet",IF(OR($C26="",$D26="",$E26="",$F26=""),"Lengkapi master PIC",IF(COUNTIFS($A$8:$A$507,$A26,$B$8:$B$507,$B26)&gt;1,"Laporan ganda",IF(COUNTIFS(G26:O26,"Tidak Berlaku")&gt;0,"N/A hanya untuk kegiatan bersyarat",IF(SUM(AF26,AG26,AH26,AI26,AJ26)&lt;&gt;13,"Status kegiatan tidak valid",IF(AJ26&gt;0,"Lengkapi status kegiatan",IF(AND(AI26&gt;0,T26=""),"Isi alasan Tidak Berlaku",IF(AND(SUM(AG26,AH26)&gt;0,OR(T26="",U26="",V26="",W26="")),"Isi kendala dan tindak lanjut",IF(AND(Y26&lt;&gt;"Draft",Y26&lt;&gt;"Dikirim"),"Isi status laporan yang valid",IF(AND(AA26&lt;&gt;"",AA26&lt;&gt;"Belum Diperiksa",AA26&lt;&gt;"Disetujui",AA26&lt;&gt;"Perlu Perbaikan"),"Hasil review tidak valid",IF(AND(Y26="Dikirim",OR(X26="",Z26="")),"Isi bukti dan waktu kirim",IF(AND(AA26="Disetujui",OR(Y26&lt;&gt;"Dikirim",AB26="",AC26="")),"Lengkapi pemeriksaan",IF(AND(AA26="Perlu Perbaikan",OR(AD26="",AB26="",AC26="")),"Isi pemeriksa dan catatan perbaikan","OK")))))))))))))))),"")</f>
        <v/>
      </c>
    </row>
    <row r="27" spans="1:38" ht="24.95" customHeight="1">
      <c r="A27" s="8"/>
      <c r="B27" s="6"/>
      <c r="C27" s="15" t="str">
        <f>IF(COUNTIFS(Master_PIC!$A$8:$A$73,$B27)=1,IF(VLOOKUP($B27,Master_PIC!$A$8:$G$73,2,FALSE)="","",VLOOKUP($B27,Master_PIC!$A$8:$G$73,2,FALSE)),"")</f>
        <v/>
      </c>
      <c r="D27" s="15" t="str">
        <f>IF(COUNTIFS(Master_PIC!$A$8:$A$73,$B27)=1,IF(VLOOKUP($B27,Master_PIC!$A$8:$G$73,4,FALSE)="","",VLOOKUP($B27,Master_PIC!$A$8:$G$73,4,FALSE)),"")</f>
        <v/>
      </c>
      <c r="E27" s="15" t="str">
        <f>IF(COUNTIFS(Master_PIC!$A$8:$A$73,$B27)=1,IF(VLOOKUP($B27,Master_PIC!$A$8:$G$73,5,FALSE)="","",VLOOKUP($B27,Master_PIC!$A$8:$G$73,5,FALSE)),"")</f>
        <v/>
      </c>
      <c r="F27" s="15" t="str">
        <f>IF(COUNTIFS(Master_PIC!$A$8:$A$73,$B27)=1,IF(VLOOKUP($B27,Master_PIC!$A$8:$G$73,6,FALSE)="","",VLOOKUP($B27,Master_PIC!$A$8:$G$73,6,FALSE)),"")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8"/>
      <c r="X27" s="5"/>
      <c r="Y27" s="5"/>
      <c r="Z27" s="9"/>
      <c r="AA27" s="5"/>
      <c r="AB27" s="5"/>
      <c r="AC27" s="9"/>
      <c r="AD27" s="5"/>
      <c r="AE27" s="7" t="str">
        <f t="shared" si="0"/>
        <v/>
      </c>
      <c r="AF27" s="7" t="str">
        <f t="shared" si="1"/>
        <v/>
      </c>
      <c r="AG27" s="7" t="str">
        <f t="shared" si="2"/>
        <v/>
      </c>
      <c r="AH27" s="7" t="str">
        <f t="shared" si="3"/>
        <v/>
      </c>
      <c r="AI27" s="7" t="str">
        <f t="shared" si="4"/>
        <v/>
      </c>
      <c r="AJ27" s="7" t="str">
        <f t="shared" si="5"/>
        <v/>
      </c>
      <c r="AK27" s="10" t="str">
        <f t="shared" si="6"/>
        <v/>
      </c>
      <c r="AL27" s="15" t="str">
        <f>IF(OR($A27&lt;&gt;"",$B27&lt;&gt;""),IF(OR($A27="",$B27=""),"Isi tanggal dan ID PIC",IF(NOT(ISNUMBER($A27)),"Tanggal harus berupa tanggal Excel",IF(COUNTIFS(Master_PIC!$A$8:$A$73,$B27)&lt;&gt;1,"ID PIC tidak unik/terdaftar",IF(VLOOKUP($B27,Master_PIC!$A$8:$G$73,3,FALSE)&lt;&gt;"SPV","Jabatan tidak sesuai sheet",IF(OR($C27="",$D27="",$E27="",$F27=""),"Lengkapi master PIC",IF(COUNTIFS($A$8:$A$507,$A27,$B$8:$B$507,$B27)&gt;1,"Laporan ganda",IF(COUNTIFS(G27:O27,"Tidak Berlaku")&gt;0,"N/A hanya untuk kegiatan bersyarat",IF(SUM(AF27,AG27,AH27,AI27,AJ27)&lt;&gt;13,"Status kegiatan tidak valid",IF(AJ27&gt;0,"Lengkapi status kegiatan",IF(AND(AI27&gt;0,T27=""),"Isi alasan Tidak Berlaku",IF(AND(SUM(AG27,AH27)&gt;0,OR(T27="",U27="",V27="",W27="")),"Isi kendala dan tindak lanjut",IF(AND(Y27&lt;&gt;"Draft",Y27&lt;&gt;"Dikirim"),"Isi status laporan yang valid",IF(AND(AA27&lt;&gt;"",AA27&lt;&gt;"Belum Diperiksa",AA27&lt;&gt;"Disetujui",AA27&lt;&gt;"Perlu Perbaikan"),"Hasil review tidak valid",IF(AND(Y27="Dikirim",OR(X27="",Z27="")),"Isi bukti dan waktu kirim",IF(AND(AA27="Disetujui",OR(Y27&lt;&gt;"Dikirim",AB27="",AC27="")),"Lengkapi pemeriksaan",IF(AND(AA27="Perlu Perbaikan",OR(AD27="",AB27="",AC27="")),"Isi pemeriksa dan catatan perbaikan","OK")))))))))))))))),"")</f>
        <v/>
      </c>
    </row>
    <row r="28" spans="1:38" ht="24.95" customHeight="1">
      <c r="A28" s="8"/>
      <c r="B28" s="6"/>
      <c r="C28" s="15" t="str">
        <f>IF(COUNTIFS(Master_PIC!$A$8:$A$73,$B28)=1,IF(VLOOKUP($B28,Master_PIC!$A$8:$G$73,2,FALSE)="","",VLOOKUP($B28,Master_PIC!$A$8:$G$73,2,FALSE)),"")</f>
        <v/>
      </c>
      <c r="D28" s="15" t="str">
        <f>IF(COUNTIFS(Master_PIC!$A$8:$A$73,$B28)=1,IF(VLOOKUP($B28,Master_PIC!$A$8:$G$73,4,FALSE)="","",VLOOKUP($B28,Master_PIC!$A$8:$G$73,4,FALSE)),"")</f>
        <v/>
      </c>
      <c r="E28" s="15" t="str">
        <f>IF(COUNTIFS(Master_PIC!$A$8:$A$73,$B28)=1,IF(VLOOKUP($B28,Master_PIC!$A$8:$G$73,5,FALSE)="","",VLOOKUP($B28,Master_PIC!$A$8:$G$73,5,FALSE)),"")</f>
        <v/>
      </c>
      <c r="F28" s="15" t="str">
        <f>IF(COUNTIFS(Master_PIC!$A$8:$A$73,$B28)=1,IF(VLOOKUP($B28,Master_PIC!$A$8:$G$73,6,FALSE)="","",VLOOKUP($B28,Master_PIC!$A$8:$G$73,6,FALSE)),"")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8"/>
      <c r="X28" s="5"/>
      <c r="Y28" s="5"/>
      <c r="Z28" s="9"/>
      <c r="AA28" s="5"/>
      <c r="AB28" s="5"/>
      <c r="AC28" s="9"/>
      <c r="AD28" s="5"/>
      <c r="AE28" s="7" t="str">
        <f t="shared" si="0"/>
        <v/>
      </c>
      <c r="AF28" s="7" t="str">
        <f t="shared" si="1"/>
        <v/>
      </c>
      <c r="AG28" s="7" t="str">
        <f t="shared" si="2"/>
        <v/>
      </c>
      <c r="AH28" s="7" t="str">
        <f t="shared" si="3"/>
        <v/>
      </c>
      <c r="AI28" s="7" t="str">
        <f t="shared" si="4"/>
        <v/>
      </c>
      <c r="AJ28" s="7" t="str">
        <f t="shared" si="5"/>
        <v/>
      </c>
      <c r="AK28" s="10" t="str">
        <f t="shared" si="6"/>
        <v/>
      </c>
      <c r="AL28" s="15" t="str">
        <f>IF(OR($A28&lt;&gt;"",$B28&lt;&gt;""),IF(OR($A28="",$B28=""),"Isi tanggal dan ID PIC",IF(NOT(ISNUMBER($A28)),"Tanggal harus berupa tanggal Excel",IF(COUNTIFS(Master_PIC!$A$8:$A$73,$B28)&lt;&gt;1,"ID PIC tidak unik/terdaftar",IF(VLOOKUP($B28,Master_PIC!$A$8:$G$73,3,FALSE)&lt;&gt;"SPV","Jabatan tidak sesuai sheet",IF(OR($C28="",$D28="",$E28="",$F28=""),"Lengkapi master PIC",IF(COUNTIFS($A$8:$A$507,$A28,$B$8:$B$507,$B28)&gt;1,"Laporan ganda",IF(COUNTIFS(G28:O28,"Tidak Berlaku")&gt;0,"N/A hanya untuk kegiatan bersyarat",IF(SUM(AF28,AG28,AH28,AI28,AJ28)&lt;&gt;13,"Status kegiatan tidak valid",IF(AJ28&gt;0,"Lengkapi status kegiatan",IF(AND(AI28&gt;0,T28=""),"Isi alasan Tidak Berlaku",IF(AND(SUM(AG28,AH28)&gt;0,OR(T28="",U28="",V28="",W28="")),"Isi kendala dan tindak lanjut",IF(AND(Y28&lt;&gt;"Draft",Y28&lt;&gt;"Dikirim"),"Isi status laporan yang valid",IF(AND(AA28&lt;&gt;"",AA28&lt;&gt;"Belum Diperiksa",AA28&lt;&gt;"Disetujui",AA28&lt;&gt;"Perlu Perbaikan"),"Hasil review tidak valid",IF(AND(Y28="Dikirim",OR(X28="",Z28="")),"Isi bukti dan waktu kirim",IF(AND(AA28="Disetujui",OR(Y28&lt;&gt;"Dikirim",AB28="",AC28="")),"Lengkapi pemeriksaan",IF(AND(AA28="Perlu Perbaikan",OR(AD28="",AB28="",AC28="")),"Isi pemeriksa dan catatan perbaikan","OK")))))))))))))))),"")</f>
        <v/>
      </c>
    </row>
    <row r="29" spans="1:38" ht="24.95" customHeight="1">
      <c r="A29" s="8"/>
      <c r="B29" s="6"/>
      <c r="C29" s="15" t="str">
        <f>IF(COUNTIFS(Master_PIC!$A$8:$A$73,$B29)=1,IF(VLOOKUP($B29,Master_PIC!$A$8:$G$73,2,FALSE)="","",VLOOKUP($B29,Master_PIC!$A$8:$G$73,2,FALSE)),"")</f>
        <v/>
      </c>
      <c r="D29" s="15" t="str">
        <f>IF(COUNTIFS(Master_PIC!$A$8:$A$73,$B29)=1,IF(VLOOKUP($B29,Master_PIC!$A$8:$G$73,4,FALSE)="","",VLOOKUP($B29,Master_PIC!$A$8:$G$73,4,FALSE)),"")</f>
        <v/>
      </c>
      <c r="E29" s="15" t="str">
        <f>IF(COUNTIFS(Master_PIC!$A$8:$A$73,$B29)=1,IF(VLOOKUP($B29,Master_PIC!$A$8:$G$73,5,FALSE)="","",VLOOKUP($B29,Master_PIC!$A$8:$G$73,5,FALSE)),"")</f>
        <v/>
      </c>
      <c r="F29" s="15" t="str">
        <f>IF(COUNTIFS(Master_PIC!$A$8:$A$73,$B29)=1,IF(VLOOKUP($B29,Master_PIC!$A$8:$G$73,6,FALSE)="","",VLOOKUP($B29,Master_PIC!$A$8:$G$73,6,FALSE)),"")</f>
        <v/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8"/>
      <c r="X29" s="5"/>
      <c r="Y29" s="5"/>
      <c r="Z29" s="9"/>
      <c r="AA29" s="5"/>
      <c r="AB29" s="5"/>
      <c r="AC29" s="9"/>
      <c r="AD29" s="5"/>
      <c r="AE29" s="7" t="str">
        <f t="shared" si="0"/>
        <v/>
      </c>
      <c r="AF29" s="7" t="str">
        <f t="shared" si="1"/>
        <v/>
      </c>
      <c r="AG29" s="7" t="str">
        <f t="shared" si="2"/>
        <v/>
      </c>
      <c r="AH29" s="7" t="str">
        <f t="shared" si="3"/>
        <v/>
      </c>
      <c r="AI29" s="7" t="str">
        <f t="shared" si="4"/>
        <v/>
      </c>
      <c r="AJ29" s="7" t="str">
        <f t="shared" si="5"/>
        <v/>
      </c>
      <c r="AK29" s="10" t="str">
        <f t="shared" si="6"/>
        <v/>
      </c>
      <c r="AL29" s="15" t="str">
        <f>IF(OR($A29&lt;&gt;"",$B29&lt;&gt;""),IF(OR($A29="",$B29=""),"Isi tanggal dan ID PIC",IF(NOT(ISNUMBER($A29)),"Tanggal harus berupa tanggal Excel",IF(COUNTIFS(Master_PIC!$A$8:$A$73,$B29)&lt;&gt;1,"ID PIC tidak unik/terdaftar",IF(VLOOKUP($B29,Master_PIC!$A$8:$G$73,3,FALSE)&lt;&gt;"SPV","Jabatan tidak sesuai sheet",IF(OR($C29="",$D29="",$E29="",$F29=""),"Lengkapi master PIC",IF(COUNTIFS($A$8:$A$507,$A29,$B$8:$B$507,$B29)&gt;1,"Laporan ganda",IF(COUNTIFS(G29:O29,"Tidak Berlaku")&gt;0,"N/A hanya untuk kegiatan bersyarat",IF(SUM(AF29,AG29,AH29,AI29,AJ29)&lt;&gt;13,"Status kegiatan tidak valid",IF(AJ29&gt;0,"Lengkapi status kegiatan",IF(AND(AI29&gt;0,T29=""),"Isi alasan Tidak Berlaku",IF(AND(SUM(AG29,AH29)&gt;0,OR(T29="",U29="",V29="",W29="")),"Isi kendala dan tindak lanjut",IF(AND(Y29&lt;&gt;"Draft",Y29&lt;&gt;"Dikirim"),"Isi status laporan yang valid",IF(AND(AA29&lt;&gt;"",AA29&lt;&gt;"Belum Diperiksa",AA29&lt;&gt;"Disetujui",AA29&lt;&gt;"Perlu Perbaikan"),"Hasil review tidak valid",IF(AND(Y29="Dikirim",OR(X29="",Z29="")),"Isi bukti dan waktu kirim",IF(AND(AA29="Disetujui",OR(Y29&lt;&gt;"Dikirim",AB29="",AC29="")),"Lengkapi pemeriksaan",IF(AND(AA29="Perlu Perbaikan",OR(AD29="",AB29="",AC29="")),"Isi pemeriksa dan catatan perbaikan","OK")))))))))))))))),"")</f>
        <v/>
      </c>
    </row>
    <row r="30" spans="1:38" ht="24.95" customHeight="1">
      <c r="A30" s="8"/>
      <c r="B30" s="6"/>
      <c r="C30" s="15" t="str">
        <f>IF(COUNTIFS(Master_PIC!$A$8:$A$73,$B30)=1,IF(VLOOKUP($B30,Master_PIC!$A$8:$G$73,2,FALSE)="","",VLOOKUP($B30,Master_PIC!$A$8:$G$73,2,FALSE)),"")</f>
        <v/>
      </c>
      <c r="D30" s="15" t="str">
        <f>IF(COUNTIFS(Master_PIC!$A$8:$A$73,$B30)=1,IF(VLOOKUP($B30,Master_PIC!$A$8:$G$73,4,FALSE)="","",VLOOKUP($B30,Master_PIC!$A$8:$G$73,4,FALSE)),"")</f>
        <v/>
      </c>
      <c r="E30" s="15" t="str">
        <f>IF(COUNTIFS(Master_PIC!$A$8:$A$73,$B30)=1,IF(VLOOKUP($B30,Master_PIC!$A$8:$G$73,5,FALSE)="","",VLOOKUP($B30,Master_PIC!$A$8:$G$73,5,FALSE)),"")</f>
        <v/>
      </c>
      <c r="F30" s="15" t="str">
        <f>IF(COUNTIFS(Master_PIC!$A$8:$A$73,$B30)=1,IF(VLOOKUP($B30,Master_PIC!$A$8:$G$73,6,FALSE)="","",VLOOKUP($B30,Master_PIC!$A$8:$G$73,6,FALSE)),"")</f>
        <v/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8"/>
      <c r="X30" s="5"/>
      <c r="Y30" s="5"/>
      <c r="Z30" s="9"/>
      <c r="AA30" s="5"/>
      <c r="AB30" s="5"/>
      <c r="AC30" s="9"/>
      <c r="AD30" s="5"/>
      <c r="AE30" s="7" t="str">
        <f t="shared" si="0"/>
        <v/>
      </c>
      <c r="AF30" s="7" t="str">
        <f t="shared" si="1"/>
        <v/>
      </c>
      <c r="AG30" s="7" t="str">
        <f t="shared" si="2"/>
        <v/>
      </c>
      <c r="AH30" s="7" t="str">
        <f t="shared" si="3"/>
        <v/>
      </c>
      <c r="AI30" s="7" t="str">
        <f t="shared" si="4"/>
        <v/>
      </c>
      <c r="AJ30" s="7" t="str">
        <f t="shared" si="5"/>
        <v/>
      </c>
      <c r="AK30" s="10" t="str">
        <f t="shared" si="6"/>
        <v/>
      </c>
      <c r="AL30" s="15" t="str">
        <f>IF(OR($A30&lt;&gt;"",$B30&lt;&gt;""),IF(OR($A30="",$B30=""),"Isi tanggal dan ID PIC",IF(NOT(ISNUMBER($A30)),"Tanggal harus berupa tanggal Excel",IF(COUNTIFS(Master_PIC!$A$8:$A$73,$B30)&lt;&gt;1,"ID PIC tidak unik/terdaftar",IF(VLOOKUP($B30,Master_PIC!$A$8:$G$73,3,FALSE)&lt;&gt;"SPV","Jabatan tidak sesuai sheet",IF(OR($C30="",$D30="",$E30="",$F30=""),"Lengkapi master PIC",IF(COUNTIFS($A$8:$A$507,$A30,$B$8:$B$507,$B30)&gt;1,"Laporan ganda",IF(COUNTIFS(G30:O30,"Tidak Berlaku")&gt;0,"N/A hanya untuk kegiatan bersyarat",IF(SUM(AF30,AG30,AH30,AI30,AJ30)&lt;&gt;13,"Status kegiatan tidak valid",IF(AJ30&gt;0,"Lengkapi status kegiatan",IF(AND(AI30&gt;0,T30=""),"Isi alasan Tidak Berlaku",IF(AND(SUM(AG30,AH30)&gt;0,OR(T30="",U30="",V30="",W30="")),"Isi kendala dan tindak lanjut",IF(AND(Y30&lt;&gt;"Draft",Y30&lt;&gt;"Dikirim"),"Isi status laporan yang valid",IF(AND(AA30&lt;&gt;"",AA30&lt;&gt;"Belum Diperiksa",AA30&lt;&gt;"Disetujui",AA30&lt;&gt;"Perlu Perbaikan"),"Hasil review tidak valid",IF(AND(Y30="Dikirim",OR(X30="",Z30="")),"Isi bukti dan waktu kirim",IF(AND(AA30="Disetujui",OR(Y30&lt;&gt;"Dikirim",AB30="",AC30="")),"Lengkapi pemeriksaan",IF(AND(AA30="Perlu Perbaikan",OR(AD30="",AB30="",AC30="")),"Isi pemeriksa dan catatan perbaikan","OK")))))))))))))))),"")</f>
        <v/>
      </c>
    </row>
    <row r="31" spans="1:38" ht="24.95" customHeight="1">
      <c r="A31" s="8"/>
      <c r="B31" s="6"/>
      <c r="C31" s="15" t="str">
        <f>IF(COUNTIFS(Master_PIC!$A$8:$A$73,$B31)=1,IF(VLOOKUP($B31,Master_PIC!$A$8:$G$73,2,FALSE)="","",VLOOKUP($B31,Master_PIC!$A$8:$G$73,2,FALSE)),"")</f>
        <v/>
      </c>
      <c r="D31" s="15" t="str">
        <f>IF(COUNTIFS(Master_PIC!$A$8:$A$73,$B31)=1,IF(VLOOKUP($B31,Master_PIC!$A$8:$G$73,4,FALSE)="","",VLOOKUP($B31,Master_PIC!$A$8:$G$73,4,FALSE)),"")</f>
        <v/>
      </c>
      <c r="E31" s="15" t="str">
        <f>IF(COUNTIFS(Master_PIC!$A$8:$A$73,$B31)=1,IF(VLOOKUP($B31,Master_PIC!$A$8:$G$73,5,FALSE)="","",VLOOKUP($B31,Master_PIC!$A$8:$G$73,5,FALSE)),"")</f>
        <v/>
      </c>
      <c r="F31" s="15" t="str">
        <f>IF(COUNTIFS(Master_PIC!$A$8:$A$73,$B31)=1,IF(VLOOKUP($B31,Master_PIC!$A$8:$G$73,6,FALSE)="","",VLOOKUP($B31,Master_PIC!$A$8:$G$73,6,FALSE)),"")</f>
        <v/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8"/>
      <c r="X31" s="5"/>
      <c r="Y31" s="5"/>
      <c r="Z31" s="9"/>
      <c r="AA31" s="5"/>
      <c r="AB31" s="5"/>
      <c r="AC31" s="9"/>
      <c r="AD31" s="5"/>
      <c r="AE31" s="7" t="str">
        <f t="shared" si="0"/>
        <v/>
      </c>
      <c r="AF31" s="7" t="str">
        <f t="shared" si="1"/>
        <v/>
      </c>
      <c r="AG31" s="7" t="str">
        <f t="shared" si="2"/>
        <v/>
      </c>
      <c r="AH31" s="7" t="str">
        <f t="shared" si="3"/>
        <v/>
      </c>
      <c r="AI31" s="7" t="str">
        <f t="shared" si="4"/>
        <v/>
      </c>
      <c r="AJ31" s="7" t="str">
        <f t="shared" si="5"/>
        <v/>
      </c>
      <c r="AK31" s="10" t="str">
        <f t="shared" si="6"/>
        <v/>
      </c>
      <c r="AL31" s="15" t="str">
        <f>IF(OR($A31&lt;&gt;"",$B31&lt;&gt;""),IF(OR($A31="",$B31=""),"Isi tanggal dan ID PIC",IF(NOT(ISNUMBER($A31)),"Tanggal harus berupa tanggal Excel",IF(COUNTIFS(Master_PIC!$A$8:$A$73,$B31)&lt;&gt;1,"ID PIC tidak unik/terdaftar",IF(VLOOKUP($B31,Master_PIC!$A$8:$G$73,3,FALSE)&lt;&gt;"SPV","Jabatan tidak sesuai sheet",IF(OR($C31="",$D31="",$E31="",$F31=""),"Lengkapi master PIC",IF(COUNTIFS($A$8:$A$507,$A31,$B$8:$B$507,$B31)&gt;1,"Laporan ganda",IF(COUNTIFS(G31:O31,"Tidak Berlaku")&gt;0,"N/A hanya untuk kegiatan bersyarat",IF(SUM(AF31,AG31,AH31,AI31,AJ31)&lt;&gt;13,"Status kegiatan tidak valid",IF(AJ31&gt;0,"Lengkapi status kegiatan",IF(AND(AI31&gt;0,T31=""),"Isi alasan Tidak Berlaku",IF(AND(SUM(AG31,AH31)&gt;0,OR(T31="",U31="",V31="",W31="")),"Isi kendala dan tindak lanjut",IF(AND(Y31&lt;&gt;"Draft",Y31&lt;&gt;"Dikirim"),"Isi status laporan yang valid",IF(AND(AA31&lt;&gt;"",AA31&lt;&gt;"Belum Diperiksa",AA31&lt;&gt;"Disetujui",AA31&lt;&gt;"Perlu Perbaikan"),"Hasil review tidak valid",IF(AND(Y31="Dikirim",OR(X31="",Z31="")),"Isi bukti dan waktu kirim",IF(AND(AA31="Disetujui",OR(Y31&lt;&gt;"Dikirim",AB31="",AC31="")),"Lengkapi pemeriksaan",IF(AND(AA31="Perlu Perbaikan",OR(AD31="",AB31="",AC31="")),"Isi pemeriksa dan catatan perbaikan","OK")))))))))))))))),"")</f>
        <v/>
      </c>
    </row>
    <row r="32" spans="1:38" ht="24.95" customHeight="1">
      <c r="A32" s="8"/>
      <c r="B32" s="6"/>
      <c r="C32" s="15" t="str">
        <f>IF(COUNTIFS(Master_PIC!$A$8:$A$73,$B32)=1,IF(VLOOKUP($B32,Master_PIC!$A$8:$G$73,2,FALSE)="","",VLOOKUP($B32,Master_PIC!$A$8:$G$73,2,FALSE)),"")</f>
        <v/>
      </c>
      <c r="D32" s="15" t="str">
        <f>IF(COUNTIFS(Master_PIC!$A$8:$A$73,$B32)=1,IF(VLOOKUP($B32,Master_PIC!$A$8:$G$73,4,FALSE)="","",VLOOKUP($B32,Master_PIC!$A$8:$G$73,4,FALSE)),"")</f>
        <v/>
      </c>
      <c r="E32" s="15" t="str">
        <f>IF(COUNTIFS(Master_PIC!$A$8:$A$73,$B32)=1,IF(VLOOKUP($B32,Master_PIC!$A$8:$G$73,5,FALSE)="","",VLOOKUP($B32,Master_PIC!$A$8:$G$73,5,FALSE)),"")</f>
        <v/>
      </c>
      <c r="F32" s="15" t="str">
        <f>IF(COUNTIFS(Master_PIC!$A$8:$A$73,$B32)=1,IF(VLOOKUP($B32,Master_PIC!$A$8:$G$73,6,FALSE)="","",VLOOKUP($B32,Master_PIC!$A$8:$G$73,6,FALSE)),"")</f>
        <v/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8"/>
      <c r="X32" s="5"/>
      <c r="Y32" s="5"/>
      <c r="Z32" s="9"/>
      <c r="AA32" s="5"/>
      <c r="AB32" s="5"/>
      <c r="AC32" s="9"/>
      <c r="AD32" s="5"/>
      <c r="AE32" s="7" t="str">
        <f t="shared" si="0"/>
        <v/>
      </c>
      <c r="AF32" s="7" t="str">
        <f t="shared" si="1"/>
        <v/>
      </c>
      <c r="AG32" s="7" t="str">
        <f t="shared" si="2"/>
        <v/>
      </c>
      <c r="AH32" s="7" t="str">
        <f t="shared" si="3"/>
        <v/>
      </c>
      <c r="AI32" s="7" t="str">
        <f t="shared" si="4"/>
        <v/>
      </c>
      <c r="AJ32" s="7" t="str">
        <f t="shared" si="5"/>
        <v/>
      </c>
      <c r="AK32" s="10" t="str">
        <f t="shared" si="6"/>
        <v/>
      </c>
      <c r="AL32" s="15" t="str">
        <f>IF(OR($A32&lt;&gt;"",$B32&lt;&gt;""),IF(OR($A32="",$B32=""),"Isi tanggal dan ID PIC",IF(NOT(ISNUMBER($A32)),"Tanggal harus berupa tanggal Excel",IF(COUNTIFS(Master_PIC!$A$8:$A$73,$B32)&lt;&gt;1,"ID PIC tidak unik/terdaftar",IF(VLOOKUP($B32,Master_PIC!$A$8:$G$73,3,FALSE)&lt;&gt;"SPV","Jabatan tidak sesuai sheet",IF(OR($C32="",$D32="",$E32="",$F32=""),"Lengkapi master PIC",IF(COUNTIFS($A$8:$A$507,$A32,$B$8:$B$507,$B32)&gt;1,"Laporan ganda",IF(COUNTIFS(G32:O32,"Tidak Berlaku")&gt;0,"N/A hanya untuk kegiatan bersyarat",IF(SUM(AF32,AG32,AH32,AI32,AJ32)&lt;&gt;13,"Status kegiatan tidak valid",IF(AJ32&gt;0,"Lengkapi status kegiatan",IF(AND(AI32&gt;0,T32=""),"Isi alasan Tidak Berlaku",IF(AND(SUM(AG32,AH32)&gt;0,OR(T32="",U32="",V32="",W32="")),"Isi kendala dan tindak lanjut",IF(AND(Y32&lt;&gt;"Draft",Y32&lt;&gt;"Dikirim"),"Isi status laporan yang valid",IF(AND(AA32&lt;&gt;"",AA32&lt;&gt;"Belum Diperiksa",AA32&lt;&gt;"Disetujui",AA32&lt;&gt;"Perlu Perbaikan"),"Hasil review tidak valid",IF(AND(Y32="Dikirim",OR(X32="",Z32="")),"Isi bukti dan waktu kirim",IF(AND(AA32="Disetujui",OR(Y32&lt;&gt;"Dikirim",AB32="",AC32="")),"Lengkapi pemeriksaan",IF(AND(AA32="Perlu Perbaikan",OR(AD32="",AB32="",AC32="")),"Isi pemeriksa dan catatan perbaikan","OK")))))))))))))))),"")</f>
        <v/>
      </c>
    </row>
    <row r="33" spans="1:38" ht="24.95" customHeight="1">
      <c r="A33" s="8"/>
      <c r="B33" s="6"/>
      <c r="C33" s="15" t="str">
        <f>IF(COUNTIFS(Master_PIC!$A$8:$A$73,$B33)=1,IF(VLOOKUP($B33,Master_PIC!$A$8:$G$73,2,FALSE)="","",VLOOKUP($B33,Master_PIC!$A$8:$G$73,2,FALSE)),"")</f>
        <v/>
      </c>
      <c r="D33" s="15" t="str">
        <f>IF(COUNTIFS(Master_PIC!$A$8:$A$73,$B33)=1,IF(VLOOKUP($B33,Master_PIC!$A$8:$G$73,4,FALSE)="","",VLOOKUP($B33,Master_PIC!$A$8:$G$73,4,FALSE)),"")</f>
        <v/>
      </c>
      <c r="E33" s="15" t="str">
        <f>IF(COUNTIFS(Master_PIC!$A$8:$A$73,$B33)=1,IF(VLOOKUP($B33,Master_PIC!$A$8:$G$73,5,FALSE)="","",VLOOKUP($B33,Master_PIC!$A$8:$G$73,5,FALSE)),"")</f>
        <v/>
      </c>
      <c r="F33" s="15" t="str">
        <f>IF(COUNTIFS(Master_PIC!$A$8:$A$73,$B33)=1,IF(VLOOKUP($B33,Master_PIC!$A$8:$G$73,6,FALSE)="","",VLOOKUP($B33,Master_PIC!$A$8:$G$73,6,FALSE)),"")</f>
        <v/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8"/>
      <c r="X33" s="5"/>
      <c r="Y33" s="5"/>
      <c r="Z33" s="9"/>
      <c r="AA33" s="5"/>
      <c r="AB33" s="5"/>
      <c r="AC33" s="9"/>
      <c r="AD33" s="5"/>
      <c r="AE33" s="7" t="str">
        <f t="shared" si="0"/>
        <v/>
      </c>
      <c r="AF33" s="7" t="str">
        <f t="shared" si="1"/>
        <v/>
      </c>
      <c r="AG33" s="7" t="str">
        <f t="shared" si="2"/>
        <v/>
      </c>
      <c r="AH33" s="7" t="str">
        <f t="shared" si="3"/>
        <v/>
      </c>
      <c r="AI33" s="7" t="str">
        <f t="shared" si="4"/>
        <v/>
      </c>
      <c r="AJ33" s="7" t="str">
        <f t="shared" si="5"/>
        <v/>
      </c>
      <c r="AK33" s="10" t="str">
        <f t="shared" si="6"/>
        <v/>
      </c>
      <c r="AL33" s="15" t="str">
        <f>IF(OR($A33&lt;&gt;"",$B33&lt;&gt;""),IF(OR($A33="",$B33=""),"Isi tanggal dan ID PIC",IF(NOT(ISNUMBER($A33)),"Tanggal harus berupa tanggal Excel",IF(COUNTIFS(Master_PIC!$A$8:$A$73,$B33)&lt;&gt;1,"ID PIC tidak unik/terdaftar",IF(VLOOKUP($B33,Master_PIC!$A$8:$G$73,3,FALSE)&lt;&gt;"SPV","Jabatan tidak sesuai sheet",IF(OR($C33="",$D33="",$E33="",$F33=""),"Lengkapi master PIC",IF(COUNTIFS($A$8:$A$507,$A33,$B$8:$B$507,$B33)&gt;1,"Laporan ganda",IF(COUNTIFS(G33:O33,"Tidak Berlaku")&gt;0,"N/A hanya untuk kegiatan bersyarat",IF(SUM(AF33,AG33,AH33,AI33,AJ33)&lt;&gt;13,"Status kegiatan tidak valid",IF(AJ33&gt;0,"Lengkapi status kegiatan",IF(AND(AI33&gt;0,T33=""),"Isi alasan Tidak Berlaku",IF(AND(SUM(AG33,AH33)&gt;0,OR(T33="",U33="",V33="",W33="")),"Isi kendala dan tindak lanjut",IF(AND(Y33&lt;&gt;"Draft",Y33&lt;&gt;"Dikirim"),"Isi status laporan yang valid",IF(AND(AA33&lt;&gt;"",AA33&lt;&gt;"Belum Diperiksa",AA33&lt;&gt;"Disetujui",AA33&lt;&gt;"Perlu Perbaikan"),"Hasil review tidak valid",IF(AND(Y33="Dikirim",OR(X33="",Z33="")),"Isi bukti dan waktu kirim",IF(AND(AA33="Disetujui",OR(Y33&lt;&gt;"Dikirim",AB33="",AC33="")),"Lengkapi pemeriksaan",IF(AND(AA33="Perlu Perbaikan",OR(AD33="",AB33="",AC33="")),"Isi pemeriksa dan catatan perbaikan","OK")))))))))))))))),"")</f>
        <v/>
      </c>
    </row>
    <row r="34" spans="1:38" ht="24.95" customHeight="1">
      <c r="A34" s="8"/>
      <c r="B34" s="6"/>
      <c r="C34" s="15" t="str">
        <f>IF(COUNTIFS(Master_PIC!$A$8:$A$73,$B34)=1,IF(VLOOKUP($B34,Master_PIC!$A$8:$G$73,2,FALSE)="","",VLOOKUP($B34,Master_PIC!$A$8:$G$73,2,FALSE)),"")</f>
        <v/>
      </c>
      <c r="D34" s="15" t="str">
        <f>IF(COUNTIFS(Master_PIC!$A$8:$A$73,$B34)=1,IF(VLOOKUP($B34,Master_PIC!$A$8:$G$73,4,FALSE)="","",VLOOKUP($B34,Master_PIC!$A$8:$G$73,4,FALSE)),"")</f>
        <v/>
      </c>
      <c r="E34" s="15" t="str">
        <f>IF(COUNTIFS(Master_PIC!$A$8:$A$73,$B34)=1,IF(VLOOKUP($B34,Master_PIC!$A$8:$G$73,5,FALSE)="","",VLOOKUP($B34,Master_PIC!$A$8:$G$73,5,FALSE)),"")</f>
        <v/>
      </c>
      <c r="F34" s="15" t="str">
        <f>IF(COUNTIFS(Master_PIC!$A$8:$A$73,$B34)=1,IF(VLOOKUP($B34,Master_PIC!$A$8:$G$73,6,FALSE)="","",VLOOKUP($B34,Master_PIC!$A$8:$G$73,6,FALSE)),"")</f>
        <v/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8"/>
      <c r="X34" s="5"/>
      <c r="Y34" s="5"/>
      <c r="Z34" s="9"/>
      <c r="AA34" s="5"/>
      <c r="AB34" s="5"/>
      <c r="AC34" s="9"/>
      <c r="AD34" s="5"/>
      <c r="AE34" s="7" t="str">
        <f t="shared" si="0"/>
        <v/>
      </c>
      <c r="AF34" s="7" t="str">
        <f t="shared" si="1"/>
        <v/>
      </c>
      <c r="AG34" s="7" t="str">
        <f t="shared" si="2"/>
        <v/>
      </c>
      <c r="AH34" s="7" t="str">
        <f t="shared" si="3"/>
        <v/>
      </c>
      <c r="AI34" s="7" t="str">
        <f t="shared" si="4"/>
        <v/>
      </c>
      <c r="AJ34" s="7" t="str">
        <f t="shared" si="5"/>
        <v/>
      </c>
      <c r="AK34" s="10" t="str">
        <f t="shared" si="6"/>
        <v/>
      </c>
      <c r="AL34" s="15" t="str">
        <f>IF(OR($A34&lt;&gt;"",$B34&lt;&gt;""),IF(OR($A34="",$B34=""),"Isi tanggal dan ID PIC",IF(NOT(ISNUMBER($A34)),"Tanggal harus berupa tanggal Excel",IF(COUNTIFS(Master_PIC!$A$8:$A$73,$B34)&lt;&gt;1,"ID PIC tidak unik/terdaftar",IF(VLOOKUP($B34,Master_PIC!$A$8:$G$73,3,FALSE)&lt;&gt;"SPV","Jabatan tidak sesuai sheet",IF(OR($C34="",$D34="",$E34="",$F34=""),"Lengkapi master PIC",IF(COUNTIFS($A$8:$A$507,$A34,$B$8:$B$507,$B34)&gt;1,"Laporan ganda",IF(COUNTIFS(G34:O34,"Tidak Berlaku")&gt;0,"N/A hanya untuk kegiatan bersyarat",IF(SUM(AF34,AG34,AH34,AI34,AJ34)&lt;&gt;13,"Status kegiatan tidak valid",IF(AJ34&gt;0,"Lengkapi status kegiatan",IF(AND(AI34&gt;0,T34=""),"Isi alasan Tidak Berlaku",IF(AND(SUM(AG34,AH34)&gt;0,OR(T34="",U34="",V34="",W34="")),"Isi kendala dan tindak lanjut",IF(AND(Y34&lt;&gt;"Draft",Y34&lt;&gt;"Dikirim"),"Isi status laporan yang valid",IF(AND(AA34&lt;&gt;"",AA34&lt;&gt;"Belum Diperiksa",AA34&lt;&gt;"Disetujui",AA34&lt;&gt;"Perlu Perbaikan"),"Hasil review tidak valid",IF(AND(Y34="Dikirim",OR(X34="",Z34="")),"Isi bukti dan waktu kirim",IF(AND(AA34="Disetujui",OR(Y34&lt;&gt;"Dikirim",AB34="",AC34="")),"Lengkapi pemeriksaan",IF(AND(AA34="Perlu Perbaikan",OR(AD34="",AB34="",AC34="")),"Isi pemeriksa dan catatan perbaikan","OK")))))))))))))))),"")</f>
        <v/>
      </c>
    </row>
    <row r="35" spans="1:38" ht="24.95" customHeight="1">
      <c r="A35" s="8"/>
      <c r="B35" s="6"/>
      <c r="C35" s="15" t="str">
        <f>IF(COUNTIFS(Master_PIC!$A$8:$A$73,$B35)=1,IF(VLOOKUP($B35,Master_PIC!$A$8:$G$73,2,FALSE)="","",VLOOKUP($B35,Master_PIC!$A$8:$G$73,2,FALSE)),"")</f>
        <v/>
      </c>
      <c r="D35" s="15" t="str">
        <f>IF(COUNTIFS(Master_PIC!$A$8:$A$73,$B35)=1,IF(VLOOKUP($B35,Master_PIC!$A$8:$G$73,4,FALSE)="","",VLOOKUP($B35,Master_PIC!$A$8:$G$73,4,FALSE)),"")</f>
        <v/>
      </c>
      <c r="E35" s="15" t="str">
        <f>IF(COUNTIFS(Master_PIC!$A$8:$A$73,$B35)=1,IF(VLOOKUP($B35,Master_PIC!$A$8:$G$73,5,FALSE)="","",VLOOKUP($B35,Master_PIC!$A$8:$G$73,5,FALSE)),"")</f>
        <v/>
      </c>
      <c r="F35" s="15" t="str">
        <f>IF(COUNTIFS(Master_PIC!$A$8:$A$73,$B35)=1,IF(VLOOKUP($B35,Master_PIC!$A$8:$G$73,6,FALSE)="","",VLOOKUP($B35,Master_PIC!$A$8:$G$73,6,FALSE)),"")</f>
        <v/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8"/>
      <c r="X35" s="5"/>
      <c r="Y35" s="5"/>
      <c r="Z35" s="9"/>
      <c r="AA35" s="5"/>
      <c r="AB35" s="5"/>
      <c r="AC35" s="9"/>
      <c r="AD35" s="5"/>
      <c r="AE35" s="7" t="str">
        <f t="shared" si="0"/>
        <v/>
      </c>
      <c r="AF35" s="7" t="str">
        <f t="shared" si="1"/>
        <v/>
      </c>
      <c r="AG35" s="7" t="str">
        <f t="shared" si="2"/>
        <v/>
      </c>
      <c r="AH35" s="7" t="str">
        <f t="shared" si="3"/>
        <v/>
      </c>
      <c r="AI35" s="7" t="str">
        <f t="shared" si="4"/>
        <v/>
      </c>
      <c r="AJ35" s="7" t="str">
        <f t="shared" si="5"/>
        <v/>
      </c>
      <c r="AK35" s="10" t="str">
        <f t="shared" si="6"/>
        <v/>
      </c>
      <c r="AL35" s="15" t="str">
        <f>IF(OR($A35&lt;&gt;"",$B35&lt;&gt;""),IF(OR($A35="",$B35=""),"Isi tanggal dan ID PIC",IF(NOT(ISNUMBER($A35)),"Tanggal harus berupa tanggal Excel",IF(COUNTIFS(Master_PIC!$A$8:$A$73,$B35)&lt;&gt;1,"ID PIC tidak unik/terdaftar",IF(VLOOKUP($B35,Master_PIC!$A$8:$G$73,3,FALSE)&lt;&gt;"SPV","Jabatan tidak sesuai sheet",IF(OR($C35="",$D35="",$E35="",$F35=""),"Lengkapi master PIC",IF(COUNTIFS($A$8:$A$507,$A35,$B$8:$B$507,$B35)&gt;1,"Laporan ganda",IF(COUNTIFS(G35:O35,"Tidak Berlaku")&gt;0,"N/A hanya untuk kegiatan bersyarat",IF(SUM(AF35,AG35,AH35,AI35,AJ35)&lt;&gt;13,"Status kegiatan tidak valid",IF(AJ35&gt;0,"Lengkapi status kegiatan",IF(AND(AI35&gt;0,T35=""),"Isi alasan Tidak Berlaku",IF(AND(SUM(AG35,AH35)&gt;0,OR(T35="",U35="",V35="",W35="")),"Isi kendala dan tindak lanjut",IF(AND(Y35&lt;&gt;"Draft",Y35&lt;&gt;"Dikirim"),"Isi status laporan yang valid",IF(AND(AA35&lt;&gt;"",AA35&lt;&gt;"Belum Diperiksa",AA35&lt;&gt;"Disetujui",AA35&lt;&gt;"Perlu Perbaikan"),"Hasil review tidak valid",IF(AND(Y35="Dikirim",OR(X35="",Z35="")),"Isi bukti dan waktu kirim",IF(AND(AA35="Disetujui",OR(Y35&lt;&gt;"Dikirim",AB35="",AC35="")),"Lengkapi pemeriksaan",IF(AND(AA35="Perlu Perbaikan",OR(AD35="",AB35="",AC35="")),"Isi pemeriksa dan catatan perbaikan","OK")))))))))))))))),"")</f>
        <v/>
      </c>
    </row>
    <row r="36" spans="1:38" ht="24.95" customHeight="1">
      <c r="A36" s="8"/>
      <c r="B36" s="6"/>
      <c r="C36" s="15" t="str">
        <f>IF(COUNTIFS(Master_PIC!$A$8:$A$73,$B36)=1,IF(VLOOKUP($B36,Master_PIC!$A$8:$G$73,2,FALSE)="","",VLOOKUP($B36,Master_PIC!$A$8:$G$73,2,FALSE)),"")</f>
        <v/>
      </c>
      <c r="D36" s="15" t="str">
        <f>IF(COUNTIFS(Master_PIC!$A$8:$A$73,$B36)=1,IF(VLOOKUP($B36,Master_PIC!$A$8:$G$73,4,FALSE)="","",VLOOKUP($B36,Master_PIC!$A$8:$G$73,4,FALSE)),"")</f>
        <v/>
      </c>
      <c r="E36" s="15" t="str">
        <f>IF(COUNTIFS(Master_PIC!$A$8:$A$73,$B36)=1,IF(VLOOKUP($B36,Master_PIC!$A$8:$G$73,5,FALSE)="","",VLOOKUP($B36,Master_PIC!$A$8:$G$73,5,FALSE)),"")</f>
        <v/>
      </c>
      <c r="F36" s="15" t="str">
        <f>IF(COUNTIFS(Master_PIC!$A$8:$A$73,$B36)=1,IF(VLOOKUP($B36,Master_PIC!$A$8:$G$73,6,FALSE)="","",VLOOKUP($B36,Master_PIC!$A$8:$G$73,6,FALSE)),"")</f>
        <v/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8"/>
      <c r="X36" s="5"/>
      <c r="Y36" s="5"/>
      <c r="Z36" s="9"/>
      <c r="AA36" s="5"/>
      <c r="AB36" s="5"/>
      <c r="AC36" s="9"/>
      <c r="AD36" s="5"/>
      <c r="AE36" s="7" t="str">
        <f t="shared" si="0"/>
        <v/>
      </c>
      <c r="AF36" s="7" t="str">
        <f t="shared" si="1"/>
        <v/>
      </c>
      <c r="AG36" s="7" t="str">
        <f t="shared" si="2"/>
        <v/>
      </c>
      <c r="AH36" s="7" t="str">
        <f t="shared" si="3"/>
        <v/>
      </c>
      <c r="AI36" s="7" t="str">
        <f t="shared" si="4"/>
        <v/>
      </c>
      <c r="AJ36" s="7" t="str">
        <f t="shared" si="5"/>
        <v/>
      </c>
      <c r="AK36" s="10" t="str">
        <f t="shared" si="6"/>
        <v/>
      </c>
      <c r="AL36" s="15" t="str">
        <f>IF(OR($A36&lt;&gt;"",$B36&lt;&gt;""),IF(OR($A36="",$B36=""),"Isi tanggal dan ID PIC",IF(NOT(ISNUMBER($A36)),"Tanggal harus berupa tanggal Excel",IF(COUNTIFS(Master_PIC!$A$8:$A$73,$B36)&lt;&gt;1,"ID PIC tidak unik/terdaftar",IF(VLOOKUP($B36,Master_PIC!$A$8:$G$73,3,FALSE)&lt;&gt;"SPV","Jabatan tidak sesuai sheet",IF(OR($C36="",$D36="",$E36="",$F36=""),"Lengkapi master PIC",IF(COUNTIFS($A$8:$A$507,$A36,$B$8:$B$507,$B36)&gt;1,"Laporan ganda",IF(COUNTIFS(G36:O36,"Tidak Berlaku")&gt;0,"N/A hanya untuk kegiatan bersyarat",IF(SUM(AF36,AG36,AH36,AI36,AJ36)&lt;&gt;13,"Status kegiatan tidak valid",IF(AJ36&gt;0,"Lengkapi status kegiatan",IF(AND(AI36&gt;0,T36=""),"Isi alasan Tidak Berlaku",IF(AND(SUM(AG36,AH36)&gt;0,OR(T36="",U36="",V36="",W36="")),"Isi kendala dan tindak lanjut",IF(AND(Y36&lt;&gt;"Draft",Y36&lt;&gt;"Dikirim"),"Isi status laporan yang valid",IF(AND(AA36&lt;&gt;"",AA36&lt;&gt;"Belum Diperiksa",AA36&lt;&gt;"Disetujui",AA36&lt;&gt;"Perlu Perbaikan"),"Hasil review tidak valid",IF(AND(Y36="Dikirim",OR(X36="",Z36="")),"Isi bukti dan waktu kirim",IF(AND(AA36="Disetujui",OR(Y36&lt;&gt;"Dikirim",AB36="",AC36="")),"Lengkapi pemeriksaan",IF(AND(AA36="Perlu Perbaikan",OR(AD36="",AB36="",AC36="")),"Isi pemeriksa dan catatan perbaikan","OK")))))))))))))))),"")</f>
        <v/>
      </c>
    </row>
    <row r="37" spans="1:38" ht="24.95" customHeight="1">
      <c r="A37" s="8"/>
      <c r="B37" s="6"/>
      <c r="C37" s="15" t="str">
        <f>IF(COUNTIFS(Master_PIC!$A$8:$A$73,$B37)=1,IF(VLOOKUP($B37,Master_PIC!$A$8:$G$73,2,FALSE)="","",VLOOKUP($B37,Master_PIC!$A$8:$G$73,2,FALSE)),"")</f>
        <v/>
      </c>
      <c r="D37" s="15" t="str">
        <f>IF(COUNTIFS(Master_PIC!$A$8:$A$73,$B37)=1,IF(VLOOKUP($B37,Master_PIC!$A$8:$G$73,4,FALSE)="","",VLOOKUP($B37,Master_PIC!$A$8:$G$73,4,FALSE)),"")</f>
        <v/>
      </c>
      <c r="E37" s="15" t="str">
        <f>IF(COUNTIFS(Master_PIC!$A$8:$A$73,$B37)=1,IF(VLOOKUP($B37,Master_PIC!$A$8:$G$73,5,FALSE)="","",VLOOKUP($B37,Master_PIC!$A$8:$G$73,5,FALSE)),"")</f>
        <v/>
      </c>
      <c r="F37" s="15" t="str">
        <f>IF(COUNTIFS(Master_PIC!$A$8:$A$73,$B37)=1,IF(VLOOKUP($B37,Master_PIC!$A$8:$G$73,6,FALSE)="","",VLOOKUP($B37,Master_PIC!$A$8:$G$73,6,FALSE)),"")</f>
        <v/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8"/>
      <c r="X37" s="5"/>
      <c r="Y37" s="5"/>
      <c r="Z37" s="9"/>
      <c r="AA37" s="5"/>
      <c r="AB37" s="5"/>
      <c r="AC37" s="9"/>
      <c r="AD37" s="5"/>
      <c r="AE37" s="7" t="str">
        <f t="shared" si="0"/>
        <v/>
      </c>
      <c r="AF37" s="7" t="str">
        <f t="shared" si="1"/>
        <v/>
      </c>
      <c r="AG37" s="7" t="str">
        <f t="shared" si="2"/>
        <v/>
      </c>
      <c r="AH37" s="7" t="str">
        <f t="shared" si="3"/>
        <v/>
      </c>
      <c r="AI37" s="7" t="str">
        <f t="shared" si="4"/>
        <v/>
      </c>
      <c r="AJ37" s="7" t="str">
        <f t="shared" si="5"/>
        <v/>
      </c>
      <c r="AK37" s="10" t="str">
        <f t="shared" si="6"/>
        <v/>
      </c>
      <c r="AL37" s="15" t="str">
        <f>IF(OR($A37&lt;&gt;"",$B37&lt;&gt;""),IF(OR($A37="",$B37=""),"Isi tanggal dan ID PIC",IF(NOT(ISNUMBER($A37)),"Tanggal harus berupa tanggal Excel",IF(COUNTIFS(Master_PIC!$A$8:$A$73,$B37)&lt;&gt;1,"ID PIC tidak unik/terdaftar",IF(VLOOKUP($B37,Master_PIC!$A$8:$G$73,3,FALSE)&lt;&gt;"SPV","Jabatan tidak sesuai sheet",IF(OR($C37="",$D37="",$E37="",$F37=""),"Lengkapi master PIC",IF(COUNTIFS($A$8:$A$507,$A37,$B$8:$B$507,$B37)&gt;1,"Laporan ganda",IF(COUNTIFS(G37:O37,"Tidak Berlaku")&gt;0,"N/A hanya untuk kegiatan bersyarat",IF(SUM(AF37,AG37,AH37,AI37,AJ37)&lt;&gt;13,"Status kegiatan tidak valid",IF(AJ37&gt;0,"Lengkapi status kegiatan",IF(AND(AI37&gt;0,T37=""),"Isi alasan Tidak Berlaku",IF(AND(SUM(AG37,AH37)&gt;0,OR(T37="",U37="",V37="",W37="")),"Isi kendala dan tindak lanjut",IF(AND(Y37&lt;&gt;"Draft",Y37&lt;&gt;"Dikirim"),"Isi status laporan yang valid",IF(AND(AA37&lt;&gt;"",AA37&lt;&gt;"Belum Diperiksa",AA37&lt;&gt;"Disetujui",AA37&lt;&gt;"Perlu Perbaikan"),"Hasil review tidak valid",IF(AND(Y37="Dikirim",OR(X37="",Z37="")),"Isi bukti dan waktu kirim",IF(AND(AA37="Disetujui",OR(Y37&lt;&gt;"Dikirim",AB37="",AC37="")),"Lengkapi pemeriksaan",IF(AND(AA37="Perlu Perbaikan",OR(AD37="",AB37="",AC37="")),"Isi pemeriksa dan catatan perbaikan","OK")))))))))))))))),"")</f>
        <v/>
      </c>
    </row>
    <row r="38" spans="1:38" ht="24.95" customHeight="1">
      <c r="A38" s="8"/>
      <c r="B38" s="6"/>
      <c r="C38" s="15" t="str">
        <f>IF(COUNTIFS(Master_PIC!$A$8:$A$73,$B38)=1,IF(VLOOKUP($B38,Master_PIC!$A$8:$G$73,2,FALSE)="","",VLOOKUP($B38,Master_PIC!$A$8:$G$73,2,FALSE)),"")</f>
        <v/>
      </c>
      <c r="D38" s="15" t="str">
        <f>IF(COUNTIFS(Master_PIC!$A$8:$A$73,$B38)=1,IF(VLOOKUP($B38,Master_PIC!$A$8:$G$73,4,FALSE)="","",VLOOKUP($B38,Master_PIC!$A$8:$G$73,4,FALSE)),"")</f>
        <v/>
      </c>
      <c r="E38" s="15" t="str">
        <f>IF(COUNTIFS(Master_PIC!$A$8:$A$73,$B38)=1,IF(VLOOKUP($B38,Master_PIC!$A$8:$G$73,5,FALSE)="","",VLOOKUP($B38,Master_PIC!$A$8:$G$73,5,FALSE)),"")</f>
        <v/>
      </c>
      <c r="F38" s="15" t="str">
        <f>IF(COUNTIFS(Master_PIC!$A$8:$A$73,$B38)=1,IF(VLOOKUP($B38,Master_PIC!$A$8:$G$73,6,FALSE)="","",VLOOKUP($B38,Master_PIC!$A$8:$G$73,6,FALSE)),"")</f>
        <v/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8"/>
      <c r="X38" s="5"/>
      <c r="Y38" s="5"/>
      <c r="Z38" s="9"/>
      <c r="AA38" s="5"/>
      <c r="AB38" s="5"/>
      <c r="AC38" s="9"/>
      <c r="AD38" s="5"/>
      <c r="AE38" s="7" t="str">
        <f t="shared" si="0"/>
        <v/>
      </c>
      <c r="AF38" s="7" t="str">
        <f t="shared" si="1"/>
        <v/>
      </c>
      <c r="AG38" s="7" t="str">
        <f t="shared" si="2"/>
        <v/>
      </c>
      <c r="AH38" s="7" t="str">
        <f t="shared" si="3"/>
        <v/>
      </c>
      <c r="AI38" s="7" t="str">
        <f t="shared" si="4"/>
        <v/>
      </c>
      <c r="AJ38" s="7" t="str">
        <f t="shared" si="5"/>
        <v/>
      </c>
      <c r="AK38" s="10" t="str">
        <f t="shared" si="6"/>
        <v/>
      </c>
      <c r="AL38" s="15" t="str">
        <f>IF(OR($A38&lt;&gt;"",$B38&lt;&gt;""),IF(OR($A38="",$B38=""),"Isi tanggal dan ID PIC",IF(NOT(ISNUMBER($A38)),"Tanggal harus berupa tanggal Excel",IF(COUNTIFS(Master_PIC!$A$8:$A$73,$B38)&lt;&gt;1,"ID PIC tidak unik/terdaftar",IF(VLOOKUP($B38,Master_PIC!$A$8:$G$73,3,FALSE)&lt;&gt;"SPV","Jabatan tidak sesuai sheet",IF(OR($C38="",$D38="",$E38="",$F38=""),"Lengkapi master PIC",IF(COUNTIFS($A$8:$A$507,$A38,$B$8:$B$507,$B38)&gt;1,"Laporan ganda",IF(COUNTIFS(G38:O38,"Tidak Berlaku")&gt;0,"N/A hanya untuk kegiatan bersyarat",IF(SUM(AF38,AG38,AH38,AI38,AJ38)&lt;&gt;13,"Status kegiatan tidak valid",IF(AJ38&gt;0,"Lengkapi status kegiatan",IF(AND(AI38&gt;0,T38=""),"Isi alasan Tidak Berlaku",IF(AND(SUM(AG38,AH38)&gt;0,OR(T38="",U38="",V38="",W38="")),"Isi kendala dan tindak lanjut",IF(AND(Y38&lt;&gt;"Draft",Y38&lt;&gt;"Dikirim"),"Isi status laporan yang valid",IF(AND(AA38&lt;&gt;"",AA38&lt;&gt;"Belum Diperiksa",AA38&lt;&gt;"Disetujui",AA38&lt;&gt;"Perlu Perbaikan"),"Hasil review tidak valid",IF(AND(Y38="Dikirim",OR(X38="",Z38="")),"Isi bukti dan waktu kirim",IF(AND(AA38="Disetujui",OR(Y38&lt;&gt;"Dikirim",AB38="",AC38="")),"Lengkapi pemeriksaan",IF(AND(AA38="Perlu Perbaikan",OR(AD38="",AB38="",AC38="")),"Isi pemeriksa dan catatan perbaikan","OK")))))))))))))))),"")</f>
        <v/>
      </c>
    </row>
    <row r="39" spans="1:38" ht="24.95" customHeight="1">
      <c r="A39" s="8"/>
      <c r="B39" s="6"/>
      <c r="C39" s="15" t="str">
        <f>IF(COUNTIFS(Master_PIC!$A$8:$A$73,$B39)=1,IF(VLOOKUP($B39,Master_PIC!$A$8:$G$73,2,FALSE)="","",VLOOKUP($B39,Master_PIC!$A$8:$G$73,2,FALSE)),"")</f>
        <v/>
      </c>
      <c r="D39" s="15" t="str">
        <f>IF(COUNTIFS(Master_PIC!$A$8:$A$73,$B39)=1,IF(VLOOKUP($B39,Master_PIC!$A$8:$G$73,4,FALSE)="","",VLOOKUP($B39,Master_PIC!$A$8:$G$73,4,FALSE)),"")</f>
        <v/>
      </c>
      <c r="E39" s="15" t="str">
        <f>IF(COUNTIFS(Master_PIC!$A$8:$A$73,$B39)=1,IF(VLOOKUP($B39,Master_PIC!$A$8:$G$73,5,FALSE)="","",VLOOKUP($B39,Master_PIC!$A$8:$G$73,5,FALSE)),"")</f>
        <v/>
      </c>
      <c r="F39" s="15" t="str">
        <f>IF(COUNTIFS(Master_PIC!$A$8:$A$73,$B39)=1,IF(VLOOKUP($B39,Master_PIC!$A$8:$G$73,6,FALSE)="","",VLOOKUP($B39,Master_PIC!$A$8:$G$73,6,FALSE)),"")</f>
        <v/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8"/>
      <c r="X39" s="5"/>
      <c r="Y39" s="5"/>
      <c r="Z39" s="9"/>
      <c r="AA39" s="5"/>
      <c r="AB39" s="5"/>
      <c r="AC39" s="9"/>
      <c r="AD39" s="5"/>
      <c r="AE39" s="7" t="str">
        <f t="shared" si="0"/>
        <v/>
      </c>
      <c r="AF39" s="7" t="str">
        <f t="shared" si="1"/>
        <v/>
      </c>
      <c r="AG39" s="7" t="str">
        <f t="shared" si="2"/>
        <v/>
      </c>
      <c r="AH39" s="7" t="str">
        <f t="shared" si="3"/>
        <v/>
      </c>
      <c r="AI39" s="7" t="str">
        <f t="shared" si="4"/>
        <v/>
      </c>
      <c r="AJ39" s="7" t="str">
        <f t="shared" si="5"/>
        <v/>
      </c>
      <c r="AK39" s="10" t="str">
        <f t="shared" si="6"/>
        <v/>
      </c>
      <c r="AL39" s="15" t="str">
        <f>IF(OR($A39&lt;&gt;"",$B39&lt;&gt;""),IF(OR($A39="",$B39=""),"Isi tanggal dan ID PIC",IF(NOT(ISNUMBER($A39)),"Tanggal harus berupa tanggal Excel",IF(COUNTIFS(Master_PIC!$A$8:$A$73,$B39)&lt;&gt;1,"ID PIC tidak unik/terdaftar",IF(VLOOKUP($B39,Master_PIC!$A$8:$G$73,3,FALSE)&lt;&gt;"SPV","Jabatan tidak sesuai sheet",IF(OR($C39="",$D39="",$E39="",$F39=""),"Lengkapi master PIC",IF(COUNTIFS($A$8:$A$507,$A39,$B$8:$B$507,$B39)&gt;1,"Laporan ganda",IF(COUNTIFS(G39:O39,"Tidak Berlaku")&gt;0,"N/A hanya untuk kegiatan bersyarat",IF(SUM(AF39,AG39,AH39,AI39,AJ39)&lt;&gt;13,"Status kegiatan tidak valid",IF(AJ39&gt;0,"Lengkapi status kegiatan",IF(AND(AI39&gt;0,T39=""),"Isi alasan Tidak Berlaku",IF(AND(SUM(AG39,AH39)&gt;0,OR(T39="",U39="",V39="",W39="")),"Isi kendala dan tindak lanjut",IF(AND(Y39&lt;&gt;"Draft",Y39&lt;&gt;"Dikirim"),"Isi status laporan yang valid",IF(AND(AA39&lt;&gt;"",AA39&lt;&gt;"Belum Diperiksa",AA39&lt;&gt;"Disetujui",AA39&lt;&gt;"Perlu Perbaikan"),"Hasil review tidak valid",IF(AND(Y39="Dikirim",OR(X39="",Z39="")),"Isi bukti dan waktu kirim",IF(AND(AA39="Disetujui",OR(Y39&lt;&gt;"Dikirim",AB39="",AC39="")),"Lengkapi pemeriksaan",IF(AND(AA39="Perlu Perbaikan",OR(AD39="",AB39="",AC39="")),"Isi pemeriksa dan catatan perbaikan","OK")))))))))))))))),"")</f>
        <v/>
      </c>
    </row>
    <row r="40" spans="1:38" ht="24.95" customHeight="1">
      <c r="A40" s="8"/>
      <c r="B40" s="6"/>
      <c r="C40" s="15" t="str">
        <f>IF(COUNTIFS(Master_PIC!$A$8:$A$73,$B40)=1,IF(VLOOKUP($B40,Master_PIC!$A$8:$G$73,2,FALSE)="","",VLOOKUP($B40,Master_PIC!$A$8:$G$73,2,FALSE)),"")</f>
        <v/>
      </c>
      <c r="D40" s="15" t="str">
        <f>IF(COUNTIFS(Master_PIC!$A$8:$A$73,$B40)=1,IF(VLOOKUP($B40,Master_PIC!$A$8:$G$73,4,FALSE)="","",VLOOKUP($B40,Master_PIC!$A$8:$G$73,4,FALSE)),"")</f>
        <v/>
      </c>
      <c r="E40" s="15" t="str">
        <f>IF(COUNTIFS(Master_PIC!$A$8:$A$73,$B40)=1,IF(VLOOKUP($B40,Master_PIC!$A$8:$G$73,5,FALSE)="","",VLOOKUP($B40,Master_PIC!$A$8:$G$73,5,FALSE)),"")</f>
        <v/>
      </c>
      <c r="F40" s="15" t="str">
        <f>IF(COUNTIFS(Master_PIC!$A$8:$A$73,$B40)=1,IF(VLOOKUP($B40,Master_PIC!$A$8:$G$73,6,FALSE)="","",VLOOKUP($B40,Master_PIC!$A$8:$G$73,6,FALSE)),"")</f>
        <v/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8"/>
      <c r="X40" s="5"/>
      <c r="Y40" s="5"/>
      <c r="Z40" s="9"/>
      <c r="AA40" s="5"/>
      <c r="AB40" s="5"/>
      <c r="AC40" s="9"/>
      <c r="AD40" s="5"/>
      <c r="AE40" s="7" t="str">
        <f t="shared" si="0"/>
        <v/>
      </c>
      <c r="AF40" s="7" t="str">
        <f t="shared" si="1"/>
        <v/>
      </c>
      <c r="AG40" s="7" t="str">
        <f t="shared" si="2"/>
        <v/>
      </c>
      <c r="AH40" s="7" t="str">
        <f t="shared" si="3"/>
        <v/>
      </c>
      <c r="AI40" s="7" t="str">
        <f t="shared" si="4"/>
        <v/>
      </c>
      <c r="AJ40" s="7" t="str">
        <f t="shared" si="5"/>
        <v/>
      </c>
      <c r="AK40" s="10" t="str">
        <f t="shared" si="6"/>
        <v/>
      </c>
      <c r="AL40" s="15" t="str">
        <f>IF(OR($A40&lt;&gt;"",$B40&lt;&gt;""),IF(OR($A40="",$B40=""),"Isi tanggal dan ID PIC",IF(NOT(ISNUMBER($A40)),"Tanggal harus berupa tanggal Excel",IF(COUNTIFS(Master_PIC!$A$8:$A$73,$B40)&lt;&gt;1,"ID PIC tidak unik/terdaftar",IF(VLOOKUP($B40,Master_PIC!$A$8:$G$73,3,FALSE)&lt;&gt;"SPV","Jabatan tidak sesuai sheet",IF(OR($C40="",$D40="",$E40="",$F40=""),"Lengkapi master PIC",IF(COUNTIFS($A$8:$A$507,$A40,$B$8:$B$507,$B40)&gt;1,"Laporan ganda",IF(COUNTIFS(G40:O40,"Tidak Berlaku")&gt;0,"N/A hanya untuk kegiatan bersyarat",IF(SUM(AF40,AG40,AH40,AI40,AJ40)&lt;&gt;13,"Status kegiatan tidak valid",IF(AJ40&gt;0,"Lengkapi status kegiatan",IF(AND(AI40&gt;0,T40=""),"Isi alasan Tidak Berlaku",IF(AND(SUM(AG40,AH40)&gt;0,OR(T40="",U40="",V40="",W40="")),"Isi kendala dan tindak lanjut",IF(AND(Y40&lt;&gt;"Draft",Y40&lt;&gt;"Dikirim"),"Isi status laporan yang valid",IF(AND(AA40&lt;&gt;"",AA40&lt;&gt;"Belum Diperiksa",AA40&lt;&gt;"Disetujui",AA40&lt;&gt;"Perlu Perbaikan"),"Hasil review tidak valid",IF(AND(Y40="Dikirim",OR(X40="",Z40="")),"Isi bukti dan waktu kirim",IF(AND(AA40="Disetujui",OR(Y40&lt;&gt;"Dikirim",AB40="",AC40="")),"Lengkapi pemeriksaan",IF(AND(AA40="Perlu Perbaikan",OR(AD40="",AB40="",AC40="")),"Isi pemeriksa dan catatan perbaikan","OK")))))))))))))))),"")</f>
        <v/>
      </c>
    </row>
    <row r="41" spans="1:38" ht="24.95" customHeight="1">
      <c r="A41" s="8"/>
      <c r="B41" s="6"/>
      <c r="C41" s="15" t="str">
        <f>IF(COUNTIFS(Master_PIC!$A$8:$A$73,$B41)=1,IF(VLOOKUP($B41,Master_PIC!$A$8:$G$73,2,FALSE)="","",VLOOKUP($B41,Master_PIC!$A$8:$G$73,2,FALSE)),"")</f>
        <v/>
      </c>
      <c r="D41" s="15" t="str">
        <f>IF(COUNTIFS(Master_PIC!$A$8:$A$73,$B41)=1,IF(VLOOKUP($B41,Master_PIC!$A$8:$G$73,4,FALSE)="","",VLOOKUP($B41,Master_PIC!$A$8:$G$73,4,FALSE)),"")</f>
        <v/>
      </c>
      <c r="E41" s="15" t="str">
        <f>IF(COUNTIFS(Master_PIC!$A$8:$A$73,$B41)=1,IF(VLOOKUP($B41,Master_PIC!$A$8:$G$73,5,FALSE)="","",VLOOKUP($B41,Master_PIC!$A$8:$G$73,5,FALSE)),"")</f>
        <v/>
      </c>
      <c r="F41" s="15" t="str">
        <f>IF(COUNTIFS(Master_PIC!$A$8:$A$73,$B41)=1,IF(VLOOKUP($B41,Master_PIC!$A$8:$G$73,6,FALSE)="","",VLOOKUP($B41,Master_PIC!$A$8:$G$73,6,FALSE)),"")</f>
        <v/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8"/>
      <c r="X41" s="5"/>
      <c r="Y41" s="5"/>
      <c r="Z41" s="9"/>
      <c r="AA41" s="5"/>
      <c r="AB41" s="5"/>
      <c r="AC41" s="9"/>
      <c r="AD41" s="5"/>
      <c r="AE41" s="7" t="str">
        <f t="shared" si="0"/>
        <v/>
      </c>
      <c r="AF41" s="7" t="str">
        <f t="shared" si="1"/>
        <v/>
      </c>
      <c r="AG41" s="7" t="str">
        <f t="shared" si="2"/>
        <v/>
      </c>
      <c r="AH41" s="7" t="str">
        <f t="shared" si="3"/>
        <v/>
      </c>
      <c r="AI41" s="7" t="str">
        <f t="shared" si="4"/>
        <v/>
      </c>
      <c r="AJ41" s="7" t="str">
        <f t="shared" si="5"/>
        <v/>
      </c>
      <c r="AK41" s="10" t="str">
        <f t="shared" si="6"/>
        <v/>
      </c>
      <c r="AL41" s="15" t="str">
        <f>IF(OR($A41&lt;&gt;"",$B41&lt;&gt;""),IF(OR($A41="",$B41=""),"Isi tanggal dan ID PIC",IF(NOT(ISNUMBER($A41)),"Tanggal harus berupa tanggal Excel",IF(COUNTIFS(Master_PIC!$A$8:$A$73,$B41)&lt;&gt;1,"ID PIC tidak unik/terdaftar",IF(VLOOKUP($B41,Master_PIC!$A$8:$G$73,3,FALSE)&lt;&gt;"SPV","Jabatan tidak sesuai sheet",IF(OR($C41="",$D41="",$E41="",$F41=""),"Lengkapi master PIC",IF(COUNTIFS($A$8:$A$507,$A41,$B$8:$B$507,$B41)&gt;1,"Laporan ganda",IF(COUNTIFS(G41:O41,"Tidak Berlaku")&gt;0,"N/A hanya untuk kegiatan bersyarat",IF(SUM(AF41,AG41,AH41,AI41,AJ41)&lt;&gt;13,"Status kegiatan tidak valid",IF(AJ41&gt;0,"Lengkapi status kegiatan",IF(AND(AI41&gt;0,T41=""),"Isi alasan Tidak Berlaku",IF(AND(SUM(AG41,AH41)&gt;0,OR(T41="",U41="",V41="",W41="")),"Isi kendala dan tindak lanjut",IF(AND(Y41&lt;&gt;"Draft",Y41&lt;&gt;"Dikirim"),"Isi status laporan yang valid",IF(AND(AA41&lt;&gt;"",AA41&lt;&gt;"Belum Diperiksa",AA41&lt;&gt;"Disetujui",AA41&lt;&gt;"Perlu Perbaikan"),"Hasil review tidak valid",IF(AND(Y41="Dikirim",OR(X41="",Z41="")),"Isi bukti dan waktu kirim",IF(AND(AA41="Disetujui",OR(Y41&lt;&gt;"Dikirim",AB41="",AC41="")),"Lengkapi pemeriksaan",IF(AND(AA41="Perlu Perbaikan",OR(AD41="",AB41="",AC41="")),"Isi pemeriksa dan catatan perbaikan","OK")))))))))))))))),"")</f>
        <v/>
      </c>
    </row>
    <row r="42" spans="1:38" ht="24.95" customHeight="1">
      <c r="A42" s="8"/>
      <c r="B42" s="6"/>
      <c r="C42" s="15" t="str">
        <f>IF(COUNTIFS(Master_PIC!$A$8:$A$73,$B42)=1,IF(VLOOKUP($B42,Master_PIC!$A$8:$G$73,2,FALSE)="","",VLOOKUP($B42,Master_PIC!$A$8:$G$73,2,FALSE)),"")</f>
        <v/>
      </c>
      <c r="D42" s="15" t="str">
        <f>IF(COUNTIFS(Master_PIC!$A$8:$A$73,$B42)=1,IF(VLOOKUP($B42,Master_PIC!$A$8:$G$73,4,FALSE)="","",VLOOKUP($B42,Master_PIC!$A$8:$G$73,4,FALSE)),"")</f>
        <v/>
      </c>
      <c r="E42" s="15" t="str">
        <f>IF(COUNTIFS(Master_PIC!$A$8:$A$73,$B42)=1,IF(VLOOKUP($B42,Master_PIC!$A$8:$G$73,5,FALSE)="","",VLOOKUP($B42,Master_PIC!$A$8:$G$73,5,FALSE)),"")</f>
        <v/>
      </c>
      <c r="F42" s="15" t="str">
        <f>IF(COUNTIFS(Master_PIC!$A$8:$A$73,$B42)=1,IF(VLOOKUP($B42,Master_PIC!$A$8:$G$73,6,FALSE)="","",VLOOKUP($B42,Master_PIC!$A$8:$G$73,6,FALSE)),"")</f>
        <v/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9"/>
      <c r="AA42" s="5"/>
      <c r="AB42" s="5"/>
      <c r="AC42" s="9"/>
      <c r="AD42" s="5"/>
      <c r="AE42" s="7" t="str">
        <f t="shared" si="0"/>
        <v/>
      </c>
      <c r="AF42" s="7" t="str">
        <f t="shared" si="1"/>
        <v/>
      </c>
      <c r="AG42" s="7" t="str">
        <f t="shared" si="2"/>
        <v/>
      </c>
      <c r="AH42" s="7" t="str">
        <f t="shared" si="3"/>
        <v/>
      </c>
      <c r="AI42" s="7" t="str">
        <f t="shared" si="4"/>
        <v/>
      </c>
      <c r="AJ42" s="7" t="str">
        <f t="shared" si="5"/>
        <v/>
      </c>
      <c r="AK42" s="10" t="str">
        <f t="shared" si="6"/>
        <v/>
      </c>
      <c r="AL42" s="15" t="str">
        <f>IF(OR($A42&lt;&gt;"",$B42&lt;&gt;""),IF(OR($A42="",$B42=""),"Isi tanggal dan ID PIC",IF(NOT(ISNUMBER($A42)),"Tanggal harus berupa tanggal Excel",IF(COUNTIFS(Master_PIC!$A$8:$A$73,$B42)&lt;&gt;1,"ID PIC tidak unik/terdaftar",IF(VLOOKUP($B42,Master_PIC!$A$8:$G$73,3,FALSE)&lt;&gt;"SPV","Jabatan tidak sesuai sheet",IF(OR($C42="",$D42="",$E42="",$F42=""),"Lengkapi master PIC",IF(COUNTIFS($A$8:$A$507,$A42,$B$8:$B$507,$B42)&gt;1,"Laporan ganda",IF(COUNTIFS(G42:O42,"Tidak Berlaku")&gt;0,"N/A hanya untuk kegiatan bersyarat",IF(SUM(AF42,AG42,AH42,AI42,AJ42)&lt;&gt;13,"Status kegiatan tidak valid",IF(AJ42&gt;0,"Lengkapi status kegiatan",IF(AND(AI42&gt;0,T42=""),"Isi alasan Tidak Berlaku",IF(AND(SUM(AG42,AH42)&gt;0,OR(T42="",U42="",V42="",W42="")),"Isi kendala dan tindak lanjut",IF(AND(Y42&lt;&gt;"Draft",Y42&lt;&gt;"Dikirim"),"Isi status laporan yang valid",IF(AND(AA42&lt;&gt;"",AA42&lt;&gt;"Belum Diperiksa",AA42&lt;&gt;"Disetujui",AA42&lt;&gt;"Perlu Perbaikan"),"Hasil review tidak valid",IF(AND(Y42="Dikirim",OR(X42="",Z42="")),"Isi bukti dan waktu kirim",IF(AND(AA42="Disetujui",OR(Y42&lt;&gt;"Dikirim",AB42="",AC42="")),"Lengkapi pemeriksaan",IF(AND(AA42="Perlu Perbaikan",OR(AD42="",AB42="",AC42="")),"Isi pemeriksa dan catatan perbaikan","OK")))))))))))))))),"")</f>
        <v/>
      </c>
    </row>
    <row r="43" spans="1:38" ht="24.95" customHeight="1">
      <c r="A43" s="8"/>
      <c r="B43" s="6"/>
      <c r="C43" s="15" t="str">
        <f>IF(COUNTIFS(Master_PIC!$A$8:$A$73,$B43)=1,IF(VLOOKUP($B43,Master_PIC!$A$8:$G$73,2,FALSE)="","",VLOOKUP($B43,Master_PIC!$A$8:$G$73,2,FALSE)),"")</f>
        <v/>
      </c>
      <c r="D43" s="15" t="str">
        <f>IF(COUNTIFS(Master_PIC!$A$8:$A$73,$B43)=1,IF(VLOOKUP($B43,Master_PIC!$A$8:$G$73,4,FALSE)="","",VLOOKUP($B43,Master_PIC!$A$8:$G$73,4,FALSE)),"")</f>
        <v/>
      </c>
      <c r="E43" s="15" t="str">
        <f>IF(COUNTIFS(Master_PIC!$A$8:$A$73,$B43)=1,IF(VLOOKUP($B43,Master_PIC!$A$8:$G$73,5,FALSE)="","",VLOOKUP($B43,Master_PIC!$A$8:$G$73,5,FALSE)),"")</f>
        <v/>
      </c>
      <c r="F43" s="15" t="str">
        <f>IF(COUNTIFS(Master_PIC!$A$8:$A$73,$B43)=1,IF(VLOOKUP($B43,Master_PIC!$A$8:$G$73,6,FALSE)="","",VLOOKUP($B43,Master_PIC!$A$8:$G$73,6,FALSE)),"")</f>
        <v/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8"/>
      <c r="X43" s="5"/>
      <c r="Y43" s="5"/>
      <c r="Z43" s="9"/>
      <c r="AA43" s="5"/>
      <c r="AB43" s="5"/>
      <c r="AC43" s="9"/>
      <c r="AD43" s="5"/>
      <c r="AE43" s="7" t="str">
        <f t="shared" si="0"/>
        <v/>
      </c>
      <c r="AF43" s="7" t="str">
        <f t="shared" si="1"/>
        <v/>
      </c>
      <c r="AG43" s="7" t="str">
        <f t="shared" si="2"/>
        <v/>
      </c>
      <c r="AH43" s="7" t="str">
        <f t="shared" si="3"/>
        <v/>
      </c>
      <c r="AI43" s="7" t="str">
        <f t="shared" si="4"/>
        <v/>
      </c>
      <c r="AJ43" s="7" t="str">
        <f t="shared" si="5"/>
        <v/>
      </c>
      <c r="AK43" s="10" t="str">
        <f t="shared" si="6"/>
        <v/>
      </c>
      <c r="AL43" s="15" t="str">
        <f>IF(OR($A43&lt;&gt;"",$B43&lt;&gt;""),IF(OR($A43="",$B43=""),"Isi tanggal dan ID PIC",IF(NOT(ISNUMBER($A43)),"Tanggal harus berupa tanggal Excel",IF(COUNTIFS(Master_PIC!$A$8:$A$73,$B43)&lt;&gt;1,"ID PIC tidak unik/terdaftar",IF(VLOOKUP($B43,Master_PIC!$A$8:$G$73,3,FALSE)&lt;&gt;"SPV","Jabatan tidak sesuai sheet",IF(OR($C43="",$D43="",$E43="",$F43=""),"Lengkapi master PIC",IF(COUNTIFS($A$8:$A$507,$A43,$B$8:$B$507,$B43)&gt;1,"Laporan ganda",IF(COUNTIFS(G43:O43,"Tidak Berlaku")&gt;0,"N/A hanya untuk kegiatan bersyarat",IF(SUM(AF43,AG43,AH43,AI43,AJ43)&lt;&gt;13,"Status kegiatan tidak valid",IF(AJ43&gt;0,"Lengkapi status kegiatan",IF(AND(AI43&gt;0,T43=""),"Isi alasan Tidak Berlaku",IF(AND(SUM(AG43,AH43)&gt;0,OR(T43="",U43="",V43="",W43="")),"Isi kendala dan tindak lanjut",IF(AND(Y43&lt;&gt;"Draft",Y43&lt;&gt;"Dikirim"),"Isi status laporan yang valid",IF(AND(AA43&lt;&gt;"",AA43&lt;&gt;"Belum Diperiksa",AA43&lt;&gt;"Disetujui",AA43&lt;&gt;"Perlu Perbaikan"),"Hasil review tidak valid",IF(AND(Y43="Dikirim",OR(X43="",Z43="")),"Isi bukti dan waktu kirim",IF(AND(AA43="Disetujui",OR(Y43&lt;&gt;"Dikirim",AB43="",AC43="")),"Lengkapi pemeriksaan",IF(AND(AA43="Perlu Perbaikan",OR(AD43="",AB43="",AC43="")),"Isi pemeriksa dan catatan perbaikan","OK")))))))))))))))),"")</f>
        <v/>
      </c>
    </row>
    <row r="44" spans="1:38" ht="24.95" customHeight="1">
      <c r="A44" s="8"/>
      <c r="B44" s="6"/>
      <c r="C44" s="15" t="str">
        <f>IF(COUNTIFS(Master_PIC!$A$8:$A$73,$B44)=1,IF(VLOOKUP($B44,Master_PIC!$A$8:$G$73,2,FALSE)="","",VLOOKUP($B44,Master_PIC!$A$8:$G$73,2,FALSE)),"")</f>
        <v/>
      </c>
      <c r="D44" s="15" t="str">
        <f>IF(COUNTIFS(Master_PIC!$A$8:$A$73,$B44)=1,IF(VLOOKUP($B44,Master_PIC!$A$8:$G$73,4,FALSE)="","",VLOOKUP($B44,Master_PIC!$A$8:$G$73,4,FALSE)),"")</f>
        <v/>
      </c>
      <c r="E44" s="15" t="str">
        <f>IF(COUNTIFS(Master_PIC!$A$8:$A$73,$B44)=1,IF(VLOOKUP($B44,Master_PIC!$A$8:$G$73,5,FALSE)="","",VLOOKUP($B44,Master_PIC!$A$8:$G$73,5,FALSE)),"")</f>
        <v/>
      </c>
      <c r="F44" s="15" t="str">
        <f>IF(COUNTIFS(Master_PIC!$A$8:$A$73,$B44)=1,IF(VLOOKUP($B44,Master_PIC!$A$8:$G$73,6,FALSE)="","",VLOOKUP($B44,Master_PIC!$A$8:$G$73,6,FALSE)),"")</f>
        <v/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8"/>
      <c r="X44" s="5"/>
      <c r="Y44" s="5"/>
      <c r="Z44" s="9"/>
      <c r="AA44" s="5"/>
      <c r="AB44" s="5"/>
      <c r="AC44" s="9"/>
      <c r="AD44" s="5"/>
      <c r="AE44" s="7" t="str">
        <f t="shared" si="0"/>
        <v/>
      </c>
      <c r="AF44" s="7" t="str">
        <f t="shared" si="1"/>
        <v/>
      </c>
      <c r="AG44" s="7" t="str">
        <f t="shared" si="2"/>
        <v/>
      </c>
      <c r="AH44" s="7" t="str">
        <f t="shared" si="3"/>
        <v/>
      </c>
      <c r="AI44" s="7" t="str">
        <f t="shared" si="4"/>
        <v/>
      </c>
      <c r="AJ44" s="7" t="str">
        <f t="shared" si="5"/>
        <v/>
      </c>
      <c r="AK44" s="10" t="str">
        <f t="shared" si="6"/>
        <v/>
      </c>
      <c r="AL44" s="15" t="str">
        <f>IF(OR($A44&lt;&gt;"",$B44&lt;&gt;""),IF(OR($A44="",$B44=""),"Isi tanggal dan ID PIC",IF(NOT(ISNUMBER($A44)),"Tanggal harus berupa tanggal Excel",IF(COUNTIFS(Master_PIC!$A$8:$A$73,$B44)&lt;&gt;1,"ID PIC tidak unik/terdaftar",IF(VLOOKUP($B44,Master_PIC!$A$8:$G$73,3,FALSE)&lt;&gt;"SPV","Jabatan tidak sesuai sheet",IF(OR($C44="",$D44="",$E44="",$F44=""),"Lengkapi master PIC",IF(COUNTIFS($A$8:$A$507,$A44,$B$8:$B$507,$B44)&gt;1,"Laporan ganda",IF(COUNTIFS(G44:O44,"Tidak Berlaku")&gt;0,"N/A hanya untuk kegiatan bersyarat",IF(SUM(AF44,AG44,AH44,AI44,AJ44)&lt;&gt;13,"Status kegiatan tidak valid",IF(AJ44&gt;0,"Lengkapi status kegiatan",IF(AND(AI44&gt;0,T44=""),"Isi alasan Tidak Berlaku",IF(AND(SUM(AG44,AH44)&gt;0,OR(T44="",U44="",V44="",W44="")),"Isi kendala dan tindak lanjut",IF(AND(Y44&lt;&gt;"Draft",Y44&lt;&gt;"Dikirim"),"Isi status laporan yang valid",IF(AND(AA44&lt;&gt;"",AA44&lt;&gt;"Belum Diperiksa",AA44&lt;&gt;"Disetujui",AA44&lt;&gt;"Perlu Perbaikan"),"Hasil review tidak valid",IF(AND(Y44="Dikirim",OR(X44="",Z44="")),"Isi bukti dan waktu kirim",IF(AND(AA44="Disetujui",OR(Y44&lt;&gt;"Dikirim",AB44="",AC44="")),"Lengkapi pemeriksaan",IF(AND(AA44="Perlu Perbaikan",OR(AD44="",AB44="",AC44="")),"Isi pemeriksa dan catatan perbaikan","OK")))))))))))))))),"")</f>
        <v/>
      </c>
    </row>
    <row r="45" spans="1:38" ht="24.95" customHeight="1">
      <c r="A45" s="8"/>
      <c r="B45" s="6"/>
      <c r="C45" s="15" t="str">
        <f>IF(COUNTIFS(Master_PIC!$A$8:$A$73,$B45)=1,IF(VLOOKUP($B45,Master_PIC!$A$8:$G$73,2,FALSE)="","",VLOOKUP($B45,Master_PIC!$A$8:$G$73,2,FALSE)),"")</f>
        <v/>
      </c>
      <c r="D45" s="15" t="str">
        <f>IF(COUNTIFS(Master_PIC!$A$8:$A$73,$B45)=1,IF(VLOOKUP($B45,Master_PIC!$A$8:$G$73,4,FALSE)="","",VLOOKUP($B45,Master_PIC!$A$8:$G$73,4,FALSE)),"")</f>
        <v/>
      </c>
      <c r="E45" s="15" t="str">
        <f>IF(COUNTIFS(Master_PIC!$A$8:$A$73,$B45)=1,IF(VLOOKUP($B45,Master_PIC!$A$8:$G$73,5,FALSE)="","",VLOOKUP($B45,Master_PIC!$A$8:$G$73,5,FALSE)),"")</f>
        <v/>
      </c>
      <c r="F45" s="15" t="str">
        <f>IF(COUNTIFS(Master_PIC!$A$8:$A$73,$B45)=1,IF(VLOOKUP($B45,Master_PIC!$A$8:$G$73,6,FALSE)="","",VLOOKUP($B45,Master_PIC!$A$8:$G$73,6,FALSE)),"")</f>
        <v/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8"/>
      <c r="X45" s="5"/>
      <c r="Y45" s="5"/>
      <c r="Z45" s="9"/>
      <c r="AA45" s="5"/>
      <c r="AB45" s="5"/>
      <c r="AC45" s="9"/>
      <c r="AD45" s="5"/>
      <c r="AE45" s="7" t="str">
        <f t="shared" si="0"/>
        <v/>
      </c>
      <c r="AF45" s="7" t="str">
        <f t="shared" si="1"/>
        <v/>
      </c>
      <c r="AG45" s="7" t="str">
        <f t="shared" si="2"/>
        <v/>
      </c>
      <c r="AH45" s="7" t="str">
        <f t="shared" si="3"/>
        <v/>
      </c>
      <c r="AI45" s="7" t="str">
        <f t="shared" si="4"/>
        <v/>
      </c>
      <c r="AJ45" s="7" t="str">
        <f t="shared" si="5"/>
        <v/>
      </c>
      <c r="AK45" s="10" t="str">
        <f t="shared" si="6"/>
        <v/>
      </c>
      <c r="AL45" s="15" t="str">
        <f>IF(OR($A45&lt;&gt;"",$B45&lt;&gt;""),IF(OR($A45="",$B45=""),"Isi tanggal dan ID PIC",IF(NOT(ISNUMBER($A45)),"Tanggal harus berupa tanggal Excel",IF(COUNTIFS(Master_PIC!$A$8:$A$73,$B45)&lt;&gt;1,"ID PIC tidak unik/terdaftar",IF(VLOOKUP($B45,Master_PIC!$A$8:$G$73,3,FALSE)&lt;&gt;"SPV","Jabatan tidak sesuai sheet",IF(OR($C45="",$D45="",$E45="",$F45=""),"Lengkapi master PIC",IF(COUNTIFS($A$8:$A$507,$A45,$B$8:$B$507,$B45)&gt;1,"Laporan ganda",IF(COUNTIFS(G45:O45,"Tidak Berlaku")&gt;0,"N/A hanya untuk kegiatan bersyarat",IF(SUM(AF45,AG45,AH45,AI45,AJ45)&lt;&gt;13,"Status kegiatan tidak valid",IF(AJ45&gt;0,"Lengkapi status kegiatan",IF(AND(AI45&gt;0,T45=""),"Isi alasan Tidak Berlaku",IF(AND(SUM(AG45,AH45)&gt;0,OR(T45="",U45="",V45="",W45="")),"Isi kendala dan tindak lanjut",IF(AND(Y45&lt;&gt;"Draft",Y45&lt;&gt;"Dikirim"),"Isi status laporan yang valid",IF(AND(AA45&lt;&gt;"",AA45&lt;&gt;"Belum Diperiksa",AA45&lt;&gt;"Disetujui",AA45&lt;&gt;"Perlu Perbaikan"),"Hasil review tidak valid",IF(AND(Y45="Dikirim",OR(X45="",Z45="")),"Isi bukti dan waktu kirim",IF(AND(AA45="Disetujui",OR(Y45&lt;&gt;"Dikirim",AB45="",AC45="")),"Lengkapi pemeriksaan",IF(AND(AA45="Perlu Perbaikan",OR(AD45="",AB45="",AC45="")),"Isi pemeriksa dan catatan perbaikan","OK")))))))))))))))),"")</f>
        <v/>
      </c>
    </row>
    <row r="46" spans="1:38" ht="24.95" customHeight="1">
      <c r="A46" s="8"/>
      <c r="B46" s="6"/>
      <c r="C46" s="15" t="str">
        <f>IF(COUNTIFS(Master_PIC!$A$8:$A$73,$B46)=1,IF(VLOOKUP($B46,Master_PIC!$A$8:$G$73,2,FALSE)="","",VLOOKUP($B46,Master_PIC!$A$8:$G$73,2,FALSE)),"")</f>
        <v/>
      </c>
      <c r="D46" s="15" t="str">
        <f>IF(COUNTIFS(Master_PIC!$A$8:$A$73,$B46)=1,IF(VLOOKUP($B46,Master_PIC!$A$8:$G$73,4,FALSE)="","",VLOOKUP($B46,Master_PIC!$A$8:$G$73,4,FALSE)),"")</f>
        <v/>
      </c>
      <c r="E46" s="15" t="str">
        <f>IF(COUNTIFS(Master_PIC!$A$8:$A$73,$B46)=1,IF(VLOOKUP($B46,Master_PIC!$A$8:$G$73,5,FALSE)="","",VLOOKUP($B46,Master_PIC!$A$8:$G$73,5,FALSE)),"")</f>
        <v/>
      </c>
      <c r="F46" s="15" t="str">
        <f>IF(COUNTIFS(Master_PIC!$A$8:$A$73,$B46)=1,IF(VLOOKUP($B46,Master_PIC!$A$8:$G$73,6,FALSE)="","",VLOOKUP($B46,Master_PIC!$A$8:$G$73,6,FALSE)),"")</f>
        <v/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8"/>
      <c r="X46" s="5"/>
      <c r="Y46" s="5"/>
      <c r="Z46" s="9"/>
      <c r="AA46" s="5"/>
      <c r="AB46" s="5"/>
      <c r="AC46" s="9"/>
      <c r="AD46" s="5"/>
      <c r="AE46" s="7" t="str">
        <f t="shared" si="0"/>
        <v/>
      </c>
      <c r="AF46" s="7" t="str">
        <f t="shared" si="1"/>
        <v/>
      </c>
      <c r="AG46" s="7" t="str">
        <f t="shared" si="2"/>
        <v/>
      </c>
      <c r="AH46" s="7" t="str">
        <f t="shared" si="3"/>
        <v/>
      </c>
      <c r="AI46" s="7" t="str">
        <f t="shared" si="4"/>
        <v/>
      </c>
      <c r="AJ46" s="7" t="str">
        <f t="shared" si="5"/>
        <v/>
      </c>
      <c r="AK46" s="10" t="str">
        <f t="shared" si="6"/>
        <v/>
      </c>
      <c r="AL46" s="15" t="str">
        <f>IF(OR($A46&lt;&gt;"",$B46&lt;&gt;""),IF(OR($A46="",$B46=""),"Isi tanggal dan ID PIC",IF(NOT(ISNUMBER($A46)),"Tanggal harus berupa tanggal Excel",IF(COUNTIFS(Master_PIC!$A$8:$A$73,$B46)&lt;&gt;1,"ID PIC tidak unik/terdaftar",IF(VLOOKUP($B46,Master_PIC!$A$8:$G$73,3,FALSE)&lt;&gt;"SPV","Jabatan tidak sesuai sheet",IF(OR($C46="",$D46="",$E46="",$F46=""),"Lengkapi master PIC",IF(COUNTIFS($A$8:$A$507,$A46,$B$8:$B$507,$B46)&gt;1,"Laporan ganda",IF(COUNTIFS(G46:O46,"Tidak Berlaku")&gt;0,"N/A hanya untuk kegiatan bersyarat",IF(SUM(AF46,AG46,AH46,AI46,AJ46)&lt;&gt;13,"Status kegiatan tidak valid",IF(AJ46&gt;0,"Lengkapi status kegiatan",IF(AND(AI46&gt;0,T46=""),"Isi alasan Tidak Berlaku",IF(AND(SUM(AG46,AH46)&gt;0,OR(T46="",U46="",V46="",W46="")),"Isi kendala dan tindak lanjut",IF(AND(Y46&lt;&gt;"Draft",Y46&lt;&gt;"Dikirim"),"Isi status laporan yang valid",IF(AND(AA46&lt;&gt;"",AA46&lt;&gt;"Belum Diperiksa",AA46&lt;&gt;"Disetujui",AA46&lt;&gt;"Perlu Perbaikan"),"Hasil review tidak valid",IF(AND(Y46="Dikirim",OR(X46="",Z46="")),"Isi bukti dan waktu kirim",IF(AND(AA46="Disetujui",OR(Y46&lt;&gt;"Dikirim",AB46="",AC46="")),"Lengkapi pemeriksaan",IF(AND(AA46="Perlu Perbaikan",OR(AD46="",AB46="",AC46="")),"Isi pemeriksa dan catatan perbaikan","OK")))))))))))))))),"")</f>
        <v/>
      </c>
    </row>
    <row r="47" spans="1:38" ht="24.95" customHeight="1">
      <c r="A47" s="8"/>
      <c r="B47" s="6"/>
      <c r="C47" s="15" t="str">
        <f>IF(COUNTIFS(Master_PIC!$A$8:$A$73,$B47)=1,IF(VLOOKUP($B47,Master_PIC!$A$8:$G$73,2,FALSE)="","",VLOOKUP($B47,Master_PIC!$A$8:$G$73,2,FALSE)),"")</f>
        <v/>
      </c>
      <c r="D47" s="15" t="str">
        <f>IF(COUNTIFS(Master_PIC!$A$8:$A$73,$B47)=1,IF(VLOOKUP($B47,Master_PIC!$A$8:$G$73,4,FALSE)="","",VLOOKUP($B47,Master_PIC!$A$8:$G$73,4,FALSE)),"")</f>
        <v/>
      </c>
      <c r="E47" s="15" t="str">
        <f>IF(COUNTIFS(Master_PIC!$A$8:$A$73,$B47)=1,IF(VLOOKUP($B47,Master_PIC!$A$8:$G$73,5,FALSE)="","",VLOOKUP($B47,Master_PIC!$A$8:$G$73,5,FALSE)),"")</f>
        <v/>
      </c>
      <c r="F47" s="15" t="str">
        <f>IF(COUNTIFS(Master_PIC!$A$8:$A$73,$B47)=1,IF(VLOOKUP($B47,Master_PIC!$A$8:$G$73,6,FALSE)="","",VLOOKUP($B47,Master_PIC!$A$8:$G$73,6,FALSE)),"")</f>
        <v/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8"/>
      <c r="X47" s="5"/>
      <c r="Y47" s="5"/>
      <c r="Z47" s="9"/>
      <c r="AA47" s="5"/>
      <c r="AB47" s="5"/>
      <c r="AC47" s="9"/>
      <c r="AD47" s="5"/>
      <c r="AE47" s="7" t="str">
        <f t="shared" si="0"/>
        <v/>
      </c>
      <c r="AF47" s="7" t="str">
        <f t="shared" si="1"/>
        <v/>
      </c>
      <c r="AG47" s="7" t="str">
        <f t="shared" si="2"/>
        <v/>
      </c>
      <c r="AH47" s="7" t="str">
        <f t="shared" si="3"/>
        <v/>
      </c>
      <c r="AI47" s="7" t="str">
        <f t="shared" si="4"/>
        <v/>
      </c>
      <c r="AJ47" s="7" t="str">
        <f t="shared" si="5"/>
        <v/>
      </c>
      <c r="AK47" s="10" t="str">
        <f t="shared" si="6"/>
        <v/>
      </c>
      <c r="AL47" s="15" t="str">
        <f>IF(OR($A47&lt;&gt;"",$B47&lt;&gt;""),IF(OR($A47="",$B47=""),"Isi tanggal dan ID PIC",IF(NOT(ISNUMBER($A47)),"Tanggal harus berupa tanggal Excel",IF(COUNTIFS(Master_PIC!$A$8:$A$73,$B47)&lt;&gt;1,"ID PIC tidak unik/terdaftar",IF(VLOOKUP($B47,Master_PIC!$A$8:$G$73,3,FALSE)&lt;&gt;"SPV","Jabatan tidak sesuai sheet",IF(OR($C47="",$D47="",$E47="",$F47=""),"Lengkapi master PIC",IF(COUNTIFS($A$8:$A$507,$A47,$B$8:$B$507,$B47)&gt;1,"Laporan ganda",IF(COUNTIFS(G47:O47,"Tidak Berlaku")&gt;0,"N/A hanya untuk kegiatan bersyarat",IF(SUM(AF47,AG47,AH47,AI47,AJ47)&lt;&gt;13,"Status kegiatan tidak valid",IF(AJ47&gt;0,"Lengkapi status kegiatan",IF(AND(AI47&gt;0,T47=""),"Isi alasan Tidak Berlaku",IF(AND(SUM(AG47,AH47)&gt;0,OR(T47="",U47="",V47="",W47="")),"Isi kendala dan tindak lanjut",IF(AND(Y47&lt;&gt;"Draft",Y47&lt;&gt;"Dikirim"),"Isi status laporan yang valid",IF(AND(AA47&lt;&gt;"",AA47&lt;&gt;"Belum Diperiksa",AA47&lt;&gt;"Disetujui",AA47&lt;&gt;"Perlu Perbaikan"),"Hasil review tidak valid",IF(AND(Y47="Dikirim",OR(X47="",Z47="")),"Isi bukti dan waktu kirim",IF(AND(AA47="Disetujui",OR(Y47&lt;&gt;"Dikirim",AB47="",AC47="")),"Lengkapi pemeriksaan",IF(AND(AA47="Perlu Perbaikan",OR(AD47="",AB47="",AC47="")),"Isi pemeriksa dan catatan perbaikan","OK")))))))))))))))),"")</f>
        <v/>
      </c>
    </row>
    <row r="48" spans="1:38" ht="24.95" customHeight="1">
      <c r="A48" s="8"/>
      <c r="B48" s="6"/>
      <c r="C48" s="15" t="str">
        <f>IF(COUNTIFS(Master_PIC!$A$8:$A$73,$B48)=1,IF(VLOOKUP($B48,Master_PIC!$A$8:$G$73,2,FALSE)="","",VLOOKUP($B48,Master_PIC!$A$8:$G$73,2,FALSE)),"")</f>
        <v/>
      </c>
      <c r="D48" s="15" t="str">
        <f>IF(COUNTIFS(Master_PIC!$A$8:$A$73,$B48)=1,IF(VLOOKUP($B48,Master_PIC!$A$8:$G$73,4,FALSE)="","",VLOOKUP($B48,Master_PIC!$A$8:$G$73,4,FALSE)),"")</f>
        <v/>
      </c>
      <c r="E48" s="15" t="str">
        <f>IF(COUNTIFS(Master_PIC!$A$8:$A$73,$B48)=1,IF(VLOOKUP($B48,Master_PIC!$A$8:$G$73,5,FALSE)="","",VLOOKUP($B48,Master_PIC!$A$8:$G$73,5,FALSE)),"")</f>
        <v/>
      </c>
      <c r="F48" s="15" t="str">
        <f>IF(COUNTIFS(Master_PIC!$A$8:$A$73,$B48)=1,IF(VLOOKUP($B48,Master_PIC!$A$8:$G$73,6,FALSE)="","",VLOOKUP($B48,Master_PIC!$A$8:$G$73,6,FALSE)),"")</f>
        <v/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8"/>
      <c r="X48" s="5"/>
      <c r="Y48" s="5"/>
      <c r="Z48" s="9"/>
      <c r="AA48" s="5"/>
      <c r="AB48" s="5"/>
      <c r="AC48" s="9"/>
      <c r="AD48" s="5"/>
      <c r="AE48" s="7" t="str">
        <f t="shared" si="0"/>
        <v/>
      </c>
      <c r="AF48" s="7" t="str">
        <f t="shared" si="1"/>
        <v/>
      </c>
      <c r="AG48" s="7" t="str">
        <f t="shared" si="2"/>
        <v/>
      </c>
      <c r="AH48" s="7" t="str">
        <f t="shared" si="3"/>
        <v/>
      </c>
      <c r="AI48" s="7" t="str">
        <f t="shared" si="4"/>
        <v/>
      </c>
      <c r="AJ48" s="7" t="str">
        <f t="shared" si="5"/>
        <v/>
      </c>
      <c r="AK48" s="10" t="str">
        <f t="shared" si="6"/>
        <v/>
      </c>
      <c r="AL48" s="15" t="str">
        <f>IF(OR($A48&lt;&gt;"",$B48&lt;&gt;""),IF(OR($A48="",$B48=""),"Isi tanggal dan ID PIC",IF(NOT(ISNUMBER($A48)),"Tanggal harus berupa tanggal Excel",IF(COUNTIFS(Master_PIC!$A$8:$A$73,$B48)&lt;&gt;1,"ID PIC tidak unik/terdaftar",IF(VLOOKUP($B48,Master_PIC!$A$8:$G$73,3,FALSE)&lt;&gt;"SPV","Jabatan tidak sesuai sheet",IF(OR($C48="",$D48="",$E48="",$F48=""),"Lengkapi master PIC",IF(COUNTIFS($A$8:$A$507,$A48,$B$8:$B$507,$B48)&gt;1,"Laporan ganda",IF(COUNTIFS(G48:O48,"Tidak Berlaku")&gt;0,"N/A hanya untuk kegiatan bersyarat",IF(SUM(AF48,AG48,AH48,AI48,AJ48)&lt;&gt;13,"Status kegiatan tidak valid",IF(AJ48&gt;0,"Lengkapi status kegiatan",IF(AND(AI48&gt;0,T48=""),"Isi alasan Tidak Berlaku",IF(AND(SUM(AG48,AH48)&gt;0,OR(T48="",U48="",V48="",W48="")),"Isi kendala dan tindak lanjut",IF(AND(Y48&lt;&gt;"Draft",Y48&lt;&gt;"Dikirim"),"Isi status laporan yang valid",IF(AND(AA48&lt;&gt;"",AA48&lt;&gt;"Belum Diperiksa",AA48&lt;&gt;"Disetujui",AA48&lt;&gt;"Perlu Perbaikan"),"Hasil review tidak valid",IF(AND(Y48="Dikirim",OR(X48="",Z48="")),"Isi bukti dan waktu kirim",IF(AND(AA48="Disetujui",OR(Y48&lt;&gt;"Dikirim",AB48="",AC48="")),"Lengkapi pemeriksaan",IF(AND(AA48="Perlu Perbaikan",OR(AD48="",AB48="",AC48="")),"Isi pemeriksa dan catatan perbaikan","OK")))))))))))))))),"")</f>
        <v/>
      </c>
    </row>
    <row r="49" spans="1:38" ht="24.95" customHeight="1">
      <c r="A49" s="8"/>
      <c r="B49" s="6"/>
      <c r="C49" s="15" t="str">
        <f>IF(COUNTIFS(Master_PIC!$A$8:$A$73,$B49)=1,IF(VLOOKUP($B49,Master_PIC!$A$8:$G$73,2,FALSE)="","",VLOOKUP($B49,Master_PIC!$A$8:$G$73,2,FALSE)),"")</f>
        <v/>
      </c>
      <c r="D49" s="15" t="str">
        <f>IF(COUNTIFS(Master_PIC!$A$8:$A$73,$B49)=1,IF(VLOOKUP($B49,Master_PIC!$A$8:$G$73,4,FALSE)="","",VLOOKUP($B49,Master_PIC!$A$8:$G$73,4,FALSE)),"")</f>
        <v/>
      </c>
      <c r="E49" s="15" t="str">
        <f>IF(COUNTIFS(Master_PIC!$A$8:$A$73,$B49)=1,IF(VLOOKUP($B49,Master_PIC!$A$8:$G$73,5,FALSE)="","",VLOOKUP($B49,Master_PIC!$A$8:$G$73,5,FALSE)),"")</f>
        <v/>
      </c>
      <c r="F49" s="15" t="str">
        <f>IF(COUNTIFS(Master_PIC!$A$8:$A$73,$B49)=1,IF(VLOOKUP($B49,Master_PIC!$A$8:$G$73,6,FALSE)="","",VLOOKUP($B49,Master_PIC!$A$8:$G$73,6,FALSE)),"")</f>
        <v/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8"/>
      <c r="X49" s="5"/>
      <c r="Y49" s="5"/>
      <c r="Z49" s="9"/>
      <c r="AA49" s="5"/>
      <c r="AB49" s="5"/>
      <c r="AC49" s="9"/>
      <c r="AD49" s="5"/>
      <c r="AE49" s="7" t="str">
        <f t="shared" si="0"/>
        <v/>
      </c>
      <c r="AF49" s="7" t="str">
        <f t="shared" si="1"/>
        <v/>
      </c>
      <c r="AG49" s="7" t="str">
        <f t="shared" si="2"/>
        <v/>
      </c>
      <c r="AH49" s="7" t="str">
        <f t="shared" si="3"/>
        <v/>
      </c>
      <c r="AI49" s="7" t="str">
        <f t="shared" si="4"/>
        <v/>
      </c>
      <c r="AJ49" s="7" t="str">
        <f t="shared" si="5"/>
        <v/>
      </c>
      <c r="AK49" s="10" t="str">
        <f t="shared" si="6"/>
        <v/>
      </c>
      <c r="AL49" s="15" t="str">
        <f>IF(OR($A49&lt;&gt;"",$B49&lt;&gt;""),IF(OR($A49="",$B49=""),"Isi tanggal dan ID PIC",IF(NOT(ISNUMBER($A49)),"Tanggal harus berupa tanggal Excel",IF(COUNTIFS(Master_PIC!$A$8:$A$73,$B49)&lt;&gt;1,"ID PIC tidak unik/terdaftar",IF(VLOOKUP($B49,Master_PIC!$A$8:$G$73,3,FALSE)&lt;&gt;"SPV","Jabatan tidak sesuai sheet",IF(OR($C49="",$D49="",$E49="",$F49=""),"Lengkapi master PIC",IF(COUNTIFS($A$8:$A$507,$A49,$B$8:$B$507,$B49)&gt;1,"Laporan ganda",IF(COUNTIFS(G49:O49,"Tidak Berlaku")&gt;0,"N/A hanya untuk kegiatan bersyarat",IF(SUM(AF49,AG49,AH49,AI49,AJ49)&lt;&gt;13,"Status kegiatan tidak valid",IF(AJ49&gt;0,"Lengkapi status kegiatan",IF(AND(AI49&gt;0,T49=""),"Isi alasan Tidak Berlaku",IF(AND(SUM(AG49,AH49)&gt;0,OR(T49="",U49="",V49="",W49="")),"Isi kendala dan tindak lanjut",IF(AND(Y49&lt;&gt;"Draft",Y49&lt;&gt;"Dikirim"),"Isi status laporan yang valid",IF(AND(AA49&lt;&gt;"",AA49&lt;&gt;"Belum Diperiksa",AA49&lt;&gt;"Disetujui",AA49&lt;&gt;"Perlu Perbaikan"),"Hasil review tidak valid",IF(AND(Y49="Dikirim",OR(X49="",Z49="")),"Isi bukti dan waktu kirim",IF(AND(AA49="Disetujui",OR(Y49&lt;&gt;"Dikirim",AB49="",AC49="")),"Lengkapi pemeriksaan",IF(AND(AA49="Perlu Perbaikan",OR(AD49="",AB49="",AC49="")),"Isi pemeriksa dan catatan perbaikan","OK")))))))))))))))),"")</f>
        <v/>
      </c>
    </row>
    <row r="50" spans="1:38" ht="24.95" customHeight="1">
      <c r="A50" s="8"/>
      <c r="B50" s="6"/>
      <c r="C50" s="15" t="str">
        <f>IF(COUNTIFS(Master_PIC!$A$8:$A$73,$B50)=1,IF(VLOOKUP($B50,Master_PIC!$A$8:$G$73,2,FALSE)="","",VLOOKUP($B50,Master_PIC!$A$8:$G$73,2,FALSE)),"")</f>
        <v/>
      </c>
      <c r="D50" s="15" t="str">
        <f>IF(COUNTIFS(Master_PIC!$A$8:$A$73,$B50)=1,IF(VLOOKUP($B50,Master_PIC!$A$8:$G$73,4,FALSE)="","",VLOOKUP($B50,Master_PIC!$A$8:$G$73,4,FALSE)),"")</f>
        <v/>
      </c>
      <c r="E50" s="15" t="str">
        <f>IF(COUNTIFS(Master_PIC!$A$8:$A$73,$B50)=1,IF(VLOOKUP($B50,Master_PIC!$A$8:$G$73,5,FALSE)="","",VLOOKUP($B50,Master_PIC!$A$8:$G$73,5,FALSE)),"")</f>
        <v/>
      </c>
      <c r="F50" s="15" t="str">
        <f>IF(COUNTIFS(Master_PIC!$A$8:$A$73,$B50)=1,IF(VLOOKUP($B50,Master_PIC!$A$8:$G$73,6,FALSE)="","",VLOOKUP($B50,Master_PIC!$A$8:$G$73,6,FALSE)),"")</f>
        <v/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8"/>
      <c r="X50" s="5"/>
      <c r="Y50" s="5"/>
      <c r="Z50" s="9"/>
      <c r="AA50" s="5"/>
      <c r="AB50" s="5"/>
      <c r="AC50" s="9"/>
      <c r="AD50" s="5"/>
      <c r="AE50" s="7" t="str">
        <f t="shared" si="0"/>
        <v/>
      </c>
      <c r="AF50" s="7" t="str">
        <f t="shared" si="1"/>
        <v/>
      </c>
      <c r="AG50" s="7" t="str">
        <f t="shared" si="2"/>
        <v/>
      </c>
      <c r="AH50" s="7" t="str">
        <f t="shared" si="3"/>
        <v/>
      </c>
      <c r="AI50" s="7" t="str">
        <f t="shared" si="4"/>
        <v/>
      </c>
      <c r="AJ50" s="7" t="str">
        <f t="shared" si="5"/>
        <v/>
      </c>
      <c r="AK50" s="10" t="str">
        <f t="shared" si="6"/>
        <v/>
      </c>
      <c r="AL50" s="15" t="str">
        <f>IF(OR($A50&lt;&gt;"",$B50&lt;&gt;""),IF(OR($A50="",$B50=""),"Isi tanggal dan ID PIC",IF(NOT(ISNUMBER($A50)),"Tanggal harus berupa tanggal Excel",IF(COUNTIFS(Master_PIC!$A$8:$A$73,$B50)&lt;&gt;1,"ID PIC tidak unik/terdaftar",IF(VLOOKUP($B50,Master_PIC!$A$8:$G$73,3,FALSE)&lt;&gt;"SPV","Jabatan tidak sesuai sheet",IF(OR($C50="",$D50="",$E50="",$F50=""),"Lengkapi master PIC",IF(COUNTIFS($A$8:$A$507,$A50,$B$8:$B$507,$B50)&gt;1,"Laporan ganda",IF(COUNTIFS(G50:O50,"Tidak Berlaku")&gt;0,"N/A hanya untuk kegiatan bersyarat",IF(SUM(AF50,AG50,AH50,AI50,AJ50)&lt;&gt;13,"Status kegiatan tidak valid",IF(AJ50&gt;0,"Lengkapi status kegiatan",IF(AND(AI50&gt;0,T50=""),"Isi alasan Tidak Berlaku",IF(AND(SUM(AG50,AH50)&gt;0,OR(T50="",U50="",V50="",W50="")),"Isi kendala dan tindak lanjut",IF(AND(Y50&lt;&gt;"Draft",Y50&lt;&gt;"Dikirim"),"Isi status laporan yang valid",IF(AND(AA50&lt;&gt;"",AA50&lt;&gt;"Belum Diperiksa",AA50&lt;&gt;"Disetujui",AA50&lt;&gt;"Perlu Perbaikan"),"Hasil review tidak valid",IF(AND(Y50="Dikirim",OR(X50="",Z50="")),"Isi bukti dan waktu kirim",IF(AND(AA50="Disetujui",OR(Y50&lt;&gt;"Dikirim",AB50="",AC50="")),"Lengkapi pemeriksaan",IF(AND(AA50="Perlu Perbaikan",OR(AD50="",AB50="",AC50="")),"Isi pemeriksa dan catatan perbaikan","OK")))))))))))))))),"")</f>
        <v/>
      </c>
    </row>
    <row r="51" spans="1:38" ht="24.95" customHeight="1">
      <c r="A51" s="8"/>
      <c r="B51" s="6"/>
      <c r="C51" s="15" t="str">
        <f>IF(COUNTIFS(Master_PIC!$A$8:$A$73,$B51)=1,IF(VLOOKUP($B51,Master_PIC!$A$8:$G$73,2,FALSE)="","",VLOOKUP($B51,Master_PIC!$A$8:$G$73,2,FALSE)),"")</f>
        <v/>
      </c>
      <c r="D51" s="15" t="str">
        <f>IF(COUNTIFS(Master_PIC!$A$8:$A$73,$B51)=1,IF(VLOOKUP($B51,Master_PIC!$A$8:$G$73,4,FALSE)="","",VLOOKUP($B51,Master_PIC!$A$8:$G$73,4,FALSE)),"")</f>
        <v/>
      </c>
      <c r="E51" s="15" t="str">
        <f>IF(COUNTIFS(Master_PIC!$A$8:$A$73,$B51)=1,IF(VLOOKUP($B51,Master_PIC!$A$8:$G$73,5,FALSE)="","",VLOOKUP($B51,Master_PIC!$A$8:$G$73,5,FALSE)),"")</f>
        <v/>
      </c>
      <c r="F51" s="15" t="str">
        <f>IF(COUNTIFS(Master_PIC!$A$8:$A$73,$B51)=1,IF(VLOOKUP($B51,Master_PIC!$A$8:$G$73,6,FALSE)="","",VLOOKUP($B51,Master_PIC!$A$8:$G$73,6,FALSE)),"")</f>
        <v/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8"/>
      <c r="X51" s="5"/>
      <c r="Y51" s="5"/>
      <c r="Z51" s="9"/>
      <c r="AA51" s="5"/>
      <c r="AB51" s="5"/>
      <c r="AC51" s="9"/>
      <c r="AD51" s="5"/>
      <c r="AE51" s="7" t="str">
        <f t="shared" si="0"/>
        <v/>
      </c>
      <c r="AF51" s="7" t="str">
        <f t="shared" si="1"/>
        <v/>
      </c>
      <c r="AG51" s="7" t="str">
        <f t="shared" si="2"/>
        <v/>
      </c>
      <c r="AH51" s="7" t="str">
        <f t="shared" si="3"/>
        <v/>
      </c>
      <c r="AI51" s="7" t="str">
        <f t="shared" si="4"/>
        <v/>
      </c>
      <c r="AJ51" s="7" t="str">
        <f t="shared" si="5"/>
        <v/>
      </c>
      <c r="AK51" s="10" t="str">
        <f t="shared" si="6"/>
        <v/>
      </c>
      <c r="AL51" s="15" t="str">
        <f>IF(OR($A51&lt;&gt;"",$B51&lt;&gt;""),IF(OR($A51="",$B51=""),"Isi tanggal dan ID PIC",IF(NOT(ISNUMBER($A51)),"Tanggal harus berupa tanggal Excel",IF(COUNTIFS(Master_PIC!$A$8:$A$73,$B51)&lt;&gt;1,"ID PIC tidak unik/terdaftar",IF(VLOOKUP($B51,Master_PIC!$A$8:$G$73,3,FALSE)&lt;&gt;"SPV","Jabatan tidak sesuai sheet",IF(OR($C51="",$D51="",$E51="",$F51=""),"Lengkapi master PIC",IF(COUNTIFS($A$8:$A$507,$A51,$B$8:$B$507,$B51)&gt;1,"Laporan ganda",IF(COUNTIFS(G51:O51,"Tidak Berlaku")&gt;0,"N/A hanya untuk kegiatan bersyarat",IF(SUM(AF51,AG51,AH51,AI51,AJ51)&lt;&gt;13,"Status kegiatan tidak valid",IF(AJ51&gt;0,"Lengkapi status kegiatan",IF(AND(AI51&gt;0,T51=""),"Isi alasan Tidak Berlaku",IF(AND(SUM(AG51,AH51)&gt;0,OR(T51="",U51="",V51="",W51="")),"Isi kendala dan tindak lanjut",IF(AND(Y51&lt;&gt;"Draft",Y51&lt;&gt;"Dikirim"),"Isi status laporan yang valid",IF(AND(AA51&lt;&gt;"",AA51&lt;&gt;"Belum Diperiksa",AA51&lt;&gt;"Disetujui",AA51&lt;&gt;"Perlu Perbaikan"),"Hasil review tidak valid",IF(AND(Y51="Dikirim",OR(X51="",Z51="")),"Isi bukti dan waktu kirim",IF(AND(AA51="Disetujui",OR(Y51&lt;&gt;"Dikirim",AB51="",AC51="")),"Lengkapi pemeriksaan",IF(AND(AA51="Perlu Perbaikan",OR(AD51="",AB51="",AC51="")),"Isi pemeriksa dan catatan perbaikan","OK")))))))))))))))),"")</f>
        <v/>
      </c>
    </row>
    <row r="52" spans="1:38" ht="24.95" customHeight="1">
      <c r="A52" s="8"/>
      <c r="B52" s="6"/>
      <c r="C52" s="15" t="str">
        <f>IF(COUNTIFS(Master_PIC!$A$8:$A$73,$B52)=1,IF(VLOOKUP($B52,Master_PIC!$A$8:$G$73,2,FALSE)="","",VLOOKUP($B52,Master_PIC!$A$8:$G$73,2,FALSE)),"")</f>
        <v/>
      </c>
      <c r="D52" s="15" t="str">
        <f>IF(COUNTIFS(Master_PIC!$A$8:$A$73,$B52)=1,IF(VLOOKUP($B52,Master_PIC!$A$8:$G$73,4,FALSE)="","",VLOOKUP($B52,Master_PIC!$A$8:$G$73,4,FALSE)),"")</f>
        <v/>
      </c>
      <c r="E52" s="15" t="str">
        <f>IF(COUNTIFS(Master_PIC!$A$8:$A$73,$B52)=1,IF(VLOOKUP($B52,Master_PIC!$A$8:$G$73,5,FALSE)="","",VLOOKUP($B52,Master_PIC!$A$8:$G$73,5,FALSE)),"")</f>
        <v/>
      </c>
      <c r="F52" s="15" t="str">
        <f>IF(COUNTIFS(Master_PIC!$A$8:$A$73,$B52)=1,IF(VLOOKUP($B52,Master_PIC!$A$8:$G$73,6,FALSE)="","",VLOOKUP($B52,Master_PIC!$A$8:$G$73,6,FALSE)),"")</f>
        <v/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8"/>
      <c r="X52" s="5"/>
      <c r="Y52" s="5"/>
      <c r="Z52" s="9"/>
      <c r="AA52" s="5"/>
      <c r="AB52" s="5"/>
      <c r="AC52" s="9"/>
      <c r="AD52" s="5"/>
      <c r="AE52" s="7" t="str">
        <f t="shared" si="0"/>
        <v/>
      </c>
      <c r="AF52" s="7" t="str">
        <f t="shared" si="1"/>
        <v/>
      </c>
      <c r="AG52" s="7" t="str">
        <f t="shared" si="2"/>
        <v/>
      </c>
      <c r="AH52" s="7" t="str">
        <f t="shared" si="3"/>
        <v/>
      </c>
      <c r="AI52" s="7" t="str">
        <f t="shared" si="4"/>
        <v/>
      </c>
      <c r="AJ52" s="7" t="str">
        <f t="shared" si="5"/>
        <v/>
      </c>
      <c r="AK52" s="10" t="str">
        <f t="shared" si="6"/>
        <v/>
      </c>
      <c r="AL52" s="15" t="str">
        <f>IF(OR($A52&lt;&gt;"",$B52&lt;&gt;""),IF(OR($A52="",$B52=""),"Isi tanggal dan ID PIC",IF(NOT(ISNUMBER($A52)),"Tanggal harus berupa tanggal Excel",IF(COUNTIFS(Master_PIC!$A$8:$A$73,$B52)&lt;&gt;1,"ID PIC tidak unik/terdaftar",IF(VLOOKUP($B52,Master_PIC!$A$8:$G$73,3,FALSE)&lt;&gt;"SPV","Jabatan tidak sesuai sheet",IF(OR($C52="",$D52="",$E52="",$F52=""),"Lengkapi master PIC",IF(COUNTIFS($A$8:$A$507,$A52,$B$8:$B$507,$B52)&gt;1,"Laporan ganda",IF(COUNTIFS(G52:O52,"Tidak Berlaku")&gt;0,"N/A hanya untuk kegiatan bersyarat",IF(SUM(AF52,AG52,AH52,AI52,AJ52)&lt;&gt;13,"Status kegiatan tidak valid",IF(AJ52&gt;0,"Lengkapi status kegiatan",IF(AND(AI52&gt;0,T52=""),"Isi alasan Tidak Berlaku",IF(AND(SUM(AG52,AH52)&gt;0,OR(T52="",U52="",V52="",W52="")),"Isi kendala dan tindak lanjut",IF(AND(Y52&lt;&gt;"Draft",Y52&lt;&gt;"Dikirim"),"Isi status laporan yang valid",IF(AND(AA52&lt;&gt;"",AA52&lt;&gt;"Belum Diperiksa",AA52&lt;&gt;"Disetujui",AA52&lt;&gt;"Perlu Perbaikan"),"Hasil review tidak valid",IF(AND(Y52="Dikirim",OR(X52="",Z52="")),"Isi bukti dan waktu kirim",IF(AND(AA52="Disetujui",OR(Y52&lt;&gt;"Dikirim",AB52="",AC52="")),"Lengkapi pemeriksaan",IF(AND(AA52="Perlu Perbaikan",OR(AD52="",AB52="",AC52="")),"Isi pemeriksa dan catatan perbaikan","OK")))))))))))))))),"")</f>
        <v/>
      </c>
    </row>
    <row r="53" spans="1:38" ht="24.95" customHeight="1">
      <c r="A53" s="8"/>
      <c r="B53" s="6"/>
      <c r="C53" s="15" t="str">
        <f>IF(COUNTIFS(Master_PIC!$A$8:$A$73,$B53)=1,IF(VLOOKUP($B53,Master_PIC!$A$8:$G$73,2,FALSE)="","",VLOOKUP($B53,Master_PIC!$A$8:$G$73,2,FALSE)),"")</f>
        <v/>
      </c>
      <c r="D53" s="15" t="str">
        <f>IF(COUNTIFS(Master_PIC!$A$8:$A$73,$B53)=1,IF(VLOOKUP($B53,Master_PIC!$A$8:$G$73,4,FALSE)="","",VLOOKUP($B53,Master_PIC!$A$8:$G$73,4,FALSE)),"")</f>
        <v/>
      </c>
      <c r="E53" s="15" t="str">
        <f>IF(COUNTIFS(Master_PIC!$A$8:$A$73,$B53)=1,IF(VLOOKUP($B53,Master_PIC!$A$8:$G$73,5,FALSE)="","",VLOOKUP($B53,Master_PIC!$A$8:$G$73,5,FALSE)),"")</f>
        <v/>
      </c>
      <c r="F53" s="15" t="str">
        <f>IF(COUNTIFS(Master_PIC!$A$8:$A$73,$B53)=1,IF(VLOOKUP($B53,Master_PIC!$A$8:$G$73,6,FALSE)="","",VLOOKUP($B53,Master_PIC!$A$8:$G$73,6,FALSE)),"")</f>
        <v/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8"/>
      <c r="X53" s="5"/>
      <c r="Y53" s="5"/>
      <c r="Z53" s="9"/>
      <c r="AA53" s="5"/>
      <c r="AB53" s="5"/>
      <c r="AC53" s="9"/>
      <c r="AD53" s="5"/>
      <c r="AE53" s="7" t="str">
        <f t="shared" si="0"/>
        <v/>
      </c>
      <c r="AF53" s="7" t="str">
        <f t="shared" si="1"/>
        <v/>
      </c>
      <c r="AG53" s="7" t="str">
        <f t="shared" si="2"/>
        <v/>
      </c>
      <c r="AH53" s="7" t="str">
        <f t="shared" si="3"/>
        <v/>
      </c>
      <c r="AI53" s="7" t="str">
        <f t="shared" si="4"/>
        <v/>
      </c>
      <c r="AJ53" s="7" t="str">
        <f t="shared" si="5"/>
        <v/>
      </c>
      <c r="AK53" s="10" t="str">
        <f t="shared" si="6"/>
        <v/>
      </c>
      <c r="AL53" s="15" t="str">
        <f>IF(OR($A53&lt;&gt;"",$B53&lt;&gt;""),IF(OR($A53="",$B53=""),"Isi tanggal dan ID PIC",IF(NOT(ISNUMBER($A53)),"Tanggal harus berupa tanggal Excel",IF(COUNTIFS(Master_PIC!$A$8:$A$73,$B53)&lt;&gt;1,"ID PIC tidak unik/terdaftar",IF(VLOOKUP($B53,Master_PIC!$A$8:$G$73,3,FALSE)&lt;&gt;"SPV","Jabatan tidak sesuai sheet",IF(OR($C53="",$D53="",$E53="",$F53=""),"Lengkapi master PIC",IF(COUNTIFS($A$8:$A$507,$A53,$B$8:$B$507,$B53)&gt;1,"Laporan ganda",IF(COUNTIFS(G53:O53,"Tidak Berlaku")&gt;0,"N/A hanya untuk kegiatan bersyarat",IF(SUM(AF53,AG53,AH53,AI53,AJ53)&lt;&gt;13,"Status kegiatan tidak valid",IF(AJ53&gt;0,"Lengkapi status kegiatan",IF(AND(AI53&gt;0,T53=""),"Isi alasan Tidak Berlaku",IF(AND(SUM(AG53,AH53)&gt;0,OR(T53="",U53="",V53="",W53="")),"Isi kendala dan tindak lanjut",IF(AND(Y53&lt;&gt;"Draft",Y53&lt;&gt;"Dikirim"),"Isi status laporan yang valid",IF(AND(AA53&lt;&gt;"",AA53&lt;&gt;"Belum Diperiksa",AA53&lt;&gt;"Disetujui",AA53&lt;&gt;"Perlu Perbaikan"),"Hasil review tidak valid",IF(AND(Y53="Dikirim",OR(X53="",Z53="")),"Isi bukti dan waktu kirim",IF(AND(AA53="Disetujui",OR(Y53&lt;&gt;"Dikirim",AB53="",AC53="")),"Lengkapi pemeriksaan",IF(AND(AA53="Perlu Perbaikan",OR(AD53="",AB53="",AC53="")),"Isi pemeriksa dan catatan perbaikan","OK")))))))))))))))),"")</f>
        <v/>
      </c>
    </row>
    <row r="54" spans="1:38" ht="24.95" customHeight="1">
      <c r="A54" s="8"/>
      <c r="B54" s="6"/>
      <c r="C54" s="15" t="str">
        <f>IF(COUNTIFS(Master_PIC!$A$8:$A$73,$B54)=1,IF(VLOOKUP($B54,Master_PIC!$A$8:$G$73,2,FALSE)="","",VLOOKUP($B54,Master_PIC!$A$8:$G$73,2,FALSE)),"")</f>
        <v/>
      </c>
      <c r="D54" s="15" t="str">
        <f>IF(COUNTIFS(Master_PIC!$A$8:$A$73,$B54)=1,IF(VLOOKUP($B54,Master_PIC!$A$8:$G$73,4,FALSE)="","",VLOOKUP($B54,Master_PIC!$A$8:$G$73,4,FALSE)),"")</f>
        <v/>
      </c>
      <c r="E54" s="15" t="str">
        <f>IF(COUNTIFS(Master_PIC!$A$8:$A$73,$B54)=1,IF(VLOOKUP($B54,Master_PIC!$A$8:$G$73,5,FALSE)="","",VLOOKUP($B54,Master_PIC!$A$8:$G$73,5,FALSE)),"")</f>
        <v/>
      </c>
      <c r="F54" s="15" t="str">
        <f>IF(COUNTIFS(Master_PIC!$A$8:$A$73,$B54)=1,IF(VLOOKUP($B54,Master_PIC!$A$8:$G$73,6,FALSE)="","",VLOOKUP($B54,Master_PIC!$A$8:$G$73,6,FALSE)),"")</f>
        <v/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9"/>
      <c r="AA54" s="5"/>
      <c r="AB54" s="5"/>
      <c r="AC54" s="9"/>
      <c r="AD54" s="5"/>
      <c r="AE54" s="7" t="str">
        <f t="shared" si="0"/>
        <v/>
      </c>
      <c r="AF54" s="7" t="str">
        <f t="shared" si="1"/>
        <v/>
      </c>
      <c r="AG54" s="7" t="str">
        <f t="shared" si="2"/>
        <v/>
      </c>
      <c r="AH54" s="7" t="str">
        <f t="shared" si="3"/>
        <v/>
      </c>
      <c r="AI54" s="7" t="str">
        <f t="shared" si="4"/>
        <v/>
      </c>
      <c r="AJ54" s="7" t="str">
        <f t="shared" si="5"/>
        <v/>
      </c>
      <c r="AK54" s="10" t="str">
        <f t="shared" si="6"/>
        <v/>
      </c>
      <c r="AL54" s="15" t="str">
        <f>IF(OR($A54&lt;&gt;"",$B54&lt;&gt;""),IF(OR($A54="",$B54=""),"Isi tanggal dan ID PIC",IF(NOT(ISNUMBER($A54)),"Tanggal harus berupa tanggal Excel",IF(COUNTIFS(Master_PIC!$A$8:$A$73,$B54)&lt;&gt;1,"ID PIC tidak unik/terdaftar",IF(VLOOKUP($B54,Master_PIC!$A$8:$G$73,3,FALSE)&lt;&gt;"SPV","Jabatan tidak sesuai sheet",IF(OR($C54="",$D54="",$E54="",$F54=""),"Lengkapi master PIC",IF(COUNTIFS($A$8:$A$507,$A54,$B$8:$B$507,$B54)&gt;1,"Laporan ganda",IF(COUNTIFS(G54:O54,"Tidak Berlaku")&gt;0,"N/A hanya untuk kegiatan bersyarat",IF(SUM(AF54,AG54,AH54,AI54,AJ54)&lt;&gt;13,"Status kegiatan tidak valid",IF(AJ54&gt;0,"Lengkapi status kegiatan",IF(AND(AI54&gt;0,T54=""),"Isi alasan Tidak Berlaku",IF(AND(SUM(AG54,AH54)&gt;0,OR(T54="",U54="",V54="",W54="")),"Isi kendala dan tindak lanjut",IF(AND(Y54&lt;&gt;"Draft",Y54&lt;&gt;"Dikirim"),"Isi status laporan yang valid",IF(AND(AA54&lt;&gt;"",AA54&lt;&gt;"Belum Diperiksa",AA54&lt;&gt;"Disetujui",AA54&lt;&gt;"Perlu Perbaikan"),"Hasil review tidak valid",IF(AND(Y54="Dikirim",OR(X54="",Z54="")),"Isi bukti dan waktu kirim",IF(AND(AA54="Disetujui",OR(Y54&lt;&gt;"Dikirim",AB54="",AC54="")),"Lengkapi pemeriksaan",IF(AND(AA54="Perlu Perbaikan",OR(AD54="",AB54="",AC54="")),"Isi pemeriksa dan catatan perbaikan","OK")))))))))))))))),"")</f>
        <v/>
      </c>
    </row>
    <row r="55" spans="1:38" ht="24.95" customHeight="1">
      <c r="A55" s="8"/>
      <c r="B55" s="6"/>
      <c r="C55" s="15" t="str">
        <f>IF(COUNTIFS(Master_PIC!$A$8:$A$73,$B55)=1,IF(VLOOKUP($B55,Master_PIC!$A$8:$G$73,2,FALSE)="","",VLOOKUP($B55,Master_PIC!$A$8:$G$73,2,FALSE)),"")</f>
        <v/>
      </c>
      <c r="D55" s="15" t="str">
        <f>IF(COUNTIFS(Master_PIC!$A$8:$A$73,$B55)=1,IF(VLOOKUP($B55,Master_PIC!$A$8:$G$73,4,FALSE)="","",VLOOKUP($B55,Master_PIC!$A$8:$G$73,4,FALSE)),"")</f>
        <v/>
      </c>
      <c r="E55" s="15" t="str">
        <f>IF(COUNTIFS(Master_PIC!$A$8:$A$73,$B55)=1,IF(VLOOKUP($B55,Master_PIC!$A$8:$G$73,5,FALSE)="","",VLOOKUP($B55,Master_PIC!$A$8:$G$73,5,FALSE)),"")</f>
        <v/>
      </c>
      <c r="F55" s="15" t="str">
        <f>IF(COUNTIFS(Master_PIC!$A$8:$A$73,$B55)=1,IF(VLOOKUP($B55,Master_PIC!$A$8:$G$73,6,FALSE)="","",VLOOKUP($B55,Master_PIC!$A$8:$G$73,6,FALSE)),"")</f>
        <v/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8"/>
      <c r="X55" s="5"/>
      <c r="Y55" s="5"/>
      <c r="Z55" s="9"/>
      <c r="AA55" s="5"/>
      <c r="AB55" s="5"/>
      <c r="AC55" s="9"/>
      <c r="AD55" s="5"/>
      <c r="AE55" s="7" t="str">
        <f t="shared" si="0"/>
        <v/>
      </c>
      <c r="AF55" s="7" t="str">
        <f t="shared" si="1"/>
        <v/>
      </c>
      <c r="AG55" s="7" t="str">
        <f t="shared" si="2"/>
        <v/>
      </c>
      <c r="AH55" s="7" t="str">
        <f t="shared" si="3"/>
        <v/>
      </c>
      <c r="AI55" s="7" t="str">
        <f t="shared" si="4"/>
        <v/>
      </c>
      <c r="AJ55" s="7" t="str">
        <f t="shared" si="5"/>
        <v/>
      </c>
      <c r="AK55" s="10" t="str">
        <f t="shared" si="6"/>
        <v/>
      </c>
      <c r="AL55" s="15" t="str">
        <f>IF(OR($A55&lt;&gt;"",$B55&lt;&gt;""),IF(OR($A55="",$B55=""),"Isi tanggal dan ID PIC",IF(NOT(ISNUMBER($A55)),"Tanggal harus berupa tanggal Excel",IF(COUNTIFS(Master_PIC!$A$8:$A$73,$B55)&lt;&gt;1,"ID PIC tidak unik/terdaftar",IF(VLOOKUP($B55,Master_PIC!$A$8:$G$73,3,FALSE)&lt;&gt;"SPV","Jabatan tidak sesuai sheet",IF(OR($C55="",$D55="",$E55="",$F55=""),"Lengkapi master PIC",IF(COUNTIFS($A$8:$A$507,$A55,$B$8:$B$507,$B55)&gt;1,"Laporan ganda",IF(COUNTIFS(G55:O55,"Tidak Berlaku")&gt;0,"N/A hanya untuk kegiatan bersyarat",IF(SUM(AF55,AG55,AH55,AI55,AJ55)&lt;&gt;13,"Status kegiatan tidak valid",IF(AJ55&gt;0,"Lengkapi status kegiatan",IF(AND(AI55&gt;0,T55=""),"Isi alasan Tidak Berlaku",IF(AND(SUM(AG55,AH55)&gt;0,OR(T55="",U55="",V55="",W55="")),"Isi kendala dan tindak lanjut",IF(AND(Y55&lt;&gt;"Draft",Y55&lt;&gt;"Dikirim"),"Isi status laporan yang valid",IF(AND(AA55&lt;&gt;"",AA55&lt;&gt;"Belum Diperiksa",AA55&lt;&gt;"Disetujui",AA55&lt;&gt;"Perlu Perbaikan"),"Hasil review tidak valid",IF(AND(Y55="Dikirim",OR(X55="",Z55="")),"Isi bukti dan waktu kirim",IF(AND(AA55="Disetujui",OR(Y55&lt;&gt;"Dikirim",AB55="",AC55="")),"Lengkapi pemeriksaan",IF(AND(AA55="Perlu Perbaikan",OR(AD55="",AB55="",AC55="")),"Isi pemeriksa dan catatan perbaikan","OK")))))))))))))))),"")</f>
        <v/>
      </c>
    </row>
    <row r="56" spans="1:38" ht="24.95" customHeight="1">
      <c r="A56" s="8"/>
      <c r="B56" s="6"/>
      <c r="C56" s="15" t="str">
        <f>IF(COUNTIFS(Master_PIC!$A$8:$A$73,$B56)=1,IF(VLOOKUP($B56,Master_PIC!$A$8:$G$73,2,FALSE)="","",VLOOKUP($B56,Master_PIC!$A$8:$G$73,2,FALSE)),"")</f>
        <v/>
      </c>
      <c r="D56" s="15" t="str">
        <f>IF(COUNTIFS(Master_PIC!$A$8:$A$73,$B56)=1,IF(VLOOKUP($B56,Master_PIC!$A$8:$G$73,4,FALSE)="","",VLOOKUP($B56,Master_PIC!$A$8:$G$73,4,FALSE)),"")</f>
        <v/>
      </c>
      <c r="E56" s="15" t="str">
        <f>IF(COUNTIFS(Master_PIC!$A$8:$A$73,$B56)=1,IF(VLOOKUP($B56,Master_PIC!$A$8:$G$73,5,FALSE)="","",VLOOKUP($B56,Master_PIC!$A$8:$G$73,5,FALSE)),"")</f>
        <v/>
      </c>
      <c r="F56" s="15" t="str">
        <f>IF(COUNTIFS(Master_PIC!$A$8:$A$73,$B56)=1,IF(VLOOKUP($B56,Master_PIC!$A$8:$G$73,6,FALSE)="","",VLOOKUP($B56,Master_PIC!$A$8:$G$73,6,FALSE)),"")</f>
        <v/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9"/>
      <c r="AA56" s="5"/>
      <c r="AB56" s="5"/>
      <c r="AC56" s="9"/>
      <c r="AD56" s="5"/>
      <c r="AE56" s="7" t="str">
        <f t="shared" si="0"/>
        <v/>
      </c>
      <c r="AF56" s="7" t="str">
        <f t="shared" si="1"/>
        <v/>
      </c>
      <c r="AG56" s="7" t="str">
        <f t="shared" si="2"/>
        <v/>
      </c>
      <c r="AH56" s="7" t="str">
        <f t="shared" si="3"/>
        <v/>
      </c>
      <c r="AI56" s="7" t="str">
        <f t="shared" si="4"/>
        <v/>
      </c>
      <c r="AJ56" s="7" t="str">
        <f t="shared" si="5"/>
        <v/>
      </c>
      <c r="AK56" s="10" t="str">
        <f t="shared" si="6"/>
        <v/>
      </c>
      <c r="AL56" s="15" t="str">
        <f>IF(OR($A56&lt;&gt;"",$B56&lt;&gt;""),IF(OR($A56="",$B56=""),"Isi tanggal dan ID PIC",IF(NOT(ISNUMBER($A56)),"Tanggal harus berupa tanggal Excel",IF(COUNTIFS(Master_PIC!$A$8:$A$73,$B56)&lt;&gt;1,"ID PIC tidak unik/terdaftar",IF(VLOOKUP($B56,Master_PIC!$A$8:$G$73,3,FALSE)&lt;&gt;"SPV","Jabatan tidak sesuai sheet",IF(OR($C56="",$D56="",$E56="",$F56=""),"Lengkapi master PIC",IF(COUNTIFS($A$8:$A$507,$A56,$B$8:$B$507,$B56)&gt;1,"Laporan ganda",IF(COUNTIFS(G56:O56,"Tidak Berlaku")&gt;0,"N/A hanya untuk kegiatan bersyarat",IF(SUM(AF56,AG56,AH56,AI56,AJ56)&lt;&gt;13,"Status kegiatan tidak valid",IF(AJ56&gt;0,"Lengkapi status kegiatan",IF(AND(AI56&gt;0,T56=""),"Isi alasan Tidak Berlaku",IF(AND(SUM(AG56,AH56)&gt;0,OR(T56="",U56="",V56="",W56="")),"Isi kendala dan tindak lanjut",IF(AND(Y56&lt;&gt;"Draft",Y56&lt;&gt;"Dikirim"),"Isi status laporan yang valid",IF(AND(AA56&lt;&gt;"",AA56&lt;&gt;"Belum Diperiksa",AA56&lt;&gt;"Disetujui",AA56&lt;&gt;"Perlu Perbaikan"),"Hasil review tidak valid",IF(AND(Y56="Dikirim",OR(X56="",Z56="")),"Isi bukti dan waktu kirim",IF(AND(AA56="Disetujui",OR(Y56&lt;&gt;"Dikirim",AB56="",AC56="")),"Lengkapi pemeriksaan",IF(AND(AA56="Perlu Perbaikan",OR(AD56="",AB56="",AC56="")),"Isi pemeriksa dan catatan perbaikan","OK")))))))))))))))),"")</f>
        <v/>
      </c>
    </row>
    <row r="57" spans="1:38" ht="24.95" customHeight="1">
      <c r="A57" s="8"/>
      <c r="B57" s="6"/>
      <c r="C57" s="15" t="str">
        <f>IF(COUNTIFS(Master_PIC!$A$8:$A$73,$B57)=1,IF(VLOOKUP($B57,Master_PIC!$A$8:$G$73,2,FALSE)="","",VLOOKUP($B57,Master_PIC!$A$8:$G$73,2,FALSE)),"")</f>
        <v/>
      </c>
      <c r="D57" s="15" t="str">
        <f>IF(COUNTIFS(Master_PIC!$A$8:$A$73,$B57)=1,IF(VLOOKUP($B57,Master_PIC!$A$8:$G$73,4,FALSE)="","",VLOOKUP($B57,Master_PIC!$A$8:$G$73,4,FALSE)),"")</f>
        <v/>
      </c>
      <c r="E57" s="15" t="str">
        <f>IF(COUNTIFS(Master_PIC!$A$8:$A$73,$B57)=1,IF(VLOOKUP($B57,Master_PIC!$A$8:$G$73,5,FALSE)="","",VLOOKUP($B57,Master_PIC!$A$8:$G$73,5,FALSE)),"")</f>
        <v/>
      </c>
      <c r="F57" s="15" t="str">
        <f>IF(COUNTIFS(Master_PIC!$A$8:$A$73,$B57)=1,IF(VLOOKUP($B57,Master_PIC!$A$8:$G$73,6,FALSE)="","",VLOOKUP($B57,Master_PIC!$A$8:$G$73,6,FALSE)),"")</f>
        <v/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8"/>
      <c r="X57" s="5"/>
      <c r="Y57" s="5"/>
      <c r="Z57" s="9"/>
      <c r="AA57" s="5"/>
      <c r="AB57" s="5"/>
      <c r="AC57" s="9"/>
      <c r="AD57" s="5"/>
      <c r="AE57" s="7" t="str">
        <f t="shared" si="0"/>
        <v/>
      </c>
      <c r="AF57" s="7" t="str">
        <f t="shared" si="1"/>
        <v/>
      </c>
      <c r="AG57" s="7" t="str">
        <f t="shared" si="2"/>
        <v/>
      </c>
      <c r="AH57" s="7" t="str">
        <f t="shared" si="3"/>
        <v/>
      </c>
      <c r="AI57" s="7" t="str">
        <f t="shared" si="4"/>
        <v/>
      </c>
      <c r="AJ57" s="7" t="str">
        <f t="shared" si="5"/>
        <v/>
      </c>
      <c r="AK57" s="10" t="str">
        <f t="shared" si="6"/>
        <v/>
      </c>
      <c r="AL57" s="15" t="str">
        <f>IF(OR($A57&lt;&gt;"",$B57&lt;&gt;""),IF(OR($A57="",$B57=""),"Isi tanggal dan ID PIC",IF(NOT(ISNUMBER($A57)),"Tanggal harus berupa tanggal Excel",IF(COUNTIFS(Master_PIC!$A$8:$A$73,$B57)&lt;&gt;1,"ID PIC tidak unik/terdaftar",IF(VLOOKUP($B57,Master_PIC!$A$8:$G$73,3,FALSE)&lt;&gt;"SPV","Jabatan tidak sesuai sheet",IF(OR($C57="",$D57="",$E57="",$F57=""),"Lengkapi master PIC",IF(COUNTIFS($A$8:$A$507,$A57,$B$8:$B$507,$B57)&gt;1,"Laporan ganda",IF(COUNTIFS(G57:O57,"Tidak Berlaku")&gt;0,"N/A hanya untuk kegiatan bersyarat",IF(SUM(AF57,AG57,AH57,AI57,AJ57)&lt;&gt;13,"Status kegiatan tidak valid",IF(AJ57&gt;0,"Lengkapi status kegiatan",IF(AND(AI57&gt;0,T57=""),"Isi alasan Tidak Berlaku",IF(AND(SUM(AG57,AH57)&gt;0,OR(T57="",U57="",V57="",W57="")),"Isi kendala dan tindak lanjut",IF(AND(Y57&lt;&gt;"Draft",Y57&lt;&gt;"Dikirim"),"Isi status laporan yang valid",IF(AND(AA57&lt;&gt;"",AA57&lt;&gt;"Belum Diperiksa",AA57&lt;&gt;"Disetujui",AA57&lt;&gt;"Perlu Perbaikan"),"Hasil review tidak valid",IF(AND(Y57="Dikirim",OR(X57="",Z57="")),"Isi bukti dan waktu kirim",IF(AND(AA57="Disetujui",OR(Y57&lt;&gt;"Dikirim",AB57="",AC57="")),"Lengkapi pemeriksaan",IF(AND(AA57="Perlu Perbaikan",OR(AD57="",AB57="",AC57="")),"Isi pemeriksa dan catatan perbaikan","OK")))))))))))))))),"")</f>
        <v/>
      </c>
    </row>
    <row r="58" spans="1:38" ht="24.95" customHeight="1">
      <c r="A58" s="8"/>
      <c r="B58" s="6"/>
      <c r="C58" s="15" t="str">
        <f>IF(COUNTIFS(Master_PIC!$A$8:$A$73,$B58)=1,IF(VLOOKUP($B58,Master_PIC!$A$8:$G$73,2,FALSE)="","",VLOOKUP($B58,Master_PIC!$A$8:$G$73,2,FALSE)),"")</f>
        <v/>
      </c>
      <c r="D58" s="15" t="str">
        <f>IF(COUNTIFS(Master_PIC!$A$8:$A$73,$B58)=1,IF(VLOOKUP($B58,Master_PIC!$A$8:$G$73,4,FALSE)="","",VLOOKUP($B58,Master_PIC!$A$8:$G$73,4,FALSE)),"")</f>
        <v/>
      </c>
      <c r="E58" s="15" t="str">
        <f>IF(COUNTIFS(Master_PIC!$A$8:$A$73,$B58)=1,IF(VLOOKUP($B58,Master_PIC!$A$8:$G$73,5,FALSE)="","",VLOOKUP($B58,Master_PIC!$A$8:$G$73,5,FALSE)),"")</f>
        <v/>
      </c>
      <c r="F58" s="15" t="str">
        <f>IF(COUNTIFS(Master_PIC!$A$8:$A$73,$B58)=1,IF(VLOOKUP($B58,Master_PIC!$A$8:$G$73,6,FALSE)="","",VLOOKUP($B58,Master_PIC!$A$8:$G$73,6,FALSE)),"")</f>
        <v/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8"/>
      <c r="X58" s="5"/>
      <c r="Y58" s="5"/>
      <c r="Z58" s="9"/>
      <c r="AA58" s="5"/>
      <c r="AB58" s="5"/>
      <c r="AC58" s="9"/>
      <c r="AD58" s="5"/>
      <c r="AE58" s="7" t="str">
        <f t="shared" si="0"/>
        <v/>
      </c>
      <c r="AF58" s="7" t="str">
        <f t="shared" si="1"/>
        <v/>
      </c>
      <c r="AG58" s="7" t="str">
        <f t="shared" si="2"/>
        <v/>
      </c>
      <c r="AH58" s="7" t="str">
        <f t="shared" si="3"/>
        <v/>
      </c>
      <c r="AI58" s="7" t="str">
        <f t="shared" si="4"/>
        <v/>
      </c>
      <c r="AJ58" s="7" t="str">
        <f t="shared" si="5"/>
        <v/>
      </c>
      <c r="AK58" s="10" t="str">
        <f t="shared" si="6"/>
        <v/>
      </c>
      <c r="AL58" s="15" t="str">
        <f>IF(OR($A58&lt;&gt;"",$B58&lt;&gt;""),IF(OR($A58="",$B58=""),"Isi tanggal dan ID PIC",IF(NOT(ISNUMBER($A58)),"Tanggal harus berupa tanggal Excel",IF(COUNTIFS(Master_PIC!$A$8:$A$73,$B58)&lt;&gt;1,"ID PIC tidak unik/terdaftar",IF(VLOOKUP($B58,Master_PIC!$A$8:$G$73,3,FALSE)&lt;&gt;"SPV","Jabatan tidak sesuai sheet",IF(OR($C58="",$D58="",$E58="",$F58=""),"Lengkapi master PIC",IF(COUNTIFS($A$8:$A$507,$A58,$B$8:$B$507,$B58)&gt;1,"Laporan ganda",IF(COUNTIFS(G58:O58,"Tidak Berlaku")&gt;0,"N/A hanya untuk kegiatan bersyarat",IF(SUM(AF58,AG58,AH58,AI58,AJ58)&lt;&gt;13,"Status kegiatan tidak valid",IF(AJ58&gt;0,"Lengkapi status kegiatan",IF(AND(AI58&gt;0,T58=""),"Isi alasan Tidak Berlaku",IF(AND(SUM(AG58,AH58)&gt;0,OR(T58="",U58="",V58="",W58="")),"Isi kendala dan tindak lanjut",IF(AND(Y58&lt;&gt;"Draft",Y58&lt;&gt;"Dikirim"),"Isi status laporan yang valid",IF(AND(AA58&lt;&gt;"",AA58&lt;&gt;"Belum Diperiksa",AA58&lt;&gt;"Disetujui",AA58&lt;&gt;"Perlu Perbaikan"),"Hasil review tidak valid",IF(AND(Y58="Dikirim",OR(X58="",Z58="")),"Isi bukti dan waktu kirim",IF(AND(AA58="Disetujui",OR(Y58&lt;&gt;"Dikirim",AB58="",AC58="")),"Lengkapi pemeriksaan",IF(AND(AA58="Perlu Perbaikan",OR(AD58="",AB58="",AC58="")),"Isi pemeriksa dan catatan perbaikan","OK")))))))))))))))),"")</f>
        <v/>
      </c>
    </row>
    <row r="59" spans="1:38" ht="24.95" customHeight="1">
      <c r="A59" s="8"/>
      <c r="B59" s="6"/>
      <c r="C59" s="15" t="str">
        <f>IF(COUNTIFS(Master_PIC!$A$8:$A$73,$B59)=1,IF(VLOOKUP($B59,Master_PIC!$A$8:$G$73,2,FALSE)="","",VLOOKUP($B59,Master_PIC!$A$8:$G$73,2,FALSE)),"")</f>
        <v/>
      </c>
      <c r="D59" s="15" t="str">
        <f>IF(COUNTIFS(Master_PIC!$A$8:$A$73,$B59)=1,IF(VLOOKUP($B59,Master_PIC!$A$8:$G$73,4,FALSE)="","",VLOOKUP($B59,Master_PIC!$A$8:$G$73,4,FALSE)),"")</f>
        <v/>
      </c>
      <c r="E59" s="15" t="str">
        <f>IF(COUNTIFS(Master_PIC!$A$8:$A$73,$B59)=1,IF(VLOOKUP($B59,Master_PIC!$A$8:$G$73,5,FALSE)="","",VLOOKUP($B59,Master_PIC!$A$8:$G$73,5,FALSE)),"")</f>
        <v/>
      </c>
      <c r="F59" s="15" t="str">
        <f>IF(COUNTIFS(Master_PIC!$A$8:$A$73,$B59)=1,IF(VLOOKUP($B59,Master_PIC!$A$8:$G$73,6,FALSE)="","",VLOOKUP($B59,Master_PIC!$A$8:$G$73,6,FALSE)),"")</f>
        <v/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8"/>
      <c r="X59" s="5"/>
      <c r="Y59" s="5"/>
      <c r="Z59" s="9"/>
      <c r="AA59" s="5"/>
      <c r="AB59" s="5"/>
      <c r="AC59" s="9"/>
      <c r="AD59" s="5"/>
      <c r="AE59" s="7" t="str">
        <f t="shared" si="0"/>
        <v/>
      </c>
      <c r="AF59" s="7" t="str">
        <f t="shared" si="1"/>
        <v/>
      </c>
      <c r="AG59" s="7" t="str">
        <f t="shared" si="2"/>
        <v/>
      </c>
      <c r="AH59" s="7" t="str">
        <f t="shared" si="3"/>
        <v/>
      </c>
      <c r="AI59" s="7" t="str">
        <f t="shared" si="4"/>
        <v/>
      </c>
      <c r="AJ59" s="7" t="str">
        <f t="shared" si="5"/>
        <v/>
      </c>
      <c r="AK59" s="10" t="str">
        <f t="shared" si="6"/>
        <v/>
      </c>
      <c r="AL59" s="15" t="str">
        <f>IF(OR($A59&lt;&gt;"",$B59&lt;&gt;""),IF(OR($A59="",$B59=""),"Isi tanggal dan ID PIC",IF(NOT(ISNUMBER($A59)),"Tanggal harus berupa tanggal Excel",IF(COUNTIFS(Master_PIC!$A$8:$A$73,$B59)&lt;&gt;1,"ID PIC tidak unik/terdaftar",IF(VLOOKUP($B59,Master_PIC!$A$8:$G$73,3,FALSE)&lt;&gt;"SPV","Jabatan tidak sesuai sheet",IF(OR($C59="",$D59="",$E59="",$F59=""),"Lengkapi master PIC",IF(COUNTIFS($A$8:$A$507,$A59,$B$8:$B$507,$B59)&gt;1,"Laporan ganda",IF(COUNTIFS(G59:O59,"Tidak Berlaku")&gt;0,"N/A hanya untuk kegiatan bersyarat",IF(SUM(AF59,AG59,AH59,AI59,AJ59)&lt;&gt;13,"Status kegiatan tidak valid",IF(AJ59&gt;0,"Lengkapi status kegiatan",IF(AND(AI59&gt;0,T59=""),"Isi alasan Tidak Berlaku",IF(AND(SUM(AG59,AH59)&gt;0,OR(T59="",U59="",V59="",W59="")),"Isi kendala dan tindak lanjut",IF(AND(Y59&lt;&gt;"Draft",Y59&lt;&gt;"Dikirim"),"Isi status laporan yang valid",IF(AND(AA59&lt;&gt;"",AA59&lt;&gt;"Belum Diperiksa",AA59&lt;&gt;"Disetujui",AA59&lt;&gt;"Perlu Perbaikan"),"Hasil review tidak valid",IF(AND(Y59="Dikirim",OR(X59="",Z59="")),"Isi bukti dan waktu kirim",IF(AND(AA59="Disetujui",OR(Y59&lt;&gt;"Dikirim",AB59="",AC59="")),"Lengkapi pemeriksaan",IF(AND(AA59="Perlu Perbaikan",OR(AD59="",AB59="",AC59="")),"Isi pemeriksa dan catatan perbaikan","OK")))))))))))))))),"")</f>
        <v/>
      </c>
    </row>
    <row r="60" spans="1:38" ht="24.95" customHeight="1">
      <c r="A60" s="8"/>
      <c r="B60" s="6"/>
      <c r="C60" s="15" t="str">
        <f>IF(COUNTIFS(Master_PIC!$A$8:$A$73,$B60)=1,IF(VLOOKUP($B60,Master_PIC!$A$8:$G$73,2,FALSE)="","",VLOOKUP($B60,Master_PIC!$A$8:$G$73,2,FALSE)),"")</f>
        <v/>
      </c>
      <c r="D60" s="15" t="str">
        <f>IF(COUNTIFS(Master_PIC!$A$8:$A$73,$B60)=1,IF(VLOOKUP($B60,Master_PIC!$A$8:$G$73,4,FALSE)="","",VLOOKUP($B60,Master_PIC!$A$8:$G$73,4,FALSE)),"")</f>
        <v/>
      </c>
      <c r="E60" s="15" t="str">
        <f>IF(COUNTIFS(Master_PIC!$A$8:$A$73,$B60)=1,IF(VLOOKUP($B60,Master_PIC!$A$8:$G$73,5,FALSE)="","",VLOOKUP($B60,Master_PIC!$A$8:$G$73,5,FALSE)),"")</f>
        <v/>
      </c>
      <c r="F60" s="15" t="str">
        <f>IF(COUNTIFS(Master_PIC!$A$8:$A$73,$B60)=1,IF(VLOOKUP($B60,Master_PIC!$A$8:$G$73,6,FALSE)="","",VLOOKUP($B60,Master_PIC!$A$8:$G$73,6,FALSE)),"")</f>
        <v/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8"/>
      <c r="X60" s="5"/>
      <c r="Y60" s="5"/>
      <c r="Z60" s="9"/>
      <c r="AA60" s="5"/>
      <c r="AB60" s="5"/>
      <c r="AC60" s="9"/>
      <c r="AD60" s="5"/>
      <c r="AE60" s="7" t="str">
        <f t="shared" si="0"/>
        <v/>
      </c>
      <c r="AF60" s="7" t="str">
        <f t="shared" si="1"/>
        <v/>
      </c>
      <c r="AG60" s="7" t="str">
        <f t="shared" si="2"/>
        <v/>
      </c>
      <c r="AH60" s="7" t="str">
        <f t="shared" si="3"/>
        <v/>
      </c>
      <c r="AI60" s="7" t="str">
        <f t="shared" si="4"/>
        <v/>
      </c>
      <c r="AJ60" s="7" t="str">
        <f t="shared" si="5"/>
        <v/>
      </c>
      <c r="AK60" s="10" t="str">
        <f t="shared" si="6"/>
        <v/>
      </c>
      <c r="AL60" s="15" t="str">
        <f>IF(OR($A60&lt;&gt;"",$B60&lt;&gt;""),IF(OR($A60="",$B60=""),"Isi tanggal dan ID PIC",IF(NOT(ISNUMBER($A60)),"Tanggal harus berupa tanggal Excel",IF(COUNTIFS(Master_PIC!$A$8:$A$73,$B60)&lt;&gt;1,"ID PIC tidak unik/terdaftar",IF(VLOOKUP($B60,Master_PIC!$A$8:$G$73,3,FALSE)&lt;&gt;"SPV","Jabatan tidak sesuai sheet",IF(OR($C60="",$D60="",$E60="",$F60=""),"Lengkapi master PIC",IF(COUNTIFS($A$8:$A$507,$A60,$B$8:$B$507,$B60)&gt;1,"Laporan ganda",IF(COUNTIFS(G60:O60,"Tidak Berlaku")&gt;0,"N/A hanya untuk kegiatan bersyarat",IF(SUM(AF60,AG60,AH60,AI60,AJ60)&lt;&gt;13,"Status kegiatan tidak valid",IF(AJ60&gt;0,"Lengkapi status kegiatan",IF(AND(AI60&gt;0,T60=""),"Isi alasan Tidak Berlaku",IF(AND(SUM(AG60,AH60)&gt;0,OR(T60="",U60="",V60="",W60="")),"Isi kendala dan tindak lanjut",IF(AND(Y60&lt;&gt;"Draft",Y60&lt;&gt;"Dikirim"),"Isi status laporan yang valid",IF(AND(AA60&lt;&gt;"",AA60&lt;&gt;"Belum Diperiksa",AA60&lt;&gt;"Disetujui",AA60&lt;&gt;"Perlu Perbaikan"),"Hasil review tidak valid",IF(AND(Y60="Dikirim",OR(X60="",Z60="")),"Isi bukti dan waktu kirim",IF(AND(AA60="Disetujui",OR(Y60&lt;&gt;"Dikirim",AB60="",AC60="")),"Lengkapi pemeriksaan",IF(AND(AA60="Perlu Perbaikan",OR(AD60="",AB60="",AC60="")),"Isi pemeriksa dan catatan perbaikan","OK")))))))))))))))),"")</f>
        <v/>
      </c>
    </row>
    <row r="61" spans="1:38" ht="24.95" customHeight="1">
      <c r="A61" s="8"/>
      <c r="B61" s="6"/>
      <c r="C61" s="15" t="str">
        <f>IF(COUNTIFS(Master_PIC!$A$8:$A$73,$B61)=1,IF(VLOOKUP($B61,Master_PIC!$A$8:$G$73,2,FALSE)="","",VLOOKUP($B61,Master_PIC!$A$8:$G$73,2,FALSE)),"")</f>
        <v/>
      </c>
      <c r="D61" s="15" t="str">
        <f>IF(COUNTIFS(Master_PIC!$A$8:$A$73,$B61)=1,IF(VLOOKUP($B61,Master_PIC!$A$8:$G$73,4,FALSE)="","",VLOOKUP($B61,Master_PIC!$A$8:$G$73,4,FALSE)),"")</f>
        <v/>
      </c>
      <c r="E61" s="15" t="str">
        <f>IF(COUNTIFS(Master_PIC!$A$8:$A$73,$B61)=1,IF(VLOOKUP($B61,Master_PIC!$A$8:$G$73,5,FALSE)="","",VLOOKUP($B61,Master_PIC!$A$8:$G$73,5,FALSE)),"")</f>
        <v/>
      </c>
      <c r="F61" s="15" t="str">
        <f>IF(COUNTIFS(Master_PIC!$A$8:$A$73,$B61)=1,IF(VLOOKUP($B61,Master_PIC!$A$8:$G$73,6,FALSE)="","",VLOOKUP($B61,Master_PIC!$A$8:$G$73,6,FALSE)),"")</f>
        <v/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8"/>
      <c r="X61" s="5"/>
      <c r="Y61" s="5"/>
      <c r="Z61" s="9"/>
      <c r="AA61" s="5"/>
      <c r="AB61" s="5"/>
      <c r="AC61" s="9"/>
      <c r="AD61" s="5"/>
      <c r="AE61" s="7" t="str">
        <f t="shared" si="0"/>
        <v/>
      </c>
      <c r="AF61" s="7" t="str">
        <f t="shared" si="1"/>
        <v/>
      </c>
      <c r="AG61" s="7" t="str">
        <f t="shared" si="2"/>
        <v/>
      </c>
      <c r="AH61" s="7" t="str">
        <f t="shared" si="3"/>
        <v/>
      </c>
      <c r="AI61" s="7" t="str">
        <f t="shared" si="4"/>
        <v/>
      </c>
      <c r="AJ61" s="7" t="str">
        <f t="shared" si="5"/>
        <v/>
      </c>
      <c r="AK61" s="10" t="str">
        <f t="shared" si="6"/>
        <v/>
      </c>
      <c r="AL61" s="15" t="str">
        <f>IF(OR($A61&lt;&gt;"",$B61&lt;&gt;""),IF(OR($A61="",$B61=""),"Isi tanggal dan ID PIC",IF(NOT(ISNUMBER($A61)),"Tanggal harus berupa tanggal Excel",IF(COUNTIFS(Master_PIC!$A$8:$A$73,$B61)&lt;&gt;1,"ID PIC tidak unik/terdaftar",IF(VLOOKUP($B61,Master_PIC!$A$8:$G$73,3,FALSE)&lt;&gt;"SPV","Jabatan tidak sesuai sheet",IF(OR($C61="",$D61="",$E61="",$F61=""),"Lengkapi master PIC",IF(COUNTIFS($A$8:$A$507,$A61,$B$8:$B$507,$B61)&gt;1,"Laporan ganda",IF(COUNTIFS(G61:O61,"Tidak Berlaku")&gt;0,"N/A hanya untuk kegiatan bersyarat",IF(SUM(AF61,AG61,AH61,AI61,AJ61)&lt;&gt;13,"Status kegiatan tidak valid",IF(AJ61&gt;0,"Lengkapi status kegiatan",IF(AND(AI61&gt;0,T61=""),"Isi alasan Tidak Berlaku",IF(AND(SUM(AG61,AH61)&gt;0,OR(T61="",U61="",V61="",W61="")),"Isi kendala dan tindak lanjut",IF(AND(Y61&lt;&gt;"Draft",Y61&lt;&gt;"Dikirim"),"Isi status laporan yang valid",IF(AND(AA61&lt;&gt;"",AA61&lt;&gt;"Belum Diperiksa",AA61&lt;&gt;"Disetujui",AA61&lt;&gt;"Perlu Perbaikan"),"Hasil review tidak valid",IF(AND(Y61="Dikirim",OR(X61="",Z61="")),"Isi bukti dan waktu kirim",IF(AND(AA61="Disetujui",OR(Y61&lt;&gt;"Dikirim",AB61="",AC61="")),"Lengkapi pemeriksaan",IF(AND(AA61="Perlu Perbaikan",OR(AD61="",AB61="",AC61="")),"Isi pemeriksa dan catatan perbaikan","OK")))))))))))))))),"")</f>
        <v/>
      </c>
    </row>
    <row r="62" spans="1:38" ht="24.95" customHeight="1">
      <c r="A62" s="8"/>
      <c r="B62" s="6"/>
      <c r="C62" s="15" t="str">
        <f>IF(COUNTIFS(Master_PIC!$A$8:$A$73,$B62)=1,IF(VLOOKUP($B62,Master_PIC!$A$8:$G$73,2,FALSE)="","",VLOOKUP($B62,Master_PIC!$A$8:$G$73,2,FALSE)),"")</f>
        <v/>
      </c>
      <c r="D62" s="15" t="str">
        <f>IF(COUNTIFS(Master_PIC!$A$8:$A$73,$B62)=1,IF(VLOOKUP($B62,Master_PIC!$A$8:$G$73,4,FALSE)="","",VLOOKUP($B62,Master_PIC!$A$8:$G$73,4,FALSE)),"")</f>
        <v/>
      </c>
      <c r="E62" s="15" t="str">
        <f>IF(COUNTIFS(Master_PIC!$A$8:$A$73,$B62)=1,IF(VLOOKUP($B62,Master_PIC!$A$8:$G$73,5,FALSE)="","",VLOOKUP($B62,Master_PIC!$A$8:$G$73,5,FALSE)),"")</f>
        <v/>
      </c>
      <c r="F62" s="15" t="str">
        <f>IF(COUNTIFS(Master_PIC!$A$8:$A$73,$B62)=1,IF(VLOOKUP($B62,Master_PIC!$A$8:$G$73,6,FALSE)="","",VLOOKUP($B62,Master_PIC!$A$8:$G$73,6,FALSE)),"")</f>
        <v/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8"/>
      <c r="X62" s="5"/>
      <c r="Y62" s="5"/>
      <c r="Z62" s="9"/>
      <c r="AA62" s="5"/>
      <c r="AB62" s="5"/>
      <c r="AC62" s="9"/>
      <c r="AD62" s="5"/>
      <c r="AE62" s="7" t="str">
        <f t="shared" si="0"/>
        <v/>
      </c>
      <c r="AF62" s="7" t="str">
        <f t="shared" si="1"/>
        <v/>
      </c>
      <c r="AG62" s="7" t="str">
        <f t="shared" si="2"/>
        <v/>
      </c>
      <c r="AH62" s="7" t="str">
        <f t="shared" si="3"/>
        <v/>
      </c>
      <c r="AI62" s="7" t="str">
        <f t="shared" si="4"/>
        <v/>
      </c>
      <c r="AJ62" s="7" t="str">
        <f t="shared" si="5"/>
        <v/>
      </c>
      <c r="AK62" s="10" t="str">
        <f t="shared" si="6"/>
        <v/>
      </c>
      <c r="AL62" s="15" t="str">
        <f>IF(OR($A62&lt;&gt;"",$B62&lt;&gt;""),IF(OR($A62="",$B62=""),"Isi tanggal dan ID PIC",IF(NOT(ISNUMBER($A62)),"Tanggal harus berupa tanggal Excel",IF(COUNTIFS(Master_PIC!$A$8:$A$73,$B62)&lt;&gt;1,"ID PIC tidak unik/terdaftar",IF(VLOOKUP($B62,Master_PIC!$A$8:$G$73,3,FALSE)&lt;&gt;"SPV","Jabatan tidak sesuai sheet",IF(OR($C62="",$D62="",$E62="",$F62=""),"Lengkapi master PIC",IF(COUNTIFS($A$8:$A$507,$A62,$B$8:$B$507,$B62)&gt;1,"Laporan ganda",IF(COUNTIFS(G62:O62,"Tidak Berlaku")&gt;0,"N/A hanya untuk kegiatan bersyarat",IF(SUM(AF62,AG62,AH62,AI62,AJ62)&lt;&gt;13,"Status kegiatan tidak valid",IF(AJ62&gt;0,"Lengkapi status kegiatan",IF(AND(AI62&gt;0,T62=""),"Isi alasan Tidak Berlaku",IF(AND(SUM(AG62,AH62)&gt;0,OR(T62="",U62="",V62="",W62="")),"Isi kendala dan tindak lanjut",IF(AND(Y62&lt;&gt;"Draft",Y62&lt;&gt;"Dikirim"),"Isi status laporan yang valid",IF(AND(AA62&lt;&gt;"",AA62&lt;&gt;"Belum Diperiksa",AA62&lt;&gt;"Disetujui",AA62&lt;&gt;"Perlu Perbaikan"),"Hasil review tidak valid",IF(AND(Y62="Dikirim",OR(X62="",Z62="")),"Isi bukti dan waktu kirim",IF(AND(AA62="Disetujui",OR(Y62&lt;&gt;"Dikirim",AB62="",AC62="")),"Lengkapi pemeriksaan",IF(AND(AA62="Perlu Perbaikan",OR(AD62="",AB62="",AC62="")),"Isi pemeriksa dan catatan perbaikan","OK")))))))))))))))),"")</f>
        <v/>
      </c>
    </row>
    <row r="63" spans="1:38" ht="24.95" customHeight="1">
      <c r="A63" s="8"/>
      <c r="B63" s="6"/>
      <c r="C63" s="15" t="str">
        <f>IF(COUNTIFS(Master_PIC!$A$8:$A$73,$B63)=1,IF(VLOOKUP($B63,Master_PIC!$A$8:$G$73,2,FALSE)="","",VLOOKUP($B63,Master_PIC!$A$8:$G$73,2,FALSE)),"")</f>
        <v/>
      </c>
      <c r="D63" s="15" t="str">
        <f>IF(COUNTIFS(Master_PIC!$A$8:$A$73,$B63)=1,IF(VLOOKUP($B63,Master_PIC!$A$8:$G$73,4,FALSE)="","",VLOOKUP($B63,Master_PIC!$A$8:$G$73,4,FALSE)),"")</f>
        <v/>
      </c>
      <c r="E63" s="15" t="str">
        <f>IF(COUNTIFS(Master_PIC!$A$8:$A$73,$B63)=1,IF(VLOOKUP($B63,Master_PIC!$A$8:$G$73,5,FALSE)="","",VLOOKUP($B63,Master_PIC!$A$8:$G$73,5,FALSE)),"")</f>
        <v/>
      </c>
      <c r="F63" s="15" t="str">
        <f>IF(COUNTIFS(Master_PIC!$A$8:$A$73,$B63)=1,IF(VLOOKUP($B63,Master_PIC!$A$8:$G$73,6,FALSE)="","",VLOOKUP($B63,Master_PIC!$A$8:$G$73,6,FALSE)),"")</f>
        <v/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8"/>
      <c r="X63" s="5"/>
      <c r="Y63" s="5"/>
      <c r="Z63" s="9"/>
      <c r="AA63" s="5"/>
      <c r="AB63" s="5"/>
      <c r="AC63" s="9"/>
      <c r="AD63" s="5"/>
      <c r="AE63" s="7" t="str">
        <f t="shared" si="0"/>
        <v/>
      </c>
      <c r="AF63" s="7" t="str">
        <f t="shared" si="1"/>
        <v/>
      </c>
      <c r="AG63" s="7" t="str">
        <f t="shared" si="2"/>
        <v/>
      </c>
      <c r="AH63" s="7" t="str">
        <f t="shared" si="3"/>
        <v/>
      </c>
      <c r="AI63" s="7" t="str">
        <f t="shared" si="4"/>
        <v/>
      </c>
      <c r="AJ63" s="7" t="str">
        <f t="shared" si="5"/>
        <v/>
      </c>
      <c r="AK63" s="10" t="str">
        <f t="shared" si="6"/>
        <v/>
      </c>
      <c r="AL63" s="15" t="str">
        <f>IF(OR($A63&lt;&gt;"",$B63&lt;&gt;""),IF(OR($A63="",$B63=""),"Isi tanggal dan ID PIC",IF(NOT(ISNUMBER($A63)),"Tanggal harus berupa tanggal Excel",IF(COUNTIFS(Master_PIC!$A$8:$A$73,$B63)&lt;&gt;1,"ID PIC tidak unik/terdaftar",IF(VLOOKUP($B63,Master_PIC!$A$8:$G$73,3,FALSE)&lt;&gt;"SPV","Jabatan tidak sesuai sheet",IF(OR($C63="",$D63="",$E63="",$F63=""),"Lengkapi master PIC",IF(COUNTIFS($A$8:$A$507,$A63,$B$8:$B$507,$B63)&gt;1,"Laporan ganda",IF(COUNTIFS(G63:O63,"Tidak Berlaku")&gt;0,"N/A hanya untuk kegiatan bersyarat",IF(SUM(AF63,AG63,AH63,AI63,AJ63)&lt;&gt;13,"Status kegiatan tidak valid",IF(AJ63&gt;0,"Lengkapi status kegiatan",IF(AND(AI63&gt;0,T63=""),"Isi alasan Tidak Berlaku",IF(AND(SUM(AG63,AH63)&gt;0,OR(T63="",U63="",V63="",W63="")),"Isi kendala dan tindak lanjut",IF(AND(Y63&lt;&gt;"Draft",Y63&lt;&gt;"Dikirim"),"Isi status laporan yang valid",IF(AND(AA63&lt;&gt;"",AA63&lt;&gt;"Belum Diperiksa",AA63&lt;&gt;"Disetujui",AA63&lt;&gt;"Perlu Perbaikan"),"Hasil review tidak valid",IF(AND(Y63="Dikirim",OR(X63="",Z63="")),"Isi bukti dan waktu kirim",IF(AND(AA63="Disetujui",OR(Y63&lt;&gt;"Dikirim",AB63="",AC63="")),"Lengkapi pemeriksaan",IF(AND(AA63="Perlu Perbaikan",OR(AD63="",AB63="",AC63="")),"Isi pemeriksa dan catatan perbaikan","OK")))))))))))))))),"")</f>
        <v/>
      </c>
    </row>
    <row r="64" spans="1:38" ht="24.95" customHeight="1">
      <c r="A64" s="8"/>
      <c r="B64" s="6"/>
      <c r="C64" s="15" t="str">
        <f>IF(COUNTIFS(Master_PIC!$A$8:$A$73,$B64)=1,IF(VLOOKUP($B64,Master_PIC!$A$8:$G$73,2,FALSE)="","",VLOOKUP($B64,Master_PIC!$A$8:$G$73,2,FALSE)),"")</f>
        <v/>
      </c>
      <c r="D64" s="15" t="str">
        <f>IF(COUNTIFS(Master_PIC!$A$8:$A$73,$B64)=1,IF(VLOOKUP($B64,Master_PIC!$A$8:$G$73,4,FALSE)="","",VLOOKUP($B64,Master_PIC!$A$8:$G$73,4,FALSE)),"")</f>
        <v/>
      </c>
      <c r="E64" s="15" t="str">
        <f>IF(COUNTIFS(Master_PIC!$A$8:$A$73,$B64)=1,IF(VLOOKUP($B64,Master_PIC!$A$8:$G$73,5,FALSE)="","",VLOOKUP($B64,Master_PIC!$A$8:$G$73,5,FALSE)),"")</f>
        <v/>
      </c>
      <c r="F64" s="15" t="str">
        <f>IF(COUNTIFS(Master_PIC!$A$8:$A$73,$B64)=1,IF(VLOOKUP($B64,Master_PIC!$A$8:$G$73,6,FALSE)="","",VLOOKUP($B64,Master_PIC!$A$8:$G$73,6,FALSE)),"")</f>
        <v/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8"/>
      <c r="X64" s="5"/>
      <c r="Y64" s="5"/>
      <c r="Z64" s="9"/>
      <c r="AA64" s="5"/>
      <c r="AB64" s="5"/>
      <c r="AC64" s="9"/>
      <c r="AD64" s="5"/>
      <c r="AE64" s="7" t="str">
        <f t="shared" si="0"/>
        <v/>
      </c>
      <c r="AF64" s="7" t="str">
        <f t="shared" si="1"/>
        <v/>
      </c>
      <c r="AG64" s="7" t="str">
        <f t="shared" si="2"/>
        <v/>
      </c>
      <c r="AH64" s="7" t="str">
        <f t="shared" si="3"/>
        <v/>
      </c>
      <c r="AI64" s="7" t="str">
        <f t="shared" si="4"/>
        <v/>
      </c>
      <c r="AJ64" s="7" t="str">
        <f t="shared" si="5"/>
        <v/>
      </c>
      <c r="AK64" s="10" t="str">
        <f t="shared" si="6"/>
        <v/>
      </c>
      <c r="AL64" s="15" t="str">
        <f>IF(OR($A64&lt;&gt;"",$B64&lt;&gt;""),IF(OR($A64="",$B64=""),"Isi tanggal dan ID PIC",IF(NOT(ISNUMBER($A64)),"Tanggal harus berupa tanggal Excel",IF(COUNTIFS(Master_PIC!$A$8:$A$73,$B64)&lt;&gt;1,"ID PIC tidak unik/terdaftar",IF(VLOOKUP($B64,Master_PIC!$A$8:$G$73,3,FALSE)&lt;&gt;"SPV","Jabatan tidak sesuai sheet",IF(OR($C64="",$D64="",$E64="",$F64=""),"Lengkapi master PIC",IF(COUNTIFS($A$8:$A$507,$A64,$B$8:$B$507,$B64)&gt;1,"Laporan ganda",IF(COUNTIFS(G64:O64,"Tidak Berlaku")&gt;0,"N/A hanya untuk kegiatan bersyarat",IF(SUM(AF64,AG64,AH64,AI64,AJ64)&lt;&gt;13,"Status kegiatan tidak valid",IF(AJ64&gt;0,"Lengkapi status kegiatan",IF(AND(AI64&gt;0,T64=""),"Isi alasan Tidak Berlaku",IF(AND(SUM(AG64,AH64)&gt;0,OR(T64="",U64="",V64="",W64="")),"Isi kendala dan tindak lanjut",IF(AND(Y64&lt;&gt;"Draft",Y64&lt;&gt;"Dikirim"),"Isi status laporan yang valid",IF(AND(AA64&lt;&gt;"",AA64&lt;&gt;"Belum Diperiksa",AA64&lt;&gt;"Disetujui",AA64&lt;&gt;"Perlu Perbaikan"),"Hasil review tidak valid",IF(AND(Y64="Dikirim",OR(X64="",Z64="")),"Isi bukti dan waktu kirim",IF(AND(AA64="Disetujui",OR(Y64&lt;&gt;"Dikirim",AB64="",AC64="")),"Lengkapi pemeriksaan",IF(AND(AA64="Perlu Perbaikan",OR(AD64="",AB64="",AC64="")),"Isi pemeriksa dan catatan perbaikan","OK")))))))))))))))),"")</f>
        <v/>
      </c>
    </row>
    <row r="65" spans="1:38" ht="24.95" customHeight="1">
      <c r="A65" s="8"/>
      <c r="B65" s="6"/>
      <c r="C65" s="15" t="str">
        <f>IF(COUNTIFS(Master_PIC!$A$8:$A$73,$B65)=1,IF(VLOOKUP($B65,Master_PIC!$A$8:$G$73,2,FALSE)="","",VLOOKUP($B65,Master_PIC!$A$8:$G$73,2,FALSE)),"")</f>
        <v/>
      </c>
      <c r="D65" s="15" t="str">
        <f>IF(COUNTIFS(Master_PIC!$A$8:$A$73,$B65)=1,IF(VLOOKUP($B65,Master_PIC!$A$8:$G$73,4,FALSE)="","",VLOOKUP($B65,Master_PIC!$A$8:$G$73,4,FALSE)),"")</f>
        <v/>
      </c>
      <c r="E65" s="15" t="str">
        <f>IF(COUNTIFS(Master_PIC!$A$8:$A$73,$B65)=1,IF(VLOOKUP($B65,Master_PIC!$A$8:$G$73,5,FALSE)="","",VLOOKUP($B65,Master_PIC!$A$8:$G$73,5,FALSE)),"")</f>
        <v/>
      </c>
      <c r="F65" s="15" t="str">
        <f>IF(COUNTIFS(Master_PIC!$A$8:$A$73,$B65)=1,IF(VLOOKUP($B65,Master_PIC!$A$8:$G$73,6,FALSE)="","",VLOOKUP($B65,Master_PIC!$A$8:$G$73,6,FALSE)),"")</f>
        <v/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8"/>
      <c r="X65" s="5"/>
      <c r="Y65" s="5"/>
      <c r="Z65" s="9"/>
      <c r="AA65" s="5"/>
      <c r="AB65" s="5"/>
      <c r="AC65" s="9"/>
      <c r="AD65" s="5"/>
      <c r="AE65" s="7" t="str">
        <f t="shared" si="0"/>
        <v/>
      </c>
      <c r="AF65" s="7" t="str">
        <f t="shared" si="1"/>
        <v/>
      </c>
      <c r="AG65" s="7" t="str">
        <f t="shared" si="2"/>
        <v/>
      </c>
      <c r="AH65" s="7" t="str">
        <f t="shared" si="3"/>
        <v/>
      </c>
      <c r="AI65" s="7" t="str">
        <f t="shared" si="4"/>
        <v/>
      </c>
      <c r="AJ65" s="7" t="str">
        <f t="shared" si="5"/>
        <v/>
      </c>
      <c r="AK65" s="10" t="str">
        <f t="shared" si="6"/>
        <v/>
      </c>
      <c r="AL65" s="15" t="str">
        <f>IF(OR($A65&lt;&gt;"",$B65&lt;&gt;""),IF(OR($A65="",$B65=""),"Isi tanggal dan ID PIC",IF(NOT(ISNUMBER($A65)),"Tanggal harus berupa tanggal Excel",IF(COUNTIFS(Master_PIC!$A$8:$A$73,$B65)&lt;&gt;1,"ID PIC tidak unik/terdaftar",IF(VLOOKUP($B65,Master_PIC!$A$8:$G$73,3,FALSE)&lt;&gt;"SPV","Jabatan tidak sesuai sheet",IF(OR($C65="",$D65="",$E65="",$F65=""),"Lengkapi master PIC",IF(COUNTIFS($A$8:$A$507,$A65,$B$8:$B$507,$B65)&gt;1,"Laporan ganda",IF(COUNTIFS(G65:O65,"Tidak Berlaku")&gt;0,"N/A hanya untuk kegiatan bersyarat",IF(SUM(AF65,AG65,AH65,AI65,AJ65)&lt;&gt;13,"Status kegiatan tidak valid",IF(AJ65&gt;0,"Lengkapi status kegiatan",IF(AND(AI65&gt;0,T65=""),"Isi alasan Tidak Berlaku",IF(AND(SUM(AG65,AH65)&gt;0,OR(T65="",U65="",V65="",W65="")),"Isi kendala dan tindak lanjut",IF(AND(Y65&lt;&gt;"Draft",Y65&lt;&gt;"Dikirim"),"Isi status laporan yang valid",IF(AND(AA65&lt;&gt;"",AA65&lt;&gt;"Belum Diperiksa",AA65&lt;&gt;"Disetujui",AA65&lt;&gt;"Perlu Perbaikan"),"Hasil review tidak valid",IF(AND(Y65="Dikirim",OR(X65="",Z65="")),"Isi bukti dan waktu kirim",IF(AND(AA65="Disetujui",OR(Y65&lt;&gt;"Dikirim",AB65="",AC65="")),"Lengkapi pemeriksaan",IF(AND(AA65="Perlu Perbaikan",OR(AD65="",AB65="",AC65="")),"Isi pemeriksa dan catatan perbaikan","OK")))))))))))))))),"")</f>
        <v/>
      </c>
    </row>
    <row r="66" spans="1:38" ht="24.95" customHeight="1">
      <c r="A66" s="8"/>
      <c r="B66" s="6"/>
      <c r="C66" s="15" t="str">
        <f>IF(COUNTIFS(Master_PIC!$A$8:$A$73,$B66)=1,IF(VLOOKUP($B66,Master_PIC!$A$8:$G$73,2,FALSE)="","",VLOOKUP($B66,Master_PIC!$A$8:$G$73,2,FALSE)),"")</f>
        <v/>
      </c>
      <c r="D66" s="15" t="str">
        <f>IF(COUNTIFS(Master_PIC!$A$8:$A$73,$B66)=1,IF(VLOOKUP($B66,Master_PIC!$A$8:$G$73,4,FALSE)="","",VLOOKUP($B66,Master_PIC!$A$8:$G$73,4,FALSE)),"")</f>
        <v/>
      </c>
      <c r="E66" s="15" t="str">
        <f>IF(COUNTIFS(Master_PIC!$A$8:$A$73,$B66)=1,IF(VLOOKUP($B66,Master_PIC!$A$8:$G$73,5,FALSE)="","",VLOOKUP($B66,Master_PIC!$A$8:$G$73,5,FALSE)),"")</f>
        <v/>
      </c>
      <c r="F66" s="15" t="str">
        <f>IF(COUNTIFS(Master_PIC!$A$8:$A$73,$B66)=1,IF(VLOOKUP($B66,Master_PIC!$A$8:$G$73,6,FALSE)="","",VLOOKUP($B66,Master_PIC!$A$8:$G$73,6,FALSE)),"")</f>
        <v/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8"/>
      <c r="X66" s="5"/>
      <c r="Y66" s="5"/>
      <c r="Z66" s="9"/>
      <c r="AA66" s="5"/>
      <c r="AB66" s="5"/>
      <c r="AC66" s="9"/>
      <c r="AD66" s="5"/>
      <c r="AE66" s="7" t="str">
        <f t="shared" si="0"/>
        <v/>
      </c>
      <c r="AF66" s="7" t="str">
        <f t="shared" si="1"/>
        <v/>
      </c>
      <c r="AG66" s="7" t="str">
        <f t="shared" si="2"/>
        <v/>
      </c>
      <c r="AH66" s="7" t="str">
        <f t="shared" si="3"/>
        <v/>
      </c>
      <c r="AI66" s="7" t="str">
        <f t="shared" si="4"/>
        <v/>
      </c>
      <c r="AJ66" s="7" t="str">
        <f t="shared" si="5"/>
        <v/>
      </c>
      <c r="AK66" s="10" t="str">
        <f t="shared" si="6"/>
        <v/>
      </c>
      <c r="AL66" s="15" t="str">
        <f>IF(OR($A66&lt;&gt;"",$B66&lt;&gt;""),IF(OR($A66="",$B66=""),"Isi tanggal dan ID PIC",IF(NOT(ISNUMBER($A66)),"Tanggal harus berupa tanggal Excel",IF(COUNTIFS(Master_PIC!$A$8:$A$73,$B66)&lt;&gt;1,"ID PIC tidak unik/terdaftar",IF(VLOOKUP($B66,Master_PIC!$A$8:$G$73,3,FALSE)&lt;&gt;"SPV","Jabatan tidak sesuai sheet",IF(OR($C66="",$D66="",$E66="",$F66=""),"Lengkapi master PIC",IF(COUNTIFS($A$8:$A$507,$A66,$B$8:$B$507,$B66)&gt;1,"Laporan ganda",IF(COUNTIFS(G66:O66,"Tidak Berlaku")&gt;0,"N/A hanya untuk kegiatan bersyarat",IF(SUM(AF66,AG66,AH66,AI66,AJ66)&lt;&gt;13,"Status kegiatan tidak valid",IF(AJ66&gt;0,"Lengkapi status kegiatan",IF(AND(AI66&gt;0,T66=""),"Isi alasan Tidak Berlaku",IF(AND(SUM(AG66,AH66)&gt;0,OR(T66="",U66="",V66="",W66="")),"Isi kendala dan tindak lanjut",IF(AND(Y66&lt;&gt;"Draft",Y66&lt;&gt;"Dikirim"),"Isi status laporan yang valid",IF(AND(AA66&lt;&gt;"",AA66&lt;&gt;"Belum Diperiksa",AA66&lt;&gt;"Disetujui",AA66&lt;&gt;"Perlu Perbaikan"),"Hasil review tidak valid",IF(AND(Y66="Dikirim",OR(X66="",Z66="")),"Isi bukti dan waktu kirim",IF(AND(AA66="Disetujui",OR(Y66&lt;&gt;"Dikirim",AB66="",AC66="")),"Lengkapi pemeriksaan",IF(AND(AA66="Perlu Perbaikan",OR(AD66="",AB66="",AC66="")),"Isi pemeriksa dan catatan perbaikan","OK")))))))))))))))),"")</f>
        <v/>
      </c>
    </row>
    <row r="67" spans="1:38" ht="24.95" customHeight="1">
      <c r="A67" s="8"/>
      <c r="B67" s="6"/>
      <c r="C67" s="15" t="str">
        <f>IF(COUNTIFS(Master_PIC!$A$8:$A$73,$B67)=1,IF(VLOOKUP($B67,Master_PIC!$A$8:$G$73,2,FALSE)="","",VLOOKUP($B67,Master_PIC!$A$8:$G$73,2,FALSE)),"")</f>
        <v/>
      </c>
      <c r="D67" s="15" t="str">
        <f>IF(COUNTIFS(Master_PIC!$A$8:$A$73,$B67)=1,IF(VLOOKUP($B67,Master_PIC!$A$8:$G$73,4,FALSE)="","",VLOOKUP($B67,Master_PIC!$A$8:$G$73,4,FALSE)),"")</f>
        <v/>
      </c>
      <c r="E67" s="15" t="str">
        <f>IF(COUNTIFS(Master_PIC!$A$8:$A$73,$B67)=1,IF(VLOOKUP($B67,Master_PIC!$A$8:$G$73,5,FALSE)="","",VLOOKUP($B67,Master_PIC!$A$8:$G$73,5,FALSE)),"")</f>
        <v/>
      </c>
      <c r="F67" s="15" t="str">
        <f>IF(COUNTIFS(Master_PIC!$A$8:$A$73,$B67)=1,IF(VLOOKUP($B67,Master_PIC!$A$8:$G$73,6,FALSE)="","",VLOOKUP($B67,Master_PIC!$A$8:$G$73,6,FALSE)),"")</f>
        <v/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8"/>
      <c r="X67" s="5"/>
      <c r="Y67" s="5"/>
      <c r="Z67" s="9"/>
      <c r="AA67" s="5"/>
      <c r="AB67" s="5"/>
      <c r="AC67" s="9"/>
      <c r="AD67" s="5"/>
      <c r="AE67" s="7" t="str">
        <f t="shared" si="0"/>
        <v/>
      </c>
      <c r="AF67" s="7" t="str">
        <f t="shared" si="1"/>
        <v/>
      </c>
      <c r="AG67" s="7" t="str">
        <f t="shared" si="2"/>
        <v/>
      </c>
      <c r="AH67" s="7" t="str">
        <f t="shared" si="3"/>
        <v/>
      </c>
      <c r="AI67" s="7" t="str">
        <f t="shared" si="4"/>
        <v/>
      </c>
      <c r="AJ67" s="7" t="str">
        <f t="shared" si="5"/>
        <v/>
      </c>
      <c r="AK67" s="10" t="str">
        <f t="shared" si="6"/>
        <v/>
      </c>
      <c r="AL67" s="15" t="str">
        <f>IF(OR($A67&lt;&gt;"",$B67&lt;&gt;""),IF(OR($A67="",$B67=""),"Isi tanggal dan ID PIC",IF(NOT(ISNUMBER($A67)),"Tanggal harus berupa tanggal Excel",IF(COUNTIFS(Master_PIC!$A$8:$A$73,$B67)&lt;&gt;1,"ID PIC tidak unik/terdaftar",IF(VLOOKUP($B67,Master_PIC!$A$8:$G$73,3,FALSE)&lt;&gt;"SPV","Jabatan tidak sesuai sheet",IF(OR($C67="",$D67="",$E67="",$F67=""),"Lengkapi master PIC",IF(COUNTIFS($A$8:$A$507,$A67,$B$8:$B$507,$B67)&gt;1,"Laporan ganda",IF(COUNTIFS(G67:O67,"Tidak Berlaku")&gt;0,"N/A hanya untuk kegiatan bersyarat",IF(SUM(AF67,AG67,AH67,AI67,AJ67)&lt;&gt;13,"Status kegiatan tidak valid",IF(AJ67&gt;0,"Lengkapi status kegiatan",IF(AND(AI67&gt;0,T67=""),"Isi alasan Tidak Berlaku",IF(AND(SUM(AG67,AH67)&gt;0,OR(T67="",U67="",V67="",W67="")),"Isi kendala dan tindak lanjut",IF(AND(Y67&lt;&gt;"Draft",Y67&lt;&gt;"Dikirim"),"Isi status laporan yang valid",IF(AND(AA67&lt;&gt;"",AA67&lt;&gt;"Belum Diperiksa",AA67&lt;&gt;"Disetujui",AA67&lt;&gt;"Perlu Perbaikan"),"Hasil review tidak valid",IF(AND(Y67="Dikirim",OR(X67="",Z67="")),"Isi bukti dan waktu kirim",IF(AND(AA67="Disetujui",OR(Y67&lt;&gt;"Dikirim",AB67="",AC67="")),"Lengkapi pemeriksaan",IF(AND(AA67="Perlu Perbaikan",OR(AD67="",AB67="",AC67="")),"Isi pemeriksa dan catatan perbaikan","OK")))))))))))))))),"")</f>
        <v/>
      </c>
    </row>
    <row r="68" spans="1:38" ht="24.95" customHeight="1">
      <c r="A68" s="8"/>
      <c r="B68" s="6"/>
      <c r="C68" s="15" t="str">
        <f>IF(COUNTIFS(Master_PIC!$A$8:$A$73,$B68)=1,IF(VLOOKUP($B68,Master_PIC!$A$8:$G$73,2,FALSE)="","",VLOOKUP($B68,Master_PIC!$A$8:$G$73,2,FALSE)),"")</f>
        <v/>
      </c>
      <c r="D68" s="15" t="str">
        <f>IF(COUNTIFS(Master_PIC!$A$8:$A$73,$B68)=1,IF(VLOOKUP($B68,Master_PIC!$A$8:$G$73,4,FALSE)="","",VLOOKUP($B68,Master_PIC!$A$8:$G$73,4,FALSE)),"")</f>
        <v/>
      </c>
      <c r="E68" s="15" t="str">
        <f>IF(COUNTIFS(Master_PIC!$A$8:$A$73,$B68)=1,IF(VLOOKUP($B68,Master_PIC!$A$8:$G$73,5,FALSE)="","",VLOOKUP($B68,Master_PIC!$A$8:$G$73,5,FALSE)),"")</f>
        <v/>
      </c>
      <c r="F68" s="15" t="str">
        <f>IF(COUNTIFS(Master_PIC!$A$8:$A$73,$B68)=1,IF(VLOOKUP($B68,Master_PIC!$A$8:$G$73,6,FALSE)="","",VLOOKUP($B68,Master_PIC!$A$8:$G$73,6,FALSE)),"")</f>
        <v/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8"/>
      <c r="X68" s="5"/>
      <c r="Y68" s="5"/>
      <c r="Z68" s="9"/>
      <c r="AA68" s="5"/>
      <c r="AB68" s="5"/>
      <c r="AC68" s="9"/>
      <c r="AD68" s="5"/>
      <c r="AE68" s="7" t="str">
        <f t="shared" si="0"/>
        <v/>
      </c>
      <c r="AF68" s="7" t="str">
        <f t="shared" si="1"/>
        <v/>
      </c>
      <c r="AG68" s="7" t="str">
        <f t="shared" si="2"/>
        <v/>
      </c>
      <c r="AH68" s="7" t="str">
        <f t="shared" si="3"/>
        <v/>
      </c>
      <c r="AI68" s="7" t="str">
        <f t="shared" si="4"/>
        <v/>
      </c>
      <c r="AJ68" s="7" t="str">
        <f t="shared" si="5"/>
        <v/>
      </c>
      <c r="AK68" s="10" t="str">
        <f t="shared" si="6"/>
        <v/>
      </c>
      <c r="AL68" s="15" t="str">
        <f>IF(OR($A68&lt;&gt;"",$B68&lt;&gt;""),IF(OR($A68="",$B68=""),"Isi tanggal dan ID PIC",IF(NOT(ISNUMBER($A68)),"Tanggal harus berupa tanggal Excel",IF(COUNTIFS(Master_PIC!$A$8:$A$73,$B68)&lt;&gt;1,"ID PIC tidak unik/terdaftar",IF(VLOOKUP($B68,Master_PIC!$A$8:$G$73,3,FALSE)&lt;&gt;"SPV","Jabatan tidak sesuai sheet",IF(OR($C68="",$D68="",$E68="",$F68=""),"Lengkapi master PIC",IF(COUNTIFS($A$8:$A$507,$A68,$B$8:$B$507,$B68)&gt;1,"Laporan ganda",IF(COUNTIFS(G68:O68,"Tidak Berlaku")&gt;0,"N/A hanya untuk kegiatan bersyarat",IF(SUM(AF68,AG68,AH68,AI68,AJ68)&lt;&gt;13,"Status kegiatan tidak valid",IF(AJ68&gt;0,"Lengkapi status kegiatan",IF(AND(AI68&gt;0,T68=""),"Isi alasan Tidak Berlaku",IF(AND(SUM(AG68,AH68)&gt;0,OR(T68="",U68="",V68="",W68="")),"Isi kendala dan tindak lanjut",IF(AND(Y68&lt;&gt;"Draft",Y68&lt;&gt;"Dikirim"),"Isi status laporan yang valid",IF(AND(AA68&lt;&gt;"",AA68&lt;&gt;"Belum Diperiksa",AA68&lt;&gt;"Disetujui",AA68&lt;&gt;"Perlu Perbaikan"),"Hasil review tidak valid",IF(AND(Y68="Dikirim",OR(X68="",Z68="")),"Isi bukti dan waktu kirim",IF(AND(AA68="Disetujui",OR(Y68&lt;&gt;"Dikirim",AB68="",AC68="")),"Lengkapi pemeriksaan",IF(AND(AA68="Perlu Perbaikan",OR(AD68="",AB68="",AC68="")),"Isi pemeriksa dan catatan perbaikan","OK")))))))))))))))),"")</f>
        <v/>
      </c>
    </row>
    <row r="69" spans="1:38" ht="24.95" customHeight="1">
      <c r="A69" s="8"/>
      <c r="B69" s="6"/>
      <c r="C69" s="15" t="str">
        <f>IF(COUNTIFS(Master_PIC!$A$8:$A$73,$B69)=1,IF(VLOOKUP($B69,Master_PIC!$A$8:$G$73,2,FALSE)="","",VLOOKUP($B69,Master_PIC!$A$8:$G$73,2,FALSE)),"")</f>
        <v/>
      </c>
      <c r="D69" s="15" t="str">
        <f>IF(COUNTIFS(Master_PIC!$A$8:$A$73,$B69)=1,IF(VLOOKUP($B69,Master_PIC!$A$8:$G$73,4,FALSE)="","",VLOOKUP($B69,Master_PIC!$A$8:$G$73,4,FALSE)),"")</f>
        <v/>
      </c>
      <c r="E69" s="15" t="str">
        <f>IF(COUNTIFS(Master_PIC!$A$8:$A$73,$B69)=1,IF(VLOOKUP($B69,Master_PIC!$A$8:$G$73,5,FALSE)="","",VLOOKUP($B69,Master_PIC!$A$8:$G$73,5,FALSE)),"")</f>
        <v/>
      </c>
      <c r="F69" s="15" t="str">
        <f>IF(COUNTIFS(Master_PIC!$A$8:$A$73,$B69)=1,IF(VLOOKUP($B69,Master_PIC!$A$8:$G$73,6,FALSE)="","",VLOOKUP($B69,Master_PIC!$A$8:$G$73,6,FALSE)),"")</f>
        <v/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8"/>
      <c r="X69" s="5"/>
      <c r="Y69" s="5"/>
      <c r="Z69" s="9"/>
      <c r="AA69" s="5"/>
      <c r="AB69" s="5"/>
      <c r="AC69" s="9"/>
      <c r="AD69" s="5"/>
      <c r="AE69" s="7" t="str">
        <f t="shared" si="0"/>
        <v/>
      </c>
      <c r="AF69" s="7" t="str">
        <f t="shared" si="1"/>
        <v/>
      </c>
      <c r="AG69" s="7" t="str">
        <f t="shared" si="2"/>
        <v/>
      </c>
      <c r="AH69" s="7" t="str">
        <f t="shared" si="3"/>
        <v/>
      </c>
      <c r="AI69" s="7" t="str">
        <f t="shared" si="4"/>
        <v/>
      </c>
      <c r="AJ69" s="7" t="str">
        <f t="shared" si="5"/>
        <v/>
      </c>
      <c r="AK69" s="10" t="str">
        <f t="shared" si="6"/>
        <v/>
      </c>
      <c r="AL69" s="15" t="str">
        <f>IF(OR($A69&lt;&gt;"",$B69&lt;&gt;""),IF(OR($A69="",$B69=""),"Isi tanggal dan ID PIC",IF(NOT(ISNUMBER($A69)),"Tanggal harus berupa tanggal Excel",IF(COUNTIFS(Master_PIC!$A$8:$A$73,$B69)&lt;&gt;1,"ID PIC tidak unik/terdaftar",IF(VLOOKUP($B69,Master_PIC!$A$8:$G$73,3,FALSE)&lt;&gt;"SPV","Jabatan tidak sesuai sheet",IF(OR($C69="",$D69="",$E69="",$F69=""),"Lengkapi master PIC",IF(COUNTIFS($A$8:$A$507,$A69,$B$8:$B$507,$B69)&gt;1,"Laporan ganda",IF(COUNTIFS(G69:O69,"Tidak Berlaku")&gt;0,"N/A hanya untuk kegiatan bersyarat",IF(SUM(AF69,AG69,AH69,AI69,AJ69)&lt;&gt;13,"Status kegiatan tidak valid",IF(AJ69&gt;0,"Lengkapi status kegiatan",IF(AND(AI69&gt;0,T69=""),"Isi alasan Tidak Berlaku",IF(AND(SUM(AG69,AH69)&gt;0,OR(T69="",U69="",V69="",W69="")),"Isi kendala dan tindak lanjut",IF(AND(Y69&lt;&gt;"Draft",Y69&lt;&gt;"Dikirim"),"Isi status laporan yang valid",IF(AND(AA69&lt;&gt;"",AA69&lt;&gt;"Belum Diperiksa",AA69&lt;&gt;"Disetujui",AA69&lt;&gt;"Perlu Perbaikan"),"Hasil review tidak valid",IF(AND(Y69="Dikirim",OR(X69="",Z69="")),"Isi bukti dan waktu kirim",IF(AND(AA69="Disetujui",OR(Y69&lt;&gt;"Dikirim",AB69="",AC69="")),"Lengkapi pemeriksaan",IF(AND(AA69="Perlu Perbaikan",OR(AD69="",AB69="",AC69="")),"Isi pemeriksa dan catatan perbaikan","OK")))))))))))))))),"")</f>
        <v/>
      </c>
    </row>
    <row r="70" spans="1:38" ht="24.95" customHeight="1">
      <c r="A70" s="8"/>
      <c r="B70" s="6"/>
      <c r="C70" s="15" t="str">
        <f>IF(COUNTIFS(Master_PIC!$A$8:$A$73,$B70)=1,IF(VLOOKUP($B70,Master_PIC!$A$8:$G$73,2,FALSE)="","",VLOOKUP($B70,Master_PIC!$A$8:$G$73,2,FALSE)),"")</f>
        <v/>
      </c>
      <c r="D70" s="15" t="str">
        <f>IF(COUNTIFS(Master_PIC!$A$8:$A$73,$B70)=1,IF(VLOOKUP($B70,Master_PIC!$A$8:$G$73,4,FALSE)="","",VLOOKUP($B70,Master_PIC!$A$8:$G$73,4,FALSE)),"")</f>
        <v/>
      </c>
      <c r="E70" s="15" t="str">
        <f>IF(COUNTIFS(Master_PIC!$A$8:$A$73,$B70)=1,IF(VLOOKUP($B70,Master_PIC!$A$8:$G$73,5,FALSE)="","",VLOOKUP($B70,Master_PIC!$A$8:$G$73,5,FALSE)),"")</f>
        <v/>
      </c>
      <c r="F70" s="15" t="str">
        <f>IF(COUNTIFS(Master_PIC!$A$8:$A$73,$B70)=1,IF(VLOOKUP($B70,Master_PIC!$A$8:$G$73,6,FALSE)="","",VLOOKUP($B70,Master_PIC!$A$8:$G$73,6,FALSE)),"")</f>
        <v/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8"/>
      <c r="X70" s="5"/>
      <c r="Y70" s="5"/>
      <c r="Z70" s="9"/>
      <c r="AA70" s="5"/>
      <c r="AB70" s="5"/>
      <c r="AC70" s="9"/>
      <c r="AD70" s="5"/>
      <c r="AE70" s="7" t="str">
        <f t="shared" si="0"/>
        <v/>
      </c>
      <c r="AF70" s="7" t="str">
        <f t="shared" si="1"/>
        <v/>
      </c>
      <c r="AG70" s="7" t="str">
        <f t="shared" si="2"/>
        <v/>
      </c>
      <c r="AH70" s="7" t="str">
        <f t="shared" si="3"/>
        <v/>
      </c>
      <c r="AI70" s="7" t="str">
        <f t="shared" si="4"/>
        <v/>
      </c>
      <c r="AJ70" s="7" t="str">
        <f t="shared" si="5"/>
        <v/>
      </c>
      <c r="AK70" s="10" t="str">
        <f t="shared" si="6"/>
        <v/>
      </c>
      <c r="AL70" s="15" t="str">
        <f>IF(OR($A70&lt;&gt;"",$B70&lt;&gt;""),IF(OR($A70="",$B70=""),"Isi tanggal dan ID PIC",IF(NOT(ISNUMBER($A70)),"Tanggal harus berupa tanggal Excel",IF(COUNTIFS(Master_PIC!$A$8:$A$73,$B70)&lt;&gt;1,"ID PIC tidak unik/terdaftar",IF(VLOOKUP($B70,Master_PIC!$A$8:$G$73,3,FALSE)&lt;&gt;"SPV","Jabatan tidak sesuai sheet",IF(OR($C70="",$D70="",$E70="",$F70=""),"Lengkapi master PIC",IF(COUNTIFS($A$8:$A$507,$A70,$B$8:$B$507,$B70)&gt;1,"Laporan ganda",IF(COUNTIFS(G70:O70,"Tidak Berlaku")&gt;0,"N/A hanya untuk kegiatan bersyarat",IF(SUM(AF70,AG70,AH70,AI70,AJ70)&lt;&gt;13,"Status kegiatan tidak valid",IF(AJ70&gt;0,"Lengkapi status kegiatan",IF(AND(AI70&gt;0,T70=""),"Isi alasan Tidak Berlaku",IF(AND(SUM(AG70,AH70)&gt;0,OR(T70="",U70="",V70="",W70="")),"Isi kendala dan tindak lanjut",IF(AND(Y70&lt;&gt;"Draft",Y70&lt;&gt;"Dikirim"),"Isi status laporan yang valid",IF(AND(AA70&lt;&gt;"",AA70&lt;&gt;"Belum Diperiksa",AA70&lt;&gt;"Disetujui",AA70&lt;&gt;"Perlu Perbaikan"),"Hasil review tidak valid",IF(AND(Y70="Dikirim",OR(X70="",Z70="")),"Isi bukti dan waktu kirim",IF(AND(AA70="Disetujui",OR(Y70&lt;&gt;"Dikirim",AB70="",AC70="")),"Lengkapi pemeriksaan",IF(AND(AA70="Perlu Perbaikan",OR(AD70="",AB70="",AC70="")),"Isi pemeriksa dan catatan perbaikan","OK")))))))))))))))),"")</f>
        <v/>
      </c>
    </row>
    <row r="71" spans="1:38" ht="24.95" customHeight="1">
      <c r="A71" s="8"/>
      <c r="B71" s="6"/>
      <c r="C71" s="15" t="str">
        <f>IF(COUNTIFS(Master_PIC!$A$8:$A$73,$B71)=1,IF(VLOOKUP($B71,Master_PIC!$A$8:$G$73,2,FALSE)="","",VLOOKUP($B71,Master_PIC!$A$8:$G$73,2,FALSE)),"")</f>
        <v/>
      </c>
      <c r="D71" s="15" t="str">
        <f>IF(COUNTIFS(Master_PIC!$A$8:$A$73,$B71)=1,IF(VLOOKUP($B71,Master_PIC!$A$8:$G$73,4,FALSE)="","",VLOOKUP($B71,Master_PIC!$A$8:$G$73,4,FALSE)),"")</f>
        <v/>
      </c>
      <c r="E71" s="15" t="str">
        <f>IF(COUNTIFS(Master_PIC!$A$8:$A$73,$B71)=1,IF(VLOOKUP($B71,Master_PIC!$A$8:$G$73,5,FALSE)="","",VLOOKUP($B71,Master_PIC!$A$8:$G$73,5,FALSE)),"")</f>
        <v/>
      </c>
      <c r="F71" s="15" t="str">
        <f>IF(COUNTIFS(Master_PIC!$A$8:$A$73,$B71)=1,IF(VLOOKUP($B71,Master_PIC!$A$8:$G$73,6,FALSE)="","",VLOOKUP($B71,Master_PIC!$A$8:$G$73,6,FALSE)),"")</f>
        <v/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8"/>
      <c r="X71" s="5"/>
      <c r="Y71" s="5"/>
      <c r="Z71" s="9"/>
      <c r="AA71" s="5"/>
      <c r="AB71" s="5"/>
      <c r="AC71" s="9"/>
      <c r="AD71" s="5"/>
      <c r="AE71" s="7" t="str">
        <f t="shared" si="0"/>
        <v/>
      </c>
      <c r="AF71" s="7" t="str">
        <f t="shared" si="1"/>
        <v/>
      </c>
      <c r="AG71" s="7" t="str">
        <f t="shared" si="2"/>
        <v/>
      </c>
      <c r="AH71" s="7" t="str">
        <f t="shared" si="3"/>
        <v/>
      </c>
      <c r="AI71" s="7" t="str">
        <f t="shared" si="4"/>
        <v/>
      </c>
      <c r="AJ71" s="7" t="str">
        <f t="shared" si="5"/>
        <v/>
      </c>
      <c r="AK71" s="10" t="str">
        <f t="shared" si="6"/>
        <v/>
      </c>
      <c r="AL71" s="15" t="str">
        <f>IF(OR($A71&lt;&gt;"",$B71&lt;&gt;""),IF(OR($A71="",$B71=""),"Isi tanggal dan ID PIC",IF(NOT(ISNUMBER($A71)),"Tanggal harus berupa tanggal Excel",IF(COUNTIFS(Master_PIC!$A$8:$A$73,$B71)&lt;&gt;1,"ID PIC tidak unik/terdaftar",IF(VLOOKUP($B71,Master_PIC!$A$8:$G$73,3,FALSE)&lt;&gt;"SPV","Jabatan tidak sesuai sheet",IF(OR($C71="",$D71="",$E71="",$F71=""),"Lengkapi master PIC",IF(COUNTIFS($A$8:$A$507,$A71,$B$8:$B$507,$B71)&gt;1,"Laporan ganda",IF(COUNTIFS(G71:O71,"Tidak Berlaku")&gt;0,"N/A hanya untuk kegiatan bersyarat",IF(SUM(AF71,AG71,AH71,AI71,AJ71)&lt;&gt;13,"Status kegiatan tidak valid",IF(AJ71&gt;0,"Lengkapi status kegiatan",IF(AND(AI71&gt;0,T71=""),"Isi alasan Tidak Berlaku",IF(AND(SUM(AG71,AH71)&gt;0,OR(T71="",U71="",V71="",W71="")),"Isi kendala dan tindak lanjut",IF(AND(Y71&lt;&gt;"Draft",Y71&lt;&gt;"Dikirim"),"Isi status laporan yang valid",IF(AND(AA71&lt;&gt;"",AA71&lt;&gt;"Belum Diperiksa",AA71&lt;&gt;"Disetujui",AA71&lt;&gt;"Perlu Perbaikan"),"Hasil review tidak valid",IF(AND(Y71="Dikirim",OR(X71="",Z71="")),"Isi bukti dan waktu kirim",IF(AND(AA71="Disetujui",OR(Y71&lt;&gt;"Dikirim",AB71="",AC71="")),"Lengkapi pemeriksaan",IF(AND(AA71="Perlu Perbaikan",OR(AD71="",AB71="",AC71="")),"Isi pemeriksa dan catatan perbaikan","OK")))))))))))))))),"")</f>
        <v/>
      </c>
    </row>
    <row r="72" spans="1:38" ht="24.95" customHeight="1">
      <c r="A72" s="8"/>
      <c r="B72" s="6"/>
      <c r="C72" s="15" t="str">
        <f>IF(COUNTIFS(Master_PIC!$A$8:$A$73,$B72)=1,IF(VLOOKUP($B72,Master_PIC!$A$8:$G$73,2,FALSE)="","",VLOOKUP($B72,Master_PIC!$A$8:$G$73,2,FALSE)),"")</f>
        <v/>
      </c>
      <c r="D72" s="15" t="str">
        <f>IF(COUNTIFS(Master_PIC!$A$8:$A$73,$B72)=1,IF(VLOOKUP($B72,Master_PIC!$A$8:$G$73,4,FALSE)="","",VLOOKUP($B72,Master_PIC!$A$8:$G$73,4,FALSE)),"")</f>
        <v/>
      </c>
      <c r="E72" s="15" t="str">
        <f>IF(COUNTIFS(Master_PIC!$A$8:$A$73,$B72)=1,IF(VLOOKUP($B72,Master_PIC!$A$8:$G$73,5,FALSE)="","",VLOOKUP($B72,Master_PIC!$A$8:$G$73,5,FALSE)),"")</f>
        <v/>
      </c>
      <c r="F72" s="15" t="str">
        <f>IF(COUNTIFS(Master_PIC!$A$8:$A$73,$B72)=1,IF(VLOOKUP($B72,Master_PIC!$A$8:$G$73,6,FALSE)="","",VLOOKUP($B72,Master_PIC!$A$8:$G$73,6,FALSE)),"")</f>
        <v/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8"/>
      <c r="X72" s="5"/>
      <c r="Y72" s="5"/>
      <c r="Z72" s="9"/>
      <c r="AA72" s="5"/>
      <c r="AB72" s="5"/>
      <c r="AC72" s="9"/>
      <c r="AD72" s="5"/>
      <c r="AE72" s="7" t="str">
        <f t="shared" ref="AE72:AE135" si="7">IF(OR($A72&lt;&gt;"",$B72&lt;&gt;""),13-AI72,"")</f>
        <v/>
      </c>
      <c r="AF72" s="7" t="str">
        <f t="shared" ref="AF72:AF135" si="8">IF(OR($A72&lt;&gt;"",$B72&lt;&gt;""),COUNTIFS(G72:S72,"Selesai"),"")</f>
        <v/>
      </c>
      <c r="AG72" s="7" t="str">
        <f t="shared" ref="AG72:AG135" si="9">IF(OR($A72&lt;&gt;"",$B72&lt;&gt;""),COUNTIFS(G72:S72,"Proses"),"")</f>
        <v/>
      </c>
      <c r="AH72" s="7" t="str">
        <f t="shared" ref="AH72:AH135" si="10">IF(OR($A72&lt;&gt;"",$B72&lt;&gt;""),COUNTIFS(G72:S72,"Belum"),"")</f>
        <v/>
      </c>
      <c r="AI72" s="7" t="str">
        <f t="shared" ref="AI72:AI135" si="11">IF(OR($A72&lt;&gt;"",$B72&lt;&gt;""),COUNTIFS(G72:S72,"Tidak Berlaku"),"")</f>
        <v/>
      </c>
      <c r="AJ72" s="7" t="str">
        <f t="shared" ref="AJ72:AJ135" si="12">IF(OR($A72&lt;&gt;"",$B72&lt;&gt;""),COUNTBLANK(G72:S72),"")</f>
        <v/>
      </c>
      <c r="AK72" s="10" t="str">
        <f t="shared" ref="AK72:AK135" si="13">IF(OR($A72&lt;&gt;"",$B72&lt;&gt;""),IF(AE72=0,"n.a.",AF72/AE72),"")</f>
        <v/>
      </c>
      <c r="AL72" s="15" t="str">
        <f>IF(OR($A72&lt;&gt;"",$B72&lt;&gt;""),IF(OR($A72="",$B72=""),"Isi tanggal dan ID PIC",IF(NOT(ISNUMBER($A72)),"Tanggal harus berupa tanggal Excel",IF(COUNTIFS(Master_PIC!$A$8:$A$73,$B72)&lt;&gt;1,"ID PIC tidak unik/terdaftar",IF(VLOOKUP($B72,Master_PIC!$A$8:$G$73,3,FALSE)&lt;&gt;"SPV","Jabatan tidak sesuai sheet",IF(OR($C72="",$D72="",$E72="",$F72=""),"Lengkapi master PIC",IF(COUNTIFS($A$8:$A$507,$A72,$B$8:$B$507,$B72)&gt;1,"Laporan ganda",IF(COUNTIFS(G72:O72,"Tidak Berlaku")&gt;0,"N/A hanya untuk kegiatan bersyarat",IF(SUM(AF72,AG72,AH72,AI72,AJ72)&lt;&gt;13,"Status kegiatan tidak valid",IF(AJ72&gt;0,"Lengkapi status kegiatan",IF(AND(AI72&gt;0,T72=""),"Isi alasan Tidak Berlaku",IF(AND(SUM(AG72,AH72)&gt;0,OR(T72="",U72="",V72="",W72="")),"Isi kendala dan tindak lanjut",IF(AND(Y72&lt;&gt;"Draft",Y72&lt;&gt;"Dikirim"),"Isi status laporan yang valid",IF(AND(AA72&lt;&gt;"",AA72&lt;&gt;"Belum Diperiksa",AA72&lt;&gt;"Disetujui",AA72&lt;&gt;"Perlu Perbaikan"),"Hasil review tidak valid",IF(AND(Y72="Dikirim",OR(X72="",Z72="")),"Isi bukti dan waktu kirim",IF(AND(AA72="Disetujui",OR(Y72&lt;&gt;"Dikirim",AB72="",AC72="")),"Lengkapi pemeriksaan",IF(AND(AA72="Perlu Perbaikan",OR(AD72="",AB72="",AC72="")),"Isi pemeriksa dan catatan perbaikan","OK")))))))))))))))),"")</f>
        <v/>
      </c>
    </row>
    <row r="73" spans="1:38" ht="24.95" customHeight="1">
      <c r="A73" s="8"/>
      <c r="B73" s="6"/>
      <c r="C73" s="15" t="str">
        <f>IF(COUNTIFS(Master_PIC!$A$8:$A$73,$B73)=1,IF(VLOOKUP($B73,Master_PIC!$A$8:$G$73,2,FALSE)="","",VLOOKUP($B73,Master_PIC!$A$8:$G$73,2,FALSE)),"")</f>
        <v/>
      </c>
      <c r="D73" s="15" t="str">
        <f>IF(COUNTIFS(Master_PIC!$A$8:$A$73,$B73)=1,IF(VLOOKUP($B73,Master_PIC!$A$8:$G$73,4,FALSE)="","",VLOOKUP($B73,Master_PIC!$A$8:$G$73,4,FALSE)),"")</f>
        <v/>
      </c>
      <c r="E73" s="15" t="str">
        <f>IF(COUNTIFS(Master_PIC!$A$8:$A$73,$B73)=1,IF(VLOOKUP($B73,Master_PIC!$A$8:$G$73,5,FALSE)="","",VLOOKUP($B73,Master_PIC!$A$8:$G$73,5,FALSE)),"")</f>
        <v/>
      </c>
      <c r="F73" s="15" t="str">
        <f>IF(COUNTIFS(Master_PIC!$A$8:$A$73,$B73)=1,IF(VLOOKUP($B73,Master_PIC!$A$8:$G$73,6,FALSE)="","",VLOOKUP($B73,Master_PIC!$A$8:$G$73,6,FALSE)),"")</f>
        <v/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8"/>
      <c r="X73" s="5"/>
      <c r="Y73" s="5"/>
      <c r="Z73" s="9"/>
      <c r="AA73" s="5"/>
      <c r="AB73" s="5"/>
      <c r="AC73" s="9"/>
      <c r="AD73" s="5"/>
      <c r="AE73" s="7" t="str">
        <f t="shared" si="7"/>
        <v/>
      </c>
      <c r="AF73" s="7" t="str">
        <f t="shared" si="8"/>
        <v/>
      </c>
      <c r="AG73" s="7" t="str">
        <f t="shared" si="9"/>
        <v/>
      </c>
      <c r="AH73" s="7" t="str">
        <f t="shared" si="10"/>
        <v/>
      </c>
      <c r="AI73" s="7" t="str">
        <f t="shared" si="11"/>
        <v/>
      </c>
      <c r="AJ73" s="7" t="str">
        <f t="shared" si="12"/>
        <v/>
      </c>
      <c r="AK73" s="10" t="str">
        <f t="shared" si="13"/>
        <v/>
      </c>
      <c r="AL73" s="15" t="str">
        <f>IF(OR($A73&lt;&gt;"",$B73&lt;&gt;""),IF(OR($A73="",$B73=""),"Isi tanggal dan ID PIC",IF(NOT(ISNUMBER($A73)),"Tanggal harus berupa tanggal Excel",IF(COUNTIFS(Master_PIC!$A$8:$A$73,$B73)&lt;&gt;1,"ID PIC tidak unik/terdaftar",IF(VLOOKUP($B73,Master_PIC!$A$8:$G$73,3,FALSE)&lt;&gt;"SPV","Jabatan tidak sesuai sheet",IF(OR($C73="",$D73="",$E73="",$F73=""),"Lengkapi master PIC",IF(COUNTIFS($A$8:$A$507,$A73,$B$8:$B$507,$B73)&gt;1,"Laporan ganda",IF(COUNTIFS(G73:O73,"Tidak Berlaku")&gt;0,"N/A hanya untuk kegiatan bersyarat",IF(SUM(AF73,AG73,AH73,AI73,AJ73)&lt;&gt;13,"Status kegiatan tidak valid",IF(AJ73&gt;0,"Lengkapi status kegiatan",IF(AND(AI73&gt;0,T73=""),"Isi alasan Tidak Berlaku",IF(AND(SUM(AG73,AH73)&gt;0,OR(T73="",U73="",V73="",W73="")),"Isi kendala dan tindak lanjut",IF(AND(Y73&lt;&gt;"Draft",Y73&lt;&gt;"Dikirim"),"Isi status laporan yang valid",IF(AND(AA73&lt;&gt;"",AA73&lt;&gt;"Belum Diperiksa",AA73&lt;&gt;"Disetujui",AA73&lt;&gt;"Perlu Perbaikan"),"Hasil review tidak valid",IF(AND(Y73="Dikirim",OR(X73="",Z73="")),"Isi bukti dan waktu kirim",IF(AND(AA73="Disetujui",OR(Y73&lt;&gt;"Dikirim",AB73="",AC73="")),"Lengkapi pemeriksaan",IF(AND(AA73="Perlu Perbaikan",OR(AD73="",AB73="",AC73="")),"Isi pemeriksa dan catatan perbaikan","OK")))))))))))))))),"")</f>
        <v/>
      </c>
    </row>
    <row r="74" spans="1:38" ht="24.95" customHeight="1">
      <c r="A74" s="8"/>
      <c r="B74" s="6"/>
      <c r="C74" s="15" t="str">
        <f>IF(COUNTIFS(Master_PIC!$A$8:$A$73,$B74)=1,IF(VLOOKUP($B74,Master_PIC!$A$8:$G$73,2,FALSE)="","",VLOOKUP($B74,Master_PIC!$A$8:$G$73,2,FALSE)),"")</f>
        <v/>
      </c>
      <c r="D74" s="15" t="str">
        <f>IF(COUNTIFS(Master_PIC!$A$8:$A$73,$B74)=1,IF(VLOOKUP($B74,Master_PIC!$A$8:$G$73,4,FALSE)="","",VLOOKUP($B74,Master_PIC!$A$8:$G$73,4,FALSE)),"")</f>
        <v/>
      </c>
      <c r="E74" s="15" t="str">
        <f>IF(COUNTIFS(Master_PIC!$A$8:$A$73,$B74)=1,IF(VLOOKUP($B74,Master_PIC!$A$8:$G$73,5,FALSE)="","",VLOOKUP($B74,Master_PIC!$A$8:$G$73,5,FALSE)),"")</f>
        <v/>
      </c>
      <c r="F74" s="15" t="str">
        <f>IF(COUNTIFS(Master_PIC!$A$8:$A$73,$B74)=1,IF(VLOOKUP($B74,Master_PIC!$A$8:$G$73,6,FALSE)="","",VLOOKUP($B74,Master_PIC!$A$8:$G$73,6,FALSE)),"")</f>
        <v/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8"/>
      <c r="X74" s="5"/>
      <c r="Y74" s="5"/>
      <c r="Z74" s="9"/>
      <c r="AA74" s="5"/>
      <c r="AB74" s="5"/>
      <c r="AC74" s="9"/>
      <c r="AD74" s="5"/>
      <c r="AE74" s="7" t="str">
        <f t="shared" si="7"/>
        <v/>
      </c>
      <c r="AF74" s="7" t="str">
        <f t="shared" si="8"/>
        <v/>
      </c>
      <c r="AG74" s="7" t="str">
        <f t="shared" si="9"/>
        <v/>
      </c>
      <c r="AH74" s="7" t="str">
        <f t="shared" si="10"/>
        <v/>
      </c>
      <c r="AI74" s="7" t="str">
        <f t="shared" si="11"/>
        <v/>
      </c>
      <c r="AJ74" s="7" t="str">
        <f t="shared" si="12"/>
        <v/>
      </c>
      <c r="AK74" s="10" t="str">
        <f t="shared" si="13"/>
        <v/>
      </c>
      <c r="AL74" s="15" t="str">
        <f>IF(OR($A74&lt;&gt;"",$B74&lt;&gt;""),IF(OR($A74="",$B74=""),"Isi tanggal dan ID PIC",IF(NOT(ISNUMBER($A74)),"Tanggal harus berupa tanggal Excel",IF(COUNTIFS(Master_PIC!$A$8:$A$73,$B74)&lt;&gt;1,"ID PIC tidak unik/terdaftar",IF(VLOOKUP($B74,Master_PIC!$A$8:$G$73,3,FALSE)&lt;&gt;"SPV","Jabatan tidak sesuai sheet",IF(OR($C74="",$D74="",$E74="",$F74=""),"Lengkapi master PIC",IF(COUNTIFS($A$8:$A$507,$A74,$B$8:$B$507,$B74)&gt;1,"Laporan ganda",IF(COUNTIFS(G74:O74,"Tidak Berlaku")&gt;0,"N/A hanya untuk kegiatan bersyarat",IF(SUM(AF74,AG74,AH74,AI74,AJ74)&lt;&gt;13,"Status kegiatan tidak valid",IF(AJ74&gt;0,"Lengkapi status kegiatan",IF(AND(AI74&gt;0,T74=""),"Isi alasan Tidak Berlaku",IF(AND(SUM(AG74,AH74)&gt;0,OR(T74="",U74="",V74="",W74="")),"Isi kendala dan tindak lanjut",IF(AND(Y74&lt;&gt;"Draft",Y74&lt;&gt;"Dikirim"),"Isi status laporan yang valid",IF(AND(AA74&lt;&gt;"",AA74&lt;&gt;"Belum Diperiksa",AA74&lt;&gt;"Disetujui",AA74&lt;&gt;"Perlu Perbaikan"),"Hasil review tidak valid",IF(AND(Y74="Dikirim",OR(X74="",Z74="")),"Isi bukti dan waktu kirim",IF(AND(AA74="Disetujui",OR(Y74&lt;&gt;"Dikirim",AB74="",AC74="")),"Lengkapi pemeriksaan",IF(AND(AA74="Perlu Perbaikan",OR(AD74="",AB74="",AC74="")),"Isi pemeriksa dan catatan perbaikan","OK")))))))))))))))),"")</f>
        <v/>
      </c>
    </row>
    <row r="75" spans="1:38" ht="24.95" customHeight="1">
      <c r="A75" s="8"/>
      <c r="B75" s="6"/>
      <c r="C75" s="15" t="str">
        <f>IF(COUNTIFS(Master_PIC!$A$8:$A$73,$B75)=1,IF(VLOOKUP($B75,Master_PIC!$A$8:$G$73,2,FALSE)="","",VLOOKUP($B75,Master_PIC!$A$8:$G$73,2,FALSE)),"")</f>
        <v/>
      </c>
      <c r="D75" s="15" t="str">
        <f>IF(COUNTIFS(Master_PIC!$A$8:$A$73,$B75)=1,IF(VLOOKUP($B75,Master_PIC!$A$8:$G$73,4,FALSE)="","",VLOOKUP($B75,Master_PIC!$A$8:$G$73,4,FALSE)),"")</f>
        <v/>
      </c>
      <c r="E75" s="15" t="str">
        <f>IF(COUNTIFS(Master_PIC!$A$8:$A$73,$B75)=1,IF(VLOOKUP($B75,Master_PIC!$A$8:$G$73,5,FALSE)="","",VLOOKUP($B75,Master_PIC!$A$8:$G$73,5,FALSE)),"")</f>
        <v/>
      </c>
      <c r="F75" s="15" t="str">
        <f>IF(COUNTIFS(Master_PIC!$A$8:$A$73,$B75)=1,IF(VLOOKUP($B75,Master_PIC!$A$8:$G$73,6,FALSE)="","",VLOOKUP($B75,Master_PIC!$A$8:$G$73,6,FALSE)),"")</f>
        <v/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8"/>
      <c r="X75" s="5"/>
      <c r="Y75" s="5"/>
      <c r="Z75" s="9"/>
      <c r="AA75" s="5"/>
      <c r="AB75" s="5"/>
      <c r="AC75" s="9"/>
      <c r="AD75" s="5"/>
      <c r="AE75" s="7" t="str">
        <f t="shared" si="7"/>
        <v/>
      </c>
      <c r="AF75" s="7" t="str">
        <f t="shared" si="8"/>
        <v/>
      </c>
      <c r="AG75" s="7" t="str">
        <f t="shared" si="9"/>
        <v/>
      </c>
      <c r="AH75" s="7" t="str">
        <f t="shared" si="10"/>
        <v/>
      </c>
      <c r="AI75" s="7" t="str">
        <f t="shared" si="11"/>
        <v/>
      </c>
      <c r="AJ75" s="7" t="str">
        <f t="shared" si="12"/>
        <v/>
      </c>
      <c r="AK75" s="10" t="str">
        <f t="shared" si="13"/>
        <v/>
      </c>
      <c r="AL75" s="15" t="str">
        <f>IF(OR($A75&lt;&gt;"",$B75&lt;&gt;""),IF(OR($A75="",$B75=""),"Isi tanggal dan ID PIC",IF(NOT(ISNUMBER($A75)),"Tanggal harus berupa tanggal Excel",IF(COUNTIFS(Master_PIC!$A$8:$A$73,$B75)&lt;&gt;1,"ID PIC tidak unik/terdaftar",IF(VLOOKUP($B75,Master_PIC!$A$8:$G$73,3,FALSE)&lt;&gt;"SPV","Jabatan tidak sesuai sheet",IF(OR($C75="",$D75="",$E75="",$F75=""),"Lengkapi master PIC",IF(COUNTIFS($A$8:$A$507,$A75,$B$8:$B$507,$B75)&gt;1,"Laporan ganda",IF(COUNTIFS(G75:O75,"Tidak Berlaku")&gt;0,"N/A hanya untuk kegiatan bersyarat",IF(SUM(AF75,AG75,AH75,AI75,AJ75)&lt;&gt;13,"Status kegiatan tidak valid",IF(AJ75&gt;0,"Lengkapi status kegiatan",IF(AND(AI75&gt;0,T75=""),"Isi alasan Tidak Berlaku",IF(AND(SUM(AG75,AH75)&gt;0,OR(T75="",U75="",V75="",W75="")),"Isi kendala dan tindak lanjut",IF(AND(Y75&lt;&gt;"Draft",Y75&lt;&gt;"Dikirim"),"Isi status laporan yang valid",IF(AND(AA75&lt;&gt;"",AA75&lt;&gt;"Belum Diperiksa",AA75&lt;&gt;"Disetujui",AA75&lt;&gt;"Perlu Perbaikan"),"Hasil review tidak valid",IF(AND(Y75="Dikirim",OR(X75="",Z75="")),"Isi bukti dan waktu kirim",IF(AND(AA75="Disetujui",OR(Y75&lt;&gt;"Dikirim",AB75="",AC75="")),"Lengkapi pemeriksaan",IF(AND(AA75="Perlu Perbaikan",OR(AD75="",AB75="",AC75="")),"Isi pemeriksa dan catatan perbaikan","OK")))))))))))))))),"")</f>
        <v/>
      </c>
    </row>
    <row r="76" spans="1:38" ht="24.95" customHeight="1">
      <c r="A76" s="8"/>
      <c r="B76" s="6"/>
      <c r="C76" s="15" t="str">
        <f>IF(COUNTIFS(Master_PIC!$A$8:$A$73,$B76)=1,IF(VLOOKUP($B76,Master_PIC!$A$8:$G$73,2,FALSE)="","",VLOOKUP($B76,Master_PIC!$A$8:$G$73,2,FALSE)),"")</f>
        <v/>
      </c>
      <c r="D76" s="15" t="str">
        <f>IF(COUNTIFS(Master_PIC!$A$8:$A$73,$B76)=1,IF(VLOOKUP($B76,Master_PIC!$A$8:$G$73,4,FALSE)="","",VLOOKUP($B76,Master_PIC!$A$8:$G$73,4,FALSE)),"")</f>
        <v/>
      </c>
      <c r="E76" s="15" t="str">
        <f>IF(COUNTIFS(Master_PIC!$A$8:$A$73,$B76)=1,IF(VLOOKUP($B76,Master_PIC!$A$8:$G$73,5,FALSE)="","",VLOOKUP($B76,Master_PIC!$A$8:$G$73,5,FALSE)),"")</f>
        <v/>
      </c>
      <c r="F76" s="15" t="str">
        <f>IF(COUNTIFS(Master_PIC!$A$8:$A$73,$B76)=1,IF(VLOOKUP($B76,Master_PIC!$A$8:$G$73,6,FALSE)="","",VLOOKUP($B76,Master_PIC!$A$8:$G$73,6,FALSE)),"")</f>
        <v/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8"/>
      <c r="X76" s="5"/>
      <c r="Y76" s="5"/>
      <c r="Z76" s="9"/>
      <c r="AA76" s="5"/>
      <c r="AB76" s="5"/>
      <c r="AC76" s="9"/>
      <c r="AD76" s="5"/>
      <c r="AE76" s="7" t="str">
        <f t="shared" si="7"/>
        <v/>
      </c>
      <c r="AF76" s="7" t="str">
        <f t="shared" si="8"/>
        <v/>
      </c>
      <c r="AG76" s="7" t="str">
        <f t="shared" si="9"/>
        <v/>
      </c>
      <c r="AH76" s="7" t="str">
        <f t="shared" si="10"/>
        <v/>
      </c>
      <c r="AI76" s="7" t="str">
        <f t="shared" si="11"/>
        <v/>
      </c>
      <c r="AJ76" s="7" t="str">
        <f t="shared" si="12"/>
        <v/>
      </c>
      <c r="AK76" s="10" t="str">
        <f t="shared" si="13"/>
        <v/>
      </c>
      <c r="AL76" s="15" t="str">
        <f>IF(OR($A76&lt;&gt;"",$B76&lt;&gt;""),IF(OR($A76="",$B76=""),"Isi tanggal dan ID PIC",IF(NOT(ISNUMBER($A76)),"Tanggal harus berupa tanggal Excel",IF(COUNTIFS(Master_PIC!$A$8:$A$73,$B76)&lt;&gt;1,"ID PIC tidak unik/terdaftar",IF(VLOOKUP($B76,Master_PIC!$A$8:$G$73,3,FALSE)&lt;&gt;"SPV","Jabatan tidak sesuai sheet",IF(OR($C76="",$D76="",$E76="",$F76=""),"Lengkapi master PIC",IF(COUNTIFS($A$8:$A$507,$A76,$B$8:$B$507,$B76)&gt;1,"Laporan ganda",IF(COUNTIFS(G76:O76,"Tidak Berlaku")&gt;0,"N/A hanya untuk kegiatan bersyarat",IF(SUM(AF76,AG76,AH76,AI76,AJ76)&lt;&gt;13,"Status kegiatan tidak valid",IF(AJ76&gt;0,"Lengkapi status kegiatan",IF(AND(AI76&gt;0,T76=""),"Isi alasan Tidak Berlaku",IF(AND(SUM(AG76,AH76)&gt;0,OR(T76="",U76="",V76="",W76="")),"Isi kendala dan tindak lanjut",IF(AND(Y76&lt;&gt;"Draft",Y76&lt;&gt;"Dikirim"),"Isi status laporan yang valid",IF(AND(AA76&lt;&gt;"",AA76&lt;&gt;"Belum Diperiksa",AA76&lt;&gt;"Disetujui",AA76&lt;&gt;"Perlu Perbaikan"),"Hasil review tidak valid",IF(AND(Y76="Dikirim",OR(X76="",Z76="")),"Isi bukti dan waktu kirim",IF(AND(AA76="Disetujui",OR(Y76&lt;&gt;"Dikirim",AB76="",AC76="")),"Lengkapi pemeriksaan",IF(AND(AA76="Perlu Perbaikan",OR(AD76="",AB76="",AC76="")),"Isi pemeriksa dan catatan perbaikan","OK")))))))))))))))),"")</f>
        <v/>
      </c>
    </row>
    <row r="77" spans="1:38" ht="24.95" customHeight="1">
      <c r="A77" s="8"/>
      <c r="B77" s="6"/>
      <c r="C77" s="15" t="str">
        <f>IF(COUNTIFS(Master_PIC!$A$8:$A$73,$B77)=1,IF(VLOOKUP($B77,Master_PIC!$A$8:$G$73,2,FALSE)="","",VLOOKUP($B77,Master_PIC!$A$8:$G$73,2,FALSE)),"")</f>
        <v/>
      </c>
      <c r="D77" s="15" t="str">
        <f>IF(COUNTIFS(Master_PIC!$A$8:$A$73,$B77)=1,IF(VLOOKUP($B77,Master_PIC!$A$8:$G$73,4,FALSE)="","",VLOOKUP($B77,Master_PIC!$A$8:$G$73,4,FALSE)),"")</f>
        <v/>
      </c>
      <c r="E77" s="15" t="str">
        <f>IF(COUNTIFS(Master_PIC!$A$8:$A$73,$B77)=1,IF(VLOOKUP($B77,Master_PIC!$A$8:$G$73,5,FALSE)="","",VLOOKUP($B77,Master_PIC!$A$8:$G$73,5,FALSE)),"")</f>
        <v/>
      </c>
      <c r="F77" s="15" t="str">
        <f>IF(COUNTIFS(Master_PIC!$A$8:$A$73,$B77)=1,IF(VLOOKUP($B77,Master_PIC!$A$8:$G$73,6,FALSE)="","",VLOOKUP($B77,Master_PIC!$A$8:$G$73,6,FALSE)),"")</f>
        <v/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8"/>
      <c r="X77" s="5"/>
      <c r="Y77" s="5"/>
      <c r="Z77" s="9"/>
      <c r="AA77" s="5"/>
      <c r="AB77" s="5"/>
      <c r="AC77" s="9"/>
      <c r="AD77" s="5"/>
      <c r="AE77" s="7" t="str">
        <f t="shared" si="7"/>
        <v/>
      </c>
      <c r="AF77" s="7" t="str">
        <f t="shared" si="8"/>
        <v/>
      </c>
      <c r="AG77" s="7" t="str">
        <f t="shared" si="9"/>
        <v/>
      </c>
      <c r="AH77" s="7" t="str">
        <f t="shared" si="10"/>
        <v/>
      </c>
      <c r="AI77" s="7" t="str">
        <f t="shared" si="11"/>
        <v/>
      </c>
      <c r="AJ77" s="7" t="str">
        <f t="shared" si="12"/>
        <v/>
      </c>
      <c r="AK77" s="10" t="str">
        <f t="shared" si="13"/>
        <v/>
      </c>
      <c r="AL77" s="15" t="str">
        <f>IF(OR($A77&lt;&gt;"",$B77&lt;&gt;""),IF(OR($A77="",$B77=""),"Isi tanggal dan ID PIC",IF(NOT(ISNUMBER($A77)),"Tanggal harus berupa tanggal Excel",IF(COUNTIFS(Master_PIC!$A$8:$A$73,$B77)&lt;&gt;1,"ID PIC tidak unik/terdaftar",IF(VLOOKUP($B77,Master_PIC!$A$8:$G$73,3,FALSE)&lt;&gt;"SPV","Jabatan tidak sesuai sheet",IF(OR($C77="",$D77="",$E77="",$F77=""),"Lengkapi master PIC",IF(COUNTIFS($A$8:$A$507,$A77,$B$8:$B$507,$B77)&gt;1,"Laporan ganda",IF(COUNTIFS(G77:O77,"Tidak Berlaku")&gt;0,"N/A hanya untuk kegiatan bersyarat",IF(SUM(AF77,AG77,AH77,AI77,AJ77)&lt;&gt;13,"Status kegiatan tidak valid",IF(AJ77&gt;0,"Lengkapi status kegiatan",IF(AND(AI77&gt;0,T77=""),"Isi alasan Tidak Berlaku",IF(AND(SUM(AG77,AH77)&gt;0,OR(T77="",U77="",V77="",W77="")),"Isi kendala dan tindak lanjut",IF(AND(Y77&lt;&gt;"Draft",Y77&lt;&gt;"Dikirim"),"Isi status laporan yang valid",IF(AND(AA77&lt;&gt;"",AA77&lt;&gt;"Belum Diperiksa",AA77&lt;&gt;"Disetujui",AA77&lt;&gt;"Perlu Perbaikan"),"Hasil review tidak valid",IF(AND(Y77="Dikirim",OR(X77="",Z77="")),"Isi bukti dan waktu kirim",IF(AND(AA77="Disetujui",OR(Y77&lt;&gt;"Dikirim",AB77="",AC77="")),"Lengkapi pemeriksaan",IF(AND(AA77="Perlu Perbaikan",OR(AD77="",AB77="",AC77="")),"Isi pemeriksa dan catatan perbaikan","OK")))))))))))))))),"")</f>
        <v/>
      </c>
    </row>
    <row r="78" spans="1:38" ht="24.95" customHeight="1">
      <c r="A78" s="8"/>
      <c r="B78" s="6"/>
      <c r="C78" s="15" t="str">
        <f>IF(COUNTIFS(Master_PIC!$A$8:$A$73,$B78)=1,IF(VLOOKUP($B78,Master_PIC!$A$8:$G$73,2,FALSE)="","",VLOOKUP($B78,Master_PIC!$A$8:$G$73,2,FALSE)),"")</f>
        <v/>
      </c>
      <c r="D78" s="15" t="str">
        <f>IF(COUNTIFS(Master_PIC!$A$8:$A$73,$B78)=1,IF(VLOOKUP($B78,Master_PIC!$A$8:$G$73,4,FALSE)="","",VLOOKUP($B78,Master_PIC!$A$8:$G$73,4,FALSE)),"")</f>
        <v/>
      </c>
      <c r="E78" s="15" t="str">
        <f>IF(COUNTIFS(Master_PIC!$A$8:$A$73,$B78)=1,IF(VLOOKUP($B78,Master_PIC!$A$8:$G$73,5,FALSE)="","",VLOOKUP($B78,Master_PIC!$A$8:$G$73,5,FALSE)),"")</f>
        <v/>
      </c>
      <c r="F78" s="15" t="str">
        <f>IF(COUNTIFS(Master_PIC!$A$8:$A$73,$B78)=1,IF(VLOOKUP($B78,Master_PIC!$A$8:$G$73,6,FALSE)="","",VLOOKUP($B78,Master_PIC!$A$8:$G$73,6,FALSE)),"")</f>
        <v/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8"/>
      <c r="X78" s="5"/>
      <c r="Y78" s="5"/>
      <c r="Z78" s="9"/>
      <c r="AA78" s="5"/>
      <c r="AB78" s="5"/>
      <c r="AC78" s="9"/>
      <c r="AD78" s="5"/>
      <c r="AE78" s="7" t="str">
        <f t="shared" si="7"/>
        <v/>
      </c>
      <c r="AF78" s="7" t="str">
        <f t="shared" si="8"/>
        <v/>
      </c>
      <c r="AG78" s="7" t="str">
        <f t="shared" si="9"/>
        <v/>
      </c>
      <c r="AH78" s="7" t="str">
        <f t="shared" si="10"/>
        <v/>
      </c>
      <c r="AI78" s="7" t="str">
        <f t="shared" si="11"/>
        <v/>
      </c>
      <c r="AJ78" s="7" t="str">
        <f t="shared" si="12"/>
        <v/>
      </c>
      <c r="AK78" s="10" t="str">
        <f t="shared" si="13"/>
        <v/>
      </c>
      <c r="AL78" s="15" t="str">
        <f>IF(OR($A78&lt;&gt;"",$B78&lt;&gt;""),IF(OR($A78="",$B78=""),"Isi tanggal dan ID PIC",IF(NOT(ISNUMBER($A78)),"Tanggal harus berupa tanggal Excel",IF(COUNTIFS(Master_PIC!$A$8:$A$73,$B78)&lt;&gt;1,"ID PIC tidak unik/terdaftar",IF(VLOOKUP($B78,Master_PIC!$A$8:$G$73,3,FALSE)&lt;&gt;"SPV","Jabatan tidak sesuai sheet",IF(OR($C78="",$D78="",$E78="",$F78=""),"Lengkapi master PIC",IF(COUNTIFS($A$8:$A$507,$A78,$B$8:$B$507,$B78)&gt;1,"Laporan ganda",IF(COUNTIFS(G78:O78,"Tidak Berlaku")&gt;0,"N/A hanya untuk kegiatan bersyarat",IF(SUM(AF78,AG78,AH78,AI78,AJ78)&lt;&gt;13,"Status kegiatan tidak valid",IF(AJ78&gt;0,"Lengkapi status kegiatan",IF(AND(AI78&gt;0,T78=""),"Isi alasan Tidak Berlaku",IF(AND(SUM(AG78,AH78)&gt;0,OR(T78="",U78="",V78="",W78="")),"Isi kendala dan tindak lanjut",IF(AND(Y78&lt;&gt;"Draft",Y78&lt;&gt;"Dikirim"),"Isi status laporan yang valid",IF(AND(AA78&lt;&gt;"",AA78&lt;&gt;"Belum Diperiksa",AA78&lt;&gt;"Disetujui",AA78&lt;&gt;"Perlu Perbaikan"),"Hasil review tidak valid",IF(AND(Y78="Dikirim",OR(X78="",Z78="")),"Isi bukti dan waktu kirim",IF(AND(AA78="Disetujui",OR(Y78&lt;&gt;"Dikirim",AB78="",AC78="")),"Lengkapi pemeriksaan",IF(AND(AA78="Perlu Perbaikan",OR(AD78="",AB78="",AC78="")),"Isi pemeriksa dan catatan perbaikan","OK")))))))))))))))),"")</f>
        <v/>
      </c>
    </row>
    <row r="79" spans="1:38" ht="24.95" customHeight="1">
      <c r="A79" s="8"/>
      <c r="B79" s="6"/>
      <c r="C79" s="15" t="str">
        <f>IF(COUNTIFS(Master_PIC!$A$8:$A$73,$B79)=1,IF(VLOOKUP($B79,Master_PIC!$A$8:$G$73,2,FALSE)="","",VLOOKUP($B79,Master_PIC!$A$8:$G$73,2,FALSE)),"")</f>
        <v/>
      </c>
      <c r="D79" s="15" t="str">
        <f>IF(COUNTIFS(Master_PIC!$A$8:$A$73,$B79)=1,IF(VLOOKUP($B79,Master_PIC!$A$8:$G$73,4,FALSE)="","",VLOOKUP($B79,Master_PIC!$A$8:$G$73,4,FALSE)),"")</f>
        <v/>
      </c>
      <c r="E79" s="15" t="str">
        <f>IF(COUNTIFS(Master_PIC!$A$8:$A$73,$B79)=1,IF(VLOOKUP($B79,Master_PIC!$A$8:$G$73,5,FALSE)="","",VLOOKUP($B79,Master_PIC!$A$8:$G$73,5,FALSE)),"")</f>
        <v/>
      </c>
      <c r="F79" s="15" t="str">
        <f>IF(COUNTIFS(Master_PIC!$A$8:$A$73,$B79)=1,IF(VLOOKUP($B79,Master_PIC!$A$8:$G$73,6,FALSE)="","",VLOOKUP($B79,Master_PIC!$A$8:$G$73,6,FALSE)),"")</f>
        <v/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8"/>
      <c r="X79" s="5"/>
      <c r="Y79" s="5"/>
      <c r="Z79" s="9"/>
      <c r="AA79" s="5"/>
      <c r="AB79" s="5"/>
      <c r="AC79" s="9"/>
      <c r="AD79" s="5"/>
      <c r="AE79" s="7" t="str">
        <f t="shared" si="7"/>
        <v/>
      </c>
      <c r="AF79" s="7" t="str">
        <f t="shared" si="8"/>
        <v/>
      </c>
      <c r="AG79" s="7" t="str">
        <f t="shared" si="9"/>
        <v/>
      </c>
      <c r="AH79" s="7" t="str">
        <f t="shared" si="10"/>
        <v/>
      </c>
      <c r="AI79" s="7" t="str">
        <f t="shared" si="11"/>
        <v/>
      </c>
      <c r="AJ79" s="7" t="str">
        <f t="shared" si="12"/>
        <v/>
      </c>
      <c r="AK79" s="10" t="str">
        <f t="shared" si="13"/>
        <v/>
      </c>
      <c r="AL79" s="15" t="str">
        <f>IF(OR($A79&lt;&gt;"",$B79&lt;&gt;""),IF(OR($A79="",$B79=""),"Isi tanggal dan ID PIC",IF(NOT(ISNUMBER($A79)),"Tanggal harus berupa tanggal Excel",IF(COUNTIFS(Master_PIC!$A$8:$A$73,$B79)&lt;&gt;1,"ID PIC tidak unik/terdaftar",IF(VLOOKUP($B79,Master_PIC!$A$8:$G$73,3,FALSE)&lt;&gt;"SPV","Jabatan tidak sesuai sheet",IF(OR($C79="",$D79="",$E79="",$F79=""),"Lengkapi master PIC",IF(COUNTIFS($A$8:$A$507,$A79,$B$8:$B$507,$B79)&gt;1,"Laporan ganda",IF(COUNTIFS(G79:O79,"Tidak Berlaku")&gt;0,"N/A hanya untuk kegiatan bersyarat",IF(SUM(AF79,AG79,AH79,AI79,AJ79)&lt;&gt;13,"Status kegiatan tidak valid",IF(AJ79&gt;0,"Lengkapi status kegiatan",IF(AND(AI79&gt;0,T79=""),"Isi alasan Tidak Berlaku",IF(AND(SUM(AG79,AH79)&gt;0,OR(T79="",U79="",V79="",W79="")),"Isi kendala dan tindak lanjut",IF(AND(Y79&lt;&gt;"Draft",Y79&lt;&gt;"Dikirim"),"Isi status laporan yang valid",IF(AND(AA79&lt;&gt;"",AA79&lt;&gt;"Belum Diperiksa",AA79&lt;&gt;"Disetujui",AA79&lt;&gt;"Perlu Perbaikan"),"Hasil review tidak valid",IF(AND(Y79="Dikirim",OR(X79="",Z79="")),"Isi bukti dan waktu kirim",IF(AND(AA79="Disetujui",OR(Y79&lt;&gt;"Dikirim",AB79="",AC79="")),"Lengkapi pemeriksaan",IF(AND(AA79="Perlu Perbaikan",OR(AD79="",AB79="",AC79="")),"Isi pemeriksa dan catatan perbaikan","OK")))))))))))))))),"")</f>
        <v/>
      </c>
    </row>
    <row r="80" spans="1:38" ht="24.95" customHeight="1">
      <c r="A80" s="8"/>
      <c r="B80" s="6"/>
      <c r="C80" s="15" t="str">
        <f>IF(COUNTIFS(Master_PIC!$A$8:$A$73,$B80)=1,IF(VLOOKUP($B80,Master_PIC!$A$8:$G$73,2,FALSE)="","",VLOOKUP($B80,Master_PIC!$A$8:$G$73,2,FALSE)),"")</f>
        <v/>
      </c>
      <c r="D80" s="15" t="str">
        <f>IF(COUNTIFS(Master_PIC!$A$8:$A$73,$B80)=1,IF(VLOOKUP($B80,Master_PIC!$A$8:$G$73,4,FALSE)="","",VLOOKUP($B80,Master_PIC!$A$8:$G$73,4,FALSE)),"")</f>
        <v/>
      </c>
      <c r="E80" s="15" t="str">
        <f>IF(COUNTIFS(Master_PIC!$A$8:$A$73,$B80)=1,IF(VLOOKUP($B80,Master_PIC!$A$8:$G$73,5,FALSE)="","",VLOOKUP($B80,Master_PIC!$A$8:$G$73,5,FALSE)),"")</f>
        <v/>
      </c>
      <c r="F80" s="15" t="str">
        <f>IF(COUNTIFS(Master_PIC!$A$8:$A$73,$B80)=1,IF(VLOOKUP($B80,Master_PIC!$A$8:$G$73,6,FALSE)="","",VLOOKUP($B80,Master_PIC!$A$8:$G$73,6,FALSE)),"")</f>
        <v/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8"/>
      <c r="X80" s="5"/>
      <c r="Y80" s="5"/>
      <c r="Z80" s="9"/>
      <c r="AA80" s="5"/>
      <c r="AB80" s="5"/>
      <c r="AC80" s="9"/>
      <c r="AD80" s="5"/>
      <c r="AE80" s="7" t="str">
        <f t="shared" si="7"/>
        <v/>
      </c>
      <c r="AF80" s="7" t="str">
        <f t="shared" si="8"/>
        <v/>
      </c>
      <c r="AG80" s="7" t="str">
        <f t="shared" si="9"/>
        <v/>
      </c>
      <c r="AH80" s="7" t="str">
        <f t="shared" si="10"/>
        <v/>
      </c>
      <c r="AI80" s="7" t="str">
        <f t="shared" si="11"/>
        <v/>
      </c>
      <c r="AJ80" s="7" t="str">
        <f t="shared" si="12"/>
        <v/>
      </c>
      <c r="AK80" s="10" t="str">
        <f t="shared" si="13"/>
        <v/>
      </c>
      <c r="AL80" s="15" t="str">
        <f>IF(OR($A80&lt;&gt;"",$B80&lt;&gt;""),IF(OR($A80="",$B80=""),"Isi tanggal dan ID PIC",IF(NOT(ISNUMBER($A80)),"Tanggal harus berupa tanggal Excel",IF(COUNTIFS(Master_PIC!$A$8:$A$73,$B80)&lt;&gt;1,"ID PIC tidak unik/terdaftar",IF(VLOOKUP($B80,Master_PIC!$A$8:$G$73,3,FALSE)&lt;&gt;"SPV","Jabatan tidak sesuai sheet",IF(OR($C80="",$D80="",$E80="",$F80=""),"Lengkapi master PIC",IF(COUNTIFS($A$8:$A$507,$A80,$B$8:$B$507,$B80)&gt;1,"Laporan ganda",IF(COUNTIFS(G80:O80,"Tidak Berlaku")&gt;0,"N/A hanya untuk kegiatan bersyarat",IF(SUM(AF80,AG80,AH80,AI80,AJ80)&lt;&gt;13,"Status kegiatan tidak valid",IF(AJ80&gt;0,"Lengkapi status kegiatan",IF(AND(AI80&gt;0,T80=""),"Isi alasan Tidak Berlaku",IF(AND(SUM(AG80,AH80)&gt;0,OR(T80="",U80="",V80="",W80="")),"Isi kendala dan tindak lanjut",IF(AND(Y80&lt;&gt;"Draft",Y80&lt;&gt;"Dikirim"),"Isi status laporan yang valid",IF(AND(AA80&lt;&gt;"",AA80&lt;&gt;"Belum Diperiksa",AA80&lt;&gt;"Disetujui",AA80&lt;&gt;"Perlu Perbaikan"),"Hasil review tidak valid",IF(AND(Y80="Dikirim",OR(X80="",Z80="")),"Isi bukti dan waktu kirim",IF(AND(AA80="Disetujui",OR(Y80&lt;&gt;"Dikirim",AB80="",AC80="")),"Lengkapi pemeriksaan",IF(AND(AA80="Perlu Perbaikan",OR(AD80="",AB80="",AC80="")),"Isi pemeriksa dan catatan perbaikan","OK")))))))))))))))),"")</f>
        <v/>
      </c>
    </row>
    <row r="81" spans="1:38" ht="24.95" customHeight="1">
      <c r="A81" s="8"/>
      <c r="B81" s="6"/>
      <c r="C81" s="15" t="str">
        <f>IF(COUNTIFS(Master_PIC!$A$8:$A$73,$B81)=1,IF(VLOOKUP($B81,Master_PIC!$A$8:$G$73,2,FALSE)="","",VLOOKUP($B81,Master_PIC!$A$8:$G$73,2,FALSE)),"")</f>
        <v/>
      </c>
      <c r="D81" s="15" t="str">
        <f>IF(COUNTIFS(Master_PIC!$A$8:$A$73,$B81)=1,IF(VLOOKUP($B81,Master_PIC!$A$8:$G$73,4,FALSE)="","",VLOOKUP($B81,Master_PIC!$A$8:$G$73,4,FALSE)),"")</f>
        <v/>
      </c>
      <c r="E81" s="15" t="str">
        <f>IF(COUNTIFS(Master_PIC!$A$8:$A$73,$B81)=1,IF(VLOOKUP($B81,Master_PIC!$A$8:$G$73,5,FALSE)="","",VLOOKUP($B81,Master_PIC!$A$8:$G$73,5,FALSE)),"")</f>
        <v/>
      </c>
      <c r="F81" s="15" t="str">
        <f>IF(COUNTIFS(Master_PIC!$A$8:$A$73,$B81)=1,IF(VLOOKUP($B81,Master_PIC!$A$8:$G$73,6,FALSE)="","",VLOOKUP($B81,Master_PIC!$A$8:$G$73,6,FALSE)),"")</f>
        <v/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8"/>
      <c r="X81" s="5"/>
      <c r="Y81" s="5"/>
      <c r="Z81" s="9"/>
      <c r="AA81" s="5"/>
      <c r="AB81" s="5"/>
      <c r="AC81" s="9"/>
      <c r="AD81" s="5"/>
      <c r="AE81" s="7" t="str">
        <f t="shared" si="7"/>
        <v/>
      </c>
      <c r="AF81" s="7" t="str">
        <f t="shared" si="8"/>
        <v/>
      </c>
      <c r="AG81" s="7" t="str">
        <f t="shared" si="9"/>
        <v/>
      </c>
      <c r="AH81" s="7" t="str">
        <f t="shared" si="10"/>
        <v/>
      </c>
      <c r="AI81" s="7" t="str">
        <f t="shared" si="11"/>
        <v/>
      </c>
      <c r="AJ81" s="7" t="str">
        <f t="shared" si="12"/>
        <v/>
      </c>
      <c r="AK81" s="10" t="str">
        <f t="shared" si="13"/>
        <v/>
      </c>
      <c r="AL81" s="15" t="str">
        <f>IF(OR($A81&lt;&gt;"",$B81&lt;&gt;""),IF(OR($A81="",$B81=""),"Isi tanggal dan ID PIC",IF(NOT(ISNUMBER($A81)),"Tanggal harus berupa tanggal Excel",IF(COUNTIFS(Master_PIC!$A$8:$A$73,$B81)&lt;&gt;1,"ID PIC tidak unik/terdaftar",IF(VLOOKUP($B81,Master_PIC!$A$8:$G$73,3,FALSE)&lt;&gt;"SPV","Jabatan tidak sesuai sheet",IF(OR($C81="",$D81="",$E81="",$F81=""),"Lengkapi master PIC",IF(COUNTIFS($A$8:$A$507,$A81,$B$8:$B$507,$B81)&gt;1,"Laporan ganda",IF(COUNTIFS(G81:O81,"Tidak Berlaku")&gt;0,"N/A hanya untuk kegiatan bersyarat",IF(SUM(AF81,AG81,AH81,AI81,AJ81)&lt;&gt;13,"Status kegiatan tidak valid",IF(AJ81&gt;0,"Lengkapi status kegiatan",IF(AND(AI81&gt;0,T81=""),"Isi alasan Tidak Berlaku",IF(AND(SUM(AG81,AH81)&gt;0,OR(T81="",U81="",V81="",W81="")),"Isi kendala dan tindak lanjut",IF(AND(Y81&lt;&gt;"Draft",Y81&lt;&gt;"Dikirim"),"Isi status laporan yang valid",IF(AND(AA81&lt;&gt;"",AA81&lt;&gt;"Belum Diperiksa",AA81&lt;&gt;"Disetujui",AA81&lt;&gt;"Perlu Perbaikan"),"Hasil review tidak valid",IF(AND(Y81="Dikirim",OR(X81="",Z81="")),"Isi bukti dan waktu kirim",IF(AND(AA81="Disetujui",OR(Y81&lt;&gt;"Dikirim",AB81="",AC81="")),"Lengkapi pemeriksaan",IF(AND(AA81="Perlu Perbaikan",OR(AD81="",AB81="",AC81="")),"Isi pemeriksa dan catatan perbaikan","OK")))))))))))))))),"")</f>
        <v/>
      </c>
    </row>
    <row r="82" spans="1:38" ht="24.95" customHeight="1">
      <c r="A82" s="8"/>
      <c r="B82" s="6"/>
      <c r="C82" s="15" t="str">
        <f>IF(COUNTIFS(Master_PIC!$A$8:$A$73,$B82)=1,IF(VLOOKUP($B82,Master_PIC!$A$8:$G$73,2,FALSE)="","",VLOOKUP($B82,Master_PIC!$A$8:$G$73,2,FALSE)),"")</f>
        <v/>
      </c>
      <c r="D82" s="15" t="str">
        <f>IF(COUNTIFS(Master_PIC!$A$8:$A$73,$B82)=1,IF(VLOOKUP($B82,Master_PIC!$A$8:$G$73,4,FALSE)="","",VLOOKUP($B82,Master_PIC!$A$8:$G$73,4,FALSE)),"")</f>
        <v/>
      </c>
      <c r="E82" s="15" t="str">
        <f>IF(COUNTIFS(Master_PIC!$A$8:$A$73,$B82)=1,IF(VLOOKUP($B82,Master_PIC!$A$8:$G$73,5,FALSE)="","",VLOOKUP($B82,Master_PIC!$A$8:$G$73,5,FALSE)),"")</f>
        <v/>
      </c>
      <c r="F82" s="15" t="str">
        <f>IF(COUNTIFS(Master_PIC!$A$8:$A$73,$B82)=1,IF(VLOOKUP($B82,Master_PIC!$A$8:$G$73,6,FALSE)="","",VLOOKUP($B82,Master_PIC!$A$8:$G$73,6,FALSE)),"")</f>
        <v/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9"/>
      <c r="AA82" s="5"/>
      <c r="AB82" s="5"/>
      <c r="AC82" s="9"/>
      <c r="AD82" s="5"/>
      <c r="AE82" s="7" t="str">
        <f t="shared" si="7"/>
        <v/>
      </c>
      <c r="AF82" s="7" t="str">
        <f t="shared" si="8"/>
        <v/>
      </c>
      <c r="AG82" s="7" t="str">
        <f t="shared" si="9"/>
        <v/>
      </c>
      <c r="AH82" s="7" t="str">
        <f t="shared" si="10"/>
        <v/>
      </c>
      <c r="AI82" s="7" t="str">
        <f t="shared" si="11"/>
        <v/>
      </c>
      <c r="AJ82" s="7" t="str">
        <f t="shared" si="12"/>
        <v/>
      </c>
      <c r="AK82" s="10" t="str">
        <f t="shared" si="13"/>
        <v/>
      </c>
      <c r="AL82" s="15" t="str">
        <f>IF(OR($A82&lt;&gt;"",$B82&lt;&gt;""),IF(OR($A82="",$B82=""),"Isi tanggal dan ID PIC",IF(NOT(ISNUMBER($A82)),"Tanggal harus berupa tanggal Excel",IF(COUNTIFS(Master_PIC!$A$8:$A$73,$B82)&lt;&gt;1,"ID PIC tidak unik/terdaftar",IF(VLOOKUP($B82,Master_PIC!$A$8:$G$73,3,FALSE)&lt;&gt;"SPV","Jabatan tidak sesuai sheet",IF(OR($C82="",$D82="",$E82="",$F82=""),"Lengkapi master PIC",IF(COUNTIFS($A$8:$A$507,$A82,$B$8:$B$507,$B82)&gt;1,"Laporan ganda",IF(COUNTIFS(G82:O82,"Tidak Berlaku")&gt;0,"N/A hanya untuk kegiatan bersyarat",IF(SUM(AF82,AG82,AH82,AI82,AJ82)&lt;&gt;13,"Status kegiatan tidak valid",IF(AJ82&gt;0,"Lengkapi status kegiatan",IF(AND(AI82&gt;0,T82=""),"Isi alasan Tidak Berlaku",IF(AND(SUM(AG82,AH82)&gt;0,OR(T82="",U82="",V82="",W82="")),"Isi kendala dan tindak lanjut",IF(AND(Y82&lt;&gt;"Draft",Y82&lt;&gt;"Dikirim"),"Isi status laporan yang valid",IF(AND(AA82&lt;&gt;"",AA82&lt;&gt;"Belum Diperiksa",AA82&lt;&gt;"Disetujui",AA82&lt;&gt;"Perlu Perbaikan"),"Hasil review tidak valid",IF(AND(Y82="Dikirim",OR(X82="",Z82="")),"Isi bukti dan waktu kirim",IF(AND(AA82="Disetujui",OR(Y82&lt;&gt;"Dikirim",AB82="",AC82="")),"Lengkapi pemeriksaan",IF(AND(AA82="Perlu Perbaikan",OR(AD82="",AB82="",AC82="")),"Isi pemeriksa dan catatan perbaikan","OK")))))))))))))))),"")</f>
        <v/>
      </c>
    </row>
    <row r="83" spans="1:38" ht="24.95" customHeight="1">
      <c r="A83" s="8"/>
      <c r="B83" s="6"/>
      <c r="C83" s="15" t="str">
        <f>IF(COUNTIFS(Master_PIC!$A$8:$A$73,$B83)=1,IF(VLOOKUP($B83,Master_PIC!$A$8:$G$73,2,FALSE)="","",VLOOKUP($B83,Master_PIC!$A$8:$G$73,2,FALSE)),"")</f>
        <v/>
      </c>
      <c r="D83" s="15" t="str">
        <f>IF(COUNTIFS(Master_PIC!$A$8:$A$73,$B83)=1,IF(VLOOKUP($B83,Master_PIC!$A$8:$G$73,4,FALSE)="","",VLOOKUP($B83,Master_PIC!$A$8:$G$73,4,FALSE)),"")</f>
        <v/>
      </c>
      <c r="E83" s="15" t="str">
        <f>IF(COUNTIFS(Master_PIC!$A$8:$A$73,$B83)=1,IF(VLOOKUP($B83,Master_PIC!$A$8:$G$73,5,FALSE)="","",VLOOKUP($B83,Master_PIC!$A$8:$G$73,5,FALSE)),"")</f>
        <v/>
      </c>
      <c r="F83" s="15" t="str">
        <f>IF(COUNTIFS(Master_PIC!$A$8:$A$73,$B83)=1,IF(VLOOKUP($B83,Master_PIC!$A$8:$G$73,6,FALSE)="","",VLOOKUP($B83,Master_PIC!$A$8:$G$73,6,FALSE)),"")</f>
        <v/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8"/>
      <c r="X83" s="5"/>
      <c r="Y83" s="5"/>
      <c r="Z83" s="9"/>
      <c r="AA83" s="5"/>
      <c r="AB83" s="5"/>
      <c r="AC83" s="9"/>
      <c r="AD83" s="5"/>
      <c r="AE83" s="7" t="str">
        <f t="shared" si="7"/>
        <v/>
      </c>
      <c r="AF83" s="7" t="str">
        <f t="shared" si="8"/>
        <v/>
      </c>
      <c r="AG83" s="7" t="str">
        <f t="shared" si="9"/>
        <v/>
      </c>
      <c r="AH83" s="7" t="str">
        <f t="shared" si="10"/>
        <v/>
      </c>
      <c r="AI83" s="7" t="str">
        <f t="shared" si="11"/>
        <v/>
      </c>
      <c r="AJ83" s="7" t="str">
        <f t="shared" si="12"/>
        <v/>
      </c>
      <c r="AK83" s="10" t="str">
        <f t="shared" si="13"/>
        <v/>
      </c>
      <c r="AL83" s="15" t="str">
        <f>IF(OR($A83&lt;&gt;"",$B83&lt;&gt;""),IF(OR($A83="",$B83=""),"Isi tanggal dan ID PIC",IF(NOT(ISNUMBER($A83)),"Tanggal harus berupa tanggal Excel",IF(COUNTIFS(Master_PIC!$A$8:$A$73,$B83)&lt;&gt;1,"ID PIC tidak unik/terdaftar",IF(VLOOKUP($B83,Master_PIC!$A$8:$G$73,3,FALSE)&lt;&gt;"SPV","Jabatan tidak sesuai sheet",IF(OR($C83="",$D83="",$E83="",$F83=""),"Lengkapi master PIC",IF(COUNTIFS($A$8:$A$507,$A83,$B$8:$B$507,$B83)&gt;1,"Laporan ganda",IF(COUNTIFS(G83:O83,"Tidak Berlaku")&gt;0,"N/A hanya untuk kegiatan bersyarat",IF(SUM(AF83,AG83,AH83,AI83,AJ83)&lt;&gt;13,"Status kegiatan tidak valid",IF(AJ83&gt;0,"Lengkapi status kegiatan",IF(AND(AI83&gt;0,T83=""),"Isi alasan Tidak Berlaku",IF(AND(SUM(AG83,AH83)&gt;0,OR(T83="",U83="",V83="",W83="")),"Isi kendala dan tindak lanjut",IF(AND(Y83&lt;&gt;"Draft",Y83&lt;&gt;"Dikirim"),"Isi status laporan yang valid",IF(AND(AA83&lt;&gt;"",AA83&lt;&gt;"Belum Diperiksa",AA83&lt;&gt;"Disetujui",AA83&lt;&gt;"Perlu Perbaikan"),"Hasil review tidak valid",IF(AND(Y83="Dikirim",OR(X83="",Z83="")),"Isi bukti dan waktu kirim",IF(AND(AA83="Disetujui",OR(Y83&lt;&gt;"Dikirim",AB83="",AC83="")),"Lengkapi pemeriksaan",IF(AND(AA83="Perlu Perbaikan",OR(AD83="",AB83="",AC83="")),"Isi pemeriksa dan catatan perbaikan","OK")))))))))))))))),"")</f>
        <v/>
      </c>
    </row>
    <row r="84" spans="1:38" ht="24.95" customHeight="1">
      <c r="A84" s="8"/>
      <c r="B84" s="6"/>
      <c r="C84" s="15" t="str">
        <f>IF(COUNTIFS(Master_PIC!$A$8:$A$73,$B84)=1,IF(VLOOKUP($B84,Master_PIC!$A$8:$G$73,2,FALSE)="","",VLOOKUP($B84,Master_PIC!$A$8:$G$73,2,FALSE)),"")</f>
        <v/>
      </c>
      <c r="D84" s="15" t="str">
        <f>IF(COUNTIFS(Master_PIC!$A$8:$A$73,$B84)=1,IF(VLOOKUP($B84,Master_PIC!$A$8:$G$73,4,FALSE)="","",VLOOKUP($B84,Master_PIC!$A$8:$G$73,4,FALSE)),"")</f>
        <v/>
      </c>
      <c r="E84" s="15" t="str">
        <f>IF(COUNTIFS(Master_PIC!$A$8:$A$73,$B84)=1,IF(VLOOKUP($B84,Master_PIC!$A$8:$G$73,5,FALSE)="","",VLOOKUP($B84,Master_PIC!$A$8:$G$73,5,FALSE)),"")</f>
        <v/>
      </c>
      <c r="F84" s="15" t="str">
        <f>IF(COUNTIFS(Master_PIC!$A$8:$A$73,$B84)=1,IF(VLOOKUP($B84,Master_PIC!$A$8:$G$73,6,FALSE)="","",VLOOKUP($B84,Master_PIC!$A$8:$G$73,6,FALSE)),"")</f>
        <v/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8"/>
      <c r="X84" s="5"/>
      <c r="Y84" s="5"/>
      <c r="Z84" s="9"/>
      <c r="AA84" s="5"/>
      <c r="AB84" s="5"/>
      <c r="AC84" s="9"/>
      <c r="AD84" s="5"/>
      <c r="AE84" s="7" t="str">
        <f t="shared" si="7"/>
        <v/>
      </c>
      <c r="AF84" s="7" t="str">
        <f t="shared" si="8"/>
        <v/>
      </c>
      <c r="AG84" s="7" t="str">
        <f t="shared" si="9"/>
        <v/>
      </c>
      <c r="AH84" s="7" t="str">
        <f t="shared" si="10"/>
        <v/>
      </c>
      <c r="AI84" s="7" t="str">
        <f t="shared" si="11"/>
        <v/>
      </c>
      <c r="AJ84" s="7" t="str">
        <f t="shared" si="12"/>
        <v/>
      </c>
      <c r="AK84" s="10" t="str">
        <f t="shared" si="13"/>
        <v/>
      </c>
      <c r="AL84" s="15" t="str">
        <f>IF(OR($A84&lt;&gt;"",$B84&lt;&gt;""),IF(OR($A84="",$B84=""),"Isi tanggal dan ID PIC",IF(NOT(ISNUMBER($A84)),"Tanggal harus berupa tanggal Excel",IF(COUNTIFS(Master_PIC!$A$8:$A$73,$B84)&lt;&gt;1,"ID PIC tidak unik/terdaftar",IF(VLOOKUP($B84,Master_PIC!$A$8:$G$73,3,FALSE)&lt;&gt;"SPV","Jabatan tidak sesuai sheet",IF(OR($C84="",$D84="",$E84="",$F84=""),"Lengkapi master PIC",IF(COUNTIFS($A$8:$A$507,$A84,$B$8:$B$507,$B84)&gt;1,"Laporan ganda",IF(COUNTIFS(G84:O84,"Tidak Berlaku")&gt;0,"N/A hanya untuk kegiatan bersyarat",IF(SUM(AF84,AG84,AH84,AI84,AJ84)&lt;&gt;13,"Status kegiatan tidak valid",IF(AJ84&gt;0,"Lengkapi status kegiatan",IF(AND(AI84&gt;0,T84=""),"Isi alasan Tidak Berlaku",IF(AND(SUM(AG84,AH84)&gt;0,OR(T84="",U84="",V84="",W84="")),"Isi kendala dan tindak lanjut",IF(AND(Y84&lt;&gt;"Draft",Y84&lt;&gt;"Dikirim"),"Isi status laporan yang valid",IF(AND(AA84&lt;&gt;"",AA84&lt;&gt;"Belum Diperiksa",AA84&lt;&gt;"Disetujui",AA84&lt;&gt;"Perlu Perbaikan"),"Hasil review tidak valid",IF(AND(Y84="Dikirim",OR(X84="",Z84="")),"Isi bukti dan waktu kirim",IF(AND(AA84="Disetujui",OR(Y84&lt;&gt;"Dikirim",AB84="",AC84="")),"Lengkapi pemeriksaan",IF(AND(AA84="Perlu Perbaikan",OR(AD84="",AB84="",AC84="")),"Isi pemeriksa dan catatan perbaikan","OK")))))))))))))))),"")</f>
        <v/>
      </c>
    </row>
    <row r="85" spans="1:38" ht="24.95" customHeight="1">
      <c r="A85" s="8"/>
      <c r="B85" s="6"/>
      <c r="C85" s="15" t="str">
        <f>IF(COUNTIFS(Master_PIC!$A$8:$A$73,$B85)=1,IF(VLOOKUP($B85,Master_PIC!$A$8:$G$73,2,FALSE)="","",VLOOKUP($B85,Master_PIC!$A$8:$G$73,2,FALSE)),"")</f>
        <v/>
      </c>
      <c r="D85" s="15" t="str">
        <f>IF(COUNTIFS(Master_PIC!$A$8:$A$73,$B85)=1,IF(VLOOKUP($B85,Master_PIC!$A$8:$G$73,4,FALSE)="","",VLOOKUP($B85,Master_PIC!$A$8:$G$73,4,FALSE)),"")</f>
        <v/>
      </c>
      <c r="E85" s="15" t="str">
        <f>IF(COUNTIFS(Master_PIC!$A$8:$A$73,$B85)=1,IF(VLOOKUP($B85,Master_PIC!$A$8:$G$73,5,FALSE)="","",VLOOKUP($B85,Master_PIC!$A$8:$G$73,5,FALSE)),"")</f>
        <v/>
      </c>
      <c r="F85" s="15" t="str">
        <f>IF(COUNTIFS(Master_PIC!$A$8:$A$73,$B85)=1,IF(VLOOKUP($B85,Master_PIC!$A$8:$G$73,6,FALSE)="","",VLOOKUP($B85,Master_PIC!$A$8:$G$73,6,FALSE)),"")</f>
        <v/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8"/>
      <c r="X85" s="5"/>
      <c r="Y85" s="5"/>
      <c r="Z85" s="9"/>
      <c r="AA85" s="5"/>
      <c r="AB85" s="5"/>
      <c r="AC85" s="9"/>
      <c r="AD85" s="5"/>
      <c r="AE85" s="7" t="str">
        <f t="shared" si="7"/>
        <v/>
      </c>
      <c r="AF85" s="7" t="str">
        <f t="shared" si="8"/>
        <v/>
      </c>
      <c r="AG85" s="7" t="str">
        <f t="shared" si="9"/>
        <v/>
      </c>
      <c r="AH85" s="7" t="str">
        <f t="shared" si="10"/>
        <v/>
      </c>
      <c r="AI85" s="7" t="str">
        <f t="shared" si="11"/>
        <v/>
      </c>
      <c r="AJ85" s="7" t="str">
        <f t="shared" si="12"/>
        <v/>
      </c>
      <c r="AK85" s="10" t="str">
        <f t="shared" si="13"/>
        <v/>
      </c>
      <c r="AL85" s="15" t="str">
        <f>IF(OR($A85&lt;&gt;"",$B85&lt;&gt;""),IF(OR($A85="",$B85=""),"Isi tanggal dan ID PIC",IF(NOT(ISNUMBER($A85)),"Tanggal harus berupa tanggal Excel",IF(COUNTIFS(Master_PIC!$A$8:$A$73,$B85)&lt;&gt;1,"ID PIC tidak unik/terdaftar",IF(VLOOKUP($B85,Master_PIC!$A$8:$G$73,3,FALSE)&lt;&gt;"SPV","Jabatan tidak sesuai sheet",IF(OR($C85="",$D85="",$E85="",$F85=""),"Lengkapi master PIC",IF(COUNTIFS($A$8:$A$507,$A85,$B$8:$B$507,$B85)&gt;1,"Laporan ganda",IF(COUNTIFS(G85:O85,"Tidak Berlaku")&gt;0,"N/A hanya untuk kegiatan bersyarat",IF(SUM(AF85,AG85,AH85,AI85,AJ85)&lt;&gt;13,"Status kegiatan tidak valid",IF(AJ85&gt;0,"Lengkapi status kegiatan",IF(AND(AI85&gt;0,T85=""),"Isi alasan Tidak Berlaku",IF(AND(SUM(AG85,AH85)&gt;0,OR(T85="",U85="",V85="",W85="")),"Isi kendala dan tindak lanjut",IF(AND(Y85&lt;&gt;"Draft",Y85&lt;&gt;"Dikirim"),"Isi status laporan yang valid",IF(AND(AA85&lt;&gt;"",AA85&lt;&gt;"Belum Diperiksa",AA85&lt;&gt;"Disetujui",AA85&lt;&gt;"Perlu Perbaikan"),"Hasil review tidak valid",IF(AND(Y85="Dikirim",OR(X85="",Z85="")),"Isi bukti dan waktu kirim",IF(AND(AA85="Disetujui",OR(Y85&lt;&gt;"Dikirim",AB85="",AC85="")),"Lengkapi pemeriksaan",IF(AND(AA85="Perlu Perbaikan",OR(AD85="",AB85="",AC85="")),"Isi pemeriksa dan catatan perbaikan","OK")))))))))))))))),"")</f>
        <v/>
      </c>
    </row>
    <row r="86" spans="1:38" ht="24.95" customHeight="1">
      <c r="A86" s="8"/>
      <c r="B86" s="6"/>
      <c r="C86" s="15" t="str">
        <f>IF(COUNTIFS(Master_PIC!$A$8:$A$73,$B86)=1,IF(VLOOKUP($B86,Master_PIC!$A$8:$G$73,2,FALSE)="","",VLOOKUP($B86,Master_PIC!$A$8:$G$73,2,FALSE)),"")</f>
        <v/>
      </c>
      <c r="D86" s="15" t="str">
        <f>IF(COUNTIFS(Master_PIC!$A$8:$A$73,$B86)=1,IF(VLOOKUP($B86,Master_PIC!$A$8:$G$73,4,FALSE)="","",VLOOKUP($B86,Master_PIC!$A$8:$G$73,4,FALSE)),"")</f>
        <v/>
      </c>
      <c r="E86" s="15" t="str">
        <f>IF(COUNTIFS(Master_PIC!$A$8:$A$73,$B86)=1,IF(VLOOKUP($B86,Master_PIC!$A$8:$G$73,5,FALSE)="","",VLOOKUP($B86,Master_PIC!$A$8:$G$73,5,FALSE)),"")</f>
        <v/>
      </c>
      <c r="F86" s="15" t="str">
        <f>IF(COUNTIFS(Master_PIC!$A$8:$A$73,$B86)=1,IF(VLOOKUP($B86,Master_PIC!$A$8:$G$73,6,FALSE)="","",VLOOKUP($B86,Master_PIC!$A$8:$G$73,6,FALSE)),"")</f>
        <v/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8"/>
      <c r="X86" s="5"/>
      <c r="Y86" s="5"/>
      <c r="Z86" s="9"/>
      <c r="AA86" s="5"/>
      <c r="AB86" s="5"/>
      <c r="AC86" s="9"/>
      <c r="AD86" s="5"/>
      <c r="AE86" s="7" t="str">
        <f t="shared" si="7"/>
        <v/>
      </c>
      <c r="AF86" s="7" t="str">
        <f t="shared" si="8"/>
        <v/>
      </c>
      <c r="AG86" s="7" t="str">
        <f t="shared" si="9"/>
        <v/>
      </c>
      <c r="AH86" s="7" t="str">
        <f t="shared" si="10"/>
        <v/>
      </c>
      <c r="AI86" s="7" t="str">
        <f t="shared" si="11"/>
        <v/>
      </c>
      <c r="AJ86" s="7" t="str">
        <f t="shared" si="12"/>
        <v/>
      </c>
      <c r="AK86" s="10" t="str">
        <f t="shared" si="13"/>
        <v/>
      </c>
      <c r="AL86" s="15" t="str">
        <f>IF(OR($A86&lt;&gt;"",$B86&lt;&gt;""),IF(OR($A86="",$B86=""),"Isi tanggal dan ID PIC",IF(NOT(ISNUMBER($A86)),"Tanggal harus berupa tanggal Excel",IF(COUNTIFS(Master_PIC!$A$8:$A$73,$B86)&lt;&gt;1,"ID PIC tidak unik/terdaftar",IF(VLOOKUP($B86,Master_PIC!$A$8:$G$73,3,FALSE)&lt;&gt;"SPV","Jabatan tidak sesuai sheet",IF(OR($C86="",$D86="",$E86="",$F86=""),"Lengkapi master PIC",IF(COUNTIFS($A$8:$A$507,$A86,$B$8:$B$507,$B86)&gt;1,"Laporan ganda",IF(COUNTIFS(G86:O86,"Tidak Berlaku")&gt;0,"N/A hanya untuk kegiatan bersyarat",IF(SUM(AF86,AG86,AH86,AI86,AJ86)&lt;&gt;13,"Status kegiatan tidak valid",IF(AJ86&gt;0,"Lengkapi status kegiatan",IF(AND(AI86&gt;0,T86=""),"Isi alasan Tidak Berlaku",IF(AND(SUM(AG86,AH86)&gt;0,OR(T86="",U86="",V86="",W86="")),"Isi kendala dan tindak lanjut",IF(AND(Y86&lt;&gt;"Draft",Y86&lt;&gt;"Dikirim"),"Isi status laporan yang valid",IF(AND(AA86&lt;&gt;"",AA86&lt;&gt;"Belum Diperiksa",AA86&lt;&gt;"Disetujui",AA86&lt;&gt;"Perlu Perbaikan"),"Hasil review tidak valid",IF(AND(Y86="Dikirim",OR(X86="",Z86="")),"Isi bukti dan waktu kirim",IF(AND(AA86="Disetujui",OR(Y86&lt;&gt;"Dikirim",AB86="",AC86="")),"Lengkapi pemeriksaan",IF(AND(AA86="Perlu Perbaikan",OR(AD86="",AB86="",AC86="")),"Isi pemeriksa dan catatan perbaikan","OK")))))))))))))))),"")</f>
        <v/>
      </c>
    </row>
    <row r="87" spans="1:38" ht="24.95" customHeight="1">
      <c r="A87" s="8"/>
      <c r="B87" s="6"/>
      <c r="C87" s="15" t="str">
        <f>IF(COUNTIFS(Master_PIC!$A$8:$A$73,$B87)=1,IF(VLOOKUP($B87,Master_PIC!$A$8:$G$73,2,FALSE)="","",VLOOKUP($B87,Master_PIC!$A$8:$G$73,2,FALSE)),"")</f>
        <v/>
      </c>
      <c r="D87" s="15" t="str">
        <f>IF(COUNTIFS(Master_PIC!$A$8:$A$73,$B87)=1,IF(VLOOKUP($B87,Master_PIC!$A$8:$G$73,4,FALSE)="","",VLOOKUP($B87,Master_PIC!$A$8:$G$73,4,FALSE)),"")</f>
        <v/>
      </c>
      <c r="E87" s="15" t="str">
        <f>IF(COUNTIFS(Master_PIC!$A$8:$A$73,$B87)=1,IF(VLOOKUP($B87,Master_PIC!$A$8:$G$73,5,FALSE)="","",VLOOKUP($B87,Master_PIC!$A$8:$G$73,5,FALSE)),"")</f>
        <v/>
      </c>
      <c r="F87" s="15" t="str">
        <f>IF(COUNTIFS(Master_PIC!$A$8:$A$73,$B87)=1,IF(VLOOKUP($B87,Master_PIC!$A$8:$G$73,6,FALSE)="","",VLOOKUP($B87,Master_PIC!$A$8:$G$73,6,FALSE)),"")</f>
        <v/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8"/>
      <c r="X87" s="5"/>
      <c r="Y87" s="5"/>
      <c r="Z87" s="9"/>
      <c r="AA87" s="5"/>
      <c r="AB87" s="5"/>
      <c r="AC87" s="9"/>
      <c r="AD87" s="5"/>
      <c r="AE87" s="7" t="str">
        <f t="shared" si="7"/>
        <v/>
      </c>
      <c r="AF87" s="7" t="str">
        <f t="shared" si="8"/>
        <v/>
      </c>
      <c r="AG87" s="7" t="str">
        <f t="shared" si="9"/>
        <v/>
      </c>
      <c r="AH87" s="7" t="str">
        <f t="shared" si="10"/>
        <v/>
      </c>
      <c r="AI87" s="7" t="str">
        <f t="shared" si="11"/>
        <v/>
      </c>
      <c r="AJ87" s="7" t="str">
        <f t="shared" si="12"/>
        <v/>
      </c>
      <c r="AK87" s="10" t="str">
        <f t="shared" si="13"/>
        <v/>
      </c>
      <c r="AL87" s="15" t="str">
        <f>IF(OR($A87&lt;&gt;"",$B87&lt;&gt;""),IF(OR($A87="",$B87=""),"Isi tanggal dan ID PIC",IF(NOT(ISNUMBER($A87)),"Tanggal harus berupa tanggal Excel",IF(COUNTIFS(Master_PIC!$A$8:$A$73,$B87)&lt;&gt;1,"ID PIC tidak unik/terdaftar",IF(VLOOKUP($B87,Master_PIC!$A$8:$G$73,3,FALSE)&lt;&gt;"SPV","Jabatan tidak sesuai sheet",IF(OR($C87="",$D87="",$E87="",$F87=""),"Lengkapi master PIC",IF(COUNTIFS($A$8:$A$507,$A87,$B$8:$B$507,$B87)&gt;1,"Laporan ganda",IF(COUNTIFS(G87:O87,"Tidak Berlaku")&gt;0,"N/A hanya untuk kegiatan bersyarat",IF(SUM(AF87,AG87,AH87,AI87,AJ87)&lt;&gt;13,"Status kegiatan tidak valid",IF(AJ87&gt;0,"Lengkapi status kegiatan",IF(AND(AI87&gt;0,T87=""),"Isi alasan Tidak Berlaku",IF(AND(SUM(AG87,AH87)&gt;0,OR(T87="",U87="",V87="",W87="")),"Isi kendala dan tindak lanjut",IF(AND(Y87&lt;&gt;"Draft",Y87&lt;&gt;"Dikirim"),"Isi status laporan yang valid",IF(AND(AA87&lt;&gt;"",AA87&lt;&gt;"Belum Diperiksa",AA87&lt;&gt;"Disetujui",AA87&lt;&gt;"Perlu Perbaikan"),"Hasil review tidak valid",IF(AND(Y87="Dikirim",OR(X87="",Z87="")),"Isi bukti dan waktu kirim",IF(AND(AA87="Disetujui",OR(Y87&lt;&gt;"Dikirim",AB87="",AC87="")),"Lengkapi pemeriksaan",IF(AND(AA87="Perlu Perbaikan",OR(AD87="",AB87="",AC87="")),"Isi pemeriksa dan catatan perbaikan","OK")))))))))))))))),"")</f>
        <v/>
      </c>
    </row>
    <row r="88" spans="1:38" ht="24.95" customHeight="1">
      <c r="A88" s="8"/>
      <c r="B88" s="6"/>
      <c r="C88" s="15" t="str">
        <f>IF(COUNTIFS(Master_PIC!$A$8:$A$73,$B88)=1,IF(VLOOKUP($B88,Master_PIC!$A$8:$G$73,2,FALSE)="","",VLOOKUP($B88,Master_PIC!$A$8:$G$73,2,FALSE)),"")</f>
        <v/>
      </c>
      <c r="D88" s="15" t="str">
        <f>IF(COUNTIFS(Master_PIC!$A$8:$A$73,$B88)=1,IF(VLOOKUP($B88,Master_PIC!$A$8:$G$73,4,FALSE)="","",VLOOKUP($B88,Master_PIC!$A$8:$G$73,4,FALSE)),"")</f>
        <v/>
      </c>
      <c r="E88" s="15" t="str">
        <f>IF(COUNTIFS(Master_PIC!$A$8:$A$73,$B88)=1,IF(VLOOKUP($B88,Master_PIC!$A$8:$G$73,5,FALSE)="","",VLOOKUP($B88,Master_PIC!$A$8:$G$73,5,FALSE)),"")</f>
        <v/>
      </c>
      <c r="F88" s="15" t="str">
        <f>IF(COUNTIFS(Master_PIC!$A$8:$A$73,$B88)=1,IF(VLOOKUP($B88,Master_PIC!$A$8:$G$73,6,FALSE)="","",VLOOKUP($B88,Master_PIC!$A$8:$G$73,6,FALSE)),"")</f>
        <v/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9"/>
      <c r="AA88" s="5"/>
      <c r="AB88" s="5"/>
      <c r="AC88" s="9"/>
      <c r="AD88" s="5"/>
      <c r="AE88" s="7" t="str">
        <f t="shared" si="7"/>
        <v/>
      </c>
      <c r="AF88" s="7" t="str">
        <f t="shared" si="8"/>
        <v/>
      </c>
      <c r="AG88" s="7" t="str">
        <f t="shared" si="9"/>
        <v/>
      </c>
      <c r="AH88" s="7" t="str">
        <f t="shared" si="10"/>
        <v/>
      </c>
      <c r="AI88" s="7" t="str">
        <f t="shared" si="11"/>
        <v/>
      </c>
      <c r="AJ88" s="7" t="str">
        <f t="shared" si="12"/>
        <v/>
      </c>
      <c r="AK88" s="10" t="str">
        <f t="shared" si="13"/>
        <v/>
      </c>
      <c r="AL88" s="15" t="str">
        <f>IF(OR($A88&lt;&gt;"",$B88&lt;&gt;""),IF(OR($A88="",$B88=""),"Isi tanggal dan ID PIC",IF(NOT(ISNUMBER($A88)),"Tanggal harus berupa tanggal Excel",IF(COUNTIFS(Master_PIC!$A$8:$A$73,$B88)&lt;&gt;1,"ID PIC tidak unik/terdaftar",IF(VLOOKUP($B88,Master_PIC!$A$8:$G$73,3,FALSE)&lt;&gt;"SPV","Jabatan tidak sesuai sheet",IF(OR($C88="",$D88="",$E88="",$F88=""),"Lengkapi master PIC",IF(COUNTIFS($A$8:$A$507,$A88,$B$8:$B$507,$B88)&gt;1,"Laporan ganda",IF(COUNTIFS(G88:O88,"Tidak Berlaku")&gt;0,"N/A hanya untuk kegiatan bersyarat",IF(SUM(AF88,AG88,AH88,AI88,AJ88)&lt;&gt;13,"Status kegiatan tidak valid",IF(AJ88&gt;0,"Lengkapi status kegiatan",IF(AND(AI88&gt;0,T88=""),"Isi alasan Tidak Berlaku",IF(AND(SUM(AG88,AH88)&gt;0,OR(T88="",U88="",V88="",W88="")),"Isi kendala dan tindak lanjut",IF(AND(Y88&lt;&gt;"Draft",Y88&lt;&gt;"Dikirim"),"Isi status laporan yang valid",IF(AND(AA88&lt;&gt;"",AA88&lt;&gt;"Belum Diperiksa",AA88&lt;&gt;"Disetujui",AA88&lt;&gt;"Perlu Perbaikan"),"Hasil review tidak valid",IF(AND(Y88="Dikirim",OR(X88="",Z88="")),"Isi bukti dan waktu kirim",IF(AND(AA88="Disetujui",OR(Y88&lt;&gt;"Dikirim",AB88="",AC88="")),"Lengkapi pemeriksaan",IF(AND(AA88="Perlu Perbaikan",OR(AD88="",AB88="",AC88="")),"Isi pemeriksa dan catatan perbaikan","OK")))))))))))))))),"")</f>
        <v/>
      </c>
    </row>
    <row r="89" spans="1:38" ht="24.95" customHeight="1">
      <c r="A89" s="8"/>
      <c r="B89" s="6"/>
      <c r="C89" s="15" t="str">
        <f>IF(COUNTIFS(Master_PIC!$A$8:$A$73,$B89)=1,IF(VLOOKUP($B89,Master_PIC!$A$8:$G$73,2,FALSE)="","",VLOOKUP($B89,Master_PIC!$A$8:$G$73,2,FALSE)),"")</f>
        <v/>
      </c>
      <c r="D89" s="15" t="str">
        <f>IF(COUNTIFS(Master_PIC!$A$8:$A$73,$B89)=1,IF(VLOOKUP($B89,Master_PIC!$A$8:$G$73,4,FALSE)="","",VLOOKUP($B89,Master_PIC!$A$8:$G$73,4,FALSE)),"")</f>
        <v/>
      </c>
      <c r="E89" s="15" t="str">
        <f>IF(COUNTIFS(Master_PIC!$A$8:$A$73,$B89)=1,IF(VLOOKUP($B89,Master_PIC!$A$8:$G$73,5,FALSE)="","",VLOOKUP($B89,Master_PIC!$A$8:$G$73,5,FALSE)),"")</f>
        <v/>
      </c>
      <c r="F89" s="15" t="str">
        <f>IF(COUNTIFS(Master_PIC!$A$8:$A$73,$B89)=1,IF(VLOOKUP($B89,Master_PIC!$A$8:$G$73,6,FALSE)="","",VLOOKUP($B89,Master_PIC!$A$8:$G$73,6,FALSE)),"")</f>
        <v/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8"/>
      <c r="X89" s="5"/>
      <c r="Y89" s="5"/>
      <c r="Z89" s="9"/>
      <c r="AA89" s="5"/>
      <c r="AB89" s="5"/>
      <c r="AC89" s="9"/>
      <c r="AD89" s="5"/>
      <c r="AE89" s="7" t="str">
        <f t="shared" si="7"/>
        <v/>
      </c>
      <c r="AF89" s="7" t="str">
        <f t="shared" si="8"/>
        <v/>
      </c>
      <c r="AG89" s="7" t="str">
        <f t="shared" si="9"/>
        <v/>
      </c>
      <c r="AH89" s="7" t="str">
        <f t="shared" si="10"/>
        <v/>
      </c>
      <c r="AI89" s="7" t="str">
        <f t="shared" si="11"/>
        <v/>
      </c>
      <c r="AJ89" s="7" t="str">
        <f t="shared" si="12"/>
        <v/>
      </c>
      <c r="AK89" s="10" t="str">
        <f t="shared" si="13"/>
        <v/>
      </c>
      <c r="AL89" s="15" t="str">
        <f>IF(OR($A89&lt;&gt;"",$B89&lt;&gt;""),IF(OR($A89="",$B89=""),"Isi tanggal dan ID PIC",IF(NOT(ISNUMBER($A89)),"Tanggal harus berupa tanggal Excel",IF(COUNTIFS(Master_PIC!$A$8:$A$73,$B89)&lt;&gt;1,"ID PIC tidak unik/terdaftar",IF(VLOOKUP($B89,Master_PIC!$A$8:$G$73,3,FALSE)&lt;&gt;"SPV","Jabatan tidak sesuai sheet",IF(OR($C89="",$D89="",$E89="",$F89=""),"Lengkapi master PIC",IF(COUNTIFS($A$8:$A$507,$A89,$B$8:$B$507,$B89)&gt;1,"Laporan ganda",IF(COUNTIFS(G89:O89,"Tidak Berlaku")&gt;0,"N/A hanya untuk kegiatan bersyarat",IF(SUM(AF89,AG89,AH89,AI89,AJ89)&lt;&gt;13,"Status kegiatan tidak valid",IF(AJ89&gt;0,"Lengkapi status kegiatan",IF(AND(AI89&gt;0,T89=""),"Isi alasan Tidak Berlaku",IF(AND(SUM(AG89,AH89)&gt;0,OR(T89="",U89="",V89="",W89="")),"Isi kendala dan tindak lanjut",IF(AND(Y89&lt;&gt;"Draft",Y89&lt;&gt;"Dikirim"),"Isi status laporan yang valid",IF(AND(AA89&lt;&gt;"",AA89&lt;&gt;"Belum Diperiksa",AA89&lt;&gt;"Disetujui",AA89&lt;&gt;"Perlu Perbaikan"),"Hasil review tidak valid",IF(AND(Y89="Dikirim",OR(X89="",Z89="")),"Isi bukti dan waktu kirim",IF(AND(AA89="Disetujui",OR(Y89&lt;&gt;"Dikirim",AB89="",AC89="")),"Lengkapi pemeriksaan",IF(AND(AA89="Perlu Perbaikan",OR(AD89="",AB89="",AC89="")),"Isi pemeriksa dan catatan perbaikan","OK")))))))))))))))),"")</f>
        <v/>
      </c>
    </row>
    <row r="90" spans="1:38" ht="24.95" customHeight="1">
      <c r="A90" s="8"/>
      <c r="B90" s="6"/>
      <c r="C90" s="15" t="str">
        <f>IF(COUNTIFS(Master_PIC!$A$8:$A$73,$B90)=1,IF(VLOOKUP($B90,Master_PIC!$A$8:$G$73,2,FALSE)="","",VLOOKUP($B90,Master_PIC!$A$8:$G$73,2,FALSE)),"")</f>
        <v/>
      </c>
      <c r="D90" s="15" t="str">
        <f>IF(COUNTIFS(Master_PIC!$A$8:$A$73,$B90)=1,IF(VLOOKUP($B90,Master_PIC!$A$8:$G$73,4,FALSE)="","",VLOOKUP($B90,Master_PIC!$A$8:$G$73,4,FALSE)),"")</f>
        <v/>
      </c>
      <c r="E90" s="15" t="str">
        <f>IF(COUNTIFS(Master_PIC!$A$8:$A$73,$B90)=1,IF(VLOOKUP($B90,Master_PIC!$A$8:$G$73,5,FALSE)="","",VLOOKUP($B90,Master_PIC!$A$8:$G$73,5,FALSE)),"")</f>
        <v/>
      </c>
      <c r="F90" s="15" t="str">
        <f>IF(COUNTIFS(Master_PIC!$A$8:$A$73,$B90)=1,IF(VLOOKUP($B90,Master_PIC!$A$8:$G$73,6,FALSE)="","",VLOOKUP($B90,Master_PIC!$A$8:$G$73,6,FALSE)),"")</f>
        <v/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8"/>
      <c r="X90" s="5"/>
      <c r="Y90" s="5"/>
      <c r="Z90" s="9"/>
      <c r="AA90" s="5"/>
      <c r="AB90" s="5"/>
      <c r="AC90" s="9"/>
      <c r="AD90" s="5"/>
      <c r="AE90" s="7" t="str">
        <f t="shared" si="7"/>
        <v/>
      </c>
      <c r="AF90" s="7" t="str">
        <f t="shared" si="8"/>
        <v/>
      </c>
      <c r="AG90" s="7" t="str">
        <f t="shared" si="9"/>
        <v/>
      </c>
      <c r="AH90" s="7" t="str">
        <f t="shared" si="10"/>
        <v/>
      </c>
      <c r="AI90" s="7" t="str">
        <f t="shared" si="11"/>
        <v/>
      </c>
      <c r="AJ90" s="7" t="str">
        <f t="shared" si="12"/>
        <v/>
      </c>
      <c r="AK90" s="10" t="str">
        <f t="shared" si="13"/>
        <v/>
      </c>
      <c r="AL90" s="15" t="str">
        <f>IF(OR($A90&lt;&gt;"",$B90&lt;&gt;""),IF(OR($A90="",$B90=""),"Isi tanggal dan ID PIC",IF(NOT(ISNUMBER($A90)),"Tanggal harus berupa tanggal Excel",IF(COUNTIFS(Master_PIC!$A$8:$A$73,$B90)&lt;&gt;1,"ID PIC tidak unik/terdaftar",IF(VLOOKUP($B90,Master_PIC!$A$8:$G$73,3,FALSE)&lt;&gt;"SPV","Jabatan tidak sesuai sheet",IF(OR($C90="",$D90="",$E90="",$F90=""),"Lengkapi master PIC",IF(COUNTIFS($A$8:$A$507,$A90,$B$8:$B$507,$B90)&gt;1,"Laporan ganda",IF(COUNTIFS(G90:O90,"Tidak Berlaku")&gt;0,"N/A hanya untuk kegiatan bersyarat",IF(SUM(AF90,AG90,AH90,AI90,AJ90)&lt;&gt;13,"Status kegiatan tidak valid",IF(AJ90&gt;0,"Lengkapi status kegiatan",IF(AND(AI90&gt;0,T90=""),"Isi alasan Tidak Berlaku",IF(AND(SUM(AG90,AH90)&gt;0,OR(T90="",U90="",V90="",W90="")),"Isi kendala dan tindak lanjut",IF(AND(Y90&lt;&gt;"Draft",Y90&lt;&gt;"Dikirim"),"Isi status laporan yang valid",IF(AND(AA90&lt;&gt;"",AA90&lt;&gt;"Belum Diperiksa",AA90&lt;&gt;"Disetujui",AA90&lt;&gt;"Perlu Perbaikan"),"Hasil review tidak valid",IF(AND(Y90="Dikirim",OR(X90="",Z90="")),"Isi bukti dan waktu kirim",IF(AND(AA90="Disetujui",OR(Y90&lt;&gt;"Dikirim",AB90="",AC90="")),"Lengkapi pemeriksaan",IF(AND(AA90="Perlu Perbaikan",OR(AD90="",AB90="",AC90="")),"Isi pemeriksa dan catatan perbaikan","OK")))))))))))))))),"")</f>
        <v/>
      </c>
    </row>
    <row r="91" spans="1:38" ht="24.95" customHeight="1">
      <c r="A91" s="8"/>
      <c r="B91" s="6"/>
      <c r="C91" s="15" t="str">
        <f>IF(COUNTIFS(Master_PIC!$A$8:$A$73,$B91)=1,IF(VLOOKUP($B91,Master_PIC!$A$8:$G$73,2,FALSE)="","",VLOOKUP($B91,Master_PIC!$A$8:$G$73,2,FALSE)),"")</f>
        <v/>
      </c>
      <c r="D91" s="15" t="str">
        <f>IF(COUNTIFS(Master_PIC!$A$8:$A$73,$B91)=1,IF(VLOOKUP($B91,Master_PIC!$A$8:$G$73,4,FALSE)="","",VLOOKUP($B91,Master_PIC!$A$8:$G$73,4,FALSE)),"")</f>
        <v/>
      </c>
      <c r="E91" s="15" t="str">
        <f>IF(COUNTIFS(Master_PIC!$A$8:$A$73,$B91)=1,IF(VLOOKUP($B91,Master_PIC!$A$8:$G$73,5,FALSE)="","",VLOOKUP($B91,Master_PIC!$A$8:$G$73,5,FALSE)),"")</f>
        <v/>
      </c>
      <c r="F91" s="15" t="str">
        <f>IF(COUNTIFS(Master_PIC!$A$8:$A$73,$B91)=1,IF(VLOOKUP($B91,Master_PIC!$A$8:$G$73,6,FALSE)="","",VLOOKUP($B91,Master_PIC!$A$8:$G$73,6,FALSE)),"")</f>
        <v/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9"/>
      <c r="AA91" s="5"/>
      <c r="AB91" s="5"/>
      <c r="AC91" s="9"/>
      <c r="AD91" s="5"/>
      <c r="AE91" s="7" t="str">
        <f t="shared" si="7"/>
        <v/>
      </c>
      <c r="AF91" s="7" t="str">
        <f t="shared" si="8"/>
        <v/>
      </c>
      <c r="AG91" s="7" t="str">
        <f t="shared" si="9"/>
        <v/>
      </c>
      <c r="AH91" s="7" t="str">
        <f t="shared" si="10"/>
        <v/>
      </c>
      <c r="AI91" s="7" t="str">
        <f t="shared" si="11"/>
        <v/>
      </c>
      <c r="AJ91" s="7" t="str">
        <f t="shared" si="12"/>
        <v/>
      </c>
      <c r="AK91" s="10" t="str">
        <f t="shared" si="13"/>
        <v/>
      </c>
      <c r="AL91" s="15" t="str">
        <f>IF(OR($A91&lt;&gt;"",$B91&lt;&gt;""),IF(OR($A91="",$B91=""),"Isi tanggal dan ID PIC",IF(NOT(ISNUMBER($A91)),"Tanggal harus berupa tanggal Excel",IF(COUNTIFS(Master_PIC!$A$8:$A$73,$B91)&lt;&gt;1,"ID PIC tidak unik/terdaftar",IF(VLOOKUP($B91,Master_PIC!$A$8:$G$73,3,FALSE)&lt;&gt;"SPV","Jabatan tidak sesuai sheet",IF(OR($C91="",$D91="",$E91="",$F91=""),"Lengkapi master PIC",IF(COUNTIFS($A$8:$A$507,$A91,$B$8:$B$507,$B91)&gt;1,"Laporan ganda",IF(COUNTIFS(G91:O91,"Tidak Berlaku")&gt;0,"N/A hanya untuk kegiatan bersyarat",IF(SUM(AF91,AG91,AH91,AI91,AJ91)&lt;&gt;13,"Status kegiatan tidak valid",IF(AJ91&gt;0,"Lengkapi status kegiatan",IF(AND(AI91&gt;0,T91=""),"Isi alasan Tidak Berlaku",IF(AND(SUM(AG91,AH91)&gt;0,OR(T91="",U91="",V91="",W91="")),"Isi kendala dan tindak lanjut",IF(AND(Y91&lt;&gt;"Draft",Y91&lt;&gt;"Dikirim"),"Isi status laporan yang valid",IF(AND(AA91&lt;&gt;"",AA91&lt;&gt;"Belum Diperiksa",AA91&lt;&gt;"Disetujui",AA91&lt;&gt;"Perlu Perbaikan"),"Hasil review tidak valid",IF(AND(Y91="Dikirim",OR(X91="",Z91="")),"Isi bukti dan waktu kirim",IF(AND(AA91="Disetujui",OR(Y91&lt;&gt;"Dikirim",AB91="",AC91="")),"Lengkapi pemeriksaan",IF(AND(AA91="Perlu Perbaikan",OR(AD91="",AB91="",AC91="")),"Isi pemeriksa dan catatan perbaikan","OK")))))))))))))))),"")</f>
        <v/>
      </c>
    </row>
    <row r="92" spans="1:38" ht="24.95" customHeight="1">
      <c r="A92" s="8"/>
      <c r="B92" s="6"/>
      <c r="C92" s="15" t="str">
        <f>IF(COUNTIFS(Master_PIC!$A$8:$A$73,$B92)=1,IF(VLOOKUP($B92,Master_PIC!$A$8:$G$73,2,FALSE)="","",VLOOKUP($B92,Master_PIC!$A$8:$G$73,2,FALSE)),"")</f>
        <v/>
      </c>
      <c r="D92" s="15" t="str">
        <f>IF(COUNTIFS(Master_PIC!$A$8:$A$73,$B92)=1,IF(VLOOKUP($B92,Master_PIC!$A$8:$G$73,4,FALSE)="","",VLOOKUP($B92,Master_PIC!$A$8:$G$73,4,FALSE)),"")</f>
        <v/>
      </c>
      <c r="E92" s="15" t="str">
        <f>IF(COUNTIFS(Master_PIC!$A$8:$A$73,$B92)=1,IF(VLOOKUP($B92,Master_PIC!$A$8:$G$73,5,FALSE)="","",VLOOKUP($B92,Master_PIC!$A$8:$G$73,5,FALSE)),"")</f>
        <v/>
      </c>
      <c r="F92" s="15" t="str">
        <f>IF(COUNTIFS(Master_PIC!$A$8:$A$73,$B92)=1,IF(VLOOKUP($B92,Master_PIC!$A$8:$G$73,6,FALSE)="","",VLOOKUP($B92,Master_PIC!$A$8:$G$73,6,FALSE)),"")</f>
        <v/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8"/>
      <c r="X92" s="5"/>
      <c r="Y92" s="5"/>
      <c r="Z92" s="9"/>
      <c r="AA92" s="5"/>
      <c r="AB92" s="5"/>
      <c r="AC92" s="9"/>
      <c r="AD92" s="5"/>
      <c r="AE92" s="7" t="str">
        <f t="shared" si="7"/>
        <v/>
      </c>
      <c r="AF92" s="7" t="str">
        <f t="shared" si="8"/>
        <v/>
      </c>
      <c r="AG92" s="7" t="str">
        <f t="shared" si="9"/>
        <v/>
      </c>
      <c r="AH92" s="7" t="str">
        <f t="shared" si="10"/>
        <v/>
      </c>
      <c r="AI92" s="7" t="str">
        <f t="shared" si="11"/>
        <v/>
      </c>
      <c r="AJ92" s="7" t="str">
        <f t="shared" si="12"/>
        <v/>
      </c>
      <c r="AK92" s="10" t="str">
        <f t="shared" si="13"/>
        <v/>
      </c>
      <c r="AL92" s="15" t="str">
        <f>IF(OR($A92&lt;&gt;"",$B92&lt;&gt;""),IF(OR($A92="",$B92=""),"Isi tanggal dan ID PIC",IF(NOT(ISNUMBER($A92)),"Tanggal harus berupa tanggal Excel",IF(COUNTIFS(Master_PIC!$A$8:$A$73,$B92)&lt;&gt;1,"ID PIC tidak unik/terdaftar",IF(VLOOKUP($B92,Master_PIC!$A$8:$G$73,3,FALSE)&lt;&gt;"SPV","Jabatan tidak sesuai sheet",IF(OR($C92="",$D92="",$E92="",$F92=""),"Lengkapi master PIC",IF(COUNTIFS($A$8:$A$507,$A92,$B$8:$B$507,$B92)&gt;1,"Laporan ganda",IF(COUNTIFS(G92:O92,"Tidak Berlaku")&gt;0,"N/A hanya untuk kegiatan bersyarat",IF(SUM(AF92,AG92,AH92,AI92,AJ92)&lt;&gt;13,"Status kegiatan tidak valid",IF(AJ92&gt;0,"Lengkapi status kegiatan",IF(AND(AI92&gt;0,T92=""),"Isi alasan Tidak Berlaku",IF(AND(SUM(AG92,AH92)&gt;0,OR(T92="",U92="",V92="",W92="")),"Isi kendala dan tindak lanjut",IF(AND(Y92&lt;&gt;"Draft",Y92&lt;&gt;"Dikirim"),"Isi status laporan yang valid",IF(AND(AA92&lt;&gt;"",AA92&lt;&gt;"Belum Diperiksa",AA92&lt;&gt;"Disetujui",AA92&lt;&gt;"Perlu Perbaikan"),"Hasil review tidak valid",IF(AND(Y92="Dikirim",OR(X92="",Z92="")),"Isi bukti dan waktu kirim",IF(AND(AA92="Disetujui",OR(Y92&lt;&gt;"Dikirim",AB92="",AC92="")),"Lengkapi pemeriksaan",IF(AND(AA92="Perlu Perbaikan",OR(AD92="",AB92="",AC92="")),"Isi pemeriksa dan catatan perbaikan","OK")))))))))))))))),"")</f>
        <v/>
      </c>
    </row>
    <row r="93" spans="1:38" ht="24.95" customHeight="1">
      <c r="A93" s="8"/>
      <c r="B93" s="6"/>
      <c r="C93" s="15" t="str">
        <f>IF(COUNTIFS(Master_PIC!$A$8:$A$73,$B93)=1,IF(VLOOKUP($B93,Master_PIC!$A$8:$G$73,2,FALSE)="","",VLOOKUP($B93,Master_PIC!$A$8:$G$73,2,FALSE)),"")</f>
        <v/>
      </c>
      <c r="D93" s="15" t="str">
        <f>IF(COUNTIFS(Master_PIC!$A$8:$A$73,$B93)=1,IF(VLOOKUP($B93,Master_PIC!$A$8:$G$73,4,FALSE)="","",VLOOKUP($B93,Master_PIC!$A$8:$G$73,4,FALSE)),"")</f>
        <v/>
      </c>
      <c r="E93" s="15" t="str">
        <f>IF(COUNTIFS(Master_PIC!$A$8:$A$73,$B93)=1,IF(VLOOKUP($B93,Master_PIC!$A$8:$G$73,5,FALSE)="","",VLOOKUP($B93,Master_PIC!$A$8:$G$73,5,FALSE)),"")</f>
        <v/>
      </c>
      <c r="F93" s="15" t="str">
        <f>IF(COUNTIFS(Master_PIC!$A$8:$A$73,$B93)=1,IF(VLOOKUP($B93,Master_PIC!$A$8:$G$73,6,FALSE)="","",VLOOKUP($B93,Master_PIC!$A$8:$G$73,6,FALSE)),"")</f>
        <v/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8"/>
      <c r="X93" s="5"/>
      <c r="Y93" s="5"/>
      <c r="Z93" s="9"/>
      <c r="AA93" s="5"/>
      <c r="AB93" s="5"/>
      <c r="AC93" s="9"/>
      <c r="AD93" s="5"/>
      <c r="AE93" s="7" t="str">
        <f t="shared" si="7"/>
        <v/>
      </c>
      <c r="AF93" s="7" t="str">
        <f t="shared" si="8"/>
        <v/>
      </c>
      <c r="AG93" s="7" t="str">
        <f t="shared" si="9"/>
        <v/>
      </c>
      <c r="AH93" s="7" t="str">
        <f t="shared" si="10"/>
        <v/>
      </c>
      <c r="AI93" s="7" t="str">
        <f t="shared" si="11"/>
        <v/>
      </c>
      <c r="AJ93" s="7" t="str">
        <f t="shared" si="12"/>
        <v/>
      </c>
      <c r="AK93" s="10" t="str">
        <f t="shared" si="13"/>
        <v/>
      </c>
      <c r="AL93" s="15" t="str">
        <f>IF(OR($A93&lt;&gt;"",$B93&lt;&gt;""),IF(OR($A93="",$B93=""),"Isi tanggal dan ID PIC",IF(NOT(ISNUMBER($A93)),"Tanggal harus berupa tanggal Excel",IF(COUNTIFS(Master_PIC!$A$8:$A$73,$B93)&lt;&gt;1,"ID PIC tidak unik/terdaftar",IF(VLOOKUP($B93,Master_PIC!$A$8:$G$73,3,FALSE)&lt;&gt;"SPV","Jabatan tidak sesuai sheet",IF(OR($C93="",$D93="",$E93="",$F93=""),"Lengkapi master PIC",IF(COUNTIFS($A$8:$A$507,$A93,$B$8:$B$507,$B93)&gt;1,"Laporan ganda",IF(COUNTIFS(G93:O93,"Tidak Berlaku")&gt;0,"N/A hanya untuk kegiatan bersyarat",IF(SUM(AF93,AG93,AH93,AI93,AJ93)&lt;&gt;13,"Status kegiatan tidak valid",IF(AJ93&gt;0,"Lengkapi status kegiatan",IF(AND(AI93&gt;0,T93=""),"Isi alasan Tidak Berlaku",IF(AND(SUM(AG93,AH93)&gt;0,OR(T93="",U93="",V93="",W93="")),"Isi kendala dan tindak lanjut",IF(AND(Y93&lt;&gt;"Draft",Y93&lt;&gt;"Dikirim"),"Isi status laporan yang valid",IF(AND(AA93&lt;&gt;"",AA93&lt;&gt;"Belum Diperiksa",AA93&lt;&gt;"Disetujui",AA93&lt;&gt;"Perlu Perbaikan"),"Hasil review tidak valid",IF(AND(Y93="Dikirim",OR(X93="",Z93="")),"Isi bukti dan waktu kirim",IF(AND(AA93="Disetujui",OR(Y93&lt;&gt;"Dikirim",AB93="",AC93="")),"Lengkapi pemeriksaan",IF(AND(AA93="Perlu Perbaikan",OR(AD93="",AB93="",AC93="")),"Isi pemeriksa dan catatan perbaikan","OK")))))))))))))))),"")</f>
        <v/>
      </c>
    </row>
    <row r="94" spans="1:38" ht="24.95" customHeight="1">
      <c r="A94" s="8"/>
      <c r="B94" s="6"/>
      <c r="C94" s="15" t="str">
        <f>IF(COUNTIFS(Master_PIC!$A$8:$A$73,$B94)=1,IF(VLOOKUP($B94,Master_PIC!$A$8:$G$73,2,FALSE)="","",VLOOKUP($B94,Master_PIC!$A$8:$G$73,2,FALSE)),"")</f>
        <v/>
      </c>
      <c r="D94" s="15" t="str">
        <f>IF(COUNTIFS(Master_PIC!$A$8:$A$73,$B94)=1,IF(VLOOKUP($B94,Master_PIC!$A$8:$G$73,4,FALSE)="","",VLOOKUP($B94,Master_PIC!$A$8:$G$73,4,FALSE)),"")</f>
        <v/>
      </c>
      <c r="E94" s="15" t="str">
        <f>IF(COUNTIFS(Master_PIC!$A$8:$A$73,$B94)=1,IF(VLOOKUP($B94,Master_PIC!$A$8:$G$73,5,FALSE)="","",VLOOKUP($B94,Master_PIC!$A$8:$G$73,5,FALSE)),"")</f>
        <v/>
      </c>
      <c r="F94" s="15" t="str">
        <f>IF(COUNTIFS(Master_PIC!$A$8:$A$73,$B94)=1,IF(VLOOKUP($B94,Master_PIC!$A$8:$G$73,6,FALSE)="","",VLOOKUP($B94,Master_PIC!$A$8:$G$73,6,FALSE)),"")</f>
        <v/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9"/>
      <c r="AA94" s="5"/>
      <c r="AB94" s="5"/>
      <c r="AC94" s="9"/>
      <c r="AD94" s="5"/>
      <c r="AE94" s="7" t="str">
        <f t="shared" si="7"/>
        <v/>
      </c>
      <c r="AF94" s="7" t="str">
        <f t="shared" si="8"/>
        <v/>
      </c>
      <c r="AG94" s="7" t="str">
        <f t="shared" si="9"/>
        <v/>
      </c>
      <c r="AH94" s="7" t="str">
        <f t="shared" si="10"/>
        <v/>
      </c>
      <c r="AI94" s="7" t="str">
        <f t="shared" si="11"/>
        <v/>
      </c>
      <c r="AJ94" s="7" t="str">
        <f t="shared" si="12"/>
        <v/>
      </c>
      <c r="AK94" s="10" t="str">
        <f t="shared" si="13"/>
        <v/>
      </c>
      <c r="AL94" s="15" t="str">
        <f>IF(OR($A94&lt;&gt;"",$B94&lt;&gt;""),IF(OR($A94="",$B94=""),"Isi tanggal dan ID PIC",IF(NOT(ISNUMBER($A94)),"Tanggal harus berupa tanggal Excel",IF(COUNTIFS(Master_PIC!$A$8:$A$73,$B94)&lt;&gt;1,"ID PIC tidak unik/terdaftar",IF(VLOOKUP($B94,Master_PIC!$A$8:$G$73,3,FALSE)&lt;&gt;"SPV","Jabatan tidak sesuai sheet",IF(OR($C94="",$D94="",$E94="",$F94=""),"Lengkapi master PIC",IF(COUNTIFS($A$8:$A$507,$A94,$B$8:$B$507,$B94)&gt;1,"Laporan ganda",IF(COUNTIFS(G94:O94,"Tidak Berlaku")&gt;0,"N/A hanya untuk kegiatan bersyarat",IF(SUM(AF94,AG94,AH94,AI94,AJ94)&lt;&gt;13,"Status kegiatan tidak valid",IF(AJ94&gt;0,"Lengkapi status kegiatan",IF(AND(AI94&gt;0,T94=""),"Isi alasan Tidak Berlaku",IF(AND(SUM(AG94,AH94)&gt;0,OR(T94="",U94="",V94="",W94="")),"Isi kendala dan tindak lanjut",IF(AND(Y94&lt;&gt;"Draft",Y94&lt;&gt;"Dikirim"),"Isi status laporan yang valid",IF(AND(AA94&lt;&gt;"",AA94&lt;&gt;"Belum Diperiksa",AA94&lt;&gt;"Disetujui",AA94&lt;&gt;"Perlu Perbaikan"),"Hasil review tidak valid",IF(AND(Y94="Dikirim",OR(X94="",Z94="")),"Isi bukti dan waktu kirim",IF(AND(AA94="Disetujui",OR(Y94&lt;&gt;"Dikirim",AB94="",AC94="")),"Lengkapi pemeriksaan",IF(AND(AA94="Perlu Perbaikan",OR(AD94="",AB94="",AC94="")),"Isi pemeriksa dan catatan perbaikan","OK")))))))))))))))),"")</f>
        <v/>
      </c>
    </row>
    <row r="95" spans="1:38" ht="24.95" customHeight="1">
      <c r="A95" s="8"/>
      <c r="B95" s="6"/>
      <c r="C95" s="15" t="str">
        <f>IF(COUNTIFS(Master_PIC!$A$8:$A$73,$B95)=1,IF(VLOOKUP($B95,Master_PIC!$A$8:$G$73,2,FALSE)="","",VLOOKUP($B95,Master_PIC!$A$8:$G$73,2,FALSE)),"")</f>
        <v/>
      </c>
      <c r="D95" s="15" t="str">
        <f>IF(COUNTIFS(Master_PIC!$A$8:$A$73,$B95)=1,IF(VLOOKUP($B95,Master_PIC!$A$8:$G$73,4,FALSE)="","",VLOOKUP($B95,Master_PIC!$A$8:$G$73,4,FALSE)),"")</f>
        <v/>
      </c>
      <c r="E95" s="15" t="str">
        <f>IF(COUNTIFS(Master_PIC!$A$8:$A$73,$B95)=1,IF(VLOOKUP($B95,Master_PIC!$A$8:$G$73,5,FALSE)="","",VLOOKUP($B95,Master_PIC!$A$8:$G$73,5,FALSE)),"")</f>
        <v/>
      </c>
      <c r="F95" s="15" t="str">
        <f>IF(COUNTIFS(Master_PIC!$A$8:$A$73,$B95)=1,IF(VLOOKUP($B95,Master_PIC!$A$8:$G$73,6,FALSE)="","",VLOOKUP($B95,Master_PIC!$A$8:$G$73,6,FALSE)),"")</f>
        <v/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9"/>
      <c r="AA95" s="5"/>
      <c r="AB95" s="5"/>
      <c r="AC95" s="9"/>
      <c r="AD95" s="5"/>
      <c r="AE95" s="7" t="str">
        <f t="shared" si="7"/>
        <v/>
      </c>
      <c r="AF95" s="7" t="str">
        <f t="shared" si="8"/>
        <v/>
      </c>
      <c r="AG95" s="7" t="str">
        <f t="shared" si="9"/>
        <v/>
      </c>
      <c r="AH95" s="7" t="str">
        <f t="shared" si="10"/>
        <v/>
      </c>
      <c r="AI95" s="7" t="str">
        <f t="shared" si="11"/>
        <v/>
      </c>
      <c r="AJ95" s="7" t="str">
        <f t="shared" si="12"/>
        <v/>
      </c>
      <c r="AK95" s="10" t="str">
        <f t="shared" si="13"/>
        <v/>
      </c>
      <c r="AL95" s="15" t="str">
        <f>IF(OR($A95&lt;&gt;"",$B95&lt;&gt;""),IF(OR($A95="",$B95=""),"Isi tanggal dan ID PIC",IF(NOT(ISNUMBER($A95)),"Tanggal harus berupa tanggal Excel",IF(COUNTIFS(Master_PIC!$A$8:$A$73,$B95)&lt;&gt;1,"ID PIC tidak unik/terdaftar",IF(VLOOKUP($B95,Master_PIC!$A$8:$G$73,3,FALSE)&lt;&gt;"SPV","Jabatan tidak sesuai sheet",IF(OR($C95="",$D95="",$E95="",$F95=""),"Lengkapi master PIC",IF(COUNTIFS($A$8:$A$507,$A95,$B$8:$B$507,$B95)&gt;1,"Laporan ganda",IF(COUNTIFS(G95:O95,"Tidak Berlaku")&gt;0,"N/A hanya untuk kegiatan bersyarat",IF(SUM(AF95,AG95,AH95,AI95,AJ95)&lt;&gt;13,"Status kegiatan tidak valid",IF(AJ95&gt;0,"Lengkapi status kegiatan",IF(AND(AI95&gt;0,T95=""),"Isi alasan Tidak Berlaku",IF(AND(SUM(AG95,AH95)&gt;0,OR(T95="",U95="",V95="",W95="")),"Isi kendala dan tindak lanjut",IF(AND(Y95&lt;&gt;"Draft",Y95&lt;&gt;"Dikirim"),"Isi status laporan yang valid",IF(AND(AA95&lt;&gt;"",AA95&lt;&gt;"Belum Diperiksa",AA95&lt;&gt;"Disetujui",AA95&lt;&gt;"Perlu Perbaikan"),"Hasil review tidak valid",IF(AND(Y95="Dikirim",OR(X95="",Z95="")),"Isi bukti dan waktu kirim",IF(AND(AA95="Disetujui",OR(Y95&lt;&gt;"Dikirim",AB95="",AC95="")),"Lengkapi pemeriksaan",IF(AND(AA95="Perlu Perbaikan",OR(AD95="",AB95="",AC95="")),"Isi pemeriksa dan catatan perbaikan","OK")))))))))))))))),"")</f>
        <v/>
      </c>
    </row>
    <row r="96" spans="1:38" ht="24.95" customHeight="1">
      <c r="A96" s="8"/>
      <c r="B96" s="6"/>
      <c r="C96" s="15" t="str">
        <f>IF(COUNTIFS(Master_PIC!$A$8:$A$73,$B96)=1,IF(VLOOKUP($B96,Master_PIC!$A$8:$G$73,2,FALSE)="","",VLOOKUP($B96,Master_PIC!$A$8:$G$73,2,FALSE)),"")</f>
        <v/>
      </c>
      <c r="D96" s="15" t="str">
        <f>IF(COUNTIFS(Master_PIC!$A$8:$A$73,$B96)=1,IF(VLOOKUP($B96,Master_PIC!$A$8:$G$73,4,FALSE)="","",VLOOKUP($B96,Master_PIC!$A$8:$G$73,4,FALSE)),"")</f>
        <v/>
      </c>
      <c r="E96" s="15" t="str">
        <f>IF(COUNTIFS(Master_PIC!$A$8:$A$73,$B96)=1,IF(VLOOKUP($B96,Master_PIC!$A$8:$G$73,5,FALSE)="","",VLOOKUP($B96,Master_PIC!$A$8:$G$73,5,FALSE)),"")</f>
        <v/>
      </c>
      <c r="F96" s="15" t="str">
        <f>IF(COUNTIFS(Master_PIC!$A$8:$A$73,$B96)=1,IF(VLOOKUP($B96,Master_PIC!$A$8:$G$73,6,FALSE)="","",VLOOKUP($B96,Master_PIC!$A$8:$G$73,6,FALSE)),"")</f>
        <v/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9"/>
      <c r="AA96" s="5"/>
      <c r="AB96" s="5"/>
      <c r="AC96" s="9"/>
      <c r="AD96" s="5"/>
      <c r="AE96" s="7" t="str">
        <f t="shared" si="7"/>
        <v/>
      </c>
      <c r="AF96" s="7" t="str">
        <f t="shared" si="8"/>
        <v/>
      </c>
      <c r="AG96" s="7" t="str">
        <f t="shared" si="9"/>
        <v/>
      </c>
      <c r="AH96" s="7" t="str">
        <f t="shared" si="10"/>
        <v/>
      </c>
      <c r="AI96" s="7" t="str">
        <f t="shared" si="11"/>
        <v/>
      </c>
      <c r="AJ96" s="7" t="str">
        <f t="shared" si="12"/>
        <v/>
      </c>
      <c r="AK96" s="10" t="str">
        <f t="shared" si="13"/>
        <v/>
      </c>
      <c r="AL96" s="15" t="str">
        <f>IF(OR($A96&lt;&gt;"",$B96&lt;&gt;""),IF(OR($A96="",$B96=""),"Isi tanggal dan ID PIC",IF(NOT(ISNUMBER($A96)),"Tanggal harus berupa tanggal Excel",IF(COUNTIFS(Master_PIC!$A$8:$A$73,$B96)&lt;&gt;1,"ID PIC tidak unik/terdaftar",IF(VLOOKUP($B96,Master_PIC!$A$8:$G$73,3,FALSE)&lt;&gt;"SPV","Jabatan tidak sesuai sheet",IF(OR($C96="",$D96="",$E96="",$F96=""),"Lengkapi master PIC",IF(COUNTIFS($A$8:$A$507,$A96,$B$8:$B$507,$B96)&gt;1,"Laporan ganda",IF(COUNTIFS(G96:O96,"Tidak Berlaku")&gt;0,"N/A hanya untuk kegiatan bersyarat",IF(SUM(AF96,AG96,AH96,AI96,AJ96)&lt;&gt;13,"Status kegiatan tidak valid",IF(AJ96&gt;0,"Lengkapi status kegiatan",IF(AND(AI96&gt;0,T96=""),"Isi alasan Tidak Berlaku",IF(AND(SUM(AG96,AH96)&gt;0,OR(T96="",U96="",V96="",W96="")),"Isi kendala dan tindak lanjut",IF(AND(Y96&lt;&gt;"Draft",Y96&lt;&gt;"Dikirim"),"Isi status laporan yang valid",IF(AND(AA96&lt;&gt;"",AA96&lt;&gt;"Belum Diperiksa",AA96&lt;&gt;"Disetujui",AA96&lt;&gt;"Perlu Perbaikan"),"Hasil review tidak valid",IF(AND(Y96="Dikirim",OR(X96="",Z96="")),"Isi bukti dan waktu kirim",IF(AND(AA96="Disetujui",OR(Y96&lt;&gt;"Dikirim",AB96="",AC96="")),"Lengkapi pemeriksaan",IF(AND(AA96="Perlu Perbaikan",OR(AD96="",AB96="",AC96="")),"Isi pemeriksa dan catatan perbaikan","OK")))))))))))))))),"")</f>
        <v/>
      </c>
    </row>
    <row r="97" spans="1:38" ht="24.95" customHeight="1">
      <c r="A97" s="8"/>
      <c r="B97" s="6"/>
      <c r="C97" s="15" t="str">
        <f>IF(COUNTIFS(Master_PIC!$A$8:$A$73,$B97)=1,IF(VLOOKUP($B97,Master_PIC!$A$8:$G$73,2,FALSE)="","",VLOOKUP($B97,Master_PIC!$A$8:$G$73,2,FALSE)),"")</f>
        <v/>
      </c>
      <c r="D97" s="15" t="str">
        <f>IF(COUNTIFS(Master_PIC!$A$8:$A$73,$B97)=1,IF(VLOOKUP($B97,Master_PIC!$A$8:$G$73,4,FALSE)="","",VLOOKUP($B97,Master_PIC!$A$8:$G$73,4,FALSE)),"")</f>
        <v/>
      </c>
      <c r="E97" s="15" t="str">
        <f>IF(COUNTIFS(Master_PIC!$A$8:$A$73,$B97)=1,IF(VLOOKUP($B97,Master_PIC!$A$8:$G$73,5,FALSE)="","",VLOOKUP($B97,Master_PIC!$A$8:$G$73,5,FALSE)),"")</f>
        <v/>
      </c>
      <c r="F97" s="15" t="str">
        <f>IF(COUNTIFS(Master_PIC!$A$8:$A$73,$B97)=1,IF(VLOOKUP($B97,Master_PIC!$A$8:$G$73,6,FALSE)="","",VLOOKUP($B97,Master_PIC!$A$8:$G$73,6,FALSE)),"")</f>
        <v/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8"/>
      <c r="X97" s="5"/>
      <c r="Y97" s="5"/>
      <c r="Z97" s="9"/>
      <c r="AA97" s="5"/>
      <c r="AB97" s="5"/>
      <c r="AC97" s="9"/>
      <c r="AD97" s="5"/>
      <c r="AE97" s="7" t="str">
        <f t="shared" si="7"/>
        <v/>
      </c>
      <c r="AF97" s="7" t="str">
        <f t="shared" si="8"/>
        <v/>
      </c>
      <c r="AG97" s="7" t="str">
        <f t="shared" si="9"/>
        <v/>
      </c>
      <c r="AH97" s="7" t="str">
        <f t="shared" si="10"/>
        <v/>
      </c>
      <c r="AI97" s="7" t="str">
        <f t="shared" si="11"/>
        <v/>
      </c>
      <c r="AJ97" s="7" t="str">
        <f t="shared" si="12"/>
        <v/>
      </c>
      <c r="AK97" s="10" t="str">
        <f t="shared" si="13"/>
        <v/>
      </c>
      <c r="AL97" s="15" t="str">
        <f>IF(OR($A97&lt;&gt;"",$B97&lt;&gt;""),IF(OR($A97="",$B97=""),"Isi tanggal dan ID PIC",IF(NOT(ISNUMBER($A97)),"Tanggal harus berupa tanggal Excel",IF(COUNTIFS(Master_PIC!$A$8:$A$73,$B97)&lt;&gt;1,"ID PIC tidak unik/terdaftar",IF(VLOOKUP($B97,Master_PIC!$A$8:$G$73,3,FALSE)&lt;&gt;"SPV","Jabatan tidak sesuai sheet",IF(OR($C97="",$D97="",$E97="",$F97=""),"Lengkapi master PIC",IF(COUNTIFS($A$8:$A$507,$A97,$B$8:$B$507,$B97)&gt;1,"Laporan ganda",IF(COUNTIFS(G97:O97,"Tidak Berlaku")&gt;0,"N/A hanya untuk kegiatan bersyarat",IF(SUM(AF97,AG97,AH97,AI97,AJ97)&lt;&gt;13,"Status kegiatan tidak valid",IF(AJ97&gt;0,"Lengkapi status kegiatan",IF(AND(AI97&gt;0,T97=""),"Isi alasan Tidak Berlaku",IF(AND(SUM(AG97,AH97)&gt;0,OR(T97="",U97="",V97="",W97="")),"Isi kendala dan tindak lanjut",IF(AND(Y97&lt;&gt;"Draft",Y97&lt;&gt;"Dikirim"),"Isi status laporan yang valid",IF(AND(AA97&lt;&gt;"",AA97&lt;&gt;"Belum Diperiksa",AA97&lt;&gt;"Disetujui",AA97&lt;&gt;"Perlu Perbaikan"),"Hasil review tidak valid",IF(AND(Y97="Dikirim",OR(X97="",Z97="")),"Isi bukti dan waktu kirim",IF(AND(AA97="Disetujui",OR(Y97&lt;&gt;"Dikirim",AB97="",AC97="")),"Lengkapi pemeriksaan",IF(AND(AA97="Perlu Perbaikan",OR(AD97="",AB97="",AC97="")),"Isi pemeriksa dan catatan perbaikan","OK")))))))))))))))),"")</f>
        <v/>
      </c>
    </row>
    <row r="98" spans="1:38" ht="24.95" customHeight="1">
      <c r="A98" s="8"/>
      <c r="B98" s="6"/>
      <c r="C98" s="15" t="str">
        <f>IF(COUNTIFS(Master_PIC!$A$8:$A$73,$B98)=1,IF(VLOOKUP($B98,Master_PIC!$A$8:$G$73,2,FALSE)="","",VLOOKUP($B98,Master_PIC!$A$8:$G$73,2,FALSE)),"")</f>
        <v/>
      </c>
      <c r="D98" s="15" t="str">
        <f>IF(COUNTIFS(Master_PIC!$A$8:$A$73,$B98)=1,IF(VLOOKUP($B98,Master_PIC!$A$8:$G$73,4,FALSE)="","",VLOOKUP($B98,Master_PIC!$A$8:$G$73,4,FALSE)),"")</f>
        <v/>
      </c>
      <c r="E98" s="15" t="str">
        <f>IF(COUNTIFS(Master_PIC!$A$8:$A$73,$B98)=1,IF(VLOOKUP($B98,Master_PIC!$A$8:$G$73,5,FALSE)="","",VLOOKUP($B98,Master_PIC!$A$8:$G$73,5,FALSE)),"")</f>
        <v/>
      </c>
      <c r="F98" s="15" t="str">
        <f>IF(COUNTIFS(Master_PIC!$A$8:$A$73,$B98)=1,IF(VLOOKUP($B98,Master_PIC!$A$8:$G$73,6,FALSE)="","",VLOOKUP($B98,Master_PIC!$A$8:$G$73,6,FALSE)),"")</f>
        <v/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8"/>
      <c r="X98" s="5"/>
      <c r="Y98" s="5"/>
      <c r="Z98" s="9"/>
      <c r="AA98" s="5"/>
      <c r="AB98" s="5"/>
      <c r="AC98" s="9"/>
      <c r="AD98" s="5"/>
      <c r="AE98" s="7" t="str">
        <f t="shared" si="7"/>
        <v/>
      </c>
      <c r="AF98" s="7" t="str">
        <f t="shared" si="8"/>
        <v/>
      </c>
      <c r="AG98" s="7" t="str">
        <f t="shared" si="9"/>
        <v/>
      </c>
      <c r="AH98" s="7" t="str">
        <f t="shared" si="10"/>
        <v/>
      </c>
      <c r="AI98" s="7" t="str">
        <f t="shared" si="11"/>
        <v/>
      </c>
      <c r="AJ98" s="7" t="str">
        <f t="shared" si="12"/>
        <v/>
      </c>
      <c r="AK98" s="10" t="str">
        <f t="shared" si="13"/>
        <v/>
      </c>
      <c r="AL98" s="15" t="str">
        <f>IF(OR($A98&lt;&gt;"",$B98&lt;&gt;""),IF(OR($A98="",$B98=""),"Isi tanggal dan ID PIC",IF(NOT(ISNUMBER($A98)),"Tanggal harus berupa tanggal Excel",IF(COUNTIFS(Master_PIC!$A$8:$A$73,$B98)&lt;&gt;1,"ID PIC tidak unik/terdaftar",IF(VLOOKUP($B98,Master_PIC!$A$8:$G$73,3,FALSE)&lt;&gt;"SPV","Jabatan tidak sesuai sheet",IF(OR($C98="",$D98="",$E98="",$F98=""),"Lengkapi master PIC",IF(COUNTIFS($A$8:$A$507,$A98,$B$8:$B$507,$B98)&gt;1,"Laporan ganda",IF(COUNTIFS(G98:O98,"Tidak Berlaku")&gt;0,"N/A hanya untuk kegiatan bersyarat",IF(SUM(AF98,AG98,AH98,AI98,AJ98)&lt;&gt;13,"Status kegiatan tidak valid",IF(AJ98&gt;0,"Lengkapi status kegiatan",IF(AND(AI98&gt;0,T98=""),"Isi alasan Tidak Berlaku",IF(AND(SUM(AG98,AH98)&gt;0,OR(T98="",U98="",V98="",W98="")),"Isi kendala dan tindak lanjut",IF(AND(Y98&lt;&gt;"Draft",Y98&lt;&gt;"Dikirim"),"Isi status laporan yang valid",IF(AND(AA98&lt;&gt;"",AA98&lt;&gt;"Belum Diperiksa",AA98&lt;&gt;"Disetujui",AA98&lt;&gt;"Perlu Perbaikan"),"Hasil review tidak valid",IF(AND(Y98="Dikirim",OR(X98="",Z98="")),"Isi bukti dan waktu kirim",IF(AND(AA98="Disetujui",OR(Y98&lt;&gt;"Dikirim",AB98="",AC98="")),"Lengkapi pemeriksaan",IF(AND(AA98="Perlu Perbaikan",OR(AD98="",AB98="",AC98="")),"Isi pemeriksa dan catatan perbaikan","OK")))))))))))))))),"")</f>
        <v/>
      </c>
    </row>
    <row r="99" spans="1:38" ht="24.95" customHeight="1">
      <c r="A99" s="8"/>
      <c r="B99" s="6"/>
      <c r="C99" s="15" t="str">
        <f>IF(COUNTIFS(Master_PIC!$A$8:$A$73,$B99)=1,IF(VLOOKUP($B99,Master_PIC!$A$8:$G$73,2,FALSE)="","",VLOOKUP($B99,Master_PIC!$A$8:$G$73,2,FALSE)),"")</f>
        <v/>
      </c>
      <c r="D99" s="15" t="str">
        <f>IF(COUNTIFS(Master_PIC!$A$8:$A$73,$B99)=1,IF(VLOOKUP($B99,Master_PIC!$A$8:$G$73,4,FALSE)="","",VLOOKUP($B99,Master_PIC!$A$8:$G$73,4,FALSE)),"")</f>
        <v/>
      </c>
      <c r="E99" s="15" t="str">
        <f>IF(COUNTIFS(Master_PIC!$A$8:$A$73,$B99)=1,IF(VLOOKUP($B99,Master_PIC!$A$8:$G$73,5,FALSE)="","",VLOOKUP($B99,Master_PIC!$A$8:$G$73,5,FALSE)),"")</f>
        <v/>
      </c>
      <c r="F99" s="15" t="str">
        <f>IF(COUNTIFS(Master_PIC!$A$8:$A$73,$B99)=1,IF(VLOOKUP($B99,Master_PIC!$A$8:$G$73,6,FALSE)="","",VLOOKUP($B99,Master_PIC!$A$8:$G$73,6,FALSE)),"")</f>
        <v/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8"/>
      <c r="X99" s="5"/>
      <c r="Y99" s="5"/>
      <c r="Z99" s="9"/>
      <c r="AA99" s="5"/>
      <c r="AB99" s="5"/>
      <c r="AC99" s="9"/>
      <c r="AD99" s="5"/>
      <c r="AE99" s="7" t="str">
        <f t="shared" si="7"/>
        <v/>
      </c>
      <c r="AF99" s="7" t="str">
        <f t="shared" si="8"/>
        <v/>
      </c>
      <c r="AG99" s="7" t="str">
        <f t="shared" si="9"/>
        <v/>
      </c>
      <c r="AH99" s="7" t="str">
        <f t="shared" si="10"/>
        <v/>
      </c>
      <c r="AI99" s="7" t="str">
        <f t="shared" si="11"/>
        <v/>
      </c>
      <c r="AJ99" s="7" t="str">
        <f t="shared" si="12"/>
        <v/>
      </c>
      <c r="AK99" s="10" t="str">
        <f t="shared" si="13"/>
        <v/>
      </c>
      <c r="AL99" s="15" t="str">
        <f>IF(OR($A99&lt;&gt;"",$B99&lt;&gt;""),IF(OR($A99="",$B99=""),"Isi tanggal dan ID PIC",IF(NOT(ISNUMBER($A99)),"Tanggal harus berupa tanggal Excel",IF(COUNTIFS(Master_PIC!$A$8:$A$73,$B99)&lt;&gt;1,"ID PIC tidak unik/terdaftar",IF(VLOOKUP($B99,Master_PIC!$A$8:$G$73,3,FALSE)&lt;&gt;"SPV","Jabatan tidak sesuai sheet",IF(OR($C99="",$D99="",$E99="",$F99=""),"Lengkapi master PIC",IF(COUNTIFS($A$8:$A$507,$A99,$B$8:$B$507,$B99)&gt;1,"Laporan ganda",IF(COUNTIFS(G99:O99,"Tidak Berlaku")&gt;0,"N/A hanya untuk kegiatan bersyarat",IF(SUM(AF99,AG99,AH99,AI99,AJ99)&lt;&gt;13,"Status kegiatan tidak valid",IF(AJ99&gt;0,"Lengkapi status kegiatan",IF(AND(AI99&gt;0,T99=""),"Isi alasan Tidak Berlaku",IF(AND(SUM(AG99,AH99)&gt;0,OR(T99="",U99="",V99="",W99="")),"Isi kendala dan tindak lanjut",IF(AND(Y99&lt;&gt;"Draft",Y99&lt;&gt;"Dikirim"),"Isi status laporan yang valid",IF(AND(AA99&lt;&gt;"",AA99&lt;&gt;"Belum Diperiksa",AA99&lt;&gt;"Disetujui",AA99&lt;&gt;"Perlu Perbaikan"),"Hasil review tidak valid",IF(AND(Y99="Dikirim",OR(X99="",Z99="")),"Isi bukti dan waktu kirim",IF(AND(AA99="Disetujui",OR(Y99&lt;&gt;"Dikirim",AB99="",AC99="")),"Lengkapi pemeriksaan",IF(AND(AA99="Perlu Perbaikan",OR(AD99="",AB99="",AC99="")),"Isi pemeriksa dan catatan perbaikan","OK")))))))))))))))),"")</f>
        <v/>
      </c>
    </row>
    <row r="100" spans="1:38" ht="24.95" customHeight="1">
      <c r="A100" s="8"/>
      <c r="B100" s="6"/>
      <c r="C100" s="15" t="str">
        <f>IF(COUNTIFS(Master_PIC!$A$8:$A$73,$B100)=1,IF(VLOOKUP($B100,Master_PIC!$A$8:$G$73,2,FALSE)="","",VLOOKUP($B100,Master_PIC!$A$8:$G$73,2,FALSE)),"")</f>
        <v/>
      </c>
      <c r="D100" s="15" t="str">
        <f>IF(COUNTIFS(Master_PIC!$A$8:$A$73,$B100)=1,IF(VLOOKUP($B100,Master_PIC!$A$8:$G$73,4,FALSE)="","",VLOOKUP($B100,Master_PIC!$A$8:$G$73,4,FALSE)),"")</f>
        <v/>
      </c>
      <c r="E100" s="15" t="str">
        <f>IF(COUNTIFS(Master_PIC!$A$8:$A$73,$B100)=1,IF(VLOOKUP($B100,Master_PIC!$A$8:$G$73,5,FALSE)="","",VLOOKUP($B100,Master_PIC!$A$8:$G$73,5,FALSE)),"")</f>
        <v/>
      </c>
      <c r="F100" s="15" t="str">
        <f>IF(COUNTIFS(Master_PIC!$A$8:$A$73,$B100)=1,IF(VLOOKUP($B100,Master_PIC!$A$8:$G$73,6,FALSE)="","",VLOOKUP($B100,Master_PIC!$A$8:$G$73,6,FALSE)),"")</f>
        <v/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8"/>
      <c r="X100" s="5"/>
      <c r="Y100" s="5"/>
      <c r="Z100" s="9"/>
      <c r="AA100" s="5"/>
      <c r="AB100" s="5"/>
      <c r="AC100" s="9"/>
      <c r="AD100" s="5"/>
      <c r="AE100" s="7" t="str">
        <f t="shared" si="7"/>
        <v/>
      </c>
      <c r="AF100" s="7" t="str">
        <f t="shared" si="8"/>
        <v/>
      </c>
      <c r="AG100" s="7" t="str">
        <f t="shared" si="9"/>
        <v/>
      </c>
      <c r="AH100" s="7" t="str">
        <f t="shared" si="10"/>
        <v/>
      </c>
      <c r="AI100" s="7" t="str">
        <f t="shared" si="11"/>
        <v/>
      </c>
      <c r="AJ100" s="7" t="str">
        <f t="shared" si="12"/>
        <v/>
      </c>
      <c r="AK100" s="10" t="str">
        <f t="shared" si="13"/>
        <v/>
      </c>
      <c r="AL100" s="15" t="str">
        <f>IF(OR($A100&lt;&gt;"",$B100&lt;&gt;""),IF(OR($A100="",$B100=""),"Isi tanggal dan ID PIC",IF(NOT(ISNUMBER($A100)),"Tanggal harus berupa tanggal Excel",IF(COUNTIFS(Master_PIC!$A$8:$A$73,$B100)&lt;&gt;1,"ID PIC tidak unik/terdaftar",IF(VLOOKUP($B100,Master_PIC!$A$8:$G$73,3,FALSE)&lt;&gt;"SPV","Jabatan tidak sesuai sheet",IF(OR($C100="",$D100="",$E100="",$F100=""),"Lengkapi master PIC",IF(COUNTIFS($A$8:$A$507,$A100,$B$8:$B$507,$B100)&gt;1,"Laporan ganda",IF(COUNTIFS(G100:O100,"Tidak Berlaku")&gt;0,"N/A hanya untuk kegiatan bersyarat",IF(SUM(AF100,AG100,AH100,AI100,AJ100)&lt;&gt;13,"Status kegiatan tidak valid",IF(AJ100&gt;0,"Lengkapi status kegiatan",IF(AND(AI100&gt;0,T100=""),"Isi alasan Tidak Berlaku",IF(AND(SUM(AG100,AH100)&gt;0,OR(T100="",U100="",V100="",W100="")),"Isi kendala dan tindak lanjut",IF(AND(Y100&lt;&gt;"Draft",Y100&lt;&gt;"Dikirim"),"Isi status laporan yang valid",IF(AND(AA100&lt;&gt;"",AA100&lt;&gt;"Belum Diperiksa",AA100&lt;&gt;"Disetujui",AA100&lt;&gt;"Perlu Perbaikan"),"Hasil review tidak valid",IF(AND(Y100="Dikirim",OR(X100="",Z100="")),"Isi bukti dan waktu kirim",IF(AND(AA100="Disetujui",OR(Y100&lt;&gt;"Dikirim",AB100="",AC100="")),"Lengkapi pemeriksaan",IF(AND(AA100="Perlu Perbaikan",OR(AD100="",AB100="",AC100="")),"Isi pemeriksa dan catatan perbaikan","OK")))))))))))))))),"")</f>
        <v/>
      </c>
    </row>
    <row r="101" spans="1:38" ht="24.95" customHeight="1">
      <c r="A101" s="8"/>
      <c r="B101" s="6"/>
      <c r="C101" s="15" t="str">
        <f>IF(COUNTIFS(Master_PIC!$A$8:$A$73,$B101)=1,IF(VLOOKUP($B101,Master_PIC!$A$8:$G$73,2,FALSE)="","",VLOOKUP($B101,Master_PIC!$A$8:$G$73,2,FALSE)),"")</f>
        <v/>
      </c>
      <c r="D101" s="15" t="str">
        <f>IF(COUNTIFS(Master_PIC!$A$8:$A$73,$B101)=1,IF(VLOOKUP($B101,Master_PIC!$A$8:$G$73,4,FALSE)="","",VLOOKUP($B101,Master_PIC!$A$8:$G$73,4,FALSE)),"")</f>
        <v/>
      </c>
      <c r="E101" s="15" t="str">
        <f>IF(COUNTIFS(Master_PIC!$A$8:$A$73,$B101)=1,IF(VLOOKUP($B101,Master_PIC!$A$8:$G$73,5,FALSE)="","",VLOOKUP($B101,Master_PIC!$A$8:$G$73,5,FALSE)),"")</f>
        <v/>
      </c>
      <c r="F101" s="15" t="str">
        <f>IF(COUNTIFS(Master_PIC!$A$8:$A$73,$B101)=1,IF(VLOOKUP($B101,Master_PIC!$A$8:$G$73,6,FALSE)="","",VLOOKUP($B101,Master_PIC!$A$8:$G$73,6,FALSE)),"")</f>
        <v/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8"/>
      <c r="X101" s="5"/>
      <c r="Y101" s="5"/>
      <c r="Z101" s="9"/>
      <c r="AA101" s="5"/>
      <c r="AB101" s="5"/>
      <c r="AC101" s="9"/>
      <c r="AD101" s="5"/>
      <c r="AE101" s="7" t="str">
        <f t="shared" si="7"/>
        <v/>
      </c>
      <c r="AF101" s="7" t="str">
        <f t="shared" si="8"/>
        <v/>
      </c>
      <c r="AG101" s="7" t="str">
        <f t="shared" si="9"/>
        <v/>
      </c>
      <c r="AH101" s="7" t="str">
        <f t="shared" si="10"/>
        <v/>
      </c>
      <c r="AI101" s="7" t="str">
        <f t="shared" si="11"/>
        <v/>
      </c>
      <c r="AJ101" s="7" t="str">
        <f t="shared" si="12"/>
        <v/>
      </c>
      <c r="AK101" s="10" t="str">
        <f t="shared" si="13"/>
        <v/>
      </c>
      <c r="AL101" s="15" t="str">
        <f>IF(OR($A101&lt;&gt;"",$B101&lt;&gt;""),IF(OR($A101="",$B101=""),"Isi tanggal dan ID PIC",IF(NOT(ISNUMBER($A101)),"Tanggal harus berupa tanggal Excel",IF(COUNTIFS(Master_PIC!$A$8:$A$73,$B101)&lt;&gt;1,"ID PIC tidak unik/terdaftar",IF(VLOOKUP($B101,Master_PIC!$A$8:$G$73,3,FALSE)&lt;&gt;"SPV","Jabatan tidak sesuai sheet",IF(OR($C101="",$D101="",$E101="",$F101=""),"Lengkapi master PIC",IF(COUNTIFS($A$8:$A$507,$A101,$B$8:$B$507,$B101)&gt;1,"Laporan ganda",IF(COUNTIFS(G101:O101,"Tidak Berlaku")&gt;0,"N/A hanya untuk kegiatan bersyarat",IF(SUM(AF101,AG101,AH101,AI101,AJ101)&lt;&gt;13,"Status kegiatan tidak valid",IF(AJ101&gt;0,"Lengkapi status kegiatan",IF(AND(AI101&gt;0,T101=""),"Isi alasan Tidak Berlaku",IF(AND(SUM(AG101,AH101)&gt;0,OR(T101="",U101="",V101="",W101="")),"Isi kendala dan tindak lanjut",IF(AND(Y101&lt;&gt;"Draft",Y101&lt;&gt;"Dikirim"),"Isi status laporan yang valid",IF(AND(AA101&lt;&gt;"",AA101&lt;&gt;"Belum Diperiksa",AA101&lt;&gt;"Disetujui",AA101&lt;&gt;"Perlu Perbaikan"),"Hasil review tidak valid",IF(AND(Y101="Dikirim",OR(X101="",Z101="")),"Isi bukti dan waktu kirim",IF(AND(AA101="Disetujui",OR(Y101&lt;&gt;"Dikirim",AB101="",AC101="")),"Lengkapi pemeriksaan",IF(AND(AA101="Perlu Perbaikan",OR(AD101="",AB101="",AC101="")),"Isi pemeriksa dan catatan perbaikan","OK")))))))))))))))),"")</f>
        <v/>
      </c>
    </row>
    <row r="102" spans="1:38" ht="24.95" customHeight="1">
      <c r="A102" s="8"/>
      <c r="B102" s="6"/>
      <c r="C102" s="15" t="str">
        <f>IF(COUNTIFS(Master_PIC!$A$8:$A$73,$B102)=1,IF(VLOOKUP($B102,Master_PIC!$A$8:$G$73,2,FALSE)="","",VLOOKUP($B102,Master_PIC!$A$8:$G$73,2,FALSE)),"")</f>
        <v/>
      </c>
      <c r="D102" s="15" t="str">
        <f>IF(COUNTIFS(Master_PIC!$A$8:$A$73,$B102)=1,IF(VLOOKUP($B102,Master_PIC!$A$8:$G$73,4,FALSE)="","",VLOOKUP($B102,Master_PIC!$A$8:$G$73,4,FALSE)),"")</f>
        <v/>
      </c>
      <c r="E102" s="15" t="str">
        <f>IF(COUNTIFS(Master_PIC!$A$8:$A$73,$B102)=1,IF(VLOOKUP($B102,Master_PIC!$A$8:$G$73,5,FALSE)="","",VLOOKUP($B102,Master_PIC!$A$8:$G$73,5,FALSE)),"")</f>
        <v/>
      </c>
      <c r="F102" s="15" t="str">
        <f>IF(COUNTIFS(Master_PIC!$A$8:$A$73,$B102)=1,IF(VLOOKUP($B102,Master_PIC!$A$8:$G$73,6,FALSE)="","",VLOOKUP($B102,Master_PIC!$A$8:$G$73,6,FALSE)),"")</f>
        <v/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9"/>
      <c r="AA102" s="5"/>
      <c r="AB102" s="5"/>
      <c r="AC102" s="9"/>
      <c r="AD102" s="5"/>
      <c r="AE102" s="7" t="str">
        <f t="shared" si="7"/>
        <v/>
      </c>
      <c r="AF102" s="7" t="str">
        <f t="shared" si="8"/>
        <v/>
      </c>
      <c r="AG102" s="7" t="str">
        <f t="shared" si="9"/>
        <v/>
      </c>
      <c r="AH102" s="7" t="str">
        <f t="shared" si="10"/>
        <v/>
      </c>
      <c r="AI102" s="7" t="str">
        <f t="shared" si="11"/>
        <v/>
      </c>
      <c r="AJ102" s="7" t="str">
        <f t="shared" si="12"/>
        <v/>
      </c>
      <c r="AK102" s="10" t="str">
        <f t="shared" si="13"/>
        <v/>
      </c>
      <c r="AL102" s="15" t="str">
        <f>IF(OR($A102&lt;&gt;"",$B102&lt;&gt;""),IF(OR($A102="",$B102=""),"Isi tanggal dan ID PIC",IF(NOT(ISNUMBER($A102)),"Tanggal harus berupa tanggal Excel",IF(COUNTIFS(Master_PIC!$A$8:$A$73,$B102)&lt;&gt;1,"ID PIC tidak unik/terdaftar",IF(VLOOKUP($B102,Master_PIC!$A$8:$G$73,3,FALSE)&lt;&gt;"SPV","Jabatan tidak sesuai sheet",IF(OR($C102="",$D102="",$E102="",$F102=""),"Lengkapi master PIC",IF(COUNTIFS($A$8:$A$507,$A102,$B$8:$B$507,$B102)&gt;1,"Laporan ganda",IF(COUNTIFS(G102:O102,"Tidak Berlaku")&gt;0,"N/A hanya untuk kegiatan bersyarat",IF(SUM(AF102,AG102,AH102,AI102,AJ102)&lt;&gt;13,"Status kegiatan tidak valid",IF(AJ102&gt;0,"Lengkapi status kegiatan",IF(AND(AI102&gt;0,T102=""),"Isi alasan Tidak Berlaku",IF(AND(SUM(AG102,AH102)&gt;0,OR(T102="",U102="",V102="",W102="")),"Isi kendala dan tindak lanjut",IF(AND(Y102&lt;&gt;"Draft",Y102&lt;&gt;"Dikirim"),"Isi status laporan yang valid",IF(AND(AA102&lt;&gt;"",AA102&lt;&gt;"Belum Diperiksa",AA102&lt;&gt;"Disetujui",AA102&lt;&gt;"Perlu Perbaikan"),"Hasil review tidak valid",IF(AND(Y102="Dikirim",OR(X102="",Z102="")),"Isi bukti dan waktu kirim",IF(AND(AA102="Disetujui",OR(Y102&lt;&gt;"Dikirim",AB102="",AC102="")),"Lengkapi pemeriksaan",IF(AND(AA102="Perlu Perbaikan",OR(AD102="",AB102="",AC102="")),"Isi pemeriksa dan catatan perbaikan","OK")))))))))))))))),"")</f>
        <v/>
      </c>
    </row>
    <row r="103" spans="1:38" ht="24.95" customHeight="1">
      <c r="A103" s="8"/>
      <c r="B103" s="6"/>
      <c r="C103" s="15" t="str">
        <f>IF(COUNTIFS(Master_PIC!$A$8:$A$73,$B103)=1,IF(VLOOKUP($B103,Master_PIC!$A$8:$G$73,2,FALSE)="","",VLOOKUP($B103,Master_PIC!$A$8:$G$73,2,FALSE)),"")</f>
        <v/>
      </c>
      <c r="D103" s="15" t="str">
        <f>IF(COUNTIFS(Master_PIC!$A$8:$A$73,$B103)=1,IF(VLOOKUP($B103,Master_PIC!$A$8:$G$73,4,FALSE)="","",VLOOKUP($B103,Master_PIC!$A$8:$G$73,4,FALSE)),"")</f>
        <v/>
      </c>
      <c r="E103" s="15" t="str">
        <f>IF(COUNTIFS(Master_PIC!$A$8:$A$73,$B103)=1,IF(VLOOKUP($B103,Master_PIC!$A$8:$G$73,5,FALSE)="","",VLOOKUP($B103,Master_PIC!$A$8:$G$73,5,FALSE)),"")</f>
        <v/>
      </c>
      <c r="F103" s="15" t="str">
        <f>IF(COUNTIFS(Master_PIC!$A$8:$A$73,$B103)=1,IF(VLOOKUP($B103,Master_PIC!$A$8:$G$73,6,FALSE)="","",VLOOKUP($B103,Master_PIC!$A$8:$G$73,6,FALSE)),"")</f>
        <v/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8"/>
      <c r="X103" s="5"/>
      <c r="Y103" s="5"/>
      <c r="Z103" s="9"/>
      <c r="AA103" s="5"/>
      <c r="AB103" s="5"/>
      <c r="AC103" s="9"/>
      <c r="AD103" s="5"/>
      <c r="AE103" s="7" t="str">
        <f t="shared" si="7"/>
        <v/>
      </c>
      <c r="AF103" s="7" t="str">
        <f t="shared" si="8"/>
        <v/>
      </c>
      <c r="AG103" s="7" t="str">
        <f t="shared" si="9"/>
        <v/>
      </c>
      <c r="AH103" s="7" t="str">
        <f t="shared" si="10"/>
        <v/>
      </c>
      <c r="AI103" s="7" t="str">
        <f t="shared" si="11"/>
        <v/>
      </c>
      <c r="AJ103" s="7" t="str">
        <f t="shared" si="12"/>
        <v/>
      </c>
      <c r="AK103" s="10" t="str">
        <f t="shared" si="13"/>
        <v/>
      </c>
      <c r="AL103" s="15" t="str">
        <f>IF(OR($A103&lt;&gt;"",$B103&lt;&gt;""),IF(OR($A103="",$B103=""),"Isi tanggal dan ID PIC",IF(NOT(ISNUMBER($A103)),"Tanggal harus berupa tanggal Excel",IF(COUNTIFS(Master_PIC!$A$8:$A$73,$B103)&lt;&gt;1,"ID PIC tidak unik/terdaftar",IF(VLOOKUP($B103,Master_PIC!$A$8:$G$73,3,FALSE)&lt;&gt;"SPV","Jabatan tidak sesuai sheet",IF(OR($C103="",$D103="",$E103="",$F103=""),"Lengkapi master PIC",IF(COUNTIFS($A$8:$A$507,$A103,$B$8:$B$507,$B103)&gt;1,"Laporan ganda",IF(COUNTIFS(G103:O103,"Tidak Berlaku")&gt;0,"N/A hanya untuk kegiatan bersyarat",IF(SUM(AF103,AG103,AH103,AI103,AJ103)&lt;&gt;13,"Status kegiatan tidak valid",IF(AJ103&gt;0,"Lengkapi status kegiatan",IF(AND(AI103&gt;0,T103=""),"Isi alasan Tidak Berlaku",IF(AND(SUM(AG103,AH103)&gt;0,OR(T103="",U103="",V103="",W103="")),"Isi kendala dan tindak lanjut",IF(AND(Y103&lt;&gt;"Draft",Y103&lt;&gt;"Dikirim"),"Isi status laporan yang valid",IF(AND(AA103&lt;&gt;"",AA103&lt;&gt;"Belum Diperiksa",AA103&lt;&gt;"Disetujui",AA103&lt;&gt;"Perlu Perbaikan"),"Hasil review tidak valid",IF(AND(Y103="Dikirim",OR(X103="",Z103="")),"Isi bukti dan waktu kirim",IF(AND(AA103="Disetujui",OR(Y103&lt;&gt;"Dikirim",AB103="",AC103="")),"Lengkapi pemeriksaan",IF(AND(AA103="Perlu Perbaikan",OR(AD103="",AB103="",AC103="")),"Isi pemeriksa dan catatan perbaikan","OK")))))))))))))))),"")</f>
        <v/>
      </c>
    </row>
    <row r="104" spans="1:38" ht="24.95" customHeight="1">
      <c r="A104" s="8"/>
      <c r="B104" s="6"/>
      <c r="C104" s="15" t="str">
        <f>IF(COUNTIFS(Master_PIC!$A$8:$A$73,$B104)=1,IF(VLOOKUP($B104,Master_PIC!$A$8:$G$73,2,FALSE)="","",VLOOKUP($B104,Master_PIC!$A$8:$G$73,2,FALSE)),"")</f>
        <v/>
      </c>
      <c r="D104" s="15" t="str">
        <f>IF(COUNTIFS(Master_PIC!$A$8:$A$73,$B104)=1,IF(VLOOKUP($B104,Master_PIC!$A$8:$G$73,4,FALSE)="","",VLOOKUP($B104,Master_PIC!$A$8:$G$73,4,FALSE)),"")</f>
        <v/>
      </c>
      <c r="E104" s="15" t="str">
        <f>IF(COUNTIFS(Master_PIC!$A$8:$A$73,$B104)=1,IF(VLOOKUP($B104,Master_PIC!$A$8:$G$73,5,FALSE)="","",VLOOKUP($B104,Master_PIC!$A$8:$G$73,5,FALSE)),"")</f>
        <v/>
      </c>
      <c r="F104" s="15" t="str">
        <f>IF(COUNTIFS(Master_PIC!$A$8:$A$73,$B104)=1,IF(VLOOKUP($B104,Master_PIC!$A$8:$G$73,6,FALSE)="","",VLOOKUP($B104,Master_PIC!$A$8:$G$73,6,FALSE)),"")</f>
        <v/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8"/>
      <c r="X104" s="5"/>
      <c r="Y104" s="5"/>
      <c r="Z104" s="9"/>
      <c r="AA104" s="5"/>
      <c r="AB104" s="5"/>
      <c r="AC104" s="9"/>
      <c r="AD104" s="5"/>
      <c r="AE104" s="7" t="str">
        <f t="shared" si="7"/>
        <v/>
      </c>
      <c r="AF104" s="7" t="str">
        <f t="shared" si="8"/>
        <v/>
      </c>
      <c r="AG104" s="7" t="str">
        <f t="shared" si="9"/>
        <v/>
      </c>
      <c r="AH104" s="7" t="str">
        <f t="shared" si="10"/>
        <v/>
      </c>
      <c r="AI104" s="7" t="str">
        <f t="shared" si="11"/>
        <v/>
      </c>
      <c r="AJ104" s="7" t="str">
        <f t="shared" si="12"/>
        <v/>
      </c>
      <c r="AK104" s="10" t="str">
        <f t="shared" si="13"/>
        <v/>
      </c>
      <c r="AL104" s="15" t="str">
        <f>IF(OR($A104&lt;&gt;"",$B104&lt;&gt;""),IF(OR($A104="",$B104=""),"Isi tanggal dan ID PIC",IF(NOT(ISNUMBER($A104)),"Tanggal harus berupa tanggal Excel",IF(COUNTIFS(Master_PIC!$A$8:$A$73,$B104)&lt;&gt;1,"ID PIC tidak unik/terdaftar",IF(VLOOKUP($B104,Master_PIC!$A$8:$G$73,3,FALSE)&lt;&gt;"SPV","Jabatan tidak sesuai sheet",IF(OR($C104="",$D104="",$E104="",$F104=""),"Lengkapi master PIC",IF(COUNTIFS($A$8:$A$507,$A104,$B$8:$B$507,$B104)&gt;1,"Laporan ganda",IF(COUNTIFS(G104:O104,"Tidak Berlaku")&gt;0,"N/A hanya untuk kegiatan bersyarat",IF(SUM(AF104,AG104,AH104,AI104,AJ104)&lt;&gt;13,"Status kegiatan tidak valid",IF(AJ104&gt;0,"Lengkapi status kegiatan",IF(AND(AI104&gt;0,T104=""),"Isi alasan Tidak Berlaku",IF(AND(SUM(AG104,AH104)&gt;0,OR(T104="",U104="",V104="",W104="")),"Isi kendala dan tindak lanjut",IF(AND(Y104&lt;&gt;"Draft",Y104&lt;&gt;"Dikirim"),"Isi status laporan yang valid",IF(AND(AA104&lt;&gt;"",AA104&lt;&gt;"Belum Diperiksa",AA104&lt;&gt;"Disetujui",AA104&lt;&gt;"Perlu Perbaikan"),"Hasil review tidak valid",IF(AND(Y104="Dikirim",OR(X104="",Z104="")),"Isi bukti dan waktu kirim",IF(AND(AA104="Disetujui",OR(Y104&lt;&gt;"Dikirim",AB104="",AC104="")),"Lengkapi pemeriksaan",IF(AND(AA104="Perlu Perbaikan",OR(AD104="",AB104="",AC104="")),"Isi pemeriksa dan catatan perbaikan","OK")))))))))))))))),"")</f>
        <v/>
      </c>
    </row>
    <row r="105" spans="1:38" ht="24.95" customHeight="1">
      <c r="A105" s="8"/>
      <c r="B105" s="6"/>
      <c r="C105" s="15" t="str">
        <f>IF(COUNTIFS(Master_PIC!$A$8:$A$73,$B105)=1,IF(VLOOKUP($B105,Master_PIC!$A$8:$G$73,2,FALSE)="","",VLOOKUP($B105,Master_PIC!$A$8:$G$73,2,FALSE)),"")</f>
        <v/>
      </c>
      <c r="D105" s="15" t="str">
        <f>IF(COUNTIFS(Master_PIC!$A$8:$A$73,$B105)=1,IF(VLOOKUP($B105,Master_PIC!$A$8:$G$73,4,FALSE)="","",VLOOKUP($B105,Master_PIC!$A$8:$G$73,4,FALSE)),"")</f>
        <v/>
      </c>
      <c r="E105" s="15" t="str">
        <f>IF(COUNTIFS(Master_PIC!$A$8:$A$73,$B105)=1,IF(VLOOKUP($B105,Master_PIC!$A$8:$G$73,5,FALSE)="","",VLOOKUP($B105,Master_PIC!$A$8:$G$73,5,FALSE)),"")</f>
        <v/>
      </c>
      <c r="F105" s="15" t="str">
        <f>IF(COUNTIFS(Master_PIC!$A$8:$A$73,$B105)=1,IF(VLOOKUP($B105,Master_PIC!$A$8:$G$73,6,FALSE)="","",VLOOKUP($B105,Master_PIC!$A$8:$G$73,6,FALSE)),"")</f>
        <v/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8"/>
      <c r="X105" s="5"/>
      <c r="Y105" s="5"/>
      <c r="Z105" s="9"/>
      <c r="AA105" s="5"/>
      <c r="AB105" s="5"/>
      <c r="AC105" s="9"/>
      <c r="AD105" s="5"/>
      <c r="AE105" s="7" t="str">
        <f t="shared" si="7"/>
        <v/>
      </c>
      <c r="AF105" s="7" t="str">
        <f t="shared" si="8"/>
        <v/>
      </c>
      <c r="AG105" s="7" t="str">
        <f t="shared" si="9"/>
        <v/>
      </c>
      <c r="AH105" s="7" t="str">
        <f t="shared" si="10"/>
        <v/>
      </c>
      <c r="AI105" s="7" t="str">
        <f t="shared" si="11"/>
        <v/>
      </c>
      <c r="AJ105" s="7" t="str">
        <f t="shared" si="12"/>
        <v/>
      </c>
      <c r="AK105" s="10" t="str">
        <f t="shared" si="13"/>
        <v/>
      </c>
      <c r="AL105" s="15" t="str">
        <f>IF(OR($A105&lt;&gt;"",$B105&lt;&gt;""),IF(OR($A105="",$B105=""),"Isi tanggal dan ID PIC",IF(NOT(ISNUMBER($A105)),"Tanggal harus berupa tanggal Excel",IF(COUNTIFS(Master_PIC!$A$8:$A$73,$B105)&lt;&gt;1,"ID PIC tidak unik/terdaftar",IF(VLOOKUP($B105,Master_PIC!$A$8:$G$73,3,FALSE)&lt;&gt;"SPV","Jabatan tidak sesuai sheet",IF(OR($C105="",$D105="",$E105="",$F105=""),"Lengkapi master PIC",IF(COUNTIFS($A$8:$A$507,$A105,$B$8:$B$507,$B105)&gt;1,"Laporan ganda",IF(COUNTIFS(G105:O105,"Tidak Berlaku")&gt;0,"N/A hanya untuk kegiatan bersyarat",IF(SUM(AF105,AG105,AH105,AI105,AJ105)&lt;&gt;13,"Status kegiatan tidak valid",IF(AJ105&gt;0,"Lengkapi status kegiatan",IF(AND(AI105&gt;0,T105=""),"Isi alasan Tidak Berlaku",IF(AND(SUM(AG105,AH105)&gt;0,OR(T105="",U105="",V105="",W105="")),"Isi kendala dan tindak lanjut",IF(AND(Y105&lt;&gt;"Draft",Y105&lt;&gt;"Dikirim"),"Isi status laporan yang valid",IF(AND(AA105&lt;&gt;"",AA105&lt;&gt;"Belum Diperiksa",AA105&lt;&gt;"Disetujui",AA105&lt;&gt;"Perlu Perbaikan"),"Hasil review tidak valid",IF(AND(Y105="Dikirim",OR(X105="",Z105="")),"Isi bukti dan waktu kirim",IF(AND(AA105="Disetujui",OR(Y105&lt;&gt;"Dikirim",AB105="",AC105="")),"Lengkapi pemeriksaan",IF(AND(AA105="Perlu Perbaikan",OR(AD105="",AB105="",AC105="")),"Isi pemeriksa dan catatan perbaikan","OK")))))))))))))))),"")</f>
        <v/>
      </c>
    </row>
    <row r="106" spans="1:38" ht="24.95" customHeight="1">
      <c r="A106" s="8"/>
      <c r="B106" s="6"/>
      <c r="C106" s="15" t="str">
        <f>IF(COUNTIFS(Master_PIC!$A$8:$A$73,$B106)=1,IF(VLOOKUP($B106,Master_PIC!$A$8:$G$73,2,FALSE)="","",VLOOKUP($B106,Master_PIC!$A$8:$G$73,2,FALSE)),"")</f>
        <v/>
      </c>
      <c r="D106" s="15" t="str">
        <f>IF(COUNTIFS(Master_PIC!$A$8:$A$73,$B106)=1,IF(VLOOKUP($B106,Master_PIC!$A$8:$G$73,4,FALSE)="","",VLOOKUP($B106,Master_PIC!$A$8:$G$73,4,FALSE)),"")</f>
        <v/>
      </c>
      <c r="E106" s="15" t="str">
        <f>IF(COUNTIFS(Master_PIC!$A$8:$A$73,$B106)=1,IF(VLOOKUP($B106,Master_PIC!$A$8:$G$73,5,FALSE)="","",VLOOKUP($B106,Master_PIC!$A$8:$G$73,5,FALSE)),"")</f>
        <v/>
      </c>
      <c r="F106" s="15" t="str">
        <f>IF(COUNTIFS(Master_PIC!$A$8:$A$73,$B106)=1,IF(VLOOKUP($B106,Master_PIC!$A$8:$G$73,6,FALSE)="","",VLOOKUP($B106,Master_PIC!$A$8:$G$73,6,FALSE)),"")</f>
        <v/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9"/>
      <c r="AA106" s="5"/>
      <c r="AB106" s="5"/>
      <c r="AC106" s="9"/>
      <c r="AD106" s="5"/>
      <c r="AE106" s="7" t="str">
        <f t="shared" si="7"/>
        <v/>
      </c>
      <c r="AF106" s="7" t="str">
        <f t="shared" si="8"/>
        <v/>
      </c>
      <c r="AG106" s="7" t="str">
        <f t="shared" si="9"/>
        <v/>
      </c>
      <c r="AH106" s="7" t="str">
        <f t="shared" si="10"/>
        <v/>
      </c>
      <c r="AI106" s="7" t="str">
        <f t="shared" si="11"/>
        <v/>
      </c>
      <c r="AJ106" s="7" t="str">
        <f t="shared" si="12"/>
        <v/>
      </c>
      <c r="AK106" s="10" t="str">
        <f t="shared" si="13"/>
        <v/>
      </c>
      <c r="AL106" s="15" t="str">
        <f>IF(OR($A106&lt;&gt;"",$B106&lt;&gt;""),IF(OR($A106="",$B106=""),"Isi tanggal dan ID PIC",IF(NOT(ISNUMBER($A106)),"Tanggal harus berupa tanggal Excel",IF(COUNTIFS(Master_PIC!$A$8:$A$73,$B106)&lt;&gt;1,"ID PIC tidak unik/terdaftar",IF(VLOOKUP($B106,Master_PIC!$A$8:$G$73,3,FALSE)&lt;&gt;"SPV","Jabatan tidak sesuai sheet",IF(OR($C106="",$D106="",$E106="",$F106=""),"Lengkapi master PIC",IF(COUNTIFS($A$8:$A$507,$A106,$B$8:$B$507,$B106)&gt;1,"Laporan ganda",IF(COUNTIFS(G106:O106,"Tidak Berlaku")&gt;0,"N/A hanya untuk kegiatan bersyarat",IF(SUM(AF106,AG106,AH106,AI106,AJ106)&lt;&gt;13,"Status kegiatan tidak valid",IF(AJ106&gt;0,"Lengkapi status kegiatan",IF(AND(AI106&gt;0,T106=""),"Isi alasan Tidak Berlaku",IF(AND(SUM(AG106,AH106)&gt;0,OR(T106="",U106="",V106="",W106="")),"Isi kendala dan tindak lanjut",IF(AND(Y106&lt;&gt;"Draft",Y106&lt;&gt;"Dikirim"),"Isi status laporan yang valid",IF(AND(AA106&lt;&gt;"",AA106&lt;&gt;"Belum Diperiksa",AA106&lt;&gt;"Disetujui",AA106&lt;&gt;"Perlu Perbaikan"),"Hasil review tidak valid",IF(AND(Y106="Dikirim",OR(X106="",Z106="")),"Isi bukti dan waktu kirim",IF(AND(AA106="Disetujui",OR(Y106&lt;&gt;"Dikirim",AB106="",AC106="")),"Lengkapi pemeriksaan",IF(AND(AA106="Perlu Perbaikan",OR(AD106="",AB106="",AC106="")),"Isi pemeriksa dan catatan perbaikan","OK")))))))))))))))),"")</f>
        <v/>
      </c>
    </row>
    <row r="107" spans="1:38" ht="24.95" customHeight="1">
      <c r="A107" s="8"/>
      <c r="B107" s="6"/>
      <c r="C107" s="15" t="str">
        <f>IF(COUNTIFS(Master_PIC!$A$8:$A$73,$B107)=1,IF(VLOOKUP($B107,Master_PIC!$A$8:$G$73,2,FALSE)="","",VLOOKUP($B107,Master_PIC!$A$8:$G$73,2,FALSE)),"")</f>
        <v/>
      </c>
      <c r="D107" s="15" t="str">
        <f>IF(COUNTIFS(Master_PIC!$A$8:$A$73,$B107)=1,IF(VLOOKUP($B107,Master_PIC!$A$8:$G$73,4,FALSE)="","",VLOOKUP($B107,Master_PIC!$A$8:$G$73,4,FALSE)),"")</f>
        <v/>
      </c>
      <c r="E107" s="15" t="str">
        <f>IF(COUNTIFS(Master_PIC!$A$8:$A$73,$B107)=1,IF(VLOOKUP($B107,Master_PIC!$A$8:$G$73,5,FALSE)="","",VLOOKUP($B107,Master_PIC!$A$8:$G$73,5,FALSE)),"")</f>
        <v/>
      </c>
      <c r="F107" s="15" t="str">
        <f>IF(COUNTIFS(Master_PIC!$A$8:$A$73,$B107)=1,IF(VLOOKUP($B107,Master_PIC!$A$8:$G$73,6,FALSE)="","",VLOOKUP($B107,Master_PIC!$A$8:$G$73,6,FALSE)),"")</f>
        <v/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9"/>
      <c r="AA107" s="5"/>
      <c r="AB107" s="5"/>
      <c r="AC107" s="9"/>
      <c r="AD107" s="5"/>
      <c r="AE107" s="7" t="str">
        <f t="shared" si="7"/>
        <v/>
      </c>
      <c r="AF107" s="7" t="str">
        <f t="shared" si="8"/>
        <v/>
      </c>
      <c r="AG107" s="7" t="str">
        <f t="shared" si="9"/>
        <v/>
      </c>
      <c r="AH107" s="7" t="str">
        <f t="shared" si="10"/>
        <v/>
      </c>
      <c r="AI107" s="7" t="str">
        <f t="shared" si="11"/>
        <v/>
      </c>
      <c r="AJ107" s="7" t="str">
        <f t="shared" si="12"/>
        <v/>
      </c>
      <c r="AK107" s="10" t="str">
        <f t="shared" si="13"/>
        <v/>
      </c>
      <c r="AL107" s="15" t="str">
        <f>IF(OR($A107&lt;&gt;"",$B107&lt;&gt;""),IF(OR($A107="",$B107=""),"Isi tanggal dan ID PIC",IF(NOT(ISNUMBER($A107)),"Tanggal harus berupa tanggal Excel",IF(COUNTIFS(Master_PIC!$A$8:$A$73,$B107)&lt;&gt;1,"ID PIC tidak unik/terdaftar",IF(VLOOKUP($B107,Master_PIC!$A$8:$G$73,3,FALSE)&lt;&gt;"SPV","Jabatan tidak sesuai sheet",IF(OR($C107="",$D107="",$E107="",$F107=""),"Lengkapi master PIC",IF(COUNTIFS($A$8:$A$507,$A107,$B$8:$B$507,$B107)&gt;1,"Laporan ganda",IF(COUNTIFS(G107:O107,"Tidak Berlaku")&gt;0,"N/A hanya untuk kegiatan bersyarat",IF(SUM(AF107,AG107,AH107,AI107,AJ107)&lt;&gt;13,"Status kegiatan tidak valid",IF(AJ107&gt;0,"Lengkapi status kegiatan",IF(AND(AI107&gt;0,T107=""),"Isi alasan Tidak Berlaku",IF(AND(SUM(AG107,AH107)&gt;0,OR(T107="",U107="",V107="",W107="")),"Isi kendala dan tindak lanjut",IF(AND(Y107&lt;&gt;"Draft",Y107&lt;&gt;"Dikirim"),"Isi status laporan yang valid",IF(AND(AA107&lt;&gt;"",AA107&lt;&gt;"Belum Diperiksa",AA107&lt;&gt;"Disetujui",AA107&lt;&gt;"Perlu Perbaikan"),"Hasil review tidak valid",IF(AND(Y107="Dikirim",OR(X107="",Z107="")),"Isi bukti dan waktu kirim",IF(AND(AA107="Disetujui",OR(Y107&lt;&gt;"Dikirim",AB107="",AC107="")),"Lengkapi pemeriksaan",IF(AND(AA107="Perlu Perbaikan",OR(AD107="",AB107="",AC107="")),"Isi pemeriksa dan catatan perbaikan","OK")))))))))))))))),"")</f>
        <v/>
      </c>
    </row>
    <row r="108" spans="1:38" ht="24.95" customHeight="1">
      <c r="A108" s="8"/>
      <c r="B108" s="6"/>
      <c r="C108" s="15" t="str">
        <f>IF(COUNTIFS(Master_PIC!$A$8:$A$73,$B108)=1,IF(VLOOKUP($B108,Master_PIC!$A$8:$G$73,2,FALSE)="","",VLOOKUP($B108,Master_PIC!$A$8:$G$73,2,FALSE)),"")</f>
        <v/>
      </c>
      <c r="D108" s="15" t="str">
        <f>IF(COUNTIFS(Master_PIC!$A$8:$A$73,$B108)=1,IF(VLOOKUP($B108,Master_PIC!$A$8:$G$73,4,FALSE)="","",VLOOKUP($B108,Master_PIC!$A$8:$G$73,4,FALSE)),"")</f>
        <v/>
      </c>
      <c r="E108" s="15" t="str">
        <f>IF(COUNTIFS(Master_PIC!$A$8:$A$73,$B108)=1,IF(VLOOKUP($B108,Master_PIC!$A$8:$G$73,5,FALSE)="","",VLOOKUP($B108,Master_PIC!$A$8:$G$73,5,FALSE)),"")</f>
        <v/>
      </c>
      <c r="F108" s="15" t="str">
        <f>IF(COUNTIFS(Master_PIC!$A$8:$A$73,$B108)=1,IF(VLOOKUP($B108,Master_PIC!$A$8:$G$73,6,FALSE)="","",VLOOKUP($B108,Master_PIC!$A$8:$G$73,6,FALSE)),"")</f>
        <v/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9"/>
      <c r="AA108" s="5"/>
      <c r="AB108" s="5"/>
      <c r="AC108" s="9"/>
      <c r="AD108" s="5"/>
      <c r="AE108" s="7" t="str">
        <f t="shared" si="7"/>
        <v/>
      </c>
      <c r="AF108" s="7" t="str">
        <f t="shared" si="8"/>
        <v/>
      </c>
      <c r="AG108" s="7" t="str">
        <f t="shared" si="9"/>
        <v/>
      </c>
      <c r="AH108" s="7" t="str">
        <f t="shared" si="10"/>
        <v/>
      </c>
      <c r="AI108" s="7" t="str">
        <f t="shared" si="11"/>
        <v/>
      </c>
      <c r="AJ108" s="7" t="str">
        <f t="shared" si="12"/>
        <v/>
      </c>
      <c r="AK108" s="10" t="str">
        <f t="shared" si="13"/>
        <v/>
      </c>
      <c r="AL108" s="15" t="str">
        <f>IF(OR($A108&lt;&gt;"",$B108&lt;&gt;""),IF(OR($A108="",$B108=""),"Isi tanggal dan ID PIC",IF(NOT(ISNUMBER($A108)),"Tanggal harus berupa tanggal Excel",IF(COUNTIFS(Master_PIC!$A$8:$A$73,$B108)&lt;&gt;1,"ID PIC tidak unik/terdaftar",IF(VLOOKUP($B108,Master_PIC!$A$8:$G$73,3,FALSE)&lt;&gt;"SPV","Jabatan tidak sesuai sheet",IF(OR($C108="",$D108="",$E108="",$F108=""),"Lengkapi master PIC",IF(COUNTIFS($A$8:$A$507,$A108,$B$8:$B$507,$B108)&gt;1,"Laporan ganda",IF(COUNTIFS(G108:O108,"Tidak Berlaku")&gt;0,"N/A hanya untuk kegiatan bersyarat",IF(SUM(AF108,AG108,AH108,AI108,AJ108)&lt;&gt;13,"Status kegiatan tidak valid",IF(AJ108&gt;0,"Lengkapi status kegiatan",IF(AND(AI108&gt;0,T108=""),"Isi alasan Tidak Berlaku",IF(AND(SUM(AG108,AH108)&gt;0,OR(T108="",U108="",V108="",W108="")),"Isi kendala dan tindak lanjut",IF(AND(Y108&lt;&gt;"Draft",Y108&lt;&gt;"Dikirim"),"Isi status laporan yang valid",IF(AND(AA108&lt;&gt;"",AA108&lt;&gt;"Belum Diperiksa",AA108&lt;&gt;"Disetujui",AA108&lt;&gt;"Perlu Perbaikan"),"Hasil review tidak valid",IF(AND(Y108="Dikirim",OR(X108="",Z108="")),"Isi bukti dan waktu kirim",IF(AND(AA108="Disetujui",OR(Y108&lt;&gt;"Dikirim",AB108="",AC108="")),"Lengkapi pemeriksaan",IF(AND(AA108="Perlu Perbaikan",OR(AD108="",AB108="",AC108="")),"Isi pemeriksa dan catatan perbaikan","OK")))))))))))))))),"")</f>
        <v/>
      </c>
    </row>
    <row r="109" spans="1:38" ht="24.95" customHeight="1">
      <c r="A109" s="8"/>
      <c r="B109" s="6"/>
      <c r="C109" s="15" t="str">
        <f>IF(COUNTIFS(Master_PIC!$A$8:$A$73,$B109)=1,IF(VLOOKUP($B109,Master_PIC!$A$8:$G$73,2,FALSE)="","",VLOOKUP($B109,Master_PIC!$A$8:$G$73,2,FALSE)),"")</f>
        <v/>
      </c>
      <c r="D109" s="15" t="str">
        <f>IF(COUNTIFS(Master_PIC!$A$8:$A$73,$B109)=1,IF(VLOOKUP($B109,Master_PIC!$A$8:$G$73,4,FALSE)="","",VLOOKUP($B109,Master_PIC!$A$8:$G$73,4,FALSE)),"")</f>
        <v/>
      </c>
      <c r="E109" s="15" t="str">
        <f>IF(COUNTIFS(Master_PIC!$A$8:$A$73,$B109)=1,IF(VLOOKUP($B109,Master_PIC!$A$8:$G$73,5,FALSE)="","",VLOOKUP($B109,Master_PIC!$A$8:$G$73,5,FALSE)),"")</f>
        <v/>
      </c>
      <c r="F109" s="15" t="str">
        <f>IF(COUNTIFS(Master_PIC!$A$8:$A$73,$B109)=1,IF(VLOOKUP($B109,Master_PIC!$A$8:$G$73,6,FALSE)="","",VLOOKUP($B109,Master_PIC!$A$8:$G$73,6,FALSE)),"")</f>
        <v/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8"/>
      <c r="X109" s="5"/>
      <c r="Y109" s="5"/>
      <c r="Z109" s="9"/>
      <c r="AA109" s="5"/>
      <c r="AB109" s="5"/>
      <c r="AC109" s="9"/>
      <c r="AD109" s="5"/>
      <c r="AE109" s="7" t="str">
        <f t="shared" si="7"/>
        <v/>
      </c>
      <c r="AF109" s="7" t="str">
        <f t="shared" si="8"/>
        <v/>
      </c>
      <c r="AG109" s="7" t="str">
        <f t="shared" si="9"/>
        <v/>
      </c>
      <c r="AH109" s="7" t="str">
        <f t="shared" si="10"/>
        <v/>
      </c>
      <c r="AI109" s="7" t="str">
        <f t="shared" si="11"/>
        <v/>
      </c>
      <c r="AJ109" s="7" t="str">
        <f t="shared" si="12"/>
        <v/>
      </c>
      <c r="AK109" s="10" t="str">
        <f t="shared" si="13"/>
        <v/>
      </c>
      <c r="AL109" s="15" t="str">
        <f>IF(OR($A109&lt;&gt;"",$B109&lt;&gt;""),IF(OR($A109="",$B109=""),"Isi tanggal dan ID PIC",IF(NOT(ISNUMBER($A109)),"Tanggal harus berupa tanggal Excel",IF(COUNTIFS(Master_PIC!$A$8:$A$73,$B109)&lt;&gt;1,"ID PIC tidak unik/terdaftar",IF(VLOOKUP($B109,Master_PIC!$A$8:$G$73,3,FALSE)&lt;&gt;"SPV","Jabatan tidak sesuai sheet",IF(OR($C109="",$D109="",$E109="",$F109=""),"Lengkapi master PIC",IF(COUNTIFS($A$8:$A$507,$A109,$B$8:$B$507,$B109)&gt;1,"Laporan ganda",IF(COUNTIFS(G109:O109,"Tidak Berlaku")&gt;0,"N/A hanya untuk kegiatan bersyarat",IF(SUM(AF109,AG109,AH109,AI109,AJ109)&lt;&gt;13,"Status kegiatan tidak valid",IF(AJ109&gt;0,"Lengkapi status kegiatan",IF(AND(AI109&gt;0,T109=""),"Isi alasan Tidak Berlaku",IF(AND(SUM(AG109,AH109)&gt;0,OR(T109="",U109="",V109="",W109="")),"Isi kendala dan tindak lanjut",IF(AND(Y109&lt;&gt;"Draft",Y109&lt;&gt;"Dikirim"),"Isi status laporan yang valid",IF(AND(AA109&lt;&gt;"",AA109&lt;&gt;"Belum Diperiksa",AA109&lt;&gt;"Disetujui",AA109&lt;&gt;"Perlu Perbaikan"),"Hasil review tidak valid",IF(AND(Y109="Dikirim",OR(X109="",Z109="")),"Isi bukti dan waktu kirim",IF(AND(AA109="Disetujui",OR(Y109&lt;&gt;"Dikirim",AB109="",AC109="")),"Lengkapi pemeriksaan",IF(AND(AA109="Perlu Perbaikan",OR(AD109="",AB109="",AC109="")),"Isi pemeriksa dan catatan perbaikan","OK")))))))))))))))),"")</f>
        <v/>
      </c>
    </row>
    <row r="110" spans="1:38" ht="24.95" customHeight="1">
      <c r="A110" s="8"/>
      <c r="B110" s="6"/>
      <c r="C110" s="15" t="str">
        <f>IF(COUNTIFS(Master_PIC!$A$8:$A$73,$B110)=1,IF(VLOOKUP($B110,Master_PIC!$A$8:$G$73,2,FALSE)="","",VLOOKUP($B110,Master_PIC!$A$8:$G$73,2,FALSE)),"")</f>
        <v/>
      </c>
      <c r="D110" s="15" t="str">
        <f>IF(COUNTIFS(Master_PIC!$A$8:$A$73,$B110)=1,IF(VLOOKUP($B110,Master_PIC!$A$8:$G$73,4,FALSE)="","",VLOOKUP($B110,Master_PIC!$A$8:$G$73,4,FALSE)),"")</f>
        <v/>
      </c>
      <c r="E110" s="15" t="str">
        <f>IF(COUNTIFS(Master_PIC!$A$8:$A$73,$B110)=1,IF(VLOOKUP($B110,Master_PIC!$A$8:$G$73,5,FALSE)="","",VLOOKUP($B110,Master_PIC!$A$8:$G$73,5,FALSE)),"")</f>
        <v/>
      </c>
      <c r="F110" s="15" t="str">
        <f>IF(COUNTIFS(Master_PIC!$A$8:$A$73,$B110)=1,IF(VLOOKUP($B110,Master_PIC!$A$8:$G$73,6,FALSE)="","",VLOOKUP($B110,Master_PIC!$A$8:$G$73,6,FALSE)),"")</f>
        <v/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8"/>
      <c r="X110" s="5"/>
      <c r="Y110" s="5"/>
      <c r="Z110" s="9"/>
      <c r="AA110" s="5"/>
      <c r="AB110" s="5"/>
      <c r="AC110" s="9"/>
      <c r="AD110" s="5"/>
      <c r="AE110" s="7" t="str">
        <f t="shared" si="7"/>
        <v/>
      </c>
      <c r="AF110" s="7" t="str">
        <f t="shared" si="8"/>
        <v/>
      </c>
      <c r="AG110" s="7" t="str">
        <f t="shared" si="9"/>
        <v/>
      </c>
      <c r="AH110" s="7" t="str">
        <f t="shared" si="10"/>
        <v/>
      </c>
      <c r="AI110" s="7" t="str">
        <f t="shared" si="11"/>
        <v/>
      </c>
      <c r="AJ110" s="7" t="str">
        <f t="shared" si="12"/>
        <v/>
      </c>
      <c r="AK110" s="10" t="str">
        <f t="shared" si="13"/>
        <v/>
      </c>
      <c r="AL110" s="15" t="str">
        <f>IF(OR($A110&lt;&gt;"",$B110&lt;&gt;""),IF(OR($A110="",$B110=""),"Isi tanggal dan ID PIC",IF(NOT(ISNUMBER($A110)),"Tanggal harus berupa tanggal Excel",IF(COUNTIFS(Master_PIC!$A$8:$A$73,$B110)&lt;&gt;1,"ID PIC tidak unik/terdaftar",IF(VLOOKUP($B110,Master_PIC!$A$8:$G$73,3,FALSE)&lt;&gt;"SPV","Jabatan tidak sesuai sheet",IF(OR($C110="",$D110="",$E110="",$F110=""),"Lengkapi master PIC",IF(COUNTIFS($A$8:$A$507,$A110,$B$8:$B$507,$B110)&gt;1,"Laporan ganda",IF(COUNTIFS(G110:O110,"Tidak Berlaku")&gt;0,"N/A hanya untuk kegiatan bersyarat",IF(SUM(AF110,AG110,AH110,AI110,AJ110)&lt;&gt;13,"Status kegiatan tidak valid",IF(AJ110&gt;0,"Lengkapi status kegiatan",IF(AND(AI110&gt;0,T110=""),"Isi alasan Tidak Berlaku",IF(AND(SUM(AG110,AH110)&gt;0,OR(T110="",U110="",V110="",W110="")),"Isi kendala dan tindak lanjut",IF(AND(Y110&lt;&gt;"Draft",Y110&lt;&gt;"Dikirim"),"Isi status laporan yang valid",IF(AND(AA110&lt;&gt;"",AA110&lt;&gt;"Belum Diperiksa",AA110&lt;&gt;"Disetujui",AA110&lt;&gt;"Perlu Perbaikan"),"Hasil review tidak valid",IF(AND(Y110="Dikirim",OR(X110="",Z110="")),"Isi bukti dan waktu kirim",IF(AND(AA110="Disetujui",OR(Y110&lt;&gt;"Dikirim",AB110="",AC110="")),"Lengkapi pemeriksaan",IF(AND(AA110="Perlu Perbaikan",OR(AD110="",AB110="",AC110="")),"Isi pemeriksa dan catatan perbaikan","OK")))))))))))))))),"")</f>
        <v/>
      </c>
    </row>
    <row r="111" spans="1:38" ht="24.95" customHeight="1">
      <c r="A111" s="8"/>
      <c r="B111" s="6"/>
      <c r="C111" s="15" t="str">
        <f>IF(COUNTIFS(Master_PIC!$A$8:$A$73,$B111)=1,IF(VLOOKUP($B111,Master_PIC!$A$8:$G$73,2,FALSE)="","",VLOOKUP($B111,Master_PIC!$A$8:$G$73,2,FALSE)),"")</f>
        <v/>
      </c>
      <c r="D111" s="15" t="str">
        <f>IF(COUNTIFS(Master_PIC!$A$8:$A$73,$B111)=1,IF(VLOOKUP($B111,Master_PIC!$A$8:$G$73,4,FALSE)="","",VLOOKUP($B111,Master_PIC!$A$8:$G$73,4,FALSE)),"")</f>
        <v/>
      </c>
      <c r="E111" s="15" t="str">
        <f>IF(COUNTIFS(Master_PIC!$A$8:$A$73,$B111)=1,IF(VLOOKUP($B111,Master_PIC!$A$8:$G$73,5,FALSE)="","",VLOOKUP($B111,Master_PIC!$A$8:$G$73,5,FALSE)),"")</f>
        <v/>
      </c>
      <c r="F111" s="15" t="str">
        <f>IF(COUNTIFS(Master_PIC!$A$8:$A$73,$B111)=1,IF(VLOOKUP($B111,Master_PIC!$A$8:$G$73,6,FALSE)="","",VLOOKUP($B111,Master_PIC!$A$8:$G$73,6,FALSE)),"")</f>
        <v/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8"/>
      <c r="X111" s="5"/>
      <c r="Y111" s="5"/>
      <c r="Z111" s="9"/>
      <c r="AA111" s="5"/>
      <c r="AB111" s="5"/>
      <c r="AC111" s="9"/>
      <c r="AD111" s="5"/>
      <c r="AE111" s="7" t="str">
        <f t="shared" si="7"/>
        <v/>
      </c>
      <c r="AF111" s="7" t="str">
        <f t="shared" si="8"/>
        <v/>
      </c>
      <c r="AG111" s="7" t="str">
        <f t="shared" si="9"/>
        <v/>
      </c>
      <c r="AH111" s="7" t="str">
        <f t="shared" si="10"/>
        <v/>
      </c>
      <c r="AI111" s="7" t="str">
        <f t="shared" si="11"/>
        <v/>
      </c>
      <c r="AJ111" s="7" t="str">
        <f t="shared" si="12"/>
        <v/>
      </c>
      <c r="AK111" s="10" t="str">
        <f t="shared" si="13"/>
        <v/>
      </c>
      <c r="AL111" s="15" t="str">
        <f>IF(OR($A111&lt;&gt;"",$B111&lt;&gt;""),IF(OR($A111="",$B111=""),"Isi tanggal dan ID PIC",IF(NOT(ISNUMBER($A111)),"Tanggal harus berupa tanggal Excel",IF(COUNTIFS(Master_PIC!$A$8:$A$73,$B111)&lt;&gt;1,"ID PIC tidak unik/terdaftar",IF(VLOOKUP($B111,Master_PIC!$A$8:$G$73,3,FALSE)&lt;&gt;"SPV","Jabatan tidak sesuai sheet",IF(OR($C111="",$D111="",$E111="",$F111=""),"Lengkapi master PIC",IF(COUNTIFS($A$8:$A$507,$A111,$B$8:$B$507,$B111)&gt;1,"Laporan ganda",IF(COUNTIFS(G111:O111,"Tidak Berlaku")&gt;0,"N/A hanya untuk kegiatan bersyarat",IF(SUM(AF111,AG111,AH111,AI111,AJ111)&lt;&gt;13,"Status kegiatan tidak valid",IF(AJ111&gt;0,"Lengkapi status kegiatan",IF(AND(AI111&gt;0,T111=""),"Isi alasan Tidak Berlaku",IF(AND(SUM(AG111,AH111)&gt;0,OR(T111="",U111="",V111="",W111="")),"Isi kendala dan tindak lanjut",IF(AND(Y111&lt;&gt;"Draft",Y111&lt;&gt;"Dikirim"),"Isi status laporan yang valid",IF(AND(AA111&lt;&gt;"",AA111&lt;&gt;"Belum Diperiksa",AA111&lt;&gt;"Disetujui",AA111&lt;&gt;"Perlu Perbaikan"),"Hasil review tidak valid",IF(AND(Y111="Dikirim",OR(X111="",Z111="")),"Isi bukti dan waktu kirim",IF(AND(AA111="Disetujui",OR(Y111&lt;&gt;"Dikirim",AB111="",AC111="")),"Lengkapi pemeriksaan",IF(AND(AA111="Perlu Perbaikan",OR(AD111="",AB111="",AC111="")),"Isi pemeriksa dan catatan perbaikan","OK")))))))))))))))),"")</f>
        <v/>
      </c>
    </row>
    <row r="112" spans="1:38" ht="24.95" customHeight="1">
      <c r="A112" s="8"/>
      <c r="B112" s="6"/>
      <c r="C112" s="15" t="str">
        <f>IF(COUNTIFS(Master_PIC!$A$8:$A$73,$B112)=1,IF(VLOOKUP($B112,Master_PIC!$A$8:$G$73,2,FALSE)="","",VLOOKUP($B112,Master_PIC!$A$8:$G$73,2,FALSE)),"")</f>
        <v/>
      </c>
      <c r="D112" s="15" t="str">
        <f>IF(COUNTIFS(Master_PIC!$A$8:$A$73,$B112)=1,IF(VLOOKUP($B112,Master_PIC!$A$8:$G$73,4,FALSE)="","",VLOOKUP($B112,Master_PIC!$A$8:$G$73,4,FALSE)),"")</f>
        <v/>
      </c>
      <c r="E112" s="15" t="str">
        <f>IF(COUNTIFS(Master_PIC!$A$8:$A$73,$B112)=1,IF(VLOOKUP($B112,Master_PIC!$A$8:$G$73,5,FALSE)="","",VLOOKUP($B112,Master_PIC!$A$8:$G$73,5,FALSE)),"")</f>
        <v/>
      </c>
      <c r="F112" s="15" t="str">
        <f>IF(COUNTIFS(Master_PIC!$A$8:$A$73,$B112)=1,IF(VLOOKUP($B112,Master_PIC!$A$8:$G$73,6,FALSE)="","",VLOOKUP($B112,Master_PIC!$A$8:$G$73,6,FALSE)),"")</f>
        <v/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8"/>
      <c r="X112" s="5"/>
      <c r="Y112" s="5"/>
      <c r="Z112" s="9"/>
      <c r="AA112" s="5"/>
      <c r="AB112" s="5"/>
      <c r="AC112" s="9"/>
      <c r="AD112" s="5"/>
      <c r="AE112" s="7" t="str">
        <f t="shared" si="7"/>
        <v/>
      </c>
      <c r="AF112" s="7" t="str">
        <f t="shared" si="8"/>
        <v/>
      </c>
      <c r="AG112" s="7" t="str">
        <f t="shared" si="9"/>
        <v/>
      </c>
      <c r="AH112" s="7" t="str">
        <f t="shared" si="10"/>
        <v/>
      </c>
      <c r="AI112" s="7" t="str">
        <f t="shared" si="11"/>
        <v/>
      </c>
      <c r="AJ112" s="7" t="str">
        <f t="shared" si="12"/>
        <v/>
      </c>
      <c r="AK112" s="10" t="str">
        <f t="shared" si="13"/>
        <v/>
      </c>
      <c r="AL112" s="15" t="str">
        <f>IF(OR($A112&lt;&gt;"",$B112&lt;&gt;""),IF(OR($A112="",$B112=""),"Isi tanggal dan ID PIC",IF(NOT(ISNUMBER($A112)),"Tanggal harus berupa tanggal Excel",IF(COUNTIFS(Master_PIC!$A$8:$A$73,$B112)&lt;&gt;1,"ID PIC tidak unik/terdaftar",IF(VLOOKUP($B112,Master_PIC!$A$8:$G$73,3,FALSE)&lt;&gt;"SPV","Jabatan tidak sesuai sheet",IF(OR($C112="",$D112="",$E112="",$F112=""),"Lengkapi master PIC",IF(COUNTIFS($A$8:$A$507,$A112,$B$8:$B$507,$B112)&gt;1,"Laporan ganda",IF(COUNTIFS(G112:O112,"Tidak Berlaku")&gt;0,"N/A hanya untuk kegiatan bersyarat",IF(SUM(AF112,AG112,AH112,AI112,AJ112)&lt;&gt;13,"Status kegiatan tidak valid",IF(AJ112&gt;0,"Lengkapi status kegiatan",IF(AND(AI112&gt;0,T112=""),"Isi alasan Tidak Berlaku",IF(AND(SUM(AG112,AH112)&gt;0,OR(T112="",U112="",V112="",W112="")),"Isi kendala dan tindak lanjut",IF(AND(Y112&lt;&gt;"Draft",Y112&lt;&gt;"Dikirim"),"Isi status laporan yang valid",IF(AND(AA112&lt;&gt;"",AA112&lt;&gt;"Belum Diperiksa",AA112&lt;&gt;"Disetujui",AA112&lt;&gt;"Perlu Perbaikan"),"Hasil review tidak valid",IF(AND(Y112="Dikirim",OR(X112="",Z112="")),"Isi bukti dan waktu kirim",IF(AND(AA112="Disetujui",OR(Y112&lt;&gt;"Dikirim",AB112="",AC112="")),"Lengkapi pemeriksaan",IF(AND(AA112="Perlu Perbaikan",OR(AD112="",AB112="",AC112="")),"Isi pemeriksa dan catatan perbaikan","OK")))))))))))))))),"")</f>
        <v/>
      </c>
    </row>
    <row r="113" spans="1:38" ht="24.95" customHeight="1">
      <c r="A113" s="8"/>
      <c r="B113" s="6"/>
      <c r="C113" s="15" t="str">
        <f>IF(COUNTIFS(Master_PIC!$A$8:$A$73,$B113)=1,IF(VLOOKUP($B113,Master_PIC!$A$8:$G$73,2,FALSE)="","",VLOOKUP($B113,Master_PIC!$A$8:$G$73,2,FALSE)),"")</f>
        <v/>
      </c>
      <c r="D113" s="15" t="str">
        <f>IF(COUNTIFS(Master_PIC!$A$8:$A$73,$B113)=1,IF(VLOOKUP($B113,Master_PIC!$A$8:$G$73,4,FALSE)="","",VLOOKUP($B113,Master_PIC!$A$8:$G$73,4,FALSE)),"")</f>
        <v/>
      </c>
      <c r="E113" s="15" t="str">
        <f>IF(COUNTIFS(Master_PIC!$A$8:$A$73,$B113)=1,IF(VLOOKUP($B113,Master_PIC!$A$8:$G$73,5,FALSE)="","",VLOOKUP($B113,Master_PIC!$A$8:$G$73,5,FALSE)),"")</f>
        <v/>
      </c>
      <c r="F113" s="15" t="str">
        <f>IF(COUNTIFS(Master_PIC!$A$8:$A$73,$B113)=1,IF(VLOOKUP($B113,Master_PIC!$A$8:$G$73,6,FALSE)="","",VLOOKUP($B113,Master_PIC!$A$8:$G$73,6,FALSE)),"")</f>
        <v/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8"/>
      <c r="X113" s="5"/>
      <c r="Y113" s="5"/>
      <c r="Z113" s="9"/>
      <c r="AA113" s="5"/>
      <c r="AB113" s="5"/>
      <c r="AC113" s="9"/>
      <c r="AD113" s="5"/>
      <c r="AE113" s="7" t="str">
        <f t="shared" si="7"/>
        <v/>
      </c>
      <c r="AF113" s="7" t="str">
        <f t="shared" si="8"/>
        <v/>
      </c>
      <c r="AG113" s="7" t="str">
        <f t="shared" si="9"/>
        <v/>
      </c>
      <c r="AH113" s="7" t="str">
        <f t="shared" si="10"/>
        <v/>
      </c>
      <c r="AI113" s="7" t="str">
        <f t="shared" si="11"/>
        <v/>
      </c>
      <c r="AJ113" s="7" t="str">
        <f t="shared" si="12"/>
        <v/>
      </c>
      <c r="AK113" s="10" t="str">
        <f t="shared" si="13"/>
        <v/>
      </c>
      <c r="AL113" s="15" t="str">
        <f>IF(OR($A113&lt;&gt;"",$B113&lt;&gt;""),IF(OR($A113="",$B113=""),"Isi tanggal dan ID PIC",IF(NOT(ISNUMBER($A113)),"Tanggal harus berupa tanggal Excel",IF(COUNTIFS(Master_PIC!$A$8:$A$73,$B113)&lt;&gt;1,"ID PIC tidak unik/terdaftar",IF(VLOOKUP($B113,Master_PIC!$A$8:$G$73,3,FALSE)&lt;&gt;"SPV","Jabatan tidak sesuai sheet",IF(OR($C113="",$D113="",$E113="",$F113=""),"Lengkapi master PIC",IF(COUNTIFS($A$8:$A$507,$A113,$B$8:$B$507,$B113)&gt;1,"Laporan ganda",IF(COUNTIFS(G113:O113,"Tidak Berlaku")&gt;0,"N/A hanya untuk kegiatan bersyarat",IF(SUM(AF113,AG113,AH113,AI113,AJ113)&lt;&gt;13,"Status kegiatan tidak valid",IF(AJ113&gt;0,"Lengkapi status kegiatan",IF(AND(AI113&gt;0,T113=""),"Isi alasan Tidak Berlaku",IF(AND(SUM(AG113,AH113)&gt;0,OR(T113="",U113="",V113="",W113="")),"Isi kendala dan tindak lanjut",IF(AND(Y113&lt;&gt;"Draft",Y113&lt;&gt;"Dikirim"),"Isi status laporan yang valid",IF(AND(AA113&lt;&gt;"",AA113&lt;&gt;"Belum Diperiksa",AA113&lt;&gt;"Disetujui",AA113&lt;&gt;"Perlu Perbaikan"),"Hasil review tidak valid",IF(AND(Y113="Dikirim",OR(X113="",Z113="")),"Isi bukti dan waktu kirim",IF(AND(AA113="Disetujui",OR(Y113&lt;&gt;"Dikirim",AB113="",AC113="")),"Lengkapi pemeriksaan",IF(AND(AA113="Perlu Perbaikan",OR(AD113="",AB113="",AC113="")),"Isi pemeriksa dan catatan perbaikan","OK")))))))))))))))),"")</f>
        <v/>
      </c>
    </row>
    <row r="114" spans="1:38" ht="24.95" customHeight="1">
      <c r="A114" s="8"/>
      <c r="B114" s="6"/>
      <c r="C114" s="15" t="str">
        <f>IF(COUNTIFS(Master_PIC!$A$8:$A$73,$B114)=1,IF(VLOOKUP($B114,Master_PIC!$A$8:$G$73,2,FALSE)="","",VLOOKUP($B114,Master_PIC!$A$8:$G$73,2,FALSE)),"")</f>
        <v/>
      </c>
      <c r="D114" s="15" t="str">
        <f>IF(COUNTIFS(Master_PIC!$A$8:$A$73,$B114)=1,IF(VLOOKUP($B114,Master_PIC!$A$8:$G$73,4,FALSE)="","",VLOOKUP($B114,Master_PIC!$A$8:$G$73,4,FALSE)),"")</f>
        <v/>
      </c>
      <c r="E114" s="15" t="str">
        <f>IF(COUNTIFS(Master_PIC!$A$8:$A$73,$B114)=1,IF(VLOOKUP($B114,Master_PIC!$A$8:$G$73,5,FALSE)="","",VLOOKUP($B114,Master_PIC!$A$8:$G$73,5,FALSE)),"")</f>
        <v/>
      </c>
      <c r="F114" s="15" t="str">
        <f>IF(COUNTIFS(Master_PIC!$A$8:$A$73,$B114)=1,IF(VLOOKUP($B114,Master_PIC!$A$8:$G$73,6,FALSE)="","",VLOOKUP($B114,Master_PIC!$A$8:$G$73,6,FALSE)),"")</f>
        <v/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9"/>
      <c r="AA114" s="5"/>
      <c r="AB114" s="5"/>
      <c r="AC114" s="9"/>
      <c r="AD114" s="5"/>
      <c r="AE114" s="7" t="str">
        <f t="shared" si="7"/>
        <v/>
      </c>
      <c r="AF114" s="7" t="str">
        <f t="shared" si="8"/>
        <v/>
      </c>
      <c r="AG114" s="7" t="str">
        <f t="shared" si="9"/>
        <v/>
      </c>
      <c r="AH114" s="7" t="str">
        <f t="shared" si="10"/>
        <v/>
      </c>
      <c r="AI114" s="7" t="str">
        <f t="shared" si="11"/>
        <v/>
      </c>
      <c r="AJ114" s="7" t="str">
        <f t="shared" si="12"/>
        <v/>
      </c>
      <c r="AK114" s="10" t="str">
        <f t="shared" si="13"/>
        <v/>
      </c>
      <c r="AL114" s="15" t="str">
        <f>IF(OR($A114&lt;&gt;"",$B114&lt;&gt;""),IF(OR($A114="",$B114=""),"Isi tanggal dan ID PIC",IF(NOT(ISNUMBER($A114)),"Tanggal harus berupa tanggal Excel",IF(COUNTIFS(Master_PIC!$A$8:$A$73,$B114)&lt;&gt;1,"ID PIC tidak unik/terdaftar",IF(VLOOKUP($B114,Master_PIC!$A$8:$G$73,3,FALSE)&lt;&gt;"SPV","Jabatan tidak sesuai sheet",IF(OR($C114="",$D114="",$E114="",$F114=""),"Lengkapi master PIC",IF(COUNTIFS($A$8:$A$507,$A114,$B$8:$B$507,$B114)&gt;1,"Laporan ganda",IF(COUNTIFS(G114:O114,"Tidak Berlaku")&gt;0,"N/A hanya untuk kegiatan bersyarat",IF(SUM(AF114,AG114,AH114,AI114,AJ114)&lt;&gt;13,"Status kegiatan tidak valid",IF(AJ114&gt;0,"Lengkapi status kegiatan",IF(AND(AI114&gt;0,T114=""),"Isi alasan Tidak Berlaku",IF(AND(SUM(AG114,AH114)&gt;0,OR(T114="",U114="",V114="",W114="")),"Isi kendala dan tindak lanjut",IF(AND(Y114&lt;&gt;"Draft",Y114&lt;&gt;"Dikirim"),"Isi status laporan yang valid",IF(AND(AA114&lt;&gt;"",AA114&lt;&gt;"Belum Diperiksa",AA114&lt;&gt;"Disetujui",AA114&lt;&gt;"Perlu Perbaikan"),"Hasil review tidak valid",IF(AND(Y114="Dikirim",OR(X114="",Z114="")),"Isi bukti dan waktu kirim",IF(AND(AA114="Disetujui",OR(Y114&lt;&gt;"Dikirim",AB114="",AC114="")),"Lengkapi pemeriksaan",IF(AND(AA114="Perlu Perbaikan",OR(AD114="",AB114="",AC114="")),"Isi pemeriksa dan catatan perbaikan","OK")))))))))))))))),"")</f>
        <v/>
      </c>
    </row>
    <row r="115" spans="1:38" ht="24.95" customHeight="1">
      <c r="A115" s="8"/>
      <c r="B115" s="6"/>
      <c r="C115" s="15" t="str">
        <f>IF(COUNTIFS(Master_PIC!$A$8:$A$73,$B115)=1,IF(VLOOKUP($B115,Master_PIC!$A$8:$G$73,2,FALSE)="","",VLOOKUP($B115,Master_PIC!$A$8:$G$73,2,FALSE)),"")</f>
        <v/>
      </c>
      <c r="D115" s="15" t="str">
        <f>IF(COUNTIFS(Master_PIC!$A$8:$A$73,$B115)=1,IF(VLOOKUP($B115,Master_PIC!$A$8:$G$73,4,FALSE)="","",VLOOKUP($B115,Master_PIC!$A$8:$G$73,4,FALSE)),"")</f>
        <v/>
      </c>
      <c r="E115" s="15" t="str">
        <f>IF(COUNTIFS(Master_PIC!$A$8:$A$73,$B115)=1,IF(VLOOKUP($B115,Master_PIC!$A$8:$G$73,5,FALSE)="","",VLOOKUP($B115,Master_PIC!$A$8:$G$73,5,FALSE)),"")</f>
        <v/>
      </c>
      <c r="F115" s="15" t="str">
        <f>IF(COUNTIFS(Master_PIC!$A$8:$A$73,$B115)=1,IF(VLOOKUP($B115,Master_PIC!$A$8:$G$73,6,FALSE)="","",VLOOKUP($B115,Master_PIC!$A$8:$G$73,6,FALSE)),"")</f>
        <v/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9"/>
      <c r="AA115" s="5"/>
      <c r="AB115" s="5"/>
      <c r="AC115" s="9"/>
      <c r="AD115" s="5"/>
      <c r="AE115" s="7" t="str">
        <f t="shared" si="7"/>
        <v/>
      </c>
      <c r="AF115" s="7" t="str">
        <f t="shared" si="8"/>
        <v/>
      </c>
      <c r="AG115" s="7" t="str">
        <f t="shared" si="9"/>
        <v/>
      </c>
      <c r="AH115" s="7" t="str">
        <f t="shared" si="10"/>
        <v/>
      </c>
      <c r="AI115" s="7" t="str">
        <f t="shared" si="11"/>
        <v/>
      </c>
      <c r="AJ115" s="7" t="str">
        <f t="shared" si="12"/>
        <v/>
      </c>
      <c r="AK115" s="10" t="str">
        <f t="shared" si="13"/>
        <v/>
      </c>
      <c r="AL115" s="15" t="str">
        <f>IF(OR($A115&lt;&gt;"",$B115&lt;&gt;""),IF(OR($A115="",$B115=""),"Isi tanggal dan ID PIC",IF(NOT(ISNUMBER($A115)),"Tanggal harus berupa tanggal Excel",IF(COUNTIFS(Master_PIC!$A$8:$A$73,$B115)&lt;&gt;1,"ID PIC tidak unik/terdaftar",IF(VLOOKUP($B115,Master_PIC!$A$8:$G$73,3,FALSE)&lt;&gt;"SPV","Jabatan tidak sesuai sheet",IF(OR($C115="",$D115="",$E115="",$F115=""),"Lengkapi master PIC",IF(COUNTIFS($A$8:$A$507,$A115,$B$8:$B$507,$B115)&gt;1,"Laporan ganda",IF(COUNTIFS(G115:O115,"Tidak Berlaku")&gt;0,"N/A hanya untuk kegiatan bersyarat",IF(SUM(AF115,AG115,AH115,AI115,AJ115)&lt;&gt;13,"Status kegiatan tidak valid",IF(AJ115&gt;0,"Lengkapi status kegiatan",IF(AND(AI115&gt;0,T115=""),"Isi alasan Tidak Berlaku",IF(AND(SUM(AG115,AH115)&gt;0,OR(T115="",U115="",V115="",W115="")),"Isi kendala dan tindak lanjut",IF(AND(Y115&lt;&gt;"Draft",Y115&lt;&gt;"Dikirim"),"Isi status laporan yang valid",IF(AND(AA115&lt;&gt;"",AA115&lt;&gt;"Belum Diperiksa",AA115&lt;&gt;"Disetujui",AA115&lt;&gt;"Perlu Perbaikan"),"Hasil review tidak valid",IF(AND(Y115="Dikirim",OR(X115="",Z115="")),"Isi bukti dan waktu kirim",IF(AND(AA115="Disetujui",OR(Y115&lt;&gt;"Dikirim",AB115="",AC115="")),"Lengkapi pemeriksaan",IF(AND(AA115="Perlu Perbaikan",OR(AD115="",AB115="",AC115="")),"Isi pemeriksa dan catatan perbaikan","OK")))))))))))))))),"")</f>
        <v/>
      </c>
    </row>
    <row r="116" spans="1:38" ht="24.95" customHeight="1">
      <c r="A116" s="8"/>
      <c r="B116" s="6"/>
      <c r="C116" s="15" t="str">
        <f>IF(COUNTIFS(Master_PIC!$A$8:$A$73,$B116)=1,IF(VLOOKUP($B116,Master_PIC!$A$8:$G$73,2,FALSE)="","",VLOOKUP($B116,Master_PIC!$A$8:$G$73,2,FALSE)),"")</f>
        <v/>
      </c>
      <c r="D116" s="15" t="str">
        <f>IF(COUNTIFS(Master_PIC!$A$8:$A$73,$B116)=1,IF(VLOOKUP($B116,Master_PIC!$A$8:$G$73,4,FALSE)="","",VLOOKUP($B116,Master_PIC!$A$8:$G$73,4,FALSE)),"")</f>
        <v/>
      </c>
      <c r="E116" s="15" t="str">
        <f>IF(COUNTIFS(Master_PIC!$A$8:$A$73,$B116)=1,IF(VLOOKUP($B116,Master_PIC!$A$8:$G$73,5,FALSE)="","",VLOOKUP($B116,Master_PIC!$A$8:$G$73,5,FALSE)),"")</f>
        <v/>
      </c>
      <c r="F116" s="15" t="str">
        <f>IF(COUNTIFS(Master_PIC!$A$8:$A$73,$B116)=1,IF(VLOOKUP($B116,Master_PIC!$A$8:$G$73,6,FALSE)="","",VLOOKUP($B116,Master_PIC!$A$8:$G$73,6,FALSE)),"")</f>
        <v/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9"/>
      <c r="AA116" s="5"/>
      <c r="AB116" s="5"/>
      <c r="AC116" s="9"/>
      <c r="AD116" s="5"/>
      <c r="AE116" s="7" t="str">
        <f t="shared" si="7"/>
        <v/>
      </c>
      <c r="AF116" s="7" t="str">
        <f t="shared" si="8"/>
        <v/>
      </c>
      <c r="AG116" s="7" t="str">
        <f t="shared" si="9"/>
        <v/>
      </c>
      <c r="AH116" s="7" t="str">
        <f t="shared" si="10"/>
        <v/>
      </c>
      <c r="AI116" s="7" t="str">
        <f t="shared" si="11"/>
        <v/>
      </c>
      <c r="AJ116" s="7" t="str">
        <f t="shared" si="12"/>
        <v/>
      </c>
      <c r="AK116" s="10" t="str">
        <f t="shared" si="13"/>
        <v/>
      </c>
      <c r="AL116" s="15" t="str">
        <f>IF(OR($A116&lt;&gt;"",$B116&lt;&gt;""),IF(OR($A116="",$B116=""),"Isi tanggal dan ID PIC",IF(NOT(ISNUMBER($A116)),"Tanggal harus berupa tanggal Excel",IF(COUNTIFS(Master_PIC!$A$8:$A$73,$B116)&lt;&gt;1,"ID PIC tidak unik/terdaftar",IF(VLOOKUP($B116,Master_PIC!$A$8:$G$73,3,FALSE)&lt;&gt;"SPV","Jabatan tidak sesuai sheet",IF(OR($C116="",$D116="",$E116="",$F116=""),"Lengkapi master PIC",IF(COUNTIFS($A$8:$A$507,$A116,$B$8:$B$507,$B116)&gt;1,"Laporan ganda",IF(COUNTIFS(G116:O116,"Tidak Berlaku")&gt;0,"N/A hanya untuk kegiatan bersyarat",IF(SUM(AF116,AG116,AH116,AI116,AJ116)&lt;&gt;13,"Status kegiatan tidak valid",IF(AJ116&gt;0,"Lengkapi status kegiatan",IF(AND(AI116&gt;0,T116=""),"Isi alasan Tidak Berlaku",IF(AND(SUM(AG116,AH116)&gt;0,OR(T116="",U116="",V116="",W116="")),"Isi kendala dan tindak lanjut",IF(AND(Y116&lt;&gt;"Draft",Y116&lt;&gt;"Dikirim"),"Isi status laporan yang valid",IF(AND(AA116&lt;&gt;"",AA116&lt;&gt;"Belum Diperiksa",AA116&lt;&gt;"Disetujui",AA116&lt;&gt;"Perlu Perbaikan"),"Hasil review tidak valid",IF(AND(Y116="Dikirim",OR(X116="",Z116="")),"Isi bukti dan waktu kirim",IF(AND(AA116="Disetujui",OR(Y116&lt;&gt;"Dikirim",AB116="",AC116="")),"Lengkapi pemeriksaan",IF(AND(AA116="Perlu Perbaikan",OR(AD116="",AB116="",AC116="")),"Isi pemeriksa dan catatan perbaikan","OK")))))))))))))))),"")</f>
        <v/>
      </c>
    </row>
    <row r="117" spans="1:38" ht="24.95" customHeight="1">
      <c r="A117" s="8"/>
      <c r="B117" s="6"/>
      <c r="C117" s="15" t="str">
        <f>IF(COUNTIFS(Master_PIC!$A$8:$A$73,$B117)=1,IF(VLOOKUP($B117,Master_PIC!$A$8:$G$73,2,FALSE)="","",VLOOKUP($B117,Master_PIC!$A$8:$G$73,2,FALSE)),"")</f>
        <v/>
      </c>
      <c r="D117" s="15" t="str">
        <f>IF(COUNTIFS(Master_PIC!$A$8:$A$73,$B117)=1,IF(VLOOKUP($B117,Master_PIC!$A$8:$G$73,4,FALSE)="","",VLOOKUP($B117,Master_PIC!$A$8:$G$73,4,FALSE)),"")</f>
        <v/>
      </c>
      <c r="E117" s="15" t="str">
        <f>IF(COUNTIFS(Master_PIC!$A$8:$A$73,$B117)=1,IF(VLOOKUP($B117,Master_PIC!$A$8:$G$73,5,FALSE)="","",VLOOKUP($B117,Master_PIC!$A$8:$G$73,5,FALSE)),"")</f>
        <v/>
      </c>
      <c r="F117" s="15" t="str">
        <f>IF(COUNTIFS(Master_PIC!$A$8:$A$73,$B117)=1,IF(VLOOKUP($B117,Master_PIC!$A$8:$G$73,6,FALSE)="","",VLOOKUP($B117,Master_PIC!$A$8:$G$73,6,FALSE)),"")</f>
        <v/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8"/>
      <c r="X117" s="5"/>
      <c r="Y117" s="5"/>
      <c r="Z117" s="9"/>
      <c r="AA117" s="5"/>
      <c r="AB117" s="5"/>
      <c r="AC117" s="9"/>
      <c r="AD117" s="5"/>
      <c r="AE117" s="7" t="str">
        <f t="shared" si="7"/>
        <v/>
      </c>
      <c r="AF117" s="7" t="str">
        <f t="shared" si="8"/>
        <v/>
      </c>
      <c r="AG117" s="7" t="str">
        <f t="shared" si="9"/>
        <v/>
      </c>
      <c r="AH117" s="7" t="str">
        <f t="shared" si="10"/>
        <v/>
      </c>
      <c r="AI117" s="7" t="str">
        <f t="shared" si="11"/>
        <v/>
      </c>
      <c r="AJ117" s="7" t="str">
        <f t="shared" si="12"/>
        <v/>
      </c>
      <c r="AK117" s="10" t="str">
        <f t="shared" si="13"/>
        <v/>
      </c>
      <c r="AL117" s="15" t="str">
        <f>IF(OR($A117&lt;&gt;"",$B117&lt;&gt;""),IF(OR($A117="",$B117=""),"Isi tanggal dan ID PIC",IF(NOT(ISNUMBER($A117)),"Tanggal harus berupa tanggal Excel",IF(COUNTIFS(Master_PIC!$A$8:$A$73,$B117)&lt;&gt;1,"ID PIC tidak unik/terdaftar",IF(VLOOKUP($B117,Master_PIC!$A$8:$G$73,3,FALSE)&lt;&gt;"SPV","Jabatan tidak sesuai sheet",IF(OR($C117="",$D117="",$E117="",$F117=""),"Lengkapi master PIC",IF(COUNTIFS($A$8:$A$507,$A117,$B$8:$B$507,$B117)&gt;1,"Laporan ganda",IF(COUNTIFS(G117:O117,"Tidak Berlaku")&gt;0,"N/A hanya untuk kegiatan bersyarat",IF(SUM(AF117,AG117,AH117,AI117,AJ117)&lt;&gt;13,"Status kegiatan tidak valid",IF(AJ117&gt;0,"Lengkapi status kegiatan",IF(AND(AI117&gt;0,T117=""),"Isi alasan Tidak Berlaku",IF(AND(SUM(AG117,AH117)&gt;0,OR(T117="",U117="",V117="",W117="")),"Isi kendala dan tindak lanjut",IF(AND(Y117&lt;&gt;"Draft",Y117&lt;&gt;"Dikirim"),"Isi status laporan yang valid",IF(AND(AA117&lt;&gt;"",AA117&lt;&gt;"Belum Diperiksa",AA117&lt;&gt;"Disetujui",AA117&lt;&gt;"Perlu Perbaikan"),"Hasil review tidak valid",IF(AND(Y117="Dikirim",OR(X117="",Z117="")),"Isi bukti dan waktu kirim",IF(AND(AA117="Disetujui",OR(Y117&lt;&gt;"Dikirim",AB117="",AC117="")),"Lengkapi pemeriksaan",IF(AND(AA117="Perlu Perbaikan",OR(AD117="",AB117="",AC117="")),"Isi pemeriksa dan catatan perbaikan","OK")))))))))))))))),"")</f>
        <v/>
      </c>
    </row>
    <row r="118" spans="1:38" ht="24.95" customHeight="1">
      <c r="A118" s="8"/>
      <c r="B118" s="6"/>
      <c r="C118" s="15" t="str">
        <f>IF(COUNTIFS(Master_PIC!$A$8:$A$73,$B118)=1,IF(VLOOKUP($B118,Master_PIC!$A$8:$G$73,2,FALSE)="","",VLOOKUP($B118,Master_PIC!$A$8:$G$73,2,FALSE)),"")</f>
        <v/>
      </c>
      <c r="D118" s="15" t="str">
        <f>IF(COUNTIFS(Master_PIC!$A$8:$A$73,$B118)=1,IF(VLOOKUP($B118,Master_PIC!$A$8:$G$73,4,FALSE)="","",VLOOKUP($B118,Master_PIC!$A$8:$G$73,4,FALSE)),"")</f>
        <v/>
      </c>
      <c r="E118" s="15" t="str">
        <f>IF(COUNTIFS(Master_PIC!$A$8:$A$73,$B118)=1,IF(VLOOKUP($B118,Master_PIC!$A$8:$G$73,5,FALSE)="","",VLOOKUP($B118,Master_PIC!$A$8:$G$73,5,FALSE)),"")</f>
        <v/>
      </c>
      <c r="F118" s="15" t="str">
        <f>IF(COUNTIFS(Master_PIC!$A$8:$A$73,$B118)=1,IF(VLOOKUP($B118,Master_PIC!$A$8:$G$73,6,FALSE)="","",VLOOKUP($B118,Master_PIC!$A$8:$G$73,6,FALSE)),"")</f>
        <v/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8"/>
      <c r="X118" s="5"/>
      <c r="Y118" s="5"/>
      <c r="Z118" s="9"/>
      <c r="AA118" s="5"/>
      <c r="AB118" s="5"/>
      <c r="AC118" s="9"/>
      <c r="AD118" s="5"/>
      <c r="AE118" s="7" t="str">
        <f t="shared" si="7"/>
        <v/>
      </c>
      <c r="AF118" s="7" t="str">
        <f t="shared" si="8"/>
        <v/>
      </c>
      <c r="AG118" s="7" t="str">
        <f t="shared" si="9"/>
        <v/>
      </c>
      <c r="AH118" s="7" t="str">
        <f t="shared" si="10"/>
        <v/>
      </c>
      <c r="AI118" s="7" t="str">
        <f t="shared" si="11"/>
        <v/>
      </c>
      <c r="AJ118" s="7" t="str">
        <f t="shared" si="12"/>
        <v/>
      </c>
      <c r="AK118" s="10" t="str">
        <f t="shared" si="13"/>
        <v/>
      </c>
      <c r="AL118" s="15" t="str">
        <f>IF(OR($A118&lt;&gt;"",$B118&lt;&gt;""),IF(OR($A118="",$B118=""),"Isi tanggal dan ID PIC",IF(NOT(ISNUMBER($A118)),"Tanggal harus berupa tanggal Excel",IF(COUNTIFS(Master_PIC!$A$8:$A$73,$B118)&lt;&gt;1,"ID PIC tidak unik/terdaftar",IF(VLOOKUP($B118,Master_PIC!$A$8:$G$73,3,FALSE)&lt;&gt;"SPV","Jabatan tidak sesuai sheet",IF(OR($C118="",$D118="",$E118="",$F118=""),"Lengkapi master PIC",IF(COUNTIFS($A$8:$A$507,$A118,$B$8:$B$507,$B118)&gt;1,"Laporan ganda",IF(COUNTIFS(G118:O118,"Tidak Berlaku")&gt;0,"N/A hanya untuk kegiatan bersyarat",IF(SUM(AF118,AG118,AH118,AI118,AJ118)&lt;&gt;13,"Status kegiatan tidak valid",IF(AJ118&gt;0,"Lengkapi status kegiatan",IF(AND(AI118&gt;0,T118=""),"Isi alasan Tidak Berlaku",IF(AND(SUM(AG118,AH118)&gt;0,OR(T118="",U118="",V118="",W118="")),"Isi kendala dan tindak lanjut",IF(AND(Y118&lt;&gt;"Draft",Y118&lt;&gt;"Dikirim"),"Isi status laporan yang valid",IF(AND(AA118&lt;&gt;"",AA118&lt;&gt;"Belum Diperiksa",AA118&lt;&gt;"Disetujui",AA118&lt;&gt;"Perlu Perbaikan"),"Hasil review tidak valid",IF(AND(Y118="Dikirim",OR(X118="",Z118="")),"Isi bukti dan waktu kirim",IF(AND(AA118="Disetujui",OR(Y118&lt;&gt;"Dikirim",AB118="",AC118="")),"Lengkapi pemeriksaan",IF(AND(AA118="Perlu Perbaikan",OR(AD118="",AB118="",AC118="")),"Isi pemeriksa dan catatan perbaikan","OK")))))))))))))))),"")</f>
        <v/>
      </c>
    </row>
    <row r="119" spans="1:38" ht="24.95" customHeight="1">
      <c r="A119" s="8"/>
      <c r="B119" s="6"/>
      <c r="C119" s="15" t="str">
        <f>IF(COUNTIFS(Master_PIC!$A$8:$A$73,$B119)=1,IF(VLOOKUP($B119,Master_PIC!$A$8:$G$73,2,FALSE)="","",VLOOKUP($B119,Master_PIC!$A$8:$G$73,2,FALSE)),"")</f>
        <v/>
      </c>
      <c r="D119" s="15" t="str">
        <f>IF(COUNTIFS(Master_PIC!$A$8:$A$73,$B119)=1,IF(VLOOKUP($B119,Master_PIC!$A$8:$G$73,4,FALSE)="","",VLOOKUP($B119,Master_PIC!$A$8:$G$73,4,FALSE)),"")</f>
        <v/>
      </c>
      <c r="E119" s="15" t="str">
        <f>IF(COUNTIFS(Master_PIC!$A$8:$A$73,$B119)=1,IF(VLOOKUP($B119,Master_PIC!$A$8:$G$73,5,FALSE)="","",VLOOKUP($B119,Master_PIC!$A$8:$G$73,5,FALSE)),"")</f>
        <v/>
      </c>
      <c r="F119" s="15" t="str">
        <f>IF(COUNTIFS(Master_PIC!$A$8:$A$73,$B119)=1,IF(VLOOKUP($B119,Master_PIC!$A$8:$G$73,6,FALSE)="","",VLOOKUP($B119,Master_PIC!$A$8:$G$73,6,FALSE)),"")</f>
        <v/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8"/>
      <c r="X119" s="5"/>
      <c r="Y119" s="5"/>
      <c r="Z119" s="9"/>
      <c r="AA119" s="5"/>
      <c r="AB119" s="5"/>
      <c r="AC119" s="9"/>
      <c r="AD119" s="5"/>
      <c r="AE119" s="7" t="str">
        <f t="shared" si="7"/>
        <v/>
      </c>
      <c r="AF119" s="7" t="str">
        <f t="shared" si="8"/>
        <v/>
      </c>
      <c r="AG119" s="7" t="str">
        <f t="shared" si="9"/>
        <v/>
      </c>
      <c r="AH119" s="7" t="str">
        <f t="shared" si="10"/>
        <v/>
      </c>
      <c r="AI119" s="7" t="str">
        <f t="shared" si="11"/>
        <v/>
      </c>
      <c r="AJ119" s="7" t="str">
        <f t="shared" si="12"/>
        <v/>
      </c>
      <c r="AK119" s="10" t="str">
        <f t="shared" si="13"/>
        <v/>
      </c>
      <c r="AL119" s="15" t="str">
        <f>IF(OR($A119&lt;&gt;"",$B119&lt;&gt;""),IF(OR($A119="",$B119=""),"Isi tanggal dan ID PIC",IF(NOT(ISNUMBER($A119)),"Tanggal harus berupa tanggal Excel",IF(COUNTIFS(Master_PIC!$A$8:$A$73,$B119)&lt;&gt;1,"ID PIC tidak unik/terdaftar",IF(VLOOKUP($B119,Master_PIC!$A$8:$G$73,3,FALSE)&lt;&gt;"SPV","Jabatan tidak sesuai sheet",IF(OR($C119="",$D119="",$E119="",$F119=""),"Lengkapi master PIC",IF(COUNTIFS($A$8:$A$507,$A119,$B$8:$B$507,$B119)&gt;1,"Laporan ganda",IF(COUNTIFS(G119:O119,"Tidak Berlaku")&gt;0,"N/A hanya untuk kegiatan bersyarat",IF(SUM(AF119,AG119,AH119,AI119,AJ119)&lt;&gt;13,"Status kegiatan tidak valid",IF(AJ119&gt;0,"Lengkapi status kegiatan",IF(AND(AI119&gt;0,T119=""),"Isi alasan Tidak Berlaku",IF(AND(SUM(AG119,AH119)&gt;0,OR(T119="",U119="",V119="",W119="")),"Isi kendala dan tindak lanjut",IF(AND(Y119&lt;&gt;"Draft",Y119&lt;&gt;"Dikirim"),"Isi status laporan yang valid",IF(AND(AA119&lt;&gt;"",AA119&lt;&gt;"Belum Diperiksa",AA119&lt;&gt;"Disetujui",AA119&lt;&gt;"Perlu Perbaikan"),"Hasil review tidak valid",IF(AND(Y119="Dikirim",OR(X119="",Z119="")),"Isi bukti dan waktu kirim",IF(AND(AA119="Disetujui",OR(Y119&lt;&gt;"Dikirim",AB119="",AC119="")),"Lengkapi pemeriksaan",IF(AND(AA119="Perlu Perbaikan",OR(AD119="",AB119="",AC119="")),"Isi pemeriksa dan catatan perbaikan","OK")))))))))))))))),"")</f>
        <v/>
      </c>
    </row>
    <row r="120" spans="1:38" ht="24.95" customHeight="1">
      <c r="A120" s="8"/>
      <c r="B120" s="6"/>
      <c r="C120" s="15" t="str">
        <f>IF(COUNTIFS(Master_PIC!$A$8:$A$73,$B120)=1,IF(VLOOKUP($B120,Master_PIC!$A$8:$G$73,2,FALSE)="","",VLOOKUP($B120,Master_PIC!$A$8:$G$73,2,FALSE)),"")</f>
        <v/>
      </c>
      <c r="D120" s="15" t="str">
        <f>IF(COUNTIFS(Master_PIC!$A$8:$A$73,$B120)=1,IF(VLOOKUP($B120,Master_PIC!$A$8:$G$73,4,FALSE)="","",VLOOKUP($B120,Master_PIC!$A$8:$G$73,4,FALSE)),"")</f>
        <v/>
      </c>
      <c r="E120" s="15" t="str">
        <f>IF(COUNTIFS(Master_PIC!$A$8:$A$73,$B120)=1,IF(VLOOKUP($B120,Master_PIC!$A$8:$G$73,5,FALSE)="","",VLOOKUP($B120,Master_PIC!$A$8:$G$73,5,FALSE)),"")</f>
        <v/>
      </c>
      <c r="F120" s="15" t="str">
        <f>IF(COUNTIFS(Master_PIC!$A$8:$A$73,$B120)=1,IF(VLOOKUP($B120,Master_PIC!$A$8:$G$73,6,FALSE)="","",VLOOKUP($B120,Master_PIC!$A$8:$G$73,6,FALSE)),"")</f>
        <v/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8"/>
      <c r="X120" s="5"/>
      <c r="Y120" s="5"/>
      <c r="Z120" s="9"/>
      <c r="AA120" s="5"/>
      <c r="AB120" s="5"/>
      <c r="AC120" s="9"/>
      <c r="AD120" s="5"/>
      <c r="AE120" s="7" t="str">
        <f t="shared" si="7"/>
        <v/>
      </c>
      <c r="AF120" s="7" t="str">
        <f t="shared" si="8"/>
        <v/>
      </c>
      <c r="AG120" s="7" t="str">
        <f t="shared" si="9"/>
        <v/>
      </c>
      <c r="AH120" s="7" t="str">
        <f t="shared" si="10"/>
        <v/>
      </c>
      <c r="AI120" s="7" t="str">
        <f t="shared" si="11"/>
        <v/>
      </c>
      <c r="AJ120" s="7" t="str">
        <f t="shared" si="12"/>
        <v/>
      </c>
      <c r="AK120" s="10" t="str">
        <f t="shared" si="13"/>
        <v/>
      </c>
      <c r="AL120" s="15" t="str">
        <f>IF(OR($A120&lt;&gt;"",$B120&lt;&gt;""),IF(OR($A120="",$B120=""),"Isi tanggal dan ID PIC",IF(NOT(ISNUMBER($A120)),"Tanggal harus berupa tanggal Excel",IF(COUNTIFS(Master_PIC!$A$8:$A$73,$B120)&lt;&gt;1,"ID PIC tidak unik/terdaftar",IF(VLOOKUP($B120,Master_PIC!$A$8:$G$73,3,FALSE)&lt;&gt;"SPV","Jabatan tidak sesuai sheet",IF(OR($C120="",$D120="",$E120="",$F120=""),"Lengkapi master PIC",IF(COUNTIFS($A$8:$A$507,$A120,$B$8:$B$507,$B120)&gt;1,"Laporan ganda",IF(COUNTIFS(G120:O120,"Tidak Berlaku")&gt;0,"N/A hanya untuk kegiatan bersyarat",IF(SUM(AF120,AG120,AH120,AI120,AJ120)&lt;&gt;13,"Status kegiatan tidak valid",IF(AJ120&gt;0,"Lengkapi status kegiatan",IF(AND(AI120&gt;0,T120=""),"Isi alasan Tidak Berlaku",IF(AND(SUM(AG120,AH120)&gt;0,OR(T120="",U120="",V120="",W120="")),"Isi kendala dan tindak lanjut",IF(AND(Y120&lt;&gt;"Draft",Y120&lt;&gt;"Dikirim"),"Isi status laporan yang valid",IF(AND(AA120&lt;&gt;"",AA120&lt;&gt;"Belum Diperiksa",AA120&lt;&gt;"Disetujui",AA120&lt;&gt;"Perlu Perbaikan"),"Hasil review tidak valid",IF(AND(Y120="Dikirim",OR(X120="",Z120="")),"Isi bukti dan waktu kirim",IF(AND(AA120="Disetujui",OR(Y120&lt;&gt;"Dikirim",AB120="",AC120="")),"Lengkapi pemeriksaan",IF(AND(AA120="Perlu Perbaikan",OR(AD120="",AB120="",AC120="")),"Isi pemeriksa dan catatan perbaikan","OK")))))))))))))))),"")</f>
        <v/>
      </c>
    </row>
    <row r="121" spans="1:38" ht="24.95" customHeight="1">
      <c r="A121" s="8"/>
      <c r="B121" s="6"/>
      <c r="C121" s="15" t="str">
        <f>IF(COUNTIFS(Master_PIC!$A$8:$A$73,$B121)=1,IF(VLOOKUP($B121,Master_PIC!$A$8:$G$73,2,FALSE)="","",VLOOKUP($B121,Master_PIC!$A$8:$G$73,2,FALSE)),"")</f>
        <v/>
      </c>
      <c r="D121" s="15" t="str">
        <f>IF(COUNTIFS(Master_PIC!$A$8:$A$73,$B121)=1,IF(VLOOKUP($B121,Master_PIC!$A$8:$G$73,4,FALSE)="","",VLOOKUP($B121,Master_PIC!$A$8:$G$73,4,FALSE)),"")</f>
        <v/>
      </c>
      <c r="E121" s="15" t="str">
        <f>IF(COUNTIFS(Master_PIC!$A$8:$A$73,$B121)=1,IF(VLOOKUP($B121,Master_PIC!$A$8:$G$73,5,FALSE)="","",VLOOKUP($B121,Master_PIC!$A$8:$G$73,5,FALSE)),"")</f>
        <v/>
      </c>
      <c r="F121" s="15" t="str">
        <f>IF(COUNTIFS(Master_PIC!$A$8:$A$73,$B121)=1,IF(VLOOKUP($B121,Master_PIC!$A$8:$G$73,6,FALSE)="","",VLOOKUP($B121,Master_PIC!$A$8:$G$73,6,FALSE)),"")</f>
        <v/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8"/>
      <c r="X121" s="5"/>
      <c r="Y121" s="5"/>
      <c r="Z121" s="9"/>
      <c r="AA121" s="5"/>
      <c r="AB121" s="5"/>
      <c r="AC121" s="9"/>
      <c r="AD121" s="5"/>
      <c r="AE121" s="7" t="str">
        <f t="shared" si="7"/>
        <v/>
      </c>
      <c r="AF121" s="7" t="str">
        <f t="shared" si="8"/>
        <v/>
      </c>
      <c r="AG121" s="7" t="str">
        <f t="shared" si="9"/>
        <v/>
      </c>
      <c r="AH121" s="7" t="str">
        <f t="shared" si="10"/>
        <v/>
      </c>
      <c r="AI121" s="7" t="str">
        <f t="shared" si="11"/>
        <v/>
      </c>
      <c r="AJ121" s="7" t="str">
        <f t="shared" si="12"/>
        <v/>
      </c>
      <c r="AK121" s="10" t="str">
        <f t="shared" si="13"/>
        <v/>
      </c>
      <c r="AL121" s="15" t="str">
        <f>IF(OR($A121&lt;&gt;"",$B121&lt;&gt;""),IF(OR($A121="",$B121=""),"Isi tanggal dan ID PIC",IF(NOT(ISNUMBER($A121)),"Tanggal harus berupa tanggal Excel",IF(COUNTIFS(Master_PIC!$A$8:$A$73,$B121)&lt;&gt;1,"ID PIC tidak unik/terdaftar",IF(VLOOKUP($B121,Master_PIC!$A$8:$G$73,3,FALSE)&lt;&gt;"SPV","Jabatan tidak sesuai sheet",IF(OR($C121="",$D121="",$E121="",$F121=""),"Lengkapi master PIC",IF(COUNTIFS($A$8:$A$507,$A121,$B$8:$B$507,$B121)&gt;1,"Laporan ganda",IF(COUNTIFS(G121:O121,"Tidak Berlaku")&gt;0,"N/A hanya untuk kegiatan bersyarat",IF(SUM(AF121,AG121,AH121,AI121,AJ121)&lt;&gt;13,"Status kegiatan tidak valid",IF(AJ121&gt;0,"Lengkapi status kegiatan",IF(AND(AI121&gt;0,T121=""),"Isi alasan Tidak Berlaku",IF(AND(SUM(AG121,AH121)&gt;0,OR(T121="",U121="",V121="",W121="")),"Isi kendala dan tindak lanjut",IF(AND(Y121&lt;&gt;"Draft",Y121&lt;&gt;"Dikirim"),"Isi status laporan yang valid",IF(AND(AA121&lt;&gt;"",AA121&lt;&gt;"Belum Diperiksa",AA121&lt;&gt;"Disetujui",AA121&lt;&gt;"Perlu Perbaikan"),"Hasil review tidak valid",IF(AND(Y121="Dikirim",OR(X121="",Z121="")),"Isi bukti dan waktu kirim",IF(AND(AA121="Disetujui",OR(Y121&lt;&gt;"Dikirim",AB121="",AC121="")),"Lengkapi pemeriksaan",IF(AND(AA121="Perlu Perbaikan",OR(AD121="",AB121="",AC121="")),"Isi pemeriksa dan catatan perbaikan","OK")))))))))))))))),"")</f>
        <v/>
      </c>
    </row>
    <row r="122" spans="1:38" ht="24.95" customHeight="1">
      <c r="A122" s="8"/>
      <c r="B122" s="6"/>
      <c r="C122" s="15" t="str">
        <f>IF(COUNTIFS(Master_PIC!$A$8:$A$73,$B122)=1,IF(VLOOKUP($B122,Master_PIC!$A$8:$G$73,2,FALSE)="","",VLOOKUP($B122,Master_PIC!$A$8:$G$73,2,FALSE)),"")</f>
        <v/>
      </c>
      <c r="D122" s="15" t="str">
        <f>IF(COUNTIFS(Master_PIC!$A$8:$A$73,$B122)=1,IF(VLOOKUP($B122,Master_PIC!$A$8:$G$73,4,FALSE)="","",VLOOKUP($B122,Master_PIC!$A$8:$G$73,4,FALSE)),"")</f>
        <v/>
      </c>
      <c r="E122" s="15" t="str">
        <f>IF(COUNTIFS(Master_PIC!$A$8:$A$73,$B122)=1,IF(VLOOKUP($B122,Master_PIC!$A$8:$G$73,5,FALSE)="","",VLOOKUP($B122,Master_PIC!$A$8:$G$73,5,FALSE)),"")</f>
        <v/>
      </c>
      <c r="F122" s="15" t="str">
        <f>IF(COUNTIFS(Master_PIC!$A$8:$A$73,$B122)=1,IF(VLOOKUP($B122,Master_PIC!$A$8:$G$73,6,FALSE)="","",VLOOKUP($B122,Master_PIC!$A$8:$G$73,6,FALSE)),"")</f>
        <v/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8"/>
      <c r="X122" s="5"/>
      <c r="Y122" s="5"/>
      <c r="Z122" s="9"/>
      <c r="AA122" s="5"/>
      <c r="AB122" s="5"/>
      <c r="AC122" s="9"/>
      <c r="AD122" s="5"/>
      <c r="AE122" s="7" t="str">
        <f t="shared" si="7"/>
        <v/>
      </c>
      <c r="AF122" s="7" t="str">
        <f t="shared" si="8"/>
        <v/>
      </c>
      <c r="AG122" s="7" t="str">
        <f t="shared" si="9"/>
        <v/>
      </c>
      <c r="AH122" s="7" t="str">
        <f t="shared" si="10"/>
        <v/>
      </c>
      <c r="AI122" s="7" t="str">
        <f t="shared" si="11"/>
        <v/>
      </c>
      <c r="AJ122" s="7" t="str">
        <f t="shared" si="12"/>
        <v/>
      </c>
      <c r="AK122" s="10" t="str">
        <f t="shared" si="13"/>
        <v/>
      </c>
      <c r="AL122" s="15" t="str">
        <f>IF(OR($A122&lt;&gt;"",$B122&lt;&gt;""),IF(OR($A122="",$B122=""),"Isi tanggal dan ID PIC",IF(NOT(ISNUMBER($A122)),"Tanggal harus berupa tanggal Excel",IF(COUNTIFS(Master_PIC!$A$8:$A$73,$B122)&lt;&gt;1,"ID PIC tidak unik/terdaftar",IF(VLOOKUP($B122,Master_PIC!$A$8:$G$73,3,FALSE)&lt;&gt;"SPV","Jabatan tidak sesuai sheet",IF(OR($C122="",$D122="",$E122="",$F122=""),"Lengkapi master PIC",IF(COUNTIFS($A$8:$A$507,$A122,$B$8:$B$507,$B122)&gt;1,"Laporan ganda",IF(COUNTIFS(G122:O122,"Tidak Berlaku")&gt;0,"N/A hanya untuk kegiatan bersyarat",IF(SUM(AF122,AG122,AH122,AI122,AJ122)&lt;&gt;13,"Status kegiatan tidak valid",IF(AJ122&gt;0,"Lengkapi status kegiatan",IF(AND(AI122&gt;0,T122=""),"Isi alasan Tidak Berlaku",IF(AND(SUM(AG122,AH122)&gt;0,OR(T122="",U122="",V122="",W122="")),"Isi kendala dan tindak lanjut",IF(AND(Y122&lt;&gt;"Draft",Y122&lt;&gt;"Dikirim"),"Isi status laporan yang valid",IF(AND(AA122&lt;&gt;"",AA122&lt;&gt;"Belum Diperiksa",AA122&lt;&gt;"Disetujui",AA122&lt;&gt;"Perlu Perbaikan"),"Hasil review tidak valid",IF(AND(Y122="Dikirim",OR(X122="",Z122="")),"Isi bukti dan waktu kirim",IF(AND(AA122="Disetujui",OR(Y122&lt;&gt;"Dikirim",AB122="",AC122="")),"Lengkapi pemeriksaan",IF(AND(AA122="Perlu Perbaikan",OR(AD122="",AB122="",AC122="")),"Isi pemeriksa dan catatan perbaikan","OK")))))))))))))))),"")</f>
        <v/>
      </c>
    </row>
    <row r="123" spans="1:38" ht="24.95" customHeight="1">
      <c r="A123" s="8"/>
      <c r="B123" s="6"/>
      <c r="C123" s="15" t="str">
        <f>IF(COUNTIFS(Master_PIC!$A$8:$A$73,$B123)=1,IF(VLOOKUP($B123,Master_PIC!$A$8:$G$73,2,FALSE)="","",VLOOKUP($B123,Master_PIC!$A$8:$G$73,2,FALSE)),"")</f>
        <v/>
      </c>
      <c r="D123" s="15" t="str">
        <f>IF(COUNTIFS(Master_PIC!$A$8:$A$73,$B123)=1,IF(VLOOKUP($B123,Master_PIC!$A$8:$G$73,4,FALSE)="","",VLOOKUP($B123,Master_PIC!$A$8:$G$73,4,FALSE)),"")</f>
        <v/>
      </c>
      <c r="E123" s="15" t="str">
        <f>IF(COUNTIFS(Master_PIC!$A$8:$A$73,$B123)=1,IF(VLOOKUP($B123,Master_PIC!$A$8:$G$73,5,FALSE)="","",VLOOKUP($B123,Master_PIC!$A$8:$G$73,5,FALSE)),"")</f>
        <v/>
      </c>
      <c r="F123" s="15" t="str">
        <f>IF(COUNTIFS(Master_PIC!$A$8:$A$73,$B123)=1,IF(VLOOKUP($B123,Master_PIC!$A$8:$G$73,6,FALSE)="","",VLOOKUP($B123,Master_PIC!$A$8:$G$73,6,FALSE)),"")</f>
        <v/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8"/>
      <c r="X123" s="5"/>
      <c r="Y123" s="5"/>
      <c r="Z123" s="9"/>
      <c r="AA123" s="5"/>
      <c r="AB123" s="5"/>
      <c r="AC123" s="9"/>
      <c r="AD123" s="5"/>
      <c r="AE123" s="7" t="str">
        <f t="shared" si="7"/>
        <v/>
      </c>
      <c r="AF123" s="7" t="str">
        <f t="shared" si="8"/>
        <v/>
      </c>
      <c r="AG123" s="7" t="str">
        <f t="shared" si="9"/>
        <v/>
      </c>
      <c r="AH123" s="7" t="str">
        <f t="shared" si="10"/>
        <v/>
      </c>
      <c r="AI123" s="7" t="str">
        <f t="shared" si="11"/>
        <v/>
      </c>
      <c r="AJ123" s="7" t="str">
        <f t="shared" si="12"/>
        <v/>
      </c>
      <c r="AK123" s="10" t="str">
        <f t="shared" si="13"/>
        <v/>
      </c>
      <c r="AL123" s="15" t="str">
        <f>IF(OR($A123&lt;&gt;"",$B123&lt;&gt;""),IF(OR($A123="",$B123=""),"Isi tanggal dan ID PIC",IF(NOT(ISNUMBER($A123)),"Tanggal harus berupa tanggal Excel",IF(COUNTIFS(Master_PIC!$A$8:$A$73,$B123)&lt;&gt;1,"ID PIC tidak unik/terdaftar",IF(VLOOKUP($B123,Master_PIC!$A$8:$G$73,3,FALSE)&lt;&gt;"SPV","Jabatan tidak sesuai sheet",IF(OR($C123="",$D123="",$E123="",$F123=""),"Lengkapi master PIC",IF(COUNTIFS($A$8:$A$507,$A123,$B$8:$B$507,$B123)&gt;1,"Laporan ganda",IF(COUNTIFS(G123:O123,"Tidak Berlaku")&gt;0,"N/A hanya untuk kegiatan bersyarat",IF(SUM(AF123,AG123,AH123,AI123,AJ123)&lt;&gt;13,"Status kegiatan tidak valid",IF(AJ123&gt;0,"Lengkapi status kegiatan",IF(AND(AI123&gt;0,T123=""),"Isi alasan Tidak Berlaku",IF(AND(SUM(AG123,AH123)&gt;0,OR(T123="",U123="",V123="",W123="")),"Isi kendala dan tindak lanjut",IF(AND(Y123&lt;&gt;"Draft",Y123&lt;&gt;"Dikirim"),"Isi status laporan yang valid",IF(AND(AA123&lt;&gt;"",AA123&lt;&gt;"Belum Diperiksa",AA123&lt;&gt;"Disetujui",AA123&lt;&gt;"Perlu Perbaikan"),"Hasil review tidak valid",IF(AND(Y123="Dikirim",OR(X123="",Z123="")),"Isi bukti dan waktu kirim",IF(AND(AA123="Disetujui",OR(Y123&lt;&gt;"Dikirim",AB123="",AC123="")),"Lengkapi pemeriksaan",IF(AND(AA123="Perlu Perbaikan",OR(AD123="",AB123="",AC123="")),"Isi pemeriksa dan catatan perbaikan","OK")))))))))))))))),"")</f>
        <v/>
      </c>
    </row>
    <row r="124" spans="1:38" ht="24.95" customHeight="1">
      <c r="A124" s="8"/>
      <c r="B124" s="6"/>
      <c r="C124" s="15" t="str">
        <f>IF(COUNTIFS(Master_PIC!$A$8:$A$73,$B124)=1,IF(VLOOKUP($B124,Master_PIC!$A$8:$G$73,2,FALSE)="","",VLOOKUP($B124,Master_PIC!$A$8:$G$73,2,FALSE)),"")</f>
        <v/>
      </c>
      <c r="D124" s="15" t="str">
        <f>IF(COUNTIFS(Master_PIC!$A$8:$A$73,$B124)=1,IF(VLOOKUP($B124,Master_PIC!$A$8:$G$73,4,FALSE)="","",VLOOKUP($B124,Master_PIC!$A$8:$G$73,4,FALSE)),"")</f>
        <v/>
      </c>
      <c r="E124" s="15" t="str">
        <f>IF(COUNTIFS(Master_PIC!$A$8:$A$73,$B124)=1,IF(VLOOKUP($B124,Master_PIC!$A$8:$G$73,5,FALSE)="","",VLOOKUP($B124,Master_PIC!$A$8:$G$73,5,FALSE)),"")</f>
        <v/>
      </c>
      <c r="F124" s="15" t="str">
        <f>IF(COUNTIFS(Master_PIC!$A$8:$A$73,$B124)=1,IF(VLOOKUP($B124,Master_PIC!$A$8:$G$73,6,FALSE)="","",VLOOKUP($B124,Master_PIC!$A$8:$G$73,6,FALSE)),"")</f>
        <v/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9"/>
      <c r="AA124" s="5"/>
      <c r="AB124" s="5"/>
      <c r="AC124" s="9"/>
      <c r="AD124" s="5"/>
      <c r="AE124" s="7" t="str">
        <f t="shared" si="7"/>
        <v/>
      </c>
      <c r="AF124" s="7" t="str">
        <f t="shared" si="8"/>
        <v/>
      </c>
      <c r="AG124" s="7" t="str">
        <f t="shared" si="9"/>
        <v/>
      </c>
      <c r="AH124" s="7" t="str">
        <f t="shared" si="10"/>
        <v/>
      </c>
      <c r="AI124" s="7" t="str">
        <f t="shared" si="11"/>
        <v/>
      </c>
      <c r="AJ124" s="7" t="str">
        <f t="shared" si="12"/>
        <v/>
      </c>
      <c r="AK124" s="10" t="str">
        <f t="shared" si="13"/>
        <v/>
      </c>
      <c r="AL124" s="15" t="str">
        <f>IF(OR($A124&lt;&gt;"",$B124&lt;&gt;""),IF(OR($A124="",$B124=""),"Isi tanggal dan ID PIC",IF(NOT(ISNUMBER($A124)),"Tanggal harus berupa tanggal Excel",IF(COUNTIFS(Master_PIC!$A$8:$A$73,$B124)&lt;&gt;1,"ID PIC tidak unik/terdaftar",IF(VLOOKUP($B124,Master_PIC!$A$8:$G$73,3,FALSE)&lt;&gt;"SPV","Jabatan tidak sesuai sheet",IF(OR($C124="",$D124="",$E124="",$F124=""),"Lengkapi master PIC",IF(COUNTIFS($A$8:$A$507,$A124,$B$8:$B$507,$B124)&gt;1,"Laporan ganda",IF(COUNTIFS(G124:O124,"Tidak Berlaku")&gt;0,"N/A hanya untuk kegiatan bersyarat",IF(SUM(AF124,AG124,AH124,AI124,AJ124)&lt;&gt;13,"Status kegiatan tidak valid",IF(AJ124&gt;0,"Lengkapi status kegiatan",IF(AND(AI124&gt;0,T124=""),"Isi alasan Tidak Berlaku",IF(AND(SUM(AG124,AH124)&gt;0,OR(T124="",U124="",V124="",W124="")),"Isi kendala dan tindak lanjut",IF(AND(Y124&lt;&gt;"Draft",Y124&lt;&gt;"Dikirim"),"Isi status laporan yang valid",IF(AND(AA124&lt;&gt;"",AA124&lt;&gt;"Belum Diperiksa",AA124&lt;&gt;"Disetujui",AA124&lt;&gt;"Perlu Perbaikan"),"Hasil review tidak valid",IF(AND(Y124="Dikirim",OR(X124="",Z124="")),"Isi bukti dan waktu kirim",IF(AND(AA124="Disetujui",OR(Y124&lt;&gt;"Dikirim",AB124="",AC124="")),"Lengkapi pemeriksaan",IF(AND(AA124="Perlu Perbaikan",OR(AD124="",AB124="",AC124="")),"Isi pemeriksa dan catatan perbaikan","OK")))))))))))))))),"")</f>
        <v/>
      </c>
    </row>
    <row r="125" spans="1:38" ht="24.95" customHeight="1">
      <c r="A125" s="8"/>
      <c r="B125" s="6"/>
      <c r="C125" s="15" t="str">
        <f>IF(COUNTIFS(Master_PIC!$A$8:$A$73,$B125)=1,IF(VLOOKUP($B125,Master_PIC!$A$8:$G$73,2,FALSE)="","",VLOOKUP($B125,Master_PIC!$A$8:$G$73,2,FALSE)),"")</f>
        <v/>
      </c>
      <c r="D125" s="15" t="str">
        <f>IF(COUNTIFS(Master_PIC!$A$8:$A$73,$B125)=1,IF(VLOOKUP($B125,Master_PIC!$A$8:$G$73,4,FALSE)="","",VLOOKUP($B125,Master_PIC!$A$8:$G$73,4,FALSE)),"")</f>
        <v/>
      </c>
      <c r="E125" s="15" t="str">
        <f>IF(COUNTIFS(Master_PIC!$A$8:$A$73,$B125)=1,IF(VLOOKUP($B125,Master_PIC!$A$8:$G$73,5,FALSE)="","",VLOOKUP($B125,Master_PIC!$A$8:$G$73,5,FALSE)),"")</f>
        <v/>
      </c>
      <c r="F125" s="15" t="str">
        <f>IF(COUNTIFS(Master_PIC!$A$8:$A$73,$B125)=1,IF(VLOOKUP($B125,Master_PIC!$A$8:$G$73,6,FALSE)="","",VLOOKUP($B125,Master_PIC!$A$8:$G$73,6,FALSE)),"")</f>
        <v/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9"/>
      <c r="AA125" s="5"/>
      <c r="AB125" s="5"/>
      <c r="AC125" s="9"/>
      <c r="AD125" s="5"/>
      <c r="AE125" s="7" t="str">
        <f t="shared" si="7"/>
        <v/>
      </c>
      <c r="AF125" s="7" t="str">
        <f t="shared" si="8"/>
        <v/>
      </c>
      <c r="AG125" s="7" t="str">
        <f t="shared" si="9"/>
        <v/>
      </c>
      <c r="AH125" s="7" t="str">
        <f t="shared" si="10"/>
        <v/>
      </c>
      <c r="AI125" s="7" t="str">
        <f t="shared" si="11"/>
        <v/>
      </c>
      <c r="AJ125" s="7" t="str">
        <f t="shared" si="12"/>
        <v/>
      </c>
      <c r="AK125" s="10" t="str">
        <f t="shared" si="13"/>
        <v/>
      </c>
      <c r="AL125" s="15" t="str">
        <f>IF(OR($A125&lt;&gt;"",$B125&lt;&gt;""),IF(OR($A125="",$B125=""),"Isi tanggal dan ID PIC",IF(NOT(ISNUMBER($A125)),"Tanggal harus berupa tanggal Excel",IF(COUNTIFS(Master_PIC!$A$8:$A$73,$B125)&lt;&gt;1,"ID PIC tidak unik/terdaftar",IF(VLOOKUP($B125,Master_PIC!$A$8:$G$73,3,FALSE)&lt;&gt;"SPV","Jabatan tidak sesuai sheet",IF(OR($C125="",$D125="",$E125="",$F125=""),"Lengkapi master PIC",IF(COUNTIFS($A$8:$A$507,$A125,$B$8:$B$507,$B125)&gt;1,"Laporan ganda",IF(COUNTIFS(G125:O125,"Tidak Berlaku")&gt;0,"N/A hanya untuk kegiatan bersyarat",IF(SUM(AF125,AG125,AH125,AI125,AJ125)&lt;&gt;13,"Status kegiatan tidak valid",IF(AJ125&gt;0,"Lengkapi status kegiatan",IF(AND(AI125&gt;0,T125=""),"Isi alasan Tidak Berlaku",IF(AND(SUM(AG125,AH125)&gt;0,OR(T125="",U125="",V125="",W125="")),"Isi kendala dan tindak lanjut",IF(AND(Y125&lt;&gt;"Draft",Y125&lt;&gt;"Dikirim"),"Isi status laporan yang valid",IF(AND(AA125&lt;&gt;"",AA125&lt;&gt;"Belum Diperiksa",AA125&lt;&gt;"Disetujui",AA125&lt;&gt;"Perlu Perbaikan"),"Hasil review tidak valid",IF(AND(Y125="Dikirim",OR(X125="",Z125="")),"Isi bukti dan waktu kirim",IF(AND(AA125="Disetujui",OR(Y125&lt;&gt;"Dikirim",AB125="",AC125="")),"Lengkapi pemeriksaan",IF(AND(AA125="Perlu Perbaikan",OR(AD125="",AB125="",AC125="")),"Isi pemeriksa dan catatan perbaikan","OK")))))))))))))))),"")</f>
        <v/>
      </c>
    </row>
    <row r="126" spans="1:38" ht="24.95" customHeight="1">
      <c r="A126" s="8"/>
      <c r="B126" s="6"/>
      <c r="C126" s="15" t="str">
        <f>IF(COUNTIFS(Master_PIC!$A$8:$A$73,$B126)=1,IF(VLOOKUP($B126,Master_PIC!$A$8:$G$73,2,FALSE)="","",VLOOKUP($B126,Master_PIC!$A$8:$G$73,2,FALSE)),"")</f>
        <v/>
      </c>
      <c r="D126" s="15" t="str">
        <f>IF(COUNTIFS(Master_PIC!$A$8:$A$73,$B126)=1,IF(VLOOKUP($B126,Master_PIC!$A$8:$G$73,4,FALSE)="","",VLOOKUP($B126,Master_PIC!$A$8:$G$73,4,FALSE)),"")</f>
        <v/>
      </c>
      <c r="E126" s="15" t="str">
        <f>IF(COUNTIFS(Master_PIC!$A$8:$A$73,$B126)=1,IF(VLOOKUP($B126,Master_PIC!$A$8:$G$73,5,FALSE)="","",VLOOKUP($B126,Master_PIC!$A$8:$G$73,5,FALSE)),"")</f>
        <v/>
      </c>
      <c r="F126" s="15" t="str">
        <f>IF(COUNTIFS(Master_PIC!$A$8:$A$73,$B126)=1,IF(VLOOKUP($B126,Master_PIC!$A$8:$G$73,6,FALSE)="","",VLOOKUP($B126,Master_PIC!$A$8:$G$73,6,FALSE)),"")</f>
        <v/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8"/>
      <c r="X126" s="5"/>
      <c r="Y126" s="5"/>
      <c r="Z126" s="9"/>
      <c r="AA126" s="5"/>
      <c r="AB126" s="5"/>
      <c r="AC126" s="9"/>
      <c r="AD126" s="5"/>
      <c r="AE126" s="7" t="str">
        <f t="shared" si="7"/>
        <v/>
      </c>
      <c r="AF126" s="7" t="str">
        <f t="shared" si="8"/>
        <v/>
      </c>
      <c r="AG126" s="7" t="str">
        <f t="shared" si="9"/>
        <v/>
      </c>
      <c r="AH126" s="7" t="str">
        <f t="shared" si="10"/>
        <v/>
      </c>
      <c r="AI126" s="7" t="str">
        <f t="shared" si="11"/>
        <v/>
      </c>
      <c r="AJ126" s="7" t="str">
        <f t="shared" si="12"/>
        <v/>
      </c>
      <c r="AK126" s="10" t="str">
        <f t="shared" si="13"/>
        <v/>
      </c>
      <c r="AL126" s="15" t="str">
        <f>IF(OR($A126&lt;&gt;"",$B126&lt;&gt;""),IF(OR($A126="",$B126=""),"Isi tanggal dan ID PIC",IF(NOT(ISNUMBER($A126)),"Tanggal harus berupa tanggal Excel",IF(COUNTIFS(Master_PIC!$A$8:$A$73,$B126)&lt;&gt;1,"ID PIC tidak unik/terdaftar",IF(VLOOKUP($B126,Master_PIC!$A$8:$G$73,3,FALSE)&lt;&gt;"SPV","Jabatan tidak sesuai sheet",IF(OR($C126="",$D126="",$E126="",$F126=""),"Lengkapi master PIC",IF(COUNTIFS($A$8:$A$507,$A126,$B$8:$B$507,$B126)&gt;1,"Laporan ganda",IF(COUNTIFS(G126:O126,"Tidak Berlaku")&gt;0,"N/A hanya untuk kegiatan bersyarat",IF(SUM(AF126,AG126,AH126,AI126,AJ126)&lt;&gt;13,"Status kegiatan tidak valid",IF(AJ126&gt;0,"Lengkapi status kegiatan",IF(AND(AI126&gt;0,T126=""),"Isi alasan Tidak Berlaku",IF(AND(SUM(AG126,AH126)&gt;0,OR(T126="",U126="",V126="",W126="")),"Isi kendala dan tindak lanjut",IF(AND(Y126&lt;&gt;"Draft",Y126&lt;&gt;"Dikirim"),"Isi status laporan yang valid",IF(AND(AA126&lt;&gt;"",AA126&lt;&gt;"Belum Diperiksa",AA126&lt;&gt;"Disetujui",AA126&lt;&gt;"Perlu Perbaikan"),"Hasil review tidak valid",IF(AND(Y126="Dikirim",OR(X126="",Z126="")),"Isi bukti dan waktu kirim",IF(AND(AA126="Disetujui",OR(Y126&lt;&gt;"Dikirim",AB126="",AC126="")),"Lengkapi pemeriksaan",IF(AND(AA126="Perlu Perbaikan",OR(AD126="",AB126="",AC126="")),"Isi pemeriksa dan catatan perbaikan","OK")))))))))))))))),"")</f>
        <v/>
      </c>
    </row>
    <row r="127" spans="1:38" ht="24.95" customHeight="1">
      <c r="A127" s="8"/>
      <c r="B127" s="6"/>
      <c r="C127" s="15" t="str">
        <f>IF(COUNTIFS(Master_PIC!$A$8:$A$73,$B127)=1,IF(VLOOKUP($B127,Master_PIC!$A$8:$G$73,2,FALSE)="","",VLOOKUP($B127,Master_PIC!$A$8:$G$73,2,FALSE)),"")</f>
        <v/>
      </c>
      <c r="D127" s="15" t="str">
        <f>IF(COUNTIFS(Master_PIC!$A$8:$A$73,$B127)=1,IF(VLOOKUP($B127,Master_PIC!$A$8:$G$73,4,FALSE)="","",VLOOKUP($B127,Master_PIC!$A$8:$G$73,4,FALSE)),"")</f>
        <v/>
      </c>
      <c r="E127" s="15" t="str">
        <f>IF(COUNTIFS(Master_PIC!$A$8:$A$73,$B127)=1,IF(VLOOKUP($B127,Master_PIC!$A$8:$G$73,5,FALSE)="","",VLOOKUP($B127,Master_PIC!$A$8:$G$73,5,FALSE)),"")</f>
        <v/>
      </c>
      <c r="F127" s="15" t="str">
        <f>IF(COUNTIFS(Master_PIC!$A$8:$A$73,$B127)=1,IF(VLOOKUP($B127,Master_PIC!$A$8:$G$73,6,FALSE)="","",VLOOKUP($B127,Master_PIC!$A$8:$G$73,6,FALSE)),"")</f>
        <v/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8"/>
      <c r="X127" s="5"/>
      <c r="Y127" s="5"/>
      <c r="Z127" s="9"/>
      <c r="AA127" s="5"/>
      <c r="AB127" s="5"/>
      <c r="AC127" s="9"/>
      <c r="AD127" s="5"/>
      <c r="AE127" s="7" t="str">
        <f t="shared" si="7"/>
        <v/>
      </c>
      <c r="AF127" s="7" t="str">
        <f t="shared" si="8"/>
        <v/>
      </c>
      <c r="AG127" s="7" t="str">
        <f t="shared" si="9"/>
        <v/>
      </c>
      <c r="AH127" s="7" t="str">
        <f t="shared" si="10"/>
        <v/>
      </c>
      <c r="AI127" s="7" t="str">
        <f t="shared" si="11"/>
        <v/>
      </c>
      <c r="AJ127" s="7" t="str">
        <f t="shared" si="12"/>
        <v/>
      </c>
      <c r="AK127" s="10" t="str">
        <f t="shared" si="13"/>
        <v/>
      </c>
      <c r="AL127" s="15" t="str">
        <f>IF(OR($A127&lt;&gt;"",$B127&lt;&gt;""),IF(OR($A127="",$B127=""),"Isi tanggal dan ID PIC",IF(NOT(ISNUMBER($A127)),"Tanggal harus berupa tanggal Excel",IF(COUNTIFS(Master_PIC!$A$8:$A$73,$B127)&lt;&gt;1,"ID PIC tidak unik/terdaftar",IF(VLOOKUP($B127,Master_PIC!$A$8:$G$73,3,FALSE)&lt;&gt;"SPV","Jabatan tidak sesuai sheet",IF(OR($C127="",$D127="",$E127="",$F127=""),"Lengkapi master PIC",IF(COUNTIFS($A$8:$A$507,$A127,$B$8:$B$507,$B127)&gt;1,"Laporan ganda",IF(COUNTIFS(G127:O127,"Tidak Berlaku")&gt;0,"N/A hanya untuk kegiatan bersyarat",IF(SUM(AF127,AG127,AH127,AI127,AJ127)&lt;&gt;13,"Status kegiatan tidak valid",IF(AJ127&gt;0,"Lengkapi status kegiatan",IF(AND(AI127&gt;0,T127=""),"Isi alasan Tidak Berlaku",IF(AND(SUM(AG127,AH127)&gt;0,OR(T127="",U127="",V127="",W127="")),"Isi kendala dan tindak lanjut",IF(AND(Y127&lt;&gt;"Draft",Y127&lt;&gt;"Dikirim"),"Isi status laporan yang valid",IF(AND(AA127&lt;&gt;"",AA127&lt;&gt;"Belum Diperiksa",AA127&lt;&gt;"Disetujui",AA127&lt;&gt;"Perlu Perbaikan"),"Hasil review tidak valid",IF(AND(Y127="Dikirim",OR(X127="",Z127="")),"Isi bukti dan waktu kirim",IF(AND(AA127="Disetujui",OR(Y127&lt;&gt;"Dikirim",AB127="",AC127="")),"Lengkapi pemeriksaan",IF(AND(AA127="Perlu Perbaikan",OR(AD127="",AB127="",AC127="")),"Isi pemeriksa dan catatan perbaikan","OK")))))))))))))))),"")</f>
        <v/>
      </c>
    </row>
    <row r="128" spans="1:38" ht="24.95" customHeight="1">
      <c r="A128" s="8"/>
      <c r="B128" s="6"/>
      <c r="C128" s="15" t="str">
        <f>IF(COUNTIFS(Master_PIC!$A$8:$A$73,$B128)=1,IF(VLOOKUP($B128,Master_PIC!$A$8:$G$73,2,FALSE)="","",VLOOKUP($B128,Master_PIC!$A$8:$G$73,2,FALSE)),"")</f>
        <v/>
      </c>
      <c r="D128" s="15" t="str">
        <f>IF(COUNTIFS(Master_PIC!$A$8:$A$73,$B128)=1,IF(VLOOKUP($B128,Master_PIC!$A$8:$G$73,4,FALSE)="","",VLOOKUP($B128,Master_PIC!$A$8:$G$73,4,FALSE)),"")</f>
        <v/>
      </c>
      <c r="E128" s="15" t="str">
        <f>IF(COUNTIFS(Master_PIC!$A$8:$A$73,$B128)=1,IF(VLOOKUP($B128,Master_PIC!$A$8:$G$73,5,FALSE)="","",VLOOKUP($B128,Master_PIC!$A$8:$G$73,5,FALSE)),"")</f>
        <v/>
      </c>
      <c r="F128" s="15" t="str">
        <f>IF(COUNTIFS(Master_PIC!$A$8:$A$73,$B128)=1,IF(VLOOKUP($B128,Master_PIC!$A$8:$G$73,6,FALSE)="","",VLOOKUP($B128,Master_PIC!$A$8:$G$73,6,FALSE)),"")</f>
        <v/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9"/>
      <c r="AA128" s="5"/>
      <c r="AB128" s="5"/>
      <c r="AC128" s="9"/>
      <c r="AD128" s="5"/>
      <c r="AE128" s="7" t="str">
        <f t="shared" si="7"/>
        <v/>
      </c>
      <c r="AF128" s="7" t="str">
        <f t="shared" si="8"/>
        <v/>
      </c>
      <c r="AG128" s="7" t="str">
        <f t="shared" si="9"/>
        <v/>
      </c>
      <c r="AH128" s="7" t="str">
        <f t="shared" si="10"/>
        <v/>
      </c>
      <c r="AI128" s="7" t="str">
        <f t="shared" si="11"/>
        <v/>
      </c>
      <c r="AJ128" s="7" t="str">
        <f t="shared" si="12"/>
        <v/>
      </c>
      <c r="AK128" s="10" t="str">
        <f t="shared" si="13"/>
        <v/>
      </c>
      <c r="AL128" s="15" t="str">
        <f>IF(OR($A128&lt;&gt;"",$B128&lt;&gt;""),IF(OR($A128="",$B128=""),"Isi tanggal dan ID PIC",IF(NOT(ISNUMBER($A128)),"Tanggal harus berupa tanggal Excel",IF(COUNTIFS(Master_PIC!$A$8:$A$73,$B128)&lt;&gt;1,"ID PIC tidak unik/terdaftar",IF(VLOOKUP($B128,Master_PIC!$A$8:$G$73,3,FALSE)&lt;&gt;"SPV","Jabatan tidak sesuai sheet",IF(OR($C128="",$D128="",$E128="",$F128=""),"Lengkapi master PIC",IF(COUNTIFS($A$8:$A$507,$A128,$B$8:$B$507,$B128)&gt;1,"Laporan ganda",IF(COUNTIFS(G128:O128,"Tidak Berlaku")&gt;0,"N/A hanya untuk kegiatan bersyarat",IF(SUM(AF128,AG128,AH128,AI128,AJ128)&lt;&gt;13,"Status kegiatan tidak valid",IF(AJ128&gt;0,"Lengkapi status kegiatan",IF(AND(AI128&gt;0,T128=""),"Isi alasan Tidak Berlaku",IF(AND(SUM(AG128,AH128)&gt;0,OR(T128="",U128="",V128="",W128="")),"Isi kendala dan tindak lanjut",IF(AND(Y128&lt;&gt;"Draft",Y128&lt;&gt;"Dikirim"),"Isi status laporan yang valid",IF(AND(AA128&lt;&gt;"",AA128&lt;&gt;"Belum Diperiksa",AA128&lt;&gt;"Disetujui",AA128&lt;&gt;"Perlu Perbaikan"),"Hasil review tidak valid",IF(AND(Y128="Dikirim",OR(X128="",Z128="")),"Isi bukti dan waktu kirim",IF(AND(AA128="Disetujui",OR(Y128&lt;&gt;"Dikirim",AB128="",AC128="")),"Lengkapi pemeriksaan",IF(AND(AA128="Perlu Perbaikan",OR(AD128="",AB128="",AC128="")),"Isi pemeriksa dan catatan perbaikan","OK")))))))))))))))),"")</f>
        <v/>
      </c>
    </row>
    <row r="129" spans="1:38" ht="24.95" customHeight="1">
      <c r="A129" s="8"/>
      <c r="B129" s="6"/>
      <c r="C129" s="15" t="str">
        <f>IF(COUNTIFS(Master_PIC!$A$8:$A$73,$B129)=1,IF(VLOOKUP($B129,Master_PIC!$A$8:$G$73,2,FALSE)="","",VLOOKUP($B129,Master_PIC!$A$8:$G$73,2,FALSE)),"")</f>
        <v/>
      </c>
      <c r="D129" s="15" t="str">
        <f>IF(COUNTIFS(Master_PIC!$A$8:$A$73,$B129)=1,IF(VLOOKUP($B129,Master_PIC!$A$8:$G$73,4,FALSE)="","",VLOOKUP($B129,Master_PIC!$A$8:$G$73,4,FALSE)),"")</f>
        <v/>
      </c>
      <c r="E129" s="15" t="str">
        <f>IF(COUNTIFS(Master_PIC!$A$8:$A$73,$B129)=1,IF(VLOOKUP($B129,Master_PIC!$A$8:$G$73,5,FALSE)="","",VLOOKUP($B129,Master_PIC!$A$8:$G$73,5,FALSE)),"")</f>
        <v/>
      </c>
      <c r="F129" s="15" t="str">
        <f>IF(COUNTIFS(Master_PIC!$A$8:$A$73,$B129)=1,IF(VLOOKUP($B129,Master_PIC!$A$8:$G$73,6,FALSE)="","",VLOOKUP($B129,Master_PIC!$A$8:$G$73,6,FALSE)),"")</f>
        <v/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8"/>
      <c r="X129" s="5"/>
      <c r="Y129" s="5"/>
      <c r="Z129" s="9"/>
      <c r="AA129" s="5"/>
      <c r="AB129" s="5"/>
      <c r="AC129" s="9"/>
      <c r="AD129" s="5"/>
      <c r="AE129" s="7" t="str">
        <f t="shared" si="7"/>
        <v/>
      </c>
      <c r="AF129" s="7" t="str">
        <f t="shared" si="8"/>
        <v/>
      </c>
      <c r="AG129" s="7" t="str">
        <f t="shared" si="9"/>
        <v/>
      </c>
      <c r="AH129" s="7" t="str">
        <f t="shared" si="10"/>
        <v/>
      </c>
      <c r="AI129" s="7" t="str">
        <f t="shared" si="11"/>
        <v/>
      </c>
      <c r="AJ129" s="7" t="str">
        <f t="shared" si="12"/>
        <v/>
      </c>
      <c r="AK129" s="10" t="str">
        <f t="shared" si="13"/>
        <v/>
      </c>
      <c r="AL129" s="15" t="str">
        <f>IF(OR($A129&lt;&gt;"",$B129&lt;&gt;""),IF(OR($A129="",$B129=""),"Isi tanggal dan ID PIC",IF(NOT(ISNUMBER($A129)),"Tanggal harus berupa tanggal Excel",IF(COUNTIFS(Master_PIC!$A$8:$A$73,$B129)&lt;&gt;1,"ID PIC tidak unik/terdaftar",IF(VLOOKUP($B129,Master_PIC!$A$8:$G$73,3,FALSE)&lt;&gt;"SPV","Jabatan tidak sesuai sheet",IF(OR($C129="",$D129="",$E129="",$F129=""),"Lengkapi master PIC",IF(COUNTIFS($A$8:$A$507,$A129,$B$8:$B$507,$B129)&gt;1,"Laporan ganda",IF(COUNTIFS(G129:O129,"Tidak Berlaku")&gt;0,"N/A hanya untuk kegiatan bersyarat",IF(SUM(AF129,AG129,AH129,AI129,AJ129)&lt;&gt;13,"Status kegiatan tidak valid",IF(AJ129&gt;0,"Lengkapi status kegiatan",IF(AND(AI129&gt;0,T129=""),"Isi alasan Tidak Berlaku",IF(AND(SUM(AG129,AH129)&gt;0,OR(T129="",U129="",V129="",W129="")),"Isi kendala dan tindak lanjut",IF(AND(Y129&lt;&gt;"Draft",Y129&lt;&gt;"Dikirim"),"Isi status laporan yang valid",IF(AND(AA129&lt;&gt;"",AA129&lt;&gt;"Belum Diperiksa",AA129&lt;&gt;"Disetujui",AA129&lt;&gt;"Perlu Perbaikan"),"Hasil review tidak valid",IF(AND(Y129="Dikirim",OR(X129="",Z129="")),"Isi bukti dan waktu kirim",IF(AND(AA129="Disetujui",OR(Y129&lt;&gt;"Dikirim",AB129="",AC129="")),"Lengkapi pemeriksaan",IF(AND(AA129="Perlu Perbaikan",OR(AD129="",AB129="",AC129="")),"Isi pemeriksa dan catatan perbaikan","OK")))))))))))))))),"")</f>
        <v/>
      </c>
    </row>
    <row r="130" spans="1:38" ht="24.95" customHeight="1">
      <c r="A130" s="8"/>
      <c r="B130" s="6"/>
      <c r="C130" s="15" t="str">
        <f>IF(COUNTIFS(Master_PIC!$A$8:$A$73,$B130)=1,IF(VLOOKUP($B130,Master_PIC!$A$8:$G$73,2,FALSE)="","",VLOOKUP($B130,Master_PIC!$A$8:$G$73,2,FALSE)),"")</f>
        <v/>
      </c>
      <c r="D130" s="15" t="str">
        <f>IF(COUNTIFS(Master_PIC!$A$8:$A$73,$B130)=1,IF(VLOOKUP($B130,Master_PIC!$A$8:$G$73,4,FALSE)="","",VLOOKUP($B130,Master_PIC!$A$8:$G$73,4,FALSE)),"")</f>
        <v/>
      </c>
      <c r="E130" s="15" t="str">
        <f>IF(COUNTIFS(Master_PIC!$A$8:$A$73,$B130)=1,IF(VLOOKUP($B130,Master_PIC!$A$8:$G$73,5,FALSE)="","",VLOOKUP($B130,Master_PIC!$A$8:$G$73,5,FALSE)),"")</f>
        <v/>
      </c>
      <c r="F130" s="15" t="str">
        <f>IF(COUNTIFS(Master_PIC!$A$8:$A$73,$B130)=1,IF(VLOOKUP($B130,Master_PIC!$A$8:$G$73,6,FALSE)="","",VLOOKUP($B130,Master_PIC!$A$8:$G$73,6,FALSE)),"")</f>
        <v/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8"/>
      <c r="X130" s="5"/>
      <c r="Y130" s="5"/>
      <c r="Z130" s="9"/>
      <c r="AA130" s="5"/>
      <c r="AB130" s="5"/>
      <c r="AC130" s="9"/>
      <c r="AD130" s="5"/>
      <c r="AE130" s="7" t="str">
        <f t="shared" si="7"/>
        <v/>
      </c>
      <c r="AF130" s="7" t="str">
        <f t="shared" si="8"/>
        <v/>
      </c>
      <c r="AG130" s="7" t="str">
        <f t="shared" si="9"/>
        <v/>
      </c>
      <c r="AH130" s="7" t="str">
        <f t="shared" si="10"/>
        <v/>
      </c>
      <c r="AI130" s="7" t="str">
        <f t="shared" si="11"/>
        <v/>
      </c>
      <c r="AJ130" s="7" t="str">
        <f t="shared" si="12"/>
        <v/>
      </c>
      <c r="AK130" s="10" t="str">
        <f t="shared" si="13"/>
        <v/>
      </c>
      <c r="AL130" s="15" t="str">
        <f>IF(OR($A130&lt;&gt;"",$B130&lt;&gt;""),IF(OR($A130="",$B130=""),"Isi tanggal dan ID PIC",IF(NOT(ISNUMBER($A130)),"Tanggal harus berupa tanggal Excel",IF(COUNTIFS(Master_PIC!$A$8:$A$73,$B130)&lt;&gt;1,"ID PIC tidak unik/terdaftar",IF(VLOOKUP($B130,Master_PIC!$A$8:$G$73,3,FALSE)&lt;&gt;"SPV","Jabatan tidak sesuai sheet",IF(OR($C130="",$D130="",$E130="",$F130=""),"Lengkapi master PIC",IF(COUNTIFS($A$8:$A$507,$A130,$B$8:$B$507,$B130)&gt;1,"Laporan ganda",IF(COUNTIFS(G130:O130,"Tidak Berlaku")&gt;0,"N/A hanya untuk kegiatan bersyarat",IF(SUM(AF130,AG130,AH130,AI130,AJ130)&lt;&gt;13,"Status kegiatan tidak valid",IF(AJ130&gt;0,"Lengkapi status kegiatan",IF(AND(AI130&gt;0,T130=""),"Isi alasan Tidak Berlaku",IF(AND(SUM(AG130,AH130)&gt;0,OR(T130="",U130="",V130="",W130="")),"Isi kendala dan tindak lanjut",IF(AND(Y130&lt;&gt;"Draft",Y130&lt;&gt;"Dikirim"),"Isi status laporan yang valid",IF(AND(AA130&lt;&gt;"",AA130&lt;&gt;"Belum Diperiksa",AA130&lt;&gt;"Disetujui",AA130&lt;&gt;"Perlu Perbaikan"),"Hasil review tidak valid",IF(AND(Y130="Dikirim",OR(X130="",Z130="")),"Isi bukti dan waktu kirim",IF(AND(AA130="Disetujui",OR(Y130&lt;&gt;"Dikirim",AB130="",AC130="")),"Lengkapi pemeriksaan",IF(AND(AA130="Perlu Perbaikan",OR(AD130="",AB130="",AC130="")),"Isi pemeriksa dan catatan perbaikan","OK")))))))))))))))),"")</f>
        <v/>
      </c>
    </row>
    <row r="131" spans="1:38" ht="24.95" customHeight="1">
      <c r="A131" s="8"/>
      <c r="B131" s="6"/>
      <c r="C131" s="15" t="str">
        <f>IF(COUNTIFS(Master_PIC!$A$8:$A$73,$B131)=1,IF(VLOOKUP($B131,Master_PIC!$A$8:$G$73,2,FALSE)="","",VLOOKUP($B131,Master_PIC!$A$8:$G$73,2,FALSE)),"")</f>
        <v/>
      </c>
      <c r="D131" s="15" t="str">
        <f>IF(COUNTIFS(Master_PIC!$A$8:$A$73,$B131)=1,IF(VLOOKUP($B131,Master_PIC!$A$8:$G$73,4,FALSE)="","",VLOOKUP($B131,Master_PIC!$A$8:$G$73,4,FALSE)),"")</f>
        <v/>
      </c>
      <c r="E131" s="15" t="str">
        <f>IF(COUNTIFS(Master_PIC!$A$8:$A$73,$B131)=1,IF(VLOOKUP($B131,Master_PIC!$A$8:$G$73,5,FALSE)="","",VLOOKUP($B131,Master_PIC!$A$8:$G$73,5,FALSE)),"")</f>
        <v/>
      </c>
      <c r="F131" s="15" t="str">
        <f>IF(COUNTIFS(Master_PIC!$A$8:$A$73,$B131)=1,IF(VLOOKUP($B131,Master_PIC!$A$8:$G$73,6,FALSE)="","",VLOOKUP($B131,Master_PIC!$A$8:$G$73,6,FALSE)),"")</f>
        <v/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9"/>
      <c r="AA131" s="5"/>
      <c r="AB131" s="5"/>
      <c r="AC131" s="9"/>
      <c r="AD131" s="5"/>
      <c r="AE131" s="7" t="str">
        <f t="shared" si="7"/>
        <v/>
      </c>
      <c r="AF131" s="7" t="str">
        <f t="shared" si="8"/>
        <v/>
      </c>
      <c r="AG131" s="7" t="str">
        <f t="shared" si="9"/>
        <v/>
      </c>
      <c r="AH131" s="7" t="str">
        <f t="shared" si="10"/>
        <v/>
      </c>
      <c r="AI131" s="7" t="str">
        <f t="shared" si="11"/>
        <v/>
      </c>
      <c r="AJ131" s="7" t="str">
        <f t="shared" si="12"/>
        <v/>
      </c>
      <c r="AK131" s="10" t="str">
        <f t="shared" si="13"/>
        <v/>
      </c>
      <c r="AL131" s="15" t="str">
        <f>IF(OR($A131&lt;&gt;"",$B131&lt;&gt;""),IF(OR($A131="",$B131=""),"Isi tanggal dan ID PIC",IF(NOT(ISNUMBER($A131)),"Tanggal harus berupa tanggal Excel",IF(COUNTIFS(Master_PIC!$A$8:$A$73,$B131)&lt;&gt;1,"ID PIC tidak unik/terdaftar",IF(VLOOKUP($B131,Master_PIC!$A$8:$G$73,3,FALSE)&lt;&gt;"SPV","Jabatan tidak sesuai sheet",IF(OR($C131="",$D131="",$E131="",$F131=""),"Lengkapi master PIC",IF(COUNTIFS($A$8:$A$507,$A131,$B$8:$B$507,$B131)&gt;1,"Laporan ganda",IF(COUNTIFS(G131:O131,"Tidak Berlaku")&gt;0,"N/A hanya untuk kegiatan bersyarat",IF(SUM(AF131,AG131,AH131,AI131,AJ131)&lt;&gt;13,"Status kegiatan tidak valid",IF(AJ131&gt;0,"Lengkapi status kegiatan",IF(AND(AI131&gt;0,T131=""),"Isi alasan Tidak Berlaku",IF(AND(SUM(AG131,AH131)&gt;0,OR(T131="",U131="",V131="",W131="")),"Isi kendala dan tindak lanjut",IF(AND(Y131&lt;&gt;"Draft",Y131&lt;&gt;"Dikirim"),"Isi status laporan yang valid",IF(AND(AA131&lt;&gt;"",AA131&lt;&gt;"Belum Diperiksa",AA131&lt;&gt;"Disetujui",AA131&lt;&gt;"Perlu Perbaikan"),"Hasil review tidak valid",IF(AND(Y131="Dikirim",OR(X131="",Z131="")),"Isi bukti dan waktu kirim",IF(AND(AA131="Disetujui",OR(Y131&lt;&gt;"Dikirim",AB131="",AC131="")),"Lengkapi pemeriksaan",IF(AND(AA131="Perlu Perbaikan",OR(AD131="",AB131="",AC131="")),"Isi pemeriksa dan catatan perbaikan","OK")))))))))))))))),"")</f>
        <v/>
      </c>
    </row>
    <row r="132" spans="1:38" ht="24.95" customHeight="1">
      <c r="A132" s="8"/>
      <c r="B132" s="6"/>
      <c r="C132" s="15" t="str">
        <f>IF(COUNTIFS(Master_PIC!$A$8:$A$73,$B132)=1,IF(VLOOKUP($B132,Master_PIC!$A$8:$G$73,2,FALSE)="","",VLOOKUP($B132,Master_PIC!$A$8:$G$73,2,FALSE)),"")</f>
        <v/>
      </c>
      <c r="D132" s="15" t="str">
        <f>IF(COUNTIFS(Master_PIC!$A$8:$A$73,$B132)=1,IF(VLOOKUP($B132,Master_PIC!$A$8:$G$73,4,FALSE)="","",VLOOKUP($B132,Master_PIC!$A$8:$G$73,4,FALSE)),"")</f>
        <v/>
      </c>
      <c r="E132" s="15" t="str">
        <f>IF(COUNTIFS(Master_PIC!$A$8:$A$73,$B132)=1,IF(VLOOKUP($B132,Master_PIC!$A$8:$G$73,5,FALSE)="","",VLOOKUP($B132,Master_PIC!$A$8:$G$73,5,FALSE)),"")</f>
        <v/>
      </c>
      <c r="F132" s="15" t="str">
        <f>IF(COUNTIFS(Master_PIC!$A$8:$A$73,$B132)=1,IF(VLOOKUP($B132,Master_PIC!$A$8:$G$73,6,FALSE)="","",VLOOKUP($B132,Master_PIC!$A$8:$G$73,6,FALSE)),"")</f>
        <v/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8"/>
      <c r="X132" s="5"/>
      <c r="Y132" s="5"/>
      <c r="Z132" s="9"/>
      <c r="AA132" s="5"/>
      <c r="AB132" s="5"/>
      <c r="AC132" s="9"/>
      <c r="AD132" s="5"/>
      <c r="AE132" s="7" t="str">
        <f t="shared" si="7"/>
        <v/>
      </c>
      <c r="AF132" s="7" t="str">
        <f t="shared" si="8"/>
        <v/>
      </c>
      <c r="AG132" s="7" t="str">
        <f t="shared" si="9"/>
        <v/>
      </c>
      <c r="AH132" s="7" t="str">
        <f t="shared" si="10"/>
        <v/>
      </c>
      <c r="AI132" s="7" t="str">
        <f t="shared" si="11"/>
        <v/>
      </c>
      <c r="AJ132" s="7" t="str">
        <f t="shared" si="12"/>
        <v/>
      </c>
      <c r="AK132" s="10" t="str">
        <f t="shared" si="13"/>
        <v/>
      </c>
      <c r="AL132" s="15" t="str">
        <f>IF(OR($A132&lt;&gt;"",$B132&lt;&gt;""),IF(OR($A132="",$B132=""),"Isi tanggal dan ID PIC",IF(NOT(ISNUMBER($A132)),"Tanggal harus berupa tanggal Excel",IF(COUNTIFS(Master_PIC!$A$8:$A$73,$B132)&lt;&gt;1,"ID PIC tidak unik/terdaftar",IF(VLOOKUP($B132,Master_PIC!$A$8:$G$73,3,FALSE)&lt;&gt;"SPV","Jabatan tidak sesuai sheet",IF(OR($C132="",$D132="",$E132="",$F132=""),"Lengkapi master PIC",IF(COUNTIFS($A$8:$A$507,$A132,$B$8:$B$507,$B132)&gt;1,"Laporan ganda",IF(COUNTIFS(G132:O132,"Tidak Berlaku")&gt;0,"N/A hanya untuk kegiatan bersyarat",IF(SUM(AF132,AG132,AH132,AI132,AJ132)&lt;&gt;13,"Status kegiatan tidak valid",IF(AJ132&gt;0,"Lengkapi status kegiatan",IF(AND(AI132&gt;0,T132=""),"Isi alasan Tidak Berlaku",IF(AND(SUM(AG132,AH132)&gt;0,OR(T132="",U132="",V132="",W132="")),"Isi kendala dan tindak lanjut",IF(AND(Y132&lt;&gt;"Draft",Y132&lt;&gt;"Dikirim"),"Isi status laporan yang valid",IF(AND(AA132&lt;&gt;"",AA132&lt;&gt;"Belum Diperiksa",AA132&lt;&gt;"Disetujui",AA132&lt;&gt;"Perlu Perbaikan"),"Hasil review tidak valid",IF(AND(Y132="Dikirim",OR(X132="",Z132="")),"Isi bukti dan waktu kirim",IF(AND(AA132="Disetujui",OR(Y132&lt;&gt;"Dikirim",AB132="",AC132="")),"Lengkapi pemeriksaan",IF(AND(AA132="Perlu Perbaikan",OR(AD132="",AB132="",AC132="")),"Isi pemeriksa dan catatan perbaikan","OK")))))))))))))))),"")</f>
        <v/>
      </c>
    </row>
    <row r="133" spans="1:38" ht="24.95" customHeight="1">
      <c r="A133" s="8"/>
      <c r="B133" s="6"/>
      <c r="C133" s="15" t="str">
        <f>IF(COUNTIFS(Master_PIC!$A$8:$A$73,$B133)=1,IF(VLOOKUP($B133,Master_PIC!$A$8:$G$73,2,FALSE)="","",VLOOKUP($B133,Master_PIC!$A$8:$G$73,2,FALSE)),"")</f>
        <v/>
      </c>
      <c r="D133" s="15" t="str">
        <f>IF(COUNTIFS(Master_PIC!$A$8:$A$73,$B133)=1,IF(VLOOKUP($B133,Master_PIC!$A$8:$G$73,4,FALSE)="","",VLOOKUP($B133,Master_PIC!$A$8:$G$73,4,FALSE)),"")</f>
        <v/>
      </c>
      <c r="E133" s="15" t="str">
        <f>IF(COUNTIFS(Master_PIC!$A$8:$A$73,$B133)=1,IF(VLOOKUP($B133,Master_PIC!$A$8:$G$73,5,FALSE)="","",VLOOKUP($B133,Master_PIC!$A$8:$G$73,5,FALSE)),"")</f>
        <v/>
      </c>
      <c r="F133" s="15" t="str">
        <f>IF(COUNTIFS(Master_PIC!$A$8:$A$73,$B133)=1,IF(VLOOKUP($B133,Master_PIC!$A$8:$G$73,6,FALSE)="","",VLOOKUP($B133,Master_PIC!$A$8:$G$73,6,FALSE)),"")</f>
        <v/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9"/>
      <c r="AA133" s="5"/>
      <c r="AB133" s="5"/>
      <c r="AC133" s="9"/>
      <c r="AD133" s="5"/>
      <c r="AE133" s="7" t="str">
        <f t="shared" si="7"/>
        <v/>
      </c>
      <c r="AF133" s="7" t="str">
        <f t="shared" si="8"/>
        <v/>
      </c>
      <c r="AG133" s="7" t="str">
        <f t="shared" si="9"/>
        <v/>
      </c>
      <c r="AH133" s="7" t="str">
        <f t="shared" si="10"/>
        <v/>
      </c>
      <c r="AI133" s="7" t="str">
        <f t="shared" si="11"/>
        <v/>
      </c>
      <c r="AJ133" s="7" t="str">
        <f t="shared" si="12"/>
        <v/>
      </c>
      <c r="AK133" s="10" t="str">
        <f t="shared" si="13"/>
        <v/>
      </c>
      <c r="AL133" s="15" t="str">
        <f>IF(OR($A133&lt;&gt;"",$B133&lt;&gt;""),IF(OR($A133="",$B133=""),"Isi tanggal dan ID PIC",IF(NOT(ISNUMBER($A133)),"Tanggal harus berupa tanggal Excel",IF(COUNTIFS(Master_PIC!$A$8:$A$73,$B133)&lt;&gt;1,"ID PIC tidak unik/terdaftar",IF(VLOOKUP($B133,Master_PIC!$A$8:$G$73,3,FALSE)&lt;&gt;"SPV","Jabatan tidak sesuai sheet",IF(OR($C133="",$D133="",$E133="",$F133=""),"Lengkapi master PIC",IF(COUNTIFS($A$8:$A$507,$A133,$B$8:$B$507,$B133)&gt;1,"Laporan ganda",IF(COUNTIFS(G133:O133,"Tidak Berlaku")&gt;0,"N/A hanya untuk kegiatan bersyarat",IF(SUM(AF133,AG133,AH133,AI133,AJ133)&lt;&gt;13,"Status kegiatan tidak valid",IF(AJ133&gt;0,"Lengkapi status kegiatan",IF(AND(AI133&gt;0,T133=""),"Isi alasan Tidak Berlaku",IF(AND(SUM(AG133,AH133)&gt;0,OR(T133="",U133="",V133="",W133="")),"Isi kendala dan tindak lanjut",IF(AND(Y133&lt;&gt;"Draft",Y133&lt;&gt;"Dikirim"),"Isi status laporan yang valid",IF(AND(AA133&lt;&gt;"",AA133&lt;&gt;"Belum Diperiksa",AA133&lt;&gt;"Disetujui",AA133&lt;&gt;"Perlu Perbaikan"),"Hasil review tidak valid",IF(AND(Y133="Dikirim",OR(X133="",Z133="")),"Isi bukti dan waktu kirim",IF(AND(AA133="Disetujui",OR(Y133&lt;&gt;"Dikirim",AB133="",AC133="")),"Lengkapi pemeriksaan",IF(AND(AA133="Perlu Perbaikan",OR(AD133="",AB133="",AC133="")),"Isi pemeriksa dan catatan perbaikan","OK")))))))))))))))),"")</f>
        <v/>
      </c>
    </row>
    <row r="134" spans="1:38" ht="24.95" customHeight="1">
      <c r="A134" s="8"/>
      <c r="B134" s="6"/>
      <c r="C134" s="15" t="str">
        <f>IF(COUNTIFS(Master_PIC!$A$8:$A$73,$B134)=1,IF(VLOOKUP($B134,Master_PIC!$A$8:$G$73,2,FALSE)="","",VLOOKUP($B134,Master_PIC!$A$8:$G$73,2,FALSE)),"")</f>
        <v/>
      </c>
      <c r="D134" s="15" t="str">
        <f>IF(COUNTIFS(Master_PIC!$A$8:$A$73,$B134)=1,IF(VLOOKUP($B134,Master_PIC!$A$8:$G$73,4,FALSE)="","",VLOOKUP($B134,Master_PIC!$A$8:$G$73,4,FALSE)),"")</f>
        <v/>
      </c>
      <c r="E134" s="15" t="str">
        <f>IF(COUNTIFS(Master_PIC!$A$8:$A$73,$B134)=1,IF(VLOOKUP($B134,Master_PIC!$A$8:$G$73,5,FALSE)="","",VLOOKUP($B134,Master_PIC!$A$8:$G$73,5,FALSE)),"")</f>
        <v/>
      </c>
      <c r="F134" s="15" t="str">
        <f>IF(COUNTIFS(Master_PIC!$A$8:$A$73,$B134)=1,IF(VLOOKUP($B134,Master_PIC!$A$8:$G$73,6,FALSE)="","",VLOOKUP($B134,Master_PIC!$A$8:$G$73,6,FALSE)),"")</f>
        <v/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8"/>
      <c r="X134" s="5"/>
      <c r="Y134" s="5"/>
      <c r="Z134" s="9"/>
      <c r="AA134" s="5"/>
      <c r="AB134" s="5"/>
      <c r="AC134" s="9"/>
      <c r="AD134" s="5"/>
      <c r="AE134" s="7" t="str">
        <f t="shared" si="7"/>
        <v/>
      </c>
      <c r="AF134" s="7" t="str">
        <f t="shared" si="8"/>
        <v/>
      </c>
      <c r="AG134" s="7" t="str">
        <f t="shared" si="9"/>
        <v/>
      </c>
      <c r="AH134" s="7" t="str">
        <f t="shared" si="10"/>
        <v/>
      </c>
      <c r="AI134" s="7" t="str">
        <f t="shared" si="11"/>
        <v/>
      </c>
      <c r="AJ134" s="7" t="str">
        <f t="shared" si="12"/>
        <v/>
      </c>
      <c r="AK134" s="10" t="str">
        <f t="shared" si="13"/>
        <v/>
      </c>
      <c r="AL134" s="15" t="str">
        <f>IF(OR($A134&lt;&gt;"",$B134&lt;&gt;""),IF(OR($A134="",$B134=""),"Isi tanggal dan ID PIC",IF(NOT(ISNUMBER($A134)),"Tanggal harus berupa tanggal Excel",IF(COUNTIFS(Master_PIC!$A$8:$A$73,$B134)&lt;&gt;1,"ID PIC tidak unik/terdaftar",IF(VLOOKUP($B134,Master_PIC!$A$8:$G$73,3,FALSE)&lt;&gt;"SPV","Jabatan tidak sesuai sheet",IF(OR($C134="",$D134="",$E134="",$F134=""),"Lengkapi master PIC",IF(COUNTIFS($A$8:$A$507,$A134,$B$8:$B$507,$B134)&gt;1,"Laporan ganda",IF(COUNTIFS(G134:O134,"Tidak Berlaku")&gt;0,"N/A hanya untuk kegiatan bersyarat",IF(SUM(AF134,AG134,AH134,AI134,AJ134)&lt;&gt;13,"Status kegiatan tidak valid",IF(AJ134&gt;0,"Lengkapi status kegiatan",IF(AND(AI134&gt;0,T134=""),"Isi alasan Tidak Berlaku",IF(AND(SUM(AG134,AH134)&gt;0,OR(T134="",U134="",V134="",W134="")),"Isi kendala dan tindak lanjut",IF(AND(Y134&lt;&gt;"Draft",Y134&lt;&gt;"Dikirim"),"Isi status laporan yang valid",IF(AND(AA134&lt;&gt;"",AA134&lt;&gt;"Belum Diperiksa",AA134&lt;&gt;"Disetujui",AA134&lt;&gt;"Perlu Perbaikan"),"Hasil review tidak valid",IF(AND(Y134="Dikirim",OR(X134="",Z134="")),"Isi bukti dan waktu kirim",IF(AND(AA134="Disetujui",OR(Y134&lt;&gt;"Dikirim",AB134="",AC134="")),"Lengkapi pemeriksaan",IF(AND(AA134="Perlu Perbaikan",OR(AD134="",AB134="",AC134="")),"Isi pemeriksa dan catatan perbaikan","OK")))))))))))))))),"")</f>
        <v/>
      </c>
    </row>
    <row r="135" spans="1:38" ht="24.95" customHeight="1">
      <c r="A135" s="8"/>
      <c r="B135" s="6"/>
      <c r="C135" s="15" t="str">
        <f>IF(COUNTIFS(Master_PIC!$A$8:$A$73,$B135)=1,IF(VLOOKUP($B135,Master_PIC!$A$8:$G$73,2,FALSE)="","",VLOOKUP($B135,Master_PIC!$A$8:$G$73,2,FALSE)),"")</f>
        <v/>
      </c>
      <c r="D135" s="15" t="str">
        <f>IF(COUNTIFS(Master_PIC!$A$8:$A$73,$B135)=1,IF(VLOOKUP($B135,Master_PIC!$A$8:$G$73,4,FALSE)="","",VLOOKUP($B135,Master_PIC!$A$8:$G$73,4,FALSE)),"")</f>
        <v/>
      </c>
      <c r="E135" s="15" t="str">
        <f>IF(COUNTIFS(Master_PIC!$A$8:$A$73,$B135)=1,IF(VLOOKUP($B135,Master_PIC!$A$8:$G$73,5,FALSE)="","",VLOOKUP($B135,Master_PIC!$A$8:$G$73,5,FALSE)),"")</f>
        <v/>
      </c>
      <c r="F135" s="15" t="str">
        <f>IF(COUNTIFS(Master_PIC!$A$8:$A$73,$B135)=1,IF(VLOOKUP($B135,Master_PIC!$A$8:$G$73,6,FALSE)="","",VLOOKUP($B135,Master_PIC!$A$8:$G$73,6,FALSE)),"")</f>
        <v/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9"/>
      <c r="AA135" s="5"/>
      <c r="AB135" s="5"/>
      <c r="AC135" s="9"/>
      <c r="AD135" s="5"/>
      <c r="AE135" s="7" t="str">
        <f t="shared" si="7"/>
        <v/>
      </c>
      <c r="AF135" s="7" t="str">
        <f t="shared" si="8"/>
        <v/>
      </c>
      <c r="AG135" s="7" t="str">
        <f t="shared" si="9"/>
        <v/>
      </c>
      <c r="AH135" s="7" t="str">
        <f t="shared" si="10"/>
        <v/>
      </c>
      <c r="AI135" s="7" t="str">
        <f t="shared" si="11"/>
        <v/>
      </c>
      <c r="AJ135" s="7" t="str">
        <f t="shared" si="12"/>
        <v/>
      </c>
      <c r="AK135" s="10" t="str">
        <f t="shared" si="13"/>
        <v/>
      </c>
      <c r="AL135" s="15" t="str">
        <f>IF(OR($A135&lt;&gt;"",$B135&lt;&gt;""),IF(OR($A135="",$B135=""),"Isi tanggal dan ID PIC",IF(NOT(ISNUMBER($A135)),"Tanggal harus berupa tanggal Excel",IF(COUNTIFS(Master_PIC!$A$8:$A$73,$B135)&lt;&gt;1,"ID PIC tidak unik/terdaftar",IF(VLOOKUP($B135,Master_PIC!$A$8:$G$73,3,FALSE)&lt;&gt;"SPV","Jabatan tidak sesuai sheet",IF(OR($C135="",$D135="",$E135="",$F135=""),"Lengkapi master PIC",IF(COUNTIFS($A$8:$A$507,$A135,$B$8:$B$507,$B135)&gt;1,"Laporan ganda",IF(COUNTIFS(G135:O135,"Tidak Berlaku")&gt;0,"N/A hanya untuk kegiatan bersyarat",IF(SUM(AF135,AG135,AH135,AI135,AJ135)&lt;&gt;13,"Status kegiatan tidak valid",IF(AJ135&gt;0,"Lengkapi status kegiatan",IF(AND(AI135&gt;0,T135=""),"Isi alasan Tidak Berlaku",IF(AND(SUM(AG135,AH135)&gt;0,OR(T135="",U135="",V135="",W135="")),"Isi kendala dan tindak lanjut",IF(AND(Y135&lt;&gt;"Draft",Y135&lt;&gt;"Dikirim"),"Isi status laporan yang valid",IF(AND(AA135&lt;&gt;"",AA135&lt;&gt;"Belum Diperiksa",AA135&lt;&gt;"Disetujui",AA135&lt;&gt;"Perlu Perbaikan"),"Hasil review tidak valid",IF(AND(Y135="Dikirim",OR(X135="",Z135="")),"Isi bukti dan waktu kirim",IF(AND(AA135="Disetujui",OR(Y135&lt;&gt;"Dikirim",AB135="",AC135="")),"Lengkapi pemeriksaan",IF(AND(AA135="Perlu Perbaikan",OR(AD135="",AB135="",AC135="")),"Isi pemeriksa dan catatan perbaikan","OK")))))))))))))))),"")</f>
        <v/>
      </c>
    </row>
    <row r="136" spans="1:38" ht="24.95" customHeight="1">
      <c r="A136" s="8"/>
      <c r="B136" s="6"/>
      <c r="C136" s="15" t="str">
        <f>IF(COUNTIFS(Master_PIC!$A$8:$A$73,$B136)=1,IF(VLOOKUP($B136,Master_PIC!$A$8:$G$73,2,FALSE)="","",VLOOKUP($B136,Master_PIC!$A$8:$G$73,2,FALSE)),"")</f>
        <v/>
      </c>
      <c r="D136" s="15" t="str">
        <f>IF(COUNTIFS(Master_PIC!$A$8:$A$73,$B136)=1,IF(VLOOKUP($B136,Master_PIC!$A$8:$G$73,4,FALSE)="","",VLOOKUP($B136,Master_PIC!$A$8:$G$73,4,FALSE)),"")</f>
        <v/>
      </c>
      <c r="E136" s="15" t="str">
        <f>IF(COUNTIFS(Master_PIC!$A$8:$A$73,$B136)=1,IF(VLOOKUP($B136,Master_PIC!$A$8:$G$73,5,FALSE)="","",VLOOKUP($B136,Master_PIC!$A$8:$G$73,5,FALSE)),"")</f>
        <v/>
      </c>
      <c r="F136" s="15" t="str">
        <f>IF(COUNTIFS(Master_PIC!$A$8:$A$73,$B136)=1,IF(VLOOKUP($B136,Master_PIC!$A$8:$G$73,6,FALSE)="","",VLOOKUP($B136,Master_PIC!$A$8:$G$73,6,FALSE)),"")</f>
        <v/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8"/>
      <c r="X136" s="5"/>
      <c r="Y136" s="5"/>
      <c r="Z136" s="9"/>
      <c r="AA136" s="5"/>
      <c r="AB136" s="5"/>
      <c r="AC136" s="9"/>
      <c r="AD136" s="5"/>
      <c r="AE136" s="7" t="str">
        <f t="shared" ref="AE136:AE199" si="14">IF(OR($A136&lt;&gt;"",$B136&lt;&gt;""),13-AI136,"")</f>
        <v/>
      </c>
      <c r="AF136" s="7" t="str">
        <f t="shared" ref="AF136:AF199" si="15">IF(OR($A136&lt;&gt;"",$B136&lt;&gt;""),COUNTIFS(G136:S136,"Selesai"),"")</f>
        <v/>
      </c>
      <c r="AG136" s="7" t="str">
        <f t="shared" ref="AG136:AG199" si="16">IF(OR($A136&lt;&gt;"",$B136&lt;&gt;""),COUNTIFS(G136:S136,"Proses"),"")</f>
        <v/>
      </c>
      <c r="AH136" s="7" t="str">
        <f t="shared" ref="AH136:AH199" si="17">IF(OR($A136&lt;&gt;"",$B136&lt;&gt;""),COUNTIFS(G136:S136,"Belum"),"")</f>
        <v/>
      </c>
      <c r="AI136" s="7" t="str">
        <f t="shared" ref="AI136:AI199" si="18">IF(OR($A136&lt;&gt;"",$B136&lt;&gt;""),COUNTIFS(G136:S136,"Tidak Berlaku"),"")</f>
        <v/>
      </c>
      <c r="AJ136" s="7" t="str">
        <f t="shared" ref="AJ136:AJ199" si="19">IF(OR($A136&lt;&gt;"",$B136&lt;&gt;""),COUNTBLANK(G136:S136),"")</f>
        <v/>
      </c>
      <c r="AK136" s="10" t="str">
        <f t="shared" ref="AK136:AK199" si="20">IF(OR($A136&lt;&gt;"",$B136&lt;&gt;""),IF(AE136=0,"n.a.",AF136/AE136),"")</f>
        <v/>
      </c>
      <c r="AL136" s="15" t="str">
        <f>IF(OR($A136&lt;&gt;"",$B136&lt;&gt;""),IF(OR($A136="",$B136=""),"Isi tanggal dan ID PIC",IF(NOT(ISNUMBER($A136)),"Tanggal harus berupa tanggal Excel",IF(COUNTIFS(Master_PIC!$A$8:$A$73,$B136)&lt;&gt;1,"ID PIC tidak unik/terdaftar",IF(VLOOKUP($B136,Master_PIC!$A$8:$G$73,3,FALSE)&lt;&gt;"SPV","Jabatan tidak sesuai sheet",IF(OR($C136="",$D136="",$E136="",$F136=""),"Lengkapi master PIC",IF(COUNTIFS($A$8:$A$507,$A136,$B$8:$B$507,$B136)&gt;1,"Laporan ganda",IF(COUNTIFS(G136:O136,"Tidak Berlaku")&gt;0,"N/A hanya untuk kegiatan bersyarat",IF(SUM(AF136,AG136,AH136,AI136,AJ136)&lt;&gt;13,"Status kegiatan tidak valid",IF(AJ136&gt;0,"Lengkapi status kegiatan",IF(AND(AI136&gt;0,T136=""),"Isi alasan Tidak Berlaku",IF(AND(SUM(AG136,AH136)&gt;0,OR(T136="",U136="",V136="",W136="")),"Isi kendala dan tindak lanjut",IF(AND(Y136&lt;&gt;"Draft",Y136&lt;&gt;"Dikirim"),"Isi status laporan yang valid",IF(AND(AA136&lt;&gt;"",AA136&lt;&gt;"Belum Diperiksa",AA136&lt;&gt;"Disetujui",AA136&lt;&gt;"Perlu Perbaikan"),"Hasil review tidak valid",IF(AND(Y136="Dikirim",OR(X136="",Z136="")),"Isi bukti dan waktu kirim",IF(AND(AA136="Disetujui",OR(Y136&lt;&gt;"Dikirim",AB136="",AC136="")),"Lengkapi pemeriksaan",IF(AND(AA136="Perlu Perbaikan",OR(AD136="",AB136="",AC136="")),"Isi pemeriksa dan catatan perbaikan","OK")))))))))))))))),"")</f>
        <v/>
      </c>
    </row>
    <row r="137" spans="1:38" ht="24.95" customHeight="1">
      <c r="A137" s="8"/>
      <c r="B137" s="6"/>
      <c r="C137" s="15" t="str">
        <f>IF(COUNTIFS(Master_PIC!$A$8:$A$73,$B137)=1,IF(VLOOKUP($B137,Master_PIC!$A$8:$G$73,2,FALSE)="","",VLOOKUP($B137,Master_PIC!$A$8:$G$73,2,FALSE)),"")</f>
        <v/>
      </c>
      <c r="D137" s="15" t="str">
        <f>IF(COUNTIFS(Master_PIC!$A$8:$A$73,$B137)=1,IF(VLOOKUP($B137,Master_PIC!$A$8:$G$73,4,FALSE)="","",VLOOKUP($B137,Master_PIC!$A$8:$G$73,4,FALSE)),"")</f>
        <v/>
      </c>
      <c r="E137" s="15" t="str">
        <f>IF(COUNTIFS(Master_PIC!$A$8:$A$73,$B137)=1,IF(VLOOKUP($B137,Master_PIC!$A$8:$G$73,5,FALSE)="","",VLOOKUP($B137,Master_PIC!$A$8:$G$73,5,FALSE)),"")</f>
        <v/>
      </c>
      <c r="F137" s="15" t="str">
        <f>IF(COUNTIFS(Master_PIC!$A$8:$A$73,$B137)=1,IF(VLOOKUP($B137,Master_PIC!$A$8:$G$73,6,FALSE)="","",VLOOKUP($B137,Master_PIC!$A$8:$G$73,6,FALSE)),"")</f>
        <v/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8"/>
      <c r="X137" s="5"/>
      <c r="Y137" s="5"/>
      <c r="Z137" s="9"/>
      <c r="AA137" s="5"/>
      <c r="AB137" s="5"/>
      <c r="AC137" s="9"/>
      <c r="AD137" s="5"/>
      <c r="AE137" s="7" t="str">
        <f t="shared" si="14"/>
        <v/>
      </c>
      <c r="AF137" s="7" t="str">
        <f t="shared" si="15"/>
        <v/>
      </c>
      <c r="AG137" s="7" t="str">
        <f t="shared" si="16"/>
        <v/>
      </c>
      <c r="AH137" s="7" t="str">
        <f t="shared" si="17"/>
        <v/>
      </c>
      <c r="AI137" s="7" t="str">
        <f t="shared" si="18"/>
        <v/>
      </c>
      <c r="AJ137" s="7" t="str">
        <f t="shared" si="19"/>
        <v/>
      </c>
      <c r="AK137" s="10" t="str">
        <f t="shared" si="20"/>
        <v/>
      </c>
      <c r="AL137" s="15" t="str">
        <f>IF(OR($A137&lt;&gt;"",$B137&lt;&gt;""),IF(OR($A137="",$B137=""),"Isi tanggal dan ID PIC",IF(NOT(ISNUMBER($A137)),"Tanggal harus berupa tanggal Excel",IF(COUNTIFS(Master_PIC!$A$8:$A$73,$B137)&lt;&gt;1,"ID PIC tidak unik/terdaftar",IF(VLOOKUP($B137,Master_PIC!$A$8:$G$73,3,FALSE)&lt;&gt;"SPV","Jabatan tidak sesuai sheet",IF(OR($C137="",$D137="",$E137="",$F137=""),"Lengkapi master PIC",IF(COUNTIFS($A$8:$A$507,$A137,$B$8:$B$507,$B137)&gt;1,"Laporan ganda",IF(COUNTIFS(G137:O137,"Tidak Berlaku")&gt;0,"N/A hanya untuk kegiatan bersyarat",IF(SUM(AF137,AG137,AH137,AI137,AJ137)&lt;&gt;13,"Status kegiatan tidak valid",IF(AJ137&gt;0,"Lengkapi status kegiatan",IF(AND(AI137&gt;0,T137=""),"Isi alasan Tidak Berlaku",IF(AND(SUM(AG137,AH137)&gt;0,OR(T137="",U137="",V137="",W137="")),"Isi kendala dan tindak lanjut",IF(AND(Y137&lt;&gt;"Draft",Y137&lt;&gt;"Dikirim"),"Isi status laporan yang valid",IF(AND(AA137&lt;&gt;"",AA137&lt;&gt;"Belum Diperiksa",AA137&lt;&gt;"Disetujui",AA137&lt;&gt;"Perlu Perbaikan"),"Hasil review tidak valid",IF(AND(Y137="Dikirim",OR(X137="",Z137="")),"Isi bukti dan waktu kirim",IF(AND(AA137="Disetujui",OR(Y137&lt;&gt;"Dikirim",AB137="",AC137="")),"Lengkapi pemeriksaan",IF(AND(AA137="Perlu Perbaikan",OR(AD137="",AB137="",AC137="")),"Isi pemeriksa dan catatan perbaikan","OK")))))))))))))))),"")</f>
        <v/>
      </c>
    </row>
    <row r="138" spans="1:38" ht="24.95" customHeight="1">
      <c r="A138" s="8"/>
      <c r="B138" s="6"/>
      <c r="C138" s="15" t="str">
        <f>IF(COUNTIFS(Master_PIC!$A$8:$A$73,$B138)=1,IF(VLOOKUP($B138,Master_PIC!$A$8:$G$73,2,FALSE)="","",VLOOKUP($B138,Master_PIC!$A$8:$G$73,2,FALSE)),"")</f>
        <v/>
      </c>
      <c r="D138" s="15" t="str">
        <f>IF(COUNTIFS(Master_PIC!$A$8:$A$73,$B138)=1,IF(VLOOKUP($B138,Master_PIC!$A$8:$G$73,4,FALSE)="","",VLOOKUP($B138,Master_PIC!$A$8:$G$73,4,FALSE)),"")</f>
        <v/>
      </c>
      <c r="E138" s="15" t="str">
        <f>IF(COUNTIFS(Master_PIC!$A$8:$A$73,$B138)=1,IF(VLOOKUP($B138,Master_PIC!$A$8:$G$73,5,FALSE)="","",VLOOKUP($B138,Master_PIC!$A$8:$G$73,5,FALSE)),"")</f>
        <v/>
      </c>
      <c r="F138" s="15" t="str">
        <f>IF(COUNTIFS(Master_PIC!$A$8:$A$73,$B138)=1,IF(VLOOKUP($B138,Master_PIC!$A$8:$G$73,6,FALSE)="","",VLOOKUP($B138,Master_PIC!$A$8:$G$73,6,FALSE)),"")</f>
        <v/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8"/>
      <c r="X138" s="5"/>
      <c r="Y138" s="5"/>
      <c r="Z138" s="9"/>
      <c r="AA138" s="5"/>
      <c r="AB138" s="5"/>
      <c r="AC138" s="9"/>
      <c r="AD138" s="5"/>
      <c r="AE138" s="7" t="str">
        <f t="shared" si="14"/>
        <v/>
      </c>
      <c r="AF138" s="7" t="str">
        <f t="shared" si="15"/>
        <v/>
      </c>
      <c r="AG138" s="7" t="str">
        <f t="shared" si="16"/>
        <v/>
      </c>
      <c r="AH138" s="7" t="str">
        <f t="shared" si="17"/>
        <v/>
      </c>
      <c r="AI138" s="7" t="str">
        <f t="shared" si="18"/>
        <v/>
      </c>
      <c r="AJ138" s="7" t="str">
        <f t="shared" si="19"/>
        <v/>
      </c>
      <c r="AK138" s="10" t="str">
        <f t="shared" si="20"/>
        <v/>
      </c>
      <c r="AL138" s="15" t="str">
        <f>IF(OR($A138&lt;&gt;"",$B138&lt;&gt;""),IF(OR($A138="",$B138=""),"Isi tanggal dan ID PIC",IF(NOT(ISNUMBER($A138)),"Tanggal harus berupa tanggal Excel",IF(COUNTIFS(Master_PIC!$A$8:$A$73,$B138)&lt;&gt;1,"ID PIC tidak unik/terdaftar",IF(VLOOKUP($B138,Master_PIC!$A$8:$G$73,3,FALSE)&lt;&gt;"SPV","Jabatan tidak sesuai sheet",IF(OR($C138="",$D138="",$E138="",$F138=""),"Lengkapi master PIC",IF(COUNTIFS($A$8:$A$507,$A138,$B$8:$B$507,$B138)&gt;1,"Laporan ganda",IF(COUNTIFS(G138:O138,"Tidak Berlaku")&gt;0,"N/A hanya untuk kegiatan bersyarat",IF(SUM(AF138,AG138,AH138,AI138,AJ138)&lt;&gt;13,"Status kegiatan tidak valid",IF(AJ138&gt;0,"Lengkapi status kegiatan",IF(AND(AI138&gt;0,T138=""),"Isi alasan Tidak Berlaku",IF(AND(SUM(AG138,AH138)&gt;0,OR(T138="",U138="",V138="",W138="")),"Isi kendala dan tindak lanjut",IF(AND(Y138&lt;&gt;"Draft",Y138&lt;&gt;"Dikirim"),"Isi status laporan yang valid",IF(AND(AA138&lt;&gt;"",AA138&lt;&gt;"Belum Diperiksa",AA138&lt;&gt;"Disetujui",AA138&lt;&gt;"Perlu Perbaikan"),"Hasil review tidak valid",IF(AND(Y138="Dikirim",OR(X138="",Z138="")),"Isi bukti dan waktu kirim",IF(AND(AA138="Disetujui",OR(Y138&lt;&gt;"Dikirim",AB138="",AC138="")),"Lengkapi pemeriksaan",IF(AND(AA138="Perlu Perbaikan",OR(AD138="",AB138="",AC138="")),"Isi pemeriksa dan catatan perbaikan","OK")))))))))))))))),"")</f>
        <v/>
      </c>
    </row>
    <row r="139" spans="1:38" ht="24.95" customHeight="1">
      <c r="A139" s="8"/>
      <c r="B139" s="6"/>
      <c r="C139" s="15" t="str">
        <f>IF(COUNTIFS(Master_PIC!$A$8:$A$73,$B139)=1,IF(VLOOKUP($B139,Master_PIC!$A$8:$G$73,2,FALSE)="","",VLOOKUP($B139,Master_PIC!$A$8:$G$73,2,FALSE)),"")</f>
        <v/>
      </c>
      <c r="D139" s="15" t="str">
        <f>IF(COUNTIFS(Master_PIC!$A$8:$A$73,$B139)=1,IF(VLOOKUP($B139,Master_PIC!$A$8:$G$73,4,FALSE)="","",VLOOKUP($B139,Master_PIC!$A$8:$G$73,4,FALSE)),"")</f>
        <v/>
      </c>
      <c r="E139" s="15" t="str">
        <f>IF(COUNTIFS(Master_PIC!$A$8:$A$73,$B139)=1,IF(VLOOKUP($B139,Master_PIC!$A$8:$G$73,5,FALSE)="","",VLOOKUP($B139,Master_PIC!$A$8:$G$73,5,FALSE)),"")</f>
        <v/>
      </c>
      <c r="F139" s="15" t="str">
        <f>IF(COUNTIFS(Master_PIC!$A$8:$A$73,$B139)=1,IF(VLOOKUP($B139,Master_PIC!$A$8:$G$73,6,FALSE)="","",VLOOKUP($B139,Master_PIC!$A$8:$G$73,6,FALSE)),"")</f>
        <v/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8"/>
      <c r="X139" s="5"/>
      <c r="Y139" s="5"/>
      <c r="Z139" s="9"/>
      <c r="AA139" s="5"/>
      <c r="AB139" s="5"/>
      <c r="AC139" s="9"/>
      <c r="AD139" s="5"/>
      <c r="AE139" s="7" t="str">
        <f t="shared" si="14"/>
        <v/>
      </c>
      <c r="AF139" s="7" t="str">
        <f t="shared" si="15"/>
        <v/>
      </c>
      <c r="AG139" s="7" t="str">
        <f t="shared" si="16"/>
        <v/>
      </c>
      <c r="AH139" s="7" t="str">
        <f t="shared" si="17"/>
        <v/>
      </c>
      <c r="AI139" s="7" t="str">
        <f t="shared" si="18"/>
        <v/>
      </c>
      <c r="AJ139" s="7" t="str">
        <f t="shared" si="19"/>
        <v/>
      </c>
      <c r="AK139" s="10" t="str">
        <f t="shared" si="20"/>
        <v/>
      </c>
      <c r="AL139" s="15" t="str">
        <f>IF(OR($A139&lt;&gt;"",$B139&lt;&gt;""),IF(OR($A139="",$B139=""),"Isi tanggal dan ID PIC",IF(NOT(ISNUMBER($A139)),"Tanggal harus berupa tanggal Excel",IF(COUNTIFS(Master_PIC!$A$8:$A$73,$B139)&lt;&gt;1,"ID PIC tidak unik/terdaftar",IF(VLOOKUP($B139,Master_PIC!$A$8:$G$73,3,FALSE)&lt;&gt;"SPV","Jabatan tidak sesuai sheet",IF(OR($C139="",$D139="",$E139="",$F139=""),"Lengkapi master PIC",IF(COUNTIFS($A$8:$A$507,$A139,$B$8:$B$507,$B139)&gt;1,"Laporan ganda",IF(COUNTIFS(G139:O139,"Tidak Berlaku")&gt;0,"N/A hanya untuk kegiatan bersyarat",IF(SUM(AF139,AG139,AH139,AI139,AJ139)&lt;&gt;13,"Status kegiatan tidak valid",IF(AJ139&gt;0,"Lengkapi status kegiatan",IF(AND(AI139&gt;0,T139=""),"Isi alasan Tidak Berlaku",IF(AND(SUM(AG139,AH139)&gt;0,OR(T139="",U139="",V139="",W139="")),"Isi kendala dan tindak lanjut",IF(AND(Y139&lt;&gt;"Draft",Y139&lt;&gt;"Dikirim"),"Isi status laporan yang valid",IF(AND(AA139&lt;&gt;"",AA139&lt;&gt;"Belum Diperiksa",AA139&lt;&gt;"Disetujui",AA139&lt;&gt;"Perlu Perbaikan"),"Hasil review tidak valid",IF(AND(Y139="Dikirim",OR(X139="",Z139="")),"Isi bukti dan waktu kirim",IF(AND(AA139="Disetujui",OR(Y139&lt;&gt;"Dikirim",AB139="",AC139="")),"Lengkapi pemeriksaan",IF(AND(AA139="Perlu Perbaikan",OR(AD139="",AB139="",AC139="")),"Isi pemeriksa dan catatan perbaikan","OK")))))))))))))))),"")</f>
        <v/>
      </c>
    </row>
    <row r="140" spans="1:38" ht="24.95" customHeight="1">
      <c r="A140" s="8"/>
      <c r="B140" s="6"/>
      <c r="C140" s="15" t="str">
        <f>IF(COUNTIFS(Master_PIC!$A$8:$A$73,$B140)=1,IF(VLOOKUP($B140,Master_PIC!$A$8:$G$73,2,FALSE)="","",VLOOKUP($B140,Master_PIC!$A$8:$G$73,2,FALSE)),"")</f>
        <v/>
      </c>
      <c r="D140" s="15" t="str">
        <f>IF(COUNTIFS(Master_PIC!$A$8:$A$73,$B140)=1,IF(VLOOKUP($B140,Master_PIC!$A$8:$G$73,4,FALSE)="","",VLOOKUP($B140,Master_PIC!$A$8:$G$73,4,FALSE)),"")</f>
        <v/>
      </c>
      <c r="E140" s="15" t="str">
        <f>IF(COUNTIFS(Master_PIC!$A$8:$A$73,$B140)=1,IF(VLOOKUP($B140,Master_PIC!$A$8:$G$73,5,FALSE)="","",VLOOKUP($B140,Master_PIC!$A$8:$G$73,5,FALSE)),"")</f>
        <v/>
      </c>
      <c r="F140" s="15" t="str">
        <f>IF(COUNTIFS(Master_PIC!$A$8:$A$73,$B140)=1,IF(VLOOKUP($B140,Master_PIC!$A$8:$G$73,6,FALSE)="","",VLOOKUP($B140,Master_PIC!$A$8:$G$73,6,FALSE)),"")</f>
        <v/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8"/>
      <c r="X140" s="5"/>
      <c r="Y140" s="5"/>
      <c r="Z140" s="9"/>
      <c r="AA140" s="5"/>
      <c r="AB140" s="5"/>
      <c r="AC140" s="9"/>
      <c r="AD140" s="5"/>
      <c r="AE140" s="7" t="str">
        <f t="shared" si="14"/>
        <v/>
      </c>
      <c r="AF140" s="7" t="str">
        <f t="shared" si="15"/>
        <v/>
      </c>
      <c r="AG140" s="7" t="str">
        <f t="shared" si="16"/>
        <v/>
      </c>
      <c r="AH140" s="7" t="str">
        <f t="shared" si="17"/>
        <v/>
      </c>
      <c r="AI140" s="7" t="str">
        <f t="shared" si="18"/>
        <v/>
      </c>
      <c r="AJ140" s="7" t="str">
        <f t="shared" si="19"/>
        <v/>
      </c>
      <c r="AK140" s="10" t="str">
        <f t="shared" si="20"/>
        <v/>
      </c>
      <c r="AL140" s="15" t="str">
        <f>IF(OR($A140&lt;&gt;"",$B140&lt;&gt;""),IF(OR($A140="",$B140=""),"Isi tanggal dan ID PIC",IF(NOT(ISNUMBER($A140)),"Tanggal harus berupa tanggal Excel",IF(COUNTIFS(Master_PIC!$A$8:$A$73,$B140)&lt;&gt;1,"ID PIC tidak unik/terdaftar",IF(VLOOKUP($B140,Master_PIC!$A$8:$G$73,3,FALSE)&lt;&gt;"SPV","Jabatan tidak sesuai sheet",IF(OR($C140="",$D140="",$E140="",$F140=""),"Lengkapi master PIC",IF(COUNTIFS($A$8:$A$507,$A140,$B$8:$B$507,$B140)&gt;1,"Laporan ganda",IF(COUNTIFS(G140:O140,"Tidak Berlaku")&gt;0,"N/A hanya untuk kegiatan bersyarat",IF(SUM(AF140,AG140,AH140,AI140,AJ140)&lt;&gt;13,"Status kegiatan tidak valid",IF(AJ140&gt;0,"Lengkapi status kegiatan",IF(AND(AI140&gt;0,T140=""),"Isi alasan Tidak Berlaku",IF(AND(SUM(AG140,AH140)&gt;0,OR(T140="",U140="",V140="",W140="")),"Isi kendala dan tindak lanjut",IF(AND(Y140&lt;&gt;"Draft",Y140&lt;&gt;"Dikirim"),"Isi status laporan yang valid",IF(AND(AA140&lt;&gt;"",AA140&lt;&gt;"Belum Diperiksa",AA140&lt;&gt;"Disetujui",AA140&lt;&gt;"Perlu Perbaikan"),"Hasil review tidak valid",IF(AND(Y140="Dikirim",OR(X140="",Z140="")),"Isi bukti dan waktu kirim",IF(AND(AA140="Disetujui",OR(Y140&lt;&gt;"Dikirim",AB140="",AC140="")),"Lengkapi pemeriksaan",IF(AND(AA140="Perlu Perbaikan",OR(AD140="",AB140="",AC140="")),"Isi pemeriksa dan catatan perbaikan","OK")))))))))))))))),"")</f>
        <v/>
      </c>
    </row>
    <row r="141" spans="1:38" ht="24.95" customHeight="1">
      <c r="A141" s="8"/>
      <c r="B141" s="6"/>
      <c r="C141" s="15" t="str">
        <f>IF(COUNTIFS(Master_PIC!$A$8:$A$73,$B141)=1,IF(VLOOKUP($B141,Master_PIC!$A$8:$G$73,2,FALSE)="","",VLOOKUP($B141,Master_PIC!$A$8:$G$73,2,FALSE)),"")</f>
        <v/>
      </c>
      <c r="D141" s="15" t="str">
        <f>IF(COUNTIFS(Master_PIC!$A$8:$A$73,$B141)=1,IF(VLOOKUP($B141,Master_PIC!$A$8:$G$73,4,FALSE)="","",VLOOKUP($B141,Master_PIC!$A$8:$G$73,4,FALSE)),"")</f>
        <v/>
      </c>
      <c r="E141" s="15" t="str">
        <f>IF(COUNTIFS(Master_PIC!$A$8:$A$73,$B141)=1,IF(VLOOKUP($B141,Master_PIC!$A$8:$G$73,5,FALSE)="","",VLOOKUP($B141,Master_PIC!$A$8:$G$73,5,FALSE)),"")</f>
        <v/>
      </c>
      <c r="F141" s="15" t="str">
        <f>IF(COUNTIFS(Master_PIC!$A$8:$A$73,$B141)=1,IF(VLOOKUP($B141,Master_PIC!$A$8:$G$73,6,FALSE)="","",VLOOKUP($B141,Master_PIC!$A$8:$G$73,6,FALSE)),"")</f>
        <v/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9"/>
      <c r="AA141" s="5"/>
      <c r="AB141" s="5"/>
      <c r="AC141" s="9"/>
      <c r="AD141" s="5"/>
      <c r="AE141" s="7" t="str">
        <f t="shared" si="14"/>
        <v/>
      </c>
      <c r="AF141" s="7" t="str">
        <f t="shared" si="15"/>
        <v/>
      </c>
      <c r="AG141" s="7" t="str">
        <f t="shared" si="16"/>
        <v/>
      </c>
      <c r="AH141" s="7" t="str">
        <f t="shared" si="17"/>
        <v/>
      </c>
      <c r="AI141" s="7" t="str">
        <f t="shared" si="18"/>
        <v/>
      </c>
      <c r="AJ141" s="7" t="str">
        <f t="shared" si="19"/>
        <v/>
      </c>
      <c r="AK141" s="10" t="str">
        <f t="shared" si="20"/>
        <v/>
      </c>
      <c r="AL141" s="15" t="str">
        <f>IF(OR($A141&lt;&gt;"",$B141&lt;&gt;""),IF(OR($A141="",$B141=""),"Isi tanggal dan ID PIC",IF(NOT(ISNUMBER($A141)),"Tanggal harus berupa tanggal Excel",IF(COUNTIFS(Master_PIC!$A$8:$A$73,$B141)&lt;&gt;1,"ID PIC tidak unik/terdaftar",IF(VLOOKUP($B141,Master_PIC!$A$8:$G$73,3,FALSE)&lt;&gt;"SPV","Jabatan tidak sesuai sheet",IF(OR($C141="",$D141="",$E141="",$F141=""),"Lengkapi master PIC",IF(COUNTIFS($A$8:$A$507,$A141,$B$8:$B$507,$B141)&gt;1,"Laporan ganda",IF(COUNTIFS(G141:O141,"Tidak Berlaku")&gt;0,"N/A hanya untuk kegiatan bersyarat",IF(SUM(AF141,AG141,AH141,AI141,AJ141)&lt;&gt;13,"Status kegiatan tidak valid",IF(AJ141&gt;0,"Lengkapi status kegiatan",IF(AND(AI141&gt;0,T141=""),"Isi alasan Tidak Berlaku",IF(AND(SUM(AG141,AH141)&gt;0,OR(T141="",U141="",V141="",W141="")),"Isi kendala dan tindak lanjut",IF(AND(Y141&lt;&gt;"Draft",Y141&lt;&gt;"Dikirim"),"Isi status laporan yang valid",IF(AND(AA141&lt;&gt;"",AA141&lt;&gt;"Belum Diperiksa",AA141&lt;&gt;"Disetujui",AA141&lt;&gt;"Perlu Perbaikan"),"Hasil review tidak valid",IF(AND(Y141="Dikirim",OR(X141="",Z141="")),"Isi bukti dan waktu kirim",IF(AND(AA141="Disetujui",OR(Y141&lt;&gt;"Dikirim",AB141="",AC141="")),"Lengkapi pemeriksaan",IF(AND(AA141="Perlu Perbaikan",OR(AD141="",AB141="",AC141="")),"Isi pemeriksa dan catatan perbaikan","OK")))))))))))))))),"")</f>
        <v/>
      </c>
    </row>
    <row r="142" spans="1:38" ht="24.95" customHeight="1">
      <c r="A142" s="8"/>
      <c r="B142" s="6"/>
      <c r="C142" s="15" t="str">
        <f>IF(COUNTIFS(Master_PIC!$A$8:$A$73,$B142)=1,IF(VLOOKUP($B142,Master_PIC!$A$8:$G$73,2,FALSE)="","",VLOOKUP($B142,Master_PIC!$A$8:$G$73,2,FALSE)),"")</f>
        <v/>
      </c>
      <c r="D142" s="15" t="str">
        <f>IF(COUNTIFS(Master_PIC!$A$8:$A$73,$B142)=1,IF(VLOOKUP($B142,Master_PIC!$A$8:$G$73,4,FALSE)="","",VLOOKUP($B142,Master_PIC!$A$8:$G$73,4,FALSE)),"")</f>
        <v/>
      </c>
      <c r="E142" s="15" t="str">
        <f>IF(COUNTIFS(Master_PIC!$A$8:$A$73,$B142)=1,IF(VLOOKUP($B142,Master_PIC!$A$8:$G$73,5,FALSE)="","",VLOOKUP($B142,Master_PIC!$A$8:$G$73,5,FALSE)),"")</f>
        <v/>
      </c>
      <c r="F142" s="15" t="str">
        <f>IF(COUNTIFS(Master_PIC!$A$8:$A$73,$B142)=1,IF(VLOOKUP($B142,Master_PIC!$A$8:$G$73,6,FALSE)="","",VLOOKUP($B142,Master_PIC!$A$8:$G$73,6,FALSE)),"")</f>
        <v/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9"/>
      <c r="AA142" s="5"/>
      <c r="AB142" s="5"/>
      <c r="AC142" s="9"/>
      <c r="AD142" s="5"/>
      <c r="AE142" s="7" t="str">
        <f t="shared" si="14"/>
        <v/>
      </c>
      <c r="AF142" s="7" t="str">
        <f t="shared" si="15"/>
        <v/>
      </c>
      <c r="AG142" s="7" t="str">
        <f t="shared" si="16"/>
        <v/>
      </c>
      <c r="AH142" s="7" t="str">
        <f t="shared" si="17"/>
        <v/>
      </c>
      <c r="AI142" s="7" t="str">
        <f t="shared" si="18"/>
        <v/>
      </c>
      <c r="AJ142" s="7" t="str">
        <f t="shared" si="19"/>
        <v/>
      </c>
      <c r="AK142" s="10" t="str">
        <f t="shared" si="20"/>
        <v/>
      </c>
      <c r="AL142" s="15" t="str">
        <f>IF(OR($A142&lt;&gt;"",$B142&lt;&gt;""),IF(OR($A142="",$B142=""),"Isi tanggal dan ID PIC",IF(NOT(ISNUMBER($A142)),"Tanggal harus berupa tanggal Excel",IF(COUNTIFS(Master_PIC!$A$8:$A$73,$B142)&lt;&gt;1,"ID PIC tidak unik/terdaftar",IF(VLOOKUP($B142,Master_PIC!$A$8:$G$73,3,FALSE)&lt;&gt;"SPV","Jabatan tidak sesuai sheet",IF(OR($C142="",$D142="",$E142="",$F142=""),"Lengkapi master PIC",IF(COUNTIFS($A$8:$A$507,$A142,$B$8:$B$507,$B142)&gt;1,"Laporan ganda",IF(COUNTIFS(G142:O142,"Tidak Berlaku")&gt;0,"N/A hanya untuk kegiatan bersyarat",IF(SUM(AF142,AG142,AH142,AI142,AJ142)&lt;&gt;13,"Status kegiatan tidak valid",IF(AJ142&gt;0,"Lengkapi status kegiatan",IF(AND(AI142&gt;0,T142=""),"Isi alasan Tidak Berlaku",IF(AND(SUM(AG142,AH142)&gt;0,OR(T142="",U142="",V142="",W142="")),"Isi kendala dan tindak lanjut",IF(AND(Y142&lt;&gt;"Draft",Y142&lt;&gt;"Dikirim"),"Isi status laporan yang valid",IF(AND(AA142&lt;&gt;"",AA142&lt;&gt;"Belum Diperiksa",AA142&lt;&gt;"Disetujui",AA142&lt;&gt;"Perlu Perbaikan"),"Hasil review tidak valid",IF(AND(Y142="Dikirim",OR(X142="",Z142="")),"Isi bukti dan waktu kirim",IF(AND(AA142="Disetujui",OR(Y142&lt;&gt;"Dikirim",AB142="",AC142="")),"Lengkapi pemeriksaan",IF(AND(AA142="Perlu Perbaikan",OR(AD142="",AB142="",AC142="")),"Isi pemeriksa dan catatan perbaikan","OK")))))))))))))))),"")</f>
        <v/>
      </c>
    </row>
    <row r="143" spans="1:38" ht="24.95" customHeight="1">
      <c r="A143" s="8"/>
      <c r="B143" s="6"/>
      <c r="C143" s="15" t="str">
        <f>IF(COUNTIFS(Master_PIC!$A$8:$A$73,$B143)=1,IF(VLOOKUP($B143,Master_PIC!$A$8:$G$73,2,FALSE)="","",VLOOKUP($B143,Master_PIC!$A$8:$G$73,2,FALSE)),"")</f>
        <v/>
      </c>
      <c r="D143" s="15" t="str">
        <f>IF(COUNTIFS(Master_PIC!$A$8:$A$73,$B143)=1,IF(VLOOKUP($B143,Master_PIC!$A$8:$G$73,4,FALSE)="","",VLOOKUP($B143,Master_PIC!$A$8:$G$73,4,FALSE)),"")</f>
        <v/>
      </c>
      <c r="E143" s="15" t="str">
        <f>IF(COUNTIFS(Master_PIC!$A$8:$A$73,$B143)=1,IF(VLOOKUP($B143,Master_PIC!$A$8:$G$73,5,FALSE)="","",VLOOKUP($B143,Master_PIC!$A$8:$G$73,5,FALSE)),"")</f>
        <v/>
      </c>
      <c r="F143" s="15" t="str">
        <f>IF(COUNTIFS(Master_PIC!$A$8:$A$73,$B143)=1,IF(VLOOKUP($B143,Master_PIC!$A$8:$G$73,6,FALSE)="","",VLOOKUP($B143,Master_PIC!$A$8:$G$73,6,FALSE)),"")</f>
        <v/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8"/>
      <c r="X143" s="5"/>
      <c r="Y143" s="5"/>
      <c r="Z143" s="9"/>
      <c r="AA143" s="5"/>
      <c r="AB143" s="5"/>
      <c r="AC143" s="9"/>
      <c r="AD143" s="5"/>
      <c r="AE143" s="7" t="str">
        <f t="shared" si="14"/>
        <v/>
      </c>
      <c r="AF143" s="7" t="str">
        <f t="shared" si="15"/>
        <v/>
      </c>
      <c r="AG143" s="7" t="str">
        <f t="shared" si="16"/>
        <v/>
      </c>
      <c r="AH143" s="7" t="str">
        <f t="shared" si="17"/>
        <v/>
      </c>
      <c r="AI143" s="7" t="str">
        <f t="shared" si="18"/>
        <v/>
      </c>
      <c r="AJ143" s="7" t="str">
        <f t="shared" si="19"/>
        <v/>
      </c>
      <c r="AK143" s="10" t="str">
        <f t="shared" si="20"/>
        <v/>
      </c>
      <c r="AL143" s="15" t="str">
        <f>IF(OR($A143&lt;&gt;"",$B143&lt;&gt;""),IF(OR($A143="",$B143=""),"Isi tanggal dan ID PIC",IF(NOT(ISNUMBER($A143)),"Tanggal harus berupa tanggal Excel",IF(COUNTIFS(Master_PIC!$A$8:$A$73,$B143)&lt;&gt;1,"ID PIC tidak unik/terdaftar",IF(VLOOKUP($B143,Master_PIC!$A$8:$G$73,3,FALSE)&lt;&gt;"SPV","Jabatan tidak sesuai sheet",IF(OR($C143="",$D143="",$E143="",$F143=""),"Lengkapi master PIC",IF(COUNTIFS($A$8:$A$507,$A143,$B$8:$B$507,$B143)&gt;1,"Laporan ganda",IF(COUNTIFS(G143:O143,"Tidak Berlaku")&gt;0,"N/A hanya untuk kegiatan bersyarat",IF(SUM(AF143,AG143,AH143,AI143,AJ143)&lt;&gt;13,"Status kegiatan tidak valid",IF(AJ143&gt;0,"Lengkapi status kegiatan",IF(AND(AI143&gt;0,T143=""),"Isi alasan Tidak Berlaku",IF(AND(SUM(AG143,AH143)&gt;0,OR(T143="",U143="",V143="",W143="")),"Isi kendala dan tindak lanjut",IF(AND(Y143&lt;&gt;"Draft",Y143&lt;&gt;"Dikirim"),"Isi status laporan yang valid",IF(AND(AA143&lt;&gt;"",AA143&lt;&gt;"Belum Diperiksa",AA143&lt;&gt;"Disetujui",AA143&lt;&gt;"Perlu Perbaikan"),"Hasil review tidak valid",IF(AND(Y143="Dikirim",OR(X143="",Z143="")),"Isi bukti dan waktu kirim",IF(AND(AA143="Disetujui",OR(Y143&lt;&gt;"Dikirim",AB143="",AC143="")),"Lengkapi pemeriksaan",IF(AND(AA143="Perlu Perbaikan",OR(AD143="",AB143="",AC143="")),"Isi pemeriksa dan catatan perbaikan","OK")))))))))))))))),"")</f>
        <v/>
      </c>
    </row>
    <row r="144" spans="1:38" ht="24.95" customHeight="1">
      <c r="A144" s="8"/>
      <c r="B144" s="6"/>
      <c r="C144" s="15" t="str">
        <f>IF(COUNTIFS(Master_PIC!$A$8:$A$73,$B144)=1,IF(VLOOKUP($B144,Master_PIC!$A$8:$G$73,2,FALSE)="","",VLOOKUP($B144,Master_PIC!$A$8:$G$73,2,FALSE)),"")</f>
        <v/>
      </c>
      <c r="D144" s="15" t="str">
        <f>IF(COUNTIFS(Master_PIC!$A$8:$A$73,$B144)=1,IF(VLOOKUP($B144,Master_PIC!$A$8:$G$73,4,FALSE)="","",VLOOKUP($B144,Master_PIC!$A$8:$G$73,4,FALSE)),"")</f>
        <v/>
      </c>
      <c r="E144" s="15" t="str">
        <f>IF(COUNTIFS(Master_PIC!$A$8:$A$73,$B144)=1,IF(VLOOKUP($B144,Master_PIC!$A$8:$G$73,5,FALSE)="","",VLOOKUP($B144,Master_PIC!$A$8:$G$73,5,FALSE)),"")</f>
        <v/>
      </c>
      <c r="F144" s="15" t="str">
        <f>IF(COUNTIFS(Master_PIC!$A$8:$A$73,$B144)=1,IF(VLOOKUP($B144,Master_PIC!$A$8:$G$73,6,FALSE)="","",VLOOKUP($B144,Master_PIC!$A$8:$G$73,6,FALSE)),"")</f>
        <v/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8"/>
      <c r="X144" s="5"/>
      <c r="Y144" s="5"/>
      <c r="Z144" s="9"/>
      <c r="AA144" s="5"/>
      <c r="AB144" s="5"/>
      <c r="AC144" s="9"/>
      <c r="AD144" s="5"/>
      <c r="AE144" s="7" t="str">
        <f t="shared" si="14"/>
        <v/>
      </c>
      <c r="AF144" s="7" t="str">
        <f t="shared" si="15"/>
        <v/>
      </c>
      <c r="AG144" s="7" t="str">
        <f t="shared" si="16"/>
        <v/>
      </c>
      <c r="AH144" s="7" t="str">
        <f t="shared" si="17"/>
        <v/>
      </c>
      <c r="AI144" s="7" t="str">
        <f t="shared" si="18"/>
        <v/>
      </c>
      <c r="AJ144" s="7" t="str">
        <f t="shared" si="19"/>
        <v/>
      </c>
      <c r="AK144" s="10" t="str">
        <f t="shared" si="20"/>
        <v/>
      </c>
      <c r="AL144" s="15" t="str">
        <f>IF(OR($A144&lt;&gt;"",$B144&lt;&gt;""),IF(OR($A144="",$B144=""),"Isi tanggal dan ID PIC",IF(NOT(ISNUMBER($A144)),"Tanggal harus berupa tanggal Excel",IF(COUNTIFS(Master_PIC!$A$8:$A$73,$B144)&lt;&gt;1,"ID PIC tidak unik/terdaftar",IF(VLOOKUP($B144,Master_PIC!$A$8:$G$73,3,FALSE)&lt;&gt;"SPV","Jabatan tidak sesuai sheet",IF(OR($C144="",$D144="",$E144="",$F144=""),"Lengkapi master PIC",IF(COUNTIFS($A$8:$A$507,$A144,$B$8:$B$507,$B144)&gt;1,"Laporan ganda",IF(COUNTIFS(G144:O144,"Tidak Berlaku")&gt;0,"N/A hanya untuk kegiatan bersyarat",IF(SUM(AF144,AG144,AH144,AI144,AJ144)&lt;&gt;13,"Status kegiatan tidak valid",IF(AJ144&gt;0,"Lengkapi status kegiatan",IF(AND(AI144&gt;0,T144=""),"Isi alasan Tidak Berlaku",IF(AND(SUM(AG144,AH144)&gt;0,OR(T144="",U144="",V144="",W144="")),"Isi kendala dan tindak lanjut",IF(AND(Y144&lt;&gt;"Draft",Y144&lt;&gt;"Dikirim"),"Isi status laporan yang valid",IF(AND(AA144&lt;&gt;"",AA144&lt;&gt;"Belum Diperiksa",AA144&lt;&gt;"Disetujui",AA144&lt;&gt;"Perlu Perbaikan"),"Hasil review tidak valid",IF(AND(Y144="Dikirim",OR(X144="",Z144="")),"Isi bukti dan waktu kirim",IF(AND(AA144="Disetujui",OR(Y144&lt;&gt;"Dikirim",AB144="",AC144="")),"Lengkapi pemeriksaan",IF(AND(AA144="Perlu Perbaikan",OR(AD144="",AB144="",AC144="")),"Isi pemeriksa dan catatan perbaikan","OK")))))))))))))))),"")</f>
        <v/>
      </c>
    </row>
    <row r="145" spans="1:38" ht="24.95" customHeight="1">
      <c r="A145" s="8"/>
      <c r="B145" s="6"/>
      <c r="C145" s="15" t="str">
        <f>IF(COUNTIFS(Master_PIC!$A$8:$A$73,$B145)=1,IF(VLOOKUP($B145,Master_PIC!$A$8:$G$73,2,FALSE)="","",VLOOKUP($B145,Master_PIC!$A$8:$G$73,2,FALSE)),"")</f>
        <v/>
      </c>
      <c r="D145" s="15" t="str">
        <f>IF(COUNTIFS(Master_PIC!$A$8:$A$73,$B145)=1,IF(VLOOKUP($B145,Master_PIC!$A$8:$G$73,4,FALSE)="","",VLOOKUP($B145,Master_PIC!$A$8:$G$73,4,FALSE)),"")</f>
        <v/>
      </c>
      <c r="E145" s="15" t="str">
        <f>IF(COUNTIFS(Master_PIC!$A$8:$A$73,$B145)=1,IF(VLOOKUP($B145,Master_PIC!$A$8:$G$73,5,FALSE)="","",VLOOKUP($B145,Master_PIC!$A$8:$G$73,5,FALSE)),"")</f>
        <v/>
      </c>
      <c r="F145" s="15" t="str">
        <f>IF(COUNTIFS(Master_PIC!$A$8:$A$73,$B145)=1,IF(VLOOKUP($B145,Master_PIC!$A$8:$G$73,6,FALSE)="","",VLOOKUP($B145,Master_PIC!$A$8:$G$73,6,FALSE)),"")</f>
        <v/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8"/>
      <c r="X145" s="5"/>
      <c r="Y145" s="5"/>
      <c r="Z145" s="9"/>
      <c r="AA145" s="5"/>
      <c r="AB145" s="5"/>
      <c r="AC145" s="9"/>
      <c r="AD145" s="5"/>
      <c r="AE145" s="7" t="str">
        <f t="shared" si="14"/>
        <v/>
      </c>
      <c r="AF145" s="7" t="str">
        <f t="shared" si="15"/>
        <v/>
      </c>
      <c r="AG145" s="7" t="str">
        <f t="shared" si="16"/>
        <v/>
      </c>
      <c r="AH145" s="7" t="str">
        <f t="shared" si="17"/>
        <v/>
      </c>
      <c r="AI145" s="7" t="str">
        <f t="shared" si="18"/>
        <v/>
      </c>
      <c r="AJ145" s="7" t="str">
        <f t="shared" si="19"/>
        <v/>
      </c>
      <c r="AK145" s="10" t="str">
        <f t="shared" si="20"/>
        <v/>
      </c>
      <c r="AL145" s="15" t="str">
        <f>IF(OR($A145&lt;&gt;"",$B145&lt;&gt;""),IF(OR($A145="",$B145=""),"Isi tanggal dan ID PIC",IF(NOT(ISNUMBER($A145)),"Tanggal harus berupa tanggal Excel",IF(COUNTIFS(Master_PIC!$A$8:$A$73,$B145)&lt;&gt;1,"ID PIC tidak unik/terdaftar",IF(VLOOKUP($B145,Master_PIC!$A$8:$G$73,3,FALSE)&lt;&gt;"SPV","Jabatan tidak sesuai sheet",IF(OR($C145="",$D145="",$E145="",$F145=""),"Lengkapi master PIC",IF(COUNTIFS($A$8:$A$507,$A145,$B$8:$B$507,$B145)&gt;1,"Laporan ganda",IF(COUNTIFS(G145:O145,"Tidak Berlaku")&gt;0,"N/A hanya untuk kegiatan bersyarat",IF(SUM(AF145,AG145,AH145,AI145,AJ145)&lt;&gt;13,"Status kegiatan tidak valid",IF(AJ145&gt;0,"Lengkapi status kegiatan",IF(AND(AI145&gt;0,T145=""),"Isi alasan Tidak Berlaku",IF(AND(SUM(AG145,AH145)&gt;0,OR(T145="",U145="",V145="",W145="")),"Isi kendala dan tindak lanjut",IF(AND(Y145&lt;&gt;"Draft",Y145&lt;&gt;"Dikirim"),"Isi status laporan yang valid",IF(AND(AA145&lt;&gt;"",AA145&lt;&gt;"Belum Diperiksa",AA145&lt;&gt;"Disetujui",AA145&lt;&gt;"Perlu Perbaikan"),"Hasil review tidak valid",IF(AND(Y145="Dikirim",OR(X145="",Z145="")),"Isi bukti dan waktu kirim",IF(AND(AA145="Disetujui",OR(Y145&lt;&gt;"Dikirim",AB145="",AC145="")),"Lengkapi pemeriksaan",IF(AND(AA145="Perlu Perbaikan",OR(AD145="",AB145="",AC145="")),"Isi pemeriksa dan catatan perbaikan","OK")))))))))))))))),"")</f>
        <v/>
      </c>
    </row>
    <row r="146" spans="1:38" ht="24.95" customHeight="1">
      <c r="A146" s="8"/>
      <c r="B146" s="6"/>
      <c r="C146" s="15" t="str">
        <f>IF(COUNTIFS(Master_PIC!$A$8:$A$73,$B146)=1,IF(VLOOKUP($B146,Master_PIC!$A$8:$G$73,2,FALSE)="","",VLOOKUP($B146,Master_PIC!$A$8:$G$73,2,FALSE)),"")</f>
        <v/>
      </c>
      <c r="D146" s="15" t="str">
        <f>IF(COUNTIFS(Master_PIC!$A$8:$A$73,$B146)=1,IF(VLOOKUP($B146,Master_PIC!$A$8:$G$73,4,FALSE)="","",VLOOKUP($B146,Master_PIC!$A$8:$G$73,4,FALSE)),"")</f>
        <v/>
      </c>
      <c r="E146" s="15" t="str">
        <f>IF(COUNTIFS(Master_PIC!$A$8:$A$73,$B146)=1,IF(VLOOKUP($B146,Master_PIC!$A$8:$G$73,5,FALSE)="","",VLOOKUP($B146,Master_PIC!$A$8:$G$73,5,FALSE)),"")</f>
        <v/>
      </c>
      <c r="F146" s="15" t="str">
        <f>IF(COUNTIFS(Master_PIC!$A$8:$A$73,$B146)=1,IF(VLOOKUP($B146,Master_PIC!$A$8:$G$73,6,FALSE)="","",VLOOKUP($B146,Master_PIC!$A$8:$G$73,6,FALSE)),"")</f>
        <v/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9"/>
      <c r="AA146" s="5"/>
      <c r="AB146" s="5"/>
      <c r="AC146" s="9"/>
      <c r="AD146" s="5"/>
      <c r="AE146" s="7" t="str">
        <f t="shared" si="14"/>
        <v/>
      </c>
      <c r="AF146" s="7" t="str">
        <f t="shared" si="15"/>
        <v/>
      </c>
      <c r="AG146" s="7" t="str">
        <f t="shared" si="16"/>
        <v/>
      </c>
      <c r="AH146" s="7" t="str">
        <f t="shared" si="17"/>
        <v/>
      </c>
      <c r="AI146" s="7" t="str">
        <f t="shared" si="18"/>
        <v/>
      </c>
      <c r="AJ146" s="7" t="str">
        <f t="shared" si="19"/>
        <v/>
      </c>
      <c r="AK146" s="10" t="str">
        <f t="shared" si="20"/>
        <v/>
      </c>
      <c r="AL146" s="15" t="str">
        <f>IF(OR($A146&lt;&gt;"",$B146&lt;&gt;""),IF(OR($A146="",$B146=""),"Isi tanggal dan ID PIC",IF(NOT(ISNUMBER($A146)),"Tanggal harus berupa tanggal Excel",IF(COUNTIFS(Master_PIC!$A$8:$A$73,$B146)&lt;&gt;1,"ID PIC tidak unik/terdaftar",IF(VLOOKUP($B146,Master_PIC!$A$8:$G$73,3,FALSE)&lt;&gt;"SPV","Jabatan tidak sesuai sheet",IF(OR($C146="",$D146="",$E146="",$F146=""),"Lengkapi master PIC",IF(COUNTIFS($A$8:$A$507,$A146,$B$8:$B$507,$B146)&gt;1,"Laporan ganda",IF(COUNTIFS(G146:O146,"Tidak Berlaku")&gt;0,"N/A hanya untuk kegiatan bersyarat",IF(SUM(AF146,AG146,AH146,AI146,AJ146)&lt;&gt;13,"Status kegiatan tidak valid",IF(AJ146&gt;0,"Lengkapi status kegiatan",IF(AND(AI146&gt;0,T146=""),"Isi alasan Tidak Berlaku",IF(AND(SUM(AG146,AH146)&gt;0,OR(T146="",U146="",V146="",W146="")),"Isi kendala dan tindak lanjut",IF(AND(Y146&lt;&gt;"Draft",Y146&lt;&gt;"Dikirim"),"Isi status laporan yang valid",IF(AND(AA146&lt;&gt;"",AA146&lt;&gt;"Belum Diperiksa",AA146&lt;&gt;"Disetujui",AA146&lt;&gt;"Perlu Perbaikan"),"Hasil review tidak valid",IF(AND(Y146="Dikirim",OR(X146="",Z146="")),"Isi bukti dan waktu kirim",IF(AND(AA146="Disetujui",OR(Y146&lt;&gt;"Dikirim",AB146="",AC146="")),"Lengkapi pemeriksaan",IF(AND(AA146="Perlu Perbaikan",OR(AD146="",AB146="",AC146="")),"Isi pemeriksa dan catatan perbaikan","OK")))))))))))))))),"")</f>
        <v/>
      </c>
    </row>
    <row r="147" spans="1:38" ht="24.95" customHeight="1">
      <c r="A147" s="8"/>
      <c r="B147" s="6"/>
      <c r="C147" s="15" t="str">
        <f>IF(COUNTIFS(Master_PIC!$A$8:$A$73,$B147)=1,IF(VLOOKUP($B147,Master_PIC!$A$8:$G$73,2,FALSE)="","",VLOOKUP($B147,Master_PIC!$A$8:$G$73,2,FALSE)),"")</f>
        <v/>
      </c>
      <c r="D147" s="15" t="str">
        <f>IF(COUNTIFS(Master_PIC!$A$8:$A$73,$B147)=1,IF(VLOOKUP($B147,Master_PIC!$A$8:$G$73,4,FALSE)="","",VLOOKUP($B147,Master_PIC!$A$8:$G$73,4,FALSE)),"")</f>
        <v/>
      </c>
      <c r="E147" s="15" t="str">
        <f>IF(COUNTIFS(Master_PIC!$A$8:$A$73,$B147)=1,IF(VLOOKUP($B147,Master_PIC!$A$8:$G$73,5,FALSE)="","",VLOOKUP($B147,Master_PIC!$A$8:$G$73,5,FALSE)),"")</f>
        <v/>
      </c>
      <c r="F147" s="15" t="str">
        <f>IF(COUNTIFS(Master_PIC!$A$8:$A$73,$B147)=1,IF(VLOOKUP($B147,Master_PIC!$A$8:$G$73,6,FALSE)="","",VLOOKUP($B147,Master_PIC!$A$8:$G$73,6,FALSE)),"")</f>
        <v/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9"/>
      <c r="AA147" s="5"/>
      <c r="AB147" s="5"/>
      <c r="AC147" s="9"/>
      <c r="AD147" s="5"/>
      <c r="AE147" s="7" t="str">
        <f t="shared" si="14"/>
        <v/>
      </c>
      <c r="AF147" s="7" t="str">
        <f t="shared" si="15"/>
        <v/>
      </c>
      <c r="AG147" s="7" t="str">
        <f t="shared" si="16"/>
        <v/>
      </c>
      <c r="AH147" s="7" t="str">
        <f t="shared" si="17"/>
        <v/>
      </c>
      <c r="AI147" s="7" t="str">
        <f t="shared" si="18"/>
        <v/>
      </c>
      <c r="AJ147" s="7" t="str">
        <f t="shared" si="19"/>
        <v/>
      </c>
      <c r="AK147" s="10" t="str">
        <f t="shared" si="20"/>
        <v/>
      </c>
      <c r="AL147" s="15" t="str">
        <f>IF(OR($A147&lt;&gt;"",$B147&lt;&gt;""),IF(OR($A147="",$B147=""),"Isi tanggal dan ID PIC",IF(NOT(ISNUMBER($A147)),"Tanggal harus berupa tanggal Excel",IF(COUNTIFS(Master_PIC!$A$8:$A$73,$B147)&lt;&gt;1,"ID PIC tidak unik/terdaftar",IF(VLOOKUP($B147,Master_PIC!$A$8:$G$73,3,FALSE)&lt;&gt;"SPV","Jabatan tidak sesuai sheet",IF(OR($C147="",$D147="",$E147="",$F147=""),"Lengkapi master PIC",IF(COUNTIFS($A$8:$A$507,$A147,$B$8:$B$507,$B147)&gt;1,"Laporan ganda",IF(COUNTIFS(G147:O147,"Tidak Berlaku")&gt;0,"N/A hanya untuk kegiatan bersyarat",IF(SUM(AF147,AG147,AH147,AI147,AJ147)&lt;&gt;13,"Status kegiatan tidak valid",IF(AJ147&gt;0,"Lengkapi status kegiatan",IF(AND(AI147&gt;0,T147=""),"Isi alasan Tidak Berlaku",IF(AND(SUM(AG147,AH147)&gt;0,OR(T147="",U147="",V147="",W147="")),"Isi kendala dan tindak lanjut",IF(AND(Y147&lt;&gt;"Draft",Y147&lt;&gt;"Dikirim"),"Isi status laporan yang valid",IF(AND(AA147&lt;&gt;"",AA147&lt;&gt;"Belum Diperiksa",AA147&lt;&gt;"Disetujui",AA147&lt;&gt;"Perlu Perbaikan"),"Hasil review tidak valid",IF(AND(Y147="Dikirim",OR(X147="",Z147="")),"Isi bukti dan waktu kirim",IF(AND(AA147="Disetujui",OR(Y147&lt;&gt;"Dikirim",AB147="",AC147="")),"Lengkapi pemeriksaan",IF(AND(AA147="Perlu Perbaikan",OR(AD147="",AB147="",AC147="")),"Isi pemeriksa dan catatan perbaikan","OK")))))))))))))))),"")</f>
        <v/>
      </c>
    </row>
    <row r="148" spans="1:38" ht="24.95" customHeight="1">
      <c r="A148" s="8"/>
      <c r="B148" s="6"/>
      <c r="C148" s="15" t="str">
        <f>IF(COUNTIFS(Master_PIC!$A$8:$A$73,$B148)=1,IF(VLOOKUP($B148,Master_PIC!$A$8:$G$73,2,FALSE)="","",VLOOKUP($B148,Master_PIC!$A$8:$G$73,2,FALSE)),"")</f>
        <v/>
      </c>
      <c r="D148" s="15" t="str">
        <f>IF(COUNTIFS(Master_PIC!$A$8:$A$73,$B148)=1,IF(VLOOKUP($B148,Master_PIC!$A$8:$G$73,4,FALSE)="","",VLOOKUP($B148,Master_PIC!$A$8:$G$73,4,FALSE)),"")</f>
        <v/>
      </c>
      <c r="E148" s="15" t="str">
        <f>IF(COUNTIFS(Master_PIC!$A$8:$A$73,$B148)=1,IF(VLOOKUP($B148,Master_PIC!$A$8:$G$73,5,FALSE)="","",VLOOKUP($B148,Master_PIC!$A$8:$G$73,5,FALSE)),"")</f>
        <v/>
      </c>
      <c r="F148" s="15" t="str">
        <f>IF(COUNTIFS(Master_PIC!$A$8:$A$73,$B148)=1,IF(VLOOKUP($B148,Master_PIC!$A$8:$G$73,6,FALSE)="","",VLOOKUP($B148,Master_PIC!$A$8:$G$73,6,FALSE)),"")</f>
        <v/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9"/>
      <c r="AA148" s="5"/>
      <c r="AB148" s="5"/>
      <c r="AC148" s="9"/>
      <c r="AD148" s="5"/>
      <c r="AE148" s="7" t="str">
        <f t="shared" si="14"/>
        <v/>
      </c>
      <c r="AF148" s="7" t="str">
        <f t="shared" si="15"/>
        <v/>
      </c>
      <c r="AG148" s="7" t="str">
        <f t="shared" si="16"/>
        <v/>
      </c>
      <c r="AH148" s="7" t="str">
        <f t="shared" si="17"/>
        <v/>
      </c>
      <c r="AI148" s="7" t="str">
        <f t="shared" si="18"/>
        <v/>
      </c>
      <c r="AJ148" s="7" t="str">
        <f t="shared" si="19"/>
        <v/>
      </c>
      <c r="AK148" s="10" t="str">
        <f t="shared" si="20"/>
        <v/>
      </c>
      <c r="AL148" s="15" t="str">
        <f>IF(OR($A148&lt;&gt;"",$B148&lt;&gt;""),IF(OR($A148="",$B148=""),"Isi tanggal dan ID PIC",IF(NOT(ISNUMBER($A148)),"Tanggal harus berupa tanggal Excel",IF(COUNTIFS(Master_PIC!$A$8:$A$73,$B148)&lt;&gt;1,"ID PIC tidak unik/terdaftar",IF(VLOOKUP($B148,Master_PIC!$A$8:$G$73,3,FALSE)&lt;&gt;"SPV","Jabatan tidak sesuai sheet",IF(OR($C148="",$D148="",$E148="",$F148=""),"Lengkapi master PIC",IF(COUNTIFS($A$8:$A$507,$A148,$B$8:$B$507,$B148)&gt;1,"Laporan ganda",IF(COUNTIFS(G148:O148,"Tidak Berlaku")&gt;0,"N/A hanya untuk kegiatan bersyarat",IF(SUM(AF148,AG148,AH148,AI148,AJ148)&lt;&gt;13,"Status kegiatan tidak valid",IF(AJ148&gt;0,"Lengkapi status kegiatan",IF(AND(AI148&gt;0,T148=""),"Isi alasan Tidak Berlaku",IF(AND(SUM(AG148,AH148)&gt;0,OR(T148="",U148="",V148="",W148="")),"Isi kendala dan tindak lanjut",IF(AND(Y148&lt;&gt;"Draft",Y148&lt;&gt;"Dikirim"),"Isi status laporan yang valid",IF(AND(AA148&lt;&gt;"",AA148&lt;&gt;"Belum Diperiksa",AA148&lt;&gt;"Disetujui",AA148&lt;&gt;"Perlu Perbaikan"),"Hasil review tidak valid",IF(AND(Y148="Dikirim",OR(X148="",Z148="")),"Isi bukti dan waktu kirim",IF(AND(AA148="Disetujui",OR(Y148&lt;&gt;"Dikirim",AB148="",AC148="")),"Lengkapi pemeriksaan",IF(AND(AA148="Perlu Perbaikan",OR(AD148="",AB148="",AC148="")),"Isi pemeriksa dan catatan perbaikan","OK")))))))))))))))),"")</f>
        <v/>
      </c>
    </row>
    <row r="149" spans="1:38" ht="24.95" customHeight="1">
      <c r="A149" s="8"/>
      <c r="B149" s="6"/>
      <c r="C149" s="15" t="str">
        <f>IF(COUNTIFS(Master_PIC!$A$8:$A$73,$B149)=1,IF(VLOOKUP($B149,Master_PIC!$A$8:$G$73,2,FALSE)="","",VLOOKUP($B149,Master_PIC!$A$8:$G$73,2,FALSE)),"")</f>
        <v/>
      </c>
      <c r="D149" s="15" t="str">
        <f>IF(COUNTIFS(Master_PIC!$A$8:$A$73,$B149)=1,IF(VLOOKUP($B149,Master_PIC!$A$8:$G$73,4,FALSE)="","",VLOOKUP($B149,Master_PIC!$A$8:$G$73,4,FALSE)),"")</f>
        <v/>
      </c>
      <c r="E149" s="15" t="str">
        <f>IF(COUNTIFS(Master_PIC!$A$8:$A$73,$B149)=1,IF(VLOOKUP($B149,Master_PIC!$A$8:$G$73,5,FALSE)="","",VLOOKUP($B149,Master_PIC!$A$8:$G$73,5,FALSE)),"")</f>
        <v/>
      </c>
      <c r="F149" s="15" t="str">
        <f>IF(COUNTIFS(Master_PIC!$A$8:$A$73,$B149)=1,IF(VLOOKUP($B149,Master_PIC!$A$8:$G$73,6,FALSE)="","",VLOOKUP($B149,Master_PIC!$A$8:$G$73,6,FALSE)),"")</f>
        <v/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8"/>
      <c r="X149" s="5"/>
      <c r="Y149" s="5"/>
      <c r="Z149" s="9"/>
      <c r="AA149" s="5"/>
      <c r="AB149" s="5"/>
      <c r="AC149" s="9"/>
      <c r="AD149" s="5"/>
      <c r="AE149" s="7" t="str">
        <f t="shared" si="14"/>
        <v/>
      </c>
      <c r="AF149" s="7" t="str">
        <f t="shared" si="15"/>
        <v/>
      </c>
      <c r="AG149" s="7" t="str">
        <f t="shared" si="16"/>
        <v/>
      </c>
      <c r="AH149" s="7" t="str">
        <f t="shared" si="17"/>
        <v/>
      </c>
      <c r="AI149" s="7" t="str">
        <f t="shared" si="18"/>
        <v/>
      </c>
      <c r="AJ149" s="7" t="str">
        <f t="shared" si="19"/>
        <v/>
      </c>
      <c r="AK149" s="10" t="str">
        <f t="shared" si="20"/>
        <v/>
      </c>
      <c r="AL149" s="15" t="str">
        <f>IF(OR($A149&lt;&gt;"",$B149&lt;&gt;""),IF(OR($A149="",$B149=""),"Isi tanggal dan ID PIC",IF(NOT(ISNUMBER($A149)),"Tanggal harus berupa tanggal Excel",IF(COUNTIFS(Master_PIC!$A$8:$A$73,$B149)&lt;&gt;1,"ID PIC tidak unik/terdaftar",IF(VLOOKUP($B149,Master_PIC!$A$8:$G$73,3,FALSE)&lt;&gt;"SPV","Jabatan tidak sesuai sheet",IF(OR($C149="",$D149="",$E149="",$F149=""),"Lengkapi master PIC",IF(COUNTIFS($A$8:$A$507,$A149,$B$8:$B$507,$B149)&gt;1,"Laporan ganda",IF(COUNTIFS(G149:O149,"Tidak Berlaku")&gt;0,"N/A hanya untuk kegiatan bersyarat",IF(SUM(AF149,AG149,AH149,AI149,AJ149)&lt;&gt;13,"Status kegiatan tidak valid",IF(AJ149&gt;0,"Lengkapi status kegiatan",IF(AND(AI149&gt;0,T149=""),"Isi alasan Tidak Berlaku",IF(AND(SUM(AG149,AH149)&gt;0,OR(T149="",U149="",V149="",W149="")),"Isi kendala dan tindak lanjut",IF(AND(Y149&lt;&gt;"Draft",Y149&lt;&gt;"Dikirim"),"Isi status laporan yang valid",IF(AND(AA149&lt;&gt;"",AA149&lt;&gt;"Belum Diperiksa",AA149&lt;&gt;"Disetujui",AA149&lt;&gt;"Perlu Perbaikan"),"Hasil review tidak valid",IF(AND(Y149="Dikirim",OR(X149="",Z149="")),"Isi bukti dan waktu kirim",IF(AND(AA149="Disetujui",OR(Y149&lt;&gt;"Dikirim",AB149="",AC149="")),"Lengkapi pemeriksaan",IF(AND(AA149="Perlu Perbaikan",OR(AD149="",AB149="",AC149="")),"Isi pemeriksa dan catatan perbaikan","OK")))))))))))))))),"")</f>
        <v/>
      </c>
    </row>
    <row r="150" spans="1:38" ht="24.95" customHeight="1">
      <c r="A150" s="8"/>
      <c r="B150" s="6"/>
      <c r="C150" s="15" t="str">
        <f>IF(COUNTIFS(Master_PIC!$A$8:$A$73,$B150)=1,IF(VLOOKUP($B150,Master_PIC!$A$8:$G$73,2,FALSE)="","",VLOOKUP($B150,Master_PIC!$A$8:$G$73,2,FALSE)),"")</f>
        <v/>
      </c>
      <c r="D150" s="15" t="str">
        <f>IF(COUNTIFS(Master_PIC!$A$8:$A$73,$B150)=1,IF(VLOOKUP($B150,Master_PIC!$A$8:$G$73,4,FALSE)="","",VLOOKUP($B150,Master_PIC!$A$8:$G$73,4,FALSE)),"")</f>
        <v/>
      </c>
      <c r="E150" s="15" t="str">
        <f>IF(COUNTIFS(Master_PIC!$A$8:$A$73,$B150)=1,IF(VLOOKUP($B150,Master_PIC!$A$8:$G$73,5,FALSE)="","",VLOOKUP($B150,Master_PIC!$A$8:$G$73,5,FALSE)),"")</f>
        <v/>
      </c>
      <c r="F150" s="15" t="str">
        <f>IF(COUNTIFS(Master_PIC!$A$8:$A$73,$B150)=1,IF(VLOOKUP($B150,Master_PIC!$A$8:$G$73,6,FALSE)="","",VLOOKUP($B150,Master_PIC!$A$8:$G$73,6,FALSE)),"")</f>
        <v/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8"/>
      <c r="X150" s="5"/>
      <c r="Y150" s="5"/>
      <c r="Z150" s="9"/>
      <c r="AA150" s="5"/>
      <c r="AB150" s="5"/>
      <c r="AC150" s="9"/>
      <c r="AD150" s="5"/>
      <c r="AE150" s="7" t="str">
        <f t="shared" si="14"/>
        <v/>
      </c>
      <c r="AF150" s="7" t="str">
        <f t="shared" si="15"/>
        <v/>
      </c>
      <c r="AG150" s="7" t="str">
        <f t="shared" si="16"/>
        <v/>
      </c>
      <c r="AH150" s="7" t="str">
        <f t="shared" si="17"/>
        <v/>
      </c>
      <c r="AI150" s="7" t="str">
        <f t="shared" si="18"/>
        <v/>
      </c>
      <c r="AJ150" s="7" t="str">
        <f t="shared" si="19"/>
        <v/>
      </c>
      <c r="AK150" s="10" t="str">
        <f t="shared" si="20"/>
        <v/>
      </c>
      <c r="AL150" s="15" t="str">
        <f>IF(OR($A150&lt;&gt;"",$B150&lt;&gt;""),IF(OR($A150="",$B150=""),"Isi tanggal dan ID PIC",IF(NOT(ISNUMBER($A150)),"Tanggal harus berupa tanggal Excel",IF(COUNTIFS(Master_PIC!$A$8:$A$73,$B150)&lt;&gt;1,"ID PIC tidak unik/terdaftar",IF(VLOOKUP($B150,Master_PIC!$A$8:$G$73,3,FALSE)&lt;&gt;"SPV","Jabatan tidak sesuai sheet",IF(OR($C150="",$D150="",$E150="",$F150=""),"Lengkapi master PIC",IF(COUNTIFS($A$8:$A$507,$A150,$B$8:$B$507,$B150)&gt;1,"Laporan ganda",IF(COUNTIFS(G150:O150,"Tidak Berlaku")&gt;0,"N/A hanya untuk kegiatan bersyarat",IF(SUM(AF150,AG150,AH150,AI150,AJ150)&lt;&gt;13,"Status kegiatan tidak valid",IF(AJ150&gt;0,"Lengkapi status kegiatan",IF(AND(AI150&gt;0,T150=""),"Isi alasan Tidak Berlaku",IF(AND(SUM(AG150,AH150)&gt;0,OR(T150="",U150="",V150="",W150="")),"Isi kendala dan tindak lanjut",IF(AND(Y150&lt;&gt;"Draft",Y150&lt;&gt;"Dikirim"),"Isi status laporan yang valid",IF(AND(AA150&lt;&gt;"",AA150&lt;&gt;"Belum Diperiksa",AA150&lt;&gt;"Disetujui",AA150&lt;&gt;"Perlu Perbaikan"),"Hasil review tidak valid",IF(AND(Y150="Dikirim",OR(X150="",Z150="")),"Isi bukti dan waktu kirim",IF(AND(AA150="Disetujui",OR(Y150&lt;&gt;"Dikirim",AB150="",AC150="")),"Lengkapi pemeriksaan",IF(AND(AA150="Perlu Perbaikan",OR(AD150="",AB150="",AC150="")),"Isi pemeriksa dan catatan perbaikan","OK")))))))))))))))),"")</f>
        <v/>
      </c>
    </row>
    <row r="151" spans="1:38" ht="24.95" customHeight="1">
      <c r="A151" s="8"/>
      <c r="B151" s="6"/>
      <c r="C151" s="15" t="str">
        <f>IF(COUNTIFS(Master_PIC!$A$8:$A$73,$B151)=1,IF(VLOOKUP($B151,Master_PIC!$A$8:$G$73,2,FALSE)="","",VLOOKUP($B151,Master_PIC!$A$8:$G$73,2,FALSE)),"")</f>
        <v/>
      </c>
      <c r="D151" s="15" t="str">
        <f>IF(COUNTIFS(Master_PIC!$A$8:$A$73,$B151)=1,IF(VLOOKUP($B151,Master_PIC!$A$8:$G$73,4,FALSE)="","",VLOOKUP($B151,Master_PIC!$A$8:$G$73,4,FALSE)),"")</f>
        <v/>
      </c>
      <c r="E151" s="15" t="str">
        <f>IF(COUNTIFS(Master_PIC!$A$8:$A$73,$B151)=1,IF(VLOOKUP($B151,Master_PIC!$A$8:$G$73,5,FALSE)="","",VLOOKUP($B151,Master_PIC!$A$8:$G$73,5,FALSE)),"")</f>
        <v/>
      </c>
      <c r="F151" s="15" t="str">
        <f>IF(COUNTIFS(Master_PIC!$A$8:$A$73,$B151)=1,IF(VLOOKUP($B151,Master_PIC!$A$8:$G$73,6,FALSE)="","",VLOOKUP($B151,Master_PIC!$A$8:$G$73,6,FALSE)),"")</f>
        <v/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8"/>
      <c r="X151" s="5"/>
      <c r="Y151" s="5"/>
      <c r="Z151" s="9"/>
      <c r="AA151" s="5"/>
      <c r="AB151" s="5"/>
      <c r="AC151" s="9"/>
      <c r="AD151" s="5"/>
      <c r="AE151" s="7" t="str">
        <f t="shared" si="14"/>
        <v/>
      </c>
      <c r="AF151" s="7" t="str">
        <f t="shared" si="15"/>
        <v/>
      </c>
      <c r="AG151" s="7" t="str">
        <f t="shared" si="16"/>
        <v/>
      </c>
      <c r="AH151" s="7" t="str">
        <f t="shared" si="17"/>
        <v/>
      </c>
      <c r="AI151" s="7" t="str">
        <f t="shared" si="18"/>
        <v/>
      </c>
      <c r="AJ151" s="7" t="str">
        <f t="shared" si="19"/>
        <v/>
      </c>
      <c r="AK151" s="10" t="str">
        <f t="shared" si="20"/>
        <v/>
      </c>
      <c r="AL151" s="15" t="str">
        <f>IF(OR($A151&lt;&gt;"",$B151&lt;&gt;""),IF(OR($A151="",$B151=""),"Isi tanggal dan ID PIC",IF(NOT(ISNUMBER($A151)),"Tanggal harus berupa tanggal Excel",IF(COUNTIFS(Master_PIC!$A$8:$A$73,$B151)&lt;&gt;1,"ID PIC tidak unik/terdaftar",IF(VLOOKUP($B151,Master_PIC!$A$8:$G$73,3,FALSE)&lt;&gt;"SPV","Jabatan tidak sesuai sheet",IF(OR($C151="",$D151="",$E151="",$F151=""),"Lengkapi master PIC",IF(COUNTIFS($A$8:$A$507,$A151,$B$8:$B$507,$B151)&gt;1,"Laporan ganda",IF(COUNTIFS(G151:O151,"Tidak Berlaku")&gt;0,"N/A hanya untuk kegiatan bersyarat",IF(SUM(AF151,AG151,AH151,AI151,AJ151)&lt;&gt;13,"Status kegiatan tidak valid",IF(AJ151&gt;0,"Lengkapi status kegiatan",IF(AND(AI151&gt;0,T151=""),"Isi alasan Tidak Berlaku",IF(AND(SUM(AG151,AH151)&gt;0,OR(T151="",U151="",V151="",W151="")),"Isi kendala dan tindak lanjut",IF(AND(Y151&lt;&gt;"Draft",Y151&lt;&gt;"Dikirim"),"Isi status laporan yang valid",IF(AND(AA151&lt;&gt;"",AA151&lt;&gt;"Belum Diperiksa",AA151&lt;&gt;"Disetujui",AA151&lt;&gt;"Perlu Perbaikan"),"Hasil review tidak valid",IF(AND(Y151="Dikirim",OR(X151="",Z151="")),"Isi bukti dan waktu kirim",IF(AND(AA151="Disetujui",OR(Y151&lt;&gt;"Dikirim",AB151="",AC151="")),"Lengkapi pemeriksaan",IF(AND(AA151="Perlu Perbaikan",OR(AD151="",AB151="",AC151="")),"Isi pemeriksa dan catatan perbaikan","OK")))))))))))))))),"")</f>
        <v/>
      </c>
    </row>
    <row r="152" spans="1:38" ht="24.95" customHeight="1">
      <c r="A152" s="8"/>
      <c r="B152" s="6"/>
      <c r="C152" s="15" t="str">
        <f>IF(COUNTIFS(Master_PIC!$A$8:$A$73,$B152)=1,IF(VLOOKUP($B152,Master_PIC!$A$8:$G$73,2,FALSE)="","",VLOOKUP($B152,Master_PIC!$A$8:$G$73,2,FALSE)),"")</f>
        <v/>
      </c>
      <c r="D152" s="15" t="str">
        <f>IF(COUNTIFS(Master_PIC!$A$8:$A$73,$B152)=1,IF(VLOOKUP($B152,Master_PIC!$A$8:$G$73,4,FALSE)="","",VLOOKUP($B152,Master_PIC!$A$8:$G$73,4,FALSE)),"")</f>
        <v/>
      </c>
      <c r="E152" s="15" t="str">
        <f>IF(COUNTIFS(Master_PIC!$A$8:$A$73,$B152)=1,IF(VLOOKUP($B152,Master_PIC!$A$8:$G$73,5,FALSE)="","",VLOOKUP($B152,Master_PIC!$A$8:$G$73,5,FALSE)),"")</f>
        <v/>
      </c>
      <c r="F152" s="15" t="str">
        <f>IF(COUNTIFS(Master_PIC!$A$8:$A$73,$B152)=1,IF(VLOOKUP($B152,Master_PIC!$A$8:$G$73,6,FALSE)="","",VLOOKUP($B152,Master_PIC!$A$8:$G$73,6,FALSE)),"")</f>
        <v/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8"/>
      <c r="X152" s="5"/>
      <c r="Y152" s="5"/>
      <c r="Z152" s="9"/>
      <c r="AA152" s="5"/>
      <c r="AB152" s="5"/>
      <c r="AC152" s="9"/>
      <c r="AD152" s="5"/>
      <c r="AE152" s="7" t="str">
        <f t="shared" si="14"/>
        <v/>
      </c>
      <c r="AF152" s="7" t="str">
        <f t="shared" si="15"/>
        <v/>
      </c>
      <c r="AG152" s="7" t="str">
        <f t="shared" si="16"/>
        <v/>
      </c>
      <c r="AH152" s="7" t="str">
        <f t="shared" si="17"/>
        <v/>
      </c>
      <c r="AI152" s="7" t="str">
        <f t="shared" si="18"/>
        <v/>
      </c>
      <c r="AJ152" s="7" t="str">
        <f t="shared" si="19"/>
        <v/>
      </c>
      <c r="AK152" s="10" t="str">
        <f t="shared" si="20"/>
        <v/>
      </c>
      <c r="AL152" s="15" t="str">
        <f>IF(OR($A152&lt;&gt;"",$B152&lt;&gt;""),IF(OR($A152="",$B152=""),"Isi tanggal dan ID PIC",IF(NOT(ISNUMBER($A152)),"Tanggal harus berupa tanggal Excel",IF(COUNTIFS(Master_PIC!$A$8:$A$73,$B152)&lt;&gt;1,"ID PIC tidak unik/terdaftar",IF(VLOOKUP($B152,Master_PIC!$A$8:$G$73,3,FALSE)&lt;&gt;"SPV","Jabatan tidak sesuai sheet",IF(OR($C152="",$D152="",$E152="",$F152=""),"Lengkapi master PIC",IF(COUNTIFS($A$8:$A$507,$A152,$B$8:$B$507,$B152)&gt;1,"Laporan ganda",IF(COUNTIFS(G152:O152,"Tidak Berlaku")&gt;0,"N/A hanya untuk kegiatan bersyarat",IF(SUM(AF152,AG152,AH152,AI152,AJ152)&lt;&gt;13,"Status kegiatan tidak valid",IF(AJ152&gt;0,"Lengkapi status kegiatan",IF(AND(AI152&gt;0,T152=""),"Isi alasan Tidak Berlaku",IF(AND(SUM(AG152,AH152)&gt;0,OR(T152="",U152="",V152="",W152="")),"Isi kendala dan tindak lanjut",IF(AND(Y152&lt;&gt;"Draft",Y152&lt;&gt;"Dikirim"),"Isi status laporan yang valid",IF(AND(AA152&lt;&gt;"",AA152&lt;&gt;"Belum Diperiksa",AA152&lt;&gt;"Disetujui",AA152&lt;&gt;"Perlu Perbaikan"),"Hasil review tidak valid",IF(AND(Y152="Dikirim",OR(X152="",Z152="")),"Isi bukti dan waktu kirim",IF(AND(AA152="Disetujui",OR(Y152&lt;&gt;"Dikirim",AB152="",AC152="")),"Lengkapi pemeriksaan",IF(AND(AA152="Perlu Perbaikan",OR(AD152="",AB152="",AC152="")),"Isi pemeriksa dan catatan perbaikan","OK")))))))))))))))),"")</f>
        <v/>
      </c>
    </row>
    <row r="153" spans="1:38" ht="24.95" customHeight="1">
      <c r="A153" s="8"/>
      <c r="B153" s="6"/>
      <c r="C153" s="15" t="str">
        <f>IF(COUNTIFS(Master_PIC!$A$8:$A$73,$B153)=1,IF(VLOOKUP($B153,Master_PIC!$A$8:$G$73,2,FALSE)="","",VLOOKUP($B153,Master_PIC!$A$8:$G$73,2,FALSE)),"")</f>
        <v/>
      </c>
      <c r="D153" s="15" t="str">
        <f>IF(COUNTIFS(Master_PIC!$A$8:$A$73,$B153)=1,IF(VLOOKUP($B153,Master_PIC!$A$8:$G$73,4,FALSE)="","",VLOOKUP($B153,Master_PIC!$A$8:$G$73,4,FALSE)),"")</f>
        <v/>
      </c>
      <c r="E153" s="15" t="str">
        <f>IF(COUNTIFS(Master_PIC!$A$8:$A$73,$B153)=1,IF(VLOOKUP($B153,Master_PIC!$A$8:$G$73,5,FALSE)="","",VLOOKUP($B153,Master_PIC!$A$8:$G$73,5,FALSE)),"")</f>
        <v/>
      </c>
      <c r="F153" s="15" t="str">
        <f>IF(COUNTIFS(Master_PIC!$A$8:$A$73,$B153)=1,IF(VLOOKUP($B153,Master_PIC!$A$8:$G$73,6,FALSE)="","",VLOOKUP($B153,Master_PIC!$A$8:$G$73,6,FALSE)),"")</f>
        <v/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8"/>
      <c r="X153" s="5"/>
      <c r="Y153" s="5"/>
      <c r="Z153" s="9"/>
      <c r="AA153" s="5"/>
      <c r="AB153" s="5"/>
      <c r="AC153" s="9"/>
      <c r="AD153" s="5"/>
      <c r="AE153" s="7" t="str">
        <f t="shared" si="14"/>
        <v/>
      </c>
      <c r="AF153" s="7" t="str">
        <f t="shared" si="15"/>
        <v/>
      </c>
      <c r="AG153" s="7" t="str">
        <f t="shared" si="16"/>
        <v/>
      </c>
      <c r="AH153" s="7" t="str">
        <f t="shared" si="17"/>
        <v/>
      </c>
      <c r="AI153" s="7" t="str">
        <f t="shared" si="18"/>
        <v/>
      </c>
      <c r="AJ153" s="7" t="str">
        <f t="shared" si="19"/>
        <v/>
      </c>
      <c r="AK153" s="10" t="str">
        <f t="shared" si="20"/>
        <v/>
      </c>
      <c r="AL153" s="15" t="str">
        <f>IF(OR($A153&lt;&gt;"",$B153&lt;&gt;""),IF(OR($A153="",$B153=""),"Isi tanggal dan ID PIC",IF(NOT(ISNUMBER($A153)),"Tanggal harus berupa tanggal Excel",IF(COUNTIFS(Master_PIC!$A$8:$A$73,$B153)&lt;&gt;1,"ID PIC tidak unik/terdaftar",IF(VLOOKUP($B153,Master_PIC!$A$8:$G$73,3,FALSE)&lt;&gt;"SPV","Jabatan tidak sesuai sheet",IF(OR($C153="",$D153="",$E153="",$F153=""),"Lengkapi master PIC",IF(COUNTIFS($A$8:$A$507,$A153,$B$8:$B$507,$B153)&gt;1,"Laporan ganda",IF(COUNTIFS(G153:O153,"Tidak Berlaku")&gt;0,"N/A hanya untuk kegiatan bersyarat",IF(SUM(AF153,AG153,AH153,AI153,AJ153)&lt;&gt;13,"Status kegiatan tidak valid",IF(AJ153&gt;0,"Lengkapi status kegiatan",IF(AND(AI153&gt;0,T153=""),"Isi alasan Tidak Berlaku",IF(AND(SUM(AG153,AH153)&gt;0,OR(T153="",U153="",V153="",W153="")),"Isi kendala dan tindak lanjut",IF(AND(Y153&lt;&gt;"Draft",Y153&lt;&gt;"Dikirim"),"Isi status laporan yang valid",IF(AND(AA153&lt;&gt;"",AA153&lt;&gt;"Belum Diperiksa",AA153&lt;&gt;"Disetujui",AA153&lt;&gt;"Perlu Perbaikan"),"Hasil review tidak valid",IF(AND(Y153="Dikirim",OR(X153="",Z153="")),"Isi bukti dan waktu kirim",IF(AND(AA153="Disetujui",OR(Y153&lt;&gt;"Dikirim",AB153="",AC153="")),"Lengkapi pemeriksaan",IF(AND(AA153="Perlu Perbaikan",OR(AD153="",AB153="",AC153="")),"Isi pemeriksa dan catatan perbaikan","OK")))))))))))))))),"")</f>
        <v/>
      </c>
    </row>
    <row r="154" spans="1:38" ht="24.95" customHeight="1">
      <c r="A154" s="8"/>
      <c r="B154" s="6"/>
      <c r="C154" s="15" t="str">
        <f>IF(COUNTIFS(Master_PIC!$A$8:$A$73,$B154)=1,IF(VLOOKUP($B154,Master_PIC!$A$8:$G$73,2,FALSE)="","",VLOOKUP($B154,Master_PIC!$A$8:$G$73,2,FALSE)),"")</f>
        <v/>
      </c>
      <c r="D154" s="15" t="str">
        <f>IF(COUNTIFS(Master_PIC!$A$8:$A$73,$B154)=1,IF(VLOOKUP($B154,Master_PIC!$A$8:$G$73,4,FALSE)="","",VLOOKUP($B154,Master_PIC!$A$8:$G$73,4,FALSE)),"")</f>
        <v/>
      </c>
      <c r="E154" s="15" t="str">
        <f>IF(COUNTIFS(Master_PIC!$A$8:$A$73,$B154)=1,IF(VLOOKUP($B154,Master_PIC!$A$8:$G$73,5,FALSE)="","",VLOOKUP($B154,Master_PIC!$A$8:$G$73,5,FALSE)),"")</f>
        <v/>
      </c>
      <c r="F154" s="15" t="str">
        <f>IF(COUNTIFS(Master_PIC!$A$8:$A$73,$B154)=1,IF(VLOOKUP($B154,Master_PIC!$A$8:$G$73,6,FALSE)="","",VLOOKUP($B154,Master_PIC!$A$8:$G$73,6,FALSE)),"")</f>
        <v/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9"/>
      <c r="AA154" s="5"/>
      <c r="AB154" s="5"/>
      <c r="AC154" s="9"/>
      <c r="AD154" s="5"/>
      <c r="AE154" s="7" t="str">
        <f t="shared" si="14"/>
        <v/>
      </c>
      <c r="AF154" s="7" t="str">
        <f t="shared" si="15"/>
        <v/>
      </c>
      <c r="AG154" s="7" t="str">
        <f t="shared" si="16"/>
        <v/>
      </c>
      <c r="AH154" s="7" t="str">
        <f t="shared" si="17"/>
        <v/>
      </c>
      <c r="AI154" s="7" t="str">
        <f t="shared" si="18"/>
        <v/>
      </c>
      <c r="AJ154" s="7" t="str">
        <f t="shared" si="19"/>
        <v/>
      </c>
      <c r="AK154" s="10" t="str">
        <f t="shared" si="20"/>
        <v/>
      </c>
      <c r="AL154" s="15" t="str">
        <f>IF(OR($A154&lt;&gt;"",$B154&lt;&gt;""),IF(OR($A154="",$B154=""),"Isi tanggal dan ID PIC",IF(NOT(ISNUMBER($A154)),"Tanggal harus berupa tanggal Excel",IF(COUNTIFS(Master_PIC!$A$8:$A$73,$B154)&lt;&gt;1,"ID PIC tidak unik/terdaftar",IF(VLOOKUP($B154,Master_PIC!$A$8:$G$73,3,FALSE)&lt;&gt;"SPV","Jabatan tidak sesuai sheet",IF(OR($C154="",$D154="",$E154="",$F154=""),"Lengkapi master PIC",IF(COUNTIFS($A$8:$A$507,$A154,$B$8:$B$507,$B154)&gt;1,"Laporan ganda",IF(COUNTIFS(G154:O154,"Tidak Berlaku")&gt;0,"N/A hanya untuk kegiatan bersyarat",IF(SUM(AF154,AG154,AH154,AI154,AJ154)&lt;&gt;13,"Status kegiatan tidak valid",IF(AJ154&gt;0,"Lengkapi status kegiatan",IF(AND(AI154&gt;0,T154=""),"Isi alasan Tidak Berlaku",IF(AND(SUM(AG154,AH154)&gt;0,OR(T154="",U154="",V154="",W154="")),"Isi kendala dan tindak lanjut",IF(AND(Y154&lt;&gt;"Draft",Y154&lt;&gt;"Dikirim"),"Isi status laporan yang valid",IF(AND(AA154&lt;&gt;"",AA154&lt;&gt;"Belum Diperiksa",AA154&lt;&gt;"Disetujui",AA154&lt;&gt;"Perlu Perbaikan"),"Hasil review tidak valid",IF(AND(Y154="Dikirim",OR(X154="",Z154="")),"Isi bukti dan waktu kirim",IF(AND(AA154="Disetujui",OR(Y154&lt;&gt;"Dikirim",AB154="",AC154="")),"Lengkapi pemeriksaan",IF(AND(AA154="Perlu Perbaikan",OR(AD154="",AB154="",AC154="")),"Isi pemeriksa dan catatan perbaikan","OK")))))))))))))))),"")</f>
        <v/>
      </c>
    </row>
    <row r="155" spans="1:38" ht="24.95" customHeight="1">
      <c r="A155" s="8"/>
      <c r="B155" s="6"/>
      <c r="C155" s="15" t="str">
        <f>IF(COUNTIFS(Master_PIC!$A$8:$A$73,$B155)=1,IF(VLOOKUP($B155,Master_PIC!$A$8:$G$73,2,FALSE)="","",VLOOKUP($B155,Master_PIC!$A$8:$G$73,2,FALSE)),"")</f>
        <v/>
      </c>
      <c r="D155" s="15" t="str">
        <f>IF(COUNTIFS(Master_PIC!$A$8:$A$73,$B155)=1,IF(VLOOKUP($B155,Master_PIC!$A$8:$G$73,4,FALSE)="","",VLOOKUP($B155,Master_PIC!$A$8:$G$73,4,FALSE)),"")</f>
        <v/>
      </c>
      <c r="E155" s="15" t="str">
        <f>IF(COUNTIFS(Master_PIC!$A$8:$A$73,$B155)=1,IF(VLOOKUP($B155,Master_PIC!$A$8:$G$73,5,FALSE)="","",VLOOKUP($B155,Master_PIC!$A$8:$G$73,5,FALSE)),"")</f>
        <v/>
      </c>
      <c r="F155" s="15" t="str">
        <f>IF(COUNTIFS(Master_PIC!$A$8:$A$73,$B155)=1,IF(VLOOKUP($B155,Master_PIC!$A$8:$G$73,6,FALSE)="","",VLOOKUP($B155,Master_PIC!$A$8:$G$73,6,FALSE)),"")</f>
        <v/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9"/>
      <c r="AA155" s="5"/>
      <c r="AB155" s="5"/>
      <c r="AC155" s="9"/>
      <c r="AD155" s="5"/>
      <c r="AE155" s="7" t="str">
        <f t="shared" si="14"/>
        <v/>
      </c>
      <c r="AF155" s="7" t="str">
        <f t="shared" si="15"/>
        <v/>
      </c>
      <c r="AG155" s="7" t="str">
        <f t="shared" si="16"/>
        <v/>
      </c>
      <c r="AH155" s="7" t="str">
        <f t="shared" si="17"/>
        <v/>
      </c>
      <c r="AI155" s="7" t="str">
        <f t="shared" si="18"/>
        <v/>
      </c>
      <c r="AJ155" s="7" t="str">
        <f t="shared" si="19"/>
        <v/>
      </c>
      <c r="AK155" s="10" t="str">
        <f t="shared" si="20"/>
        <v/>
      </c>
      <c r="AL155" s="15" t="str">
        <f>IF(OR($A155&lt;&gt;"",$B155&lt;&gt;""),IF(OR($A155="",$B155=""),"Isi tanggal dan ID PIC",IF(NOT(ISNUMBER($A155)),"Tanggal harus berupa tanggal Excel",IF(COUNTIFS(Master_PIC!$A$8:$A$73,$B155)&lt;&gt;1,"ID PIC tidak unik/terdaftar",IF(VLOOKUP($B155,Master_PIC!$A$8:$G$73,3,FALSE)&lt;&gt;"SPV","Jabatan tidak sesuai sheet",IF(OR($C155="",$D155="",$E155="",$F155=""),"Lengkapi master PIC",IF(COUNTIFS($A$8:$A$507,$A155,$B$8:$B$507,$B155)&gt;1,"Laporan ganda",IF(COUNTIFS(G155:O155,"Tidak Berlaku")&gt;0,"N/A hanya untuk kegiatan bersyarat",IF(SUM(AF155,AG155,AH155,AI155,AJ155)&lt;&gt;13,"Status kegiatan tidak valid",IF(AJ155&gt;0,"Lengkapi status kegiatan",IF(AND(AI155&gt;0,T155=""),"Isi alasan Tidak Berlaku",IF(AND(SUM(AG155,AH155)&gt;0,OR(T155="",U155="",V155="",W155="")),"Isi kendala dan tindak lanjut",IF(AND(Y155&lt;&gt;"Draft",Y155&lt;&gt;"Dikirim"),"Isi status laporan yang valid",IF(AND(AA155&lt;&gt;"",AA155&lt;&gt;"Belum Diperiksa",AA155&lt;&gt;"Disetujui",AA155&lt;&gt;"Perlu Perbaikan"),"Hasil review tidak valid",IF(AND(Y155="Dikirim",OR(X155="",Z155="")),"Isi bukti dan waktu kirim",IF(AND(AA155="Disetujui",OR(Y155&lt;&gt;"Dikirim",AB155="",AC155="")),"Lengkapi pemeriksaan",IF(AND(AA155="Perlu Perbaikan",OR(AD155="",AB155="",AC155="")),"Isi pemeriksa dan catatan perbaikan","OK")))))))))))))))),"")</f>
        <v/>
      </c>
    </row>
    <row r="156" spans="1:38" ht="24.95" customHeight="1">
      <c r="A156" s="8"/>
      <c r="B156" s="6"/>
      <c r="C156" s="15" t="str">
        <f>IF(COUNTIFS(Master_PIC!$A$8:$A$73,$B156)=1,IF(VLOOKUP($B156,Master_PIC!$A$8:$G$73,2,FALSE)="","",VLOOKUP($B156,Master_PIC!$A$8:$G$73,2,FALSE)),"")</f>
        <v/>
      </c>
      <c r="D156" s="15" t="str">
        <f>IF(COUNTIFS(Master_PIC!$A$8:$A$73,$B156)=1,IF(VLOOKUP($B156,Master_PIC!$A$8:$G$73,4,FALSE)="","",VLOOKUP($B156,Master_PIC!$A$8:$G$73,4,FALSE)),"")</f>
        <v/>
      </c>
      <c r="E156" s="15" t="str">
        <f>IF(COUNTIFS(Master_PIC!$A$8:$A$73,$B156)=1,IF(VLOOKUP($B156,Master_PIC!$A$8:$G$73,5,FALSE)="","",VLOOKUP($B156,Master_PIC!$A$8:$G$73,5,FALSE)),"")</f>
        <v/>
      </c>
      <c r="F156" s="15" t="str">
        <f>IF(COUNTIFS(Master_PIC!$A$8:$A$73,$B156)=1,IF(VLOOKUP($B156,Master_PIC!$A$8:$G$73,6,FALSE)="","",VLOOKUP($B156,Master_PIC!$A$8:$G$73,6,FALSE)),"")</f>
        <v/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9"/>
      <c r="AA156" s="5"/>
      <c r="AB156" s="5"/>
      <c r="AC156" s="9"/>
      <c r="AD156" s="5"/>
      <c r="AE156" s="7" t="str">
        <f t="shared" si="14"/>
        <v/>
      </c>
      <c r="AF156" s="7" t="str">
        <f t="shared" si="15"/>
        <v/>
      </c>
      <c r="AG156" s="7" t="str">
        <f t="shared" si="16"/>
        <v/>
      </c>
      <c r="AH156" s="7" t="str">
        <f t="shared" si="17"/>
        <v/>
      </c>
      <c r="AI156" s="7" t="str">
        <f t="shared" si="18"/>
        <v/>
      </c>
      <c r="AJ156" s="7" t="str">
        <f t="shared" si="19"/>
        <v/>
      </c>
      <c r="AK156" s="10" t="str">
        <f t="shared" si="20"/>
        <v/>
      </c>
      <c r="AL156" s="15" t="str">
        <f>IF(OR($A156&lt;&gt;"",$B156&lt;&gt;""),IF(OR($A156="",$B156=""),"Isi tanggal dan ID PIC",IF(NOT(ISNUMBER($A156)),"Tanggal harus berupa tanggal Excel",IF(COUNTIFS(Master_PIC!$A$8:$A$73,$B156)&lt;&gt;1,"ID PIC tidak unik/terdaftar",IF(VLOOKUP($B156,Master_PIC!$A$8:$G$73,3,FALSE)&lt;&gt;"SPV","Jabatan tidak sesuai sheet",IF(OR($C156="",$D156="",$E156="",$F156=""),"Lengkapi master PIC",IF(COUNTIFS($A$8:$A$507,$A156,$B$8:$B$507,$B156)&gt;1,"Laporan ganda",IF(COUNTIFS(G156:O156,"Tidak Berlaku")&gt;0,"N/A hanya untuk kegiatan bersyarat",IF(SUM(AF156,AG156,AH156,AI156,AJ156)&lt;&gt;13,"Status kegiatan tidak valid",IF(AJ156&gt;0,"Lengkapi status kegiatan",IF(AND(AI156&gt;0,T156=""),"Isi alasan Tidak Berlaku",IF(AND(SUM(AG156,AH156)&gt;0,OR(T156="",U156="",V156="",W156="")),"Isi kendala dan tindak lanjut",IF(AND(Y156&lt;&gt;"Draft",Y156&lt;&gt;"Dikirim"),"Isi status laporan yang valid",IF(AND(AA156&lt;&gt;"",AA156&lt;&gt;"Belum Diperiksa",AA156&lt;&gt;"Disetujui",AA156&lt;&gt;"Perlu Perbaikan"),"Hasil review tidak valid",IF(AND(Y156="Dikirim",OR(X156="",Z156="")),"Isi bukti dan waktu kirim",IF(AND(AA156="Disetujui",OR(Y156&lt;&gt;"Dikirim",AB156="",AC156="")),"Lengkapi pemeriksaan",IF(AND(AA156="Perlu Perbaikan",OR(AD156="",AB156="",AC156="")),"Isi pemeriksa dan catatan perbaikan","OK")))))))))))))))),"")</f>
        <v/>
      </c>
    </row>
    <row r="157" spans="1:38" ht="24.95" customHeight="1">
      <c r="A157" s="8"/>
      <c r="B157" s="6"/>
      <c r="C157" s="15" t="str">
        <f>IF(COUNTIFS(Master_PIC!$A$8:$A$73,$B157)=1,IF(VLOOKUP($B157,Master_PIC!$A$8:$G$73,2,FALSE)="","",VLOOKUP($B157,Master_PIC!$A$8:$G$73,2,FALSE)),"")</f>
        <v/>
      </c>
      <c r="D157" s="15" t="str">
        <f>IF(COUNTIFS(Master_PIC!$A$8:$A$73,$B157)=1,IF(VLOOKUP($B157,Master_PIC!$A$8:$G$73,4,FALSE)="","",VLOOKUP($B157,Master_PIC!$A$8:$G$73,4,FALSE)),"")</f>
        <v/>
      </c>
      <c r="E157" s="15" t="str">
        <f>IF(COUNTIFS(Master_PIC!$A$8:$A$73,$B157)=1,IF(VLOOKUP($B157,Master_PIC!$A$8:$G$73,5,FALSE)="","",VLOOKUP($B157,Master_PIC!$A$8:$G$73,5,FALSE)),"")</f>
        <v/>
      </c>
      <c r="F157" s="15" t="str">
        <f>IF(COUNTIFS(Master_PIC!$A$8:$A$73,$B157)=1,IF(VLOOKUP($B157,Master_PIC!$A$8:$G$73,6,FALSE)="","",VLOOKUP($B157,Master_PIC!$A$8:$G$73,6,FALSE)),"")</f>
        <v/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9"/>
      <c r="AA157" s="5"/>
      <c r="AB157" s="5"/>
      <c r="AC157" s="9"/>
      <c r="AD157" s="5"/>
      <c r="AE157" s="7" t="str">
        <f t="shared" si="14"/>
        <v/>
      </c>
      <c r="AF157" s="7" t="str">
        <f t="shared" si="15"/>
        <v/>
      </c>
      <c r="AG157" s="7" t="str">
        <f t="shared" si="16"/>
        <v/>
      </c>
      <c r="AH157" s="7" t="str">
        <f t="shared" si="17"/>
        <v/>
      </c>
      <c r="AI157" s="7" t="str">
        <f t="shared" si="18"/>
        <v/>
      </c>
      <c r="AJ157" s="7" t="str">
        <f t="shared" si="19"/>
        <v/>
      </c>
      <c r="AK157" s="10" t="str">
        <f t="shared" si="20"/>
        <v/>
      </c>
      <c r="AL157" s="15" t="str">
        <f>IF(OR($A157&lt;&gt;"",$B157&lt;&gt;""),IF(OR($A157="",$B157=""),"Isi tanggal dan ID PIC",IF(NOT(ISNUMBER($A157)),"Tanggal harus berupa tanggal Excel",IF(COUNTIFS(Master_PIC!$A$8:$A$73,$B157)&lt;&gt;1,"ID PIC tidak unik/terdaftar",IF(VLOOKUP($B157,Master_PIC!$A$8:$G$73,3,FALSE)&lt;&gt;"SPV","Jabatan tidak sesuai sheet",IF(OR($C157="",$D157="",$E157="",$F157=""),"Lengkapi master PIC",IF(COUNTIFS($A$8:$A$507,$A157,$B$8:$B$507,$B157)&gt;1,"Laporan ganda",IF(COUNTIFS(G157:O157,"Tidak Berlaku")&gt;0,"N/A hanya untuk kegiatan bersyarat",IF(SUM(AF157,AG157,AH157,AI157,AJ157)&lt;&gt;13,"Status kegiatan tidak valid",IF(AJ157&gt;0,"Lengkapi status kegiatan",IF(AND(AI157&gt;0,T157=""),"Isi alasan Tidak Berlaku",IF(AND(SUM(AG157,AH157)&gt;0,OR(T157="",U157="",V157="",W157="")),"Isi kendala dan tindak lanjut",IF(AND(Y157&lt;&gt;"Draft",Y157&lt;&gt;"Dikirim"),"Isi status laporan yang valid",IF(AND(AA157&lt;&gt;"",AA157&lt;&gt;"Belum Diperiksa",AA157&lt;&gt;"Disetujui",AA157&lt;&gt;"Perlu Perbaikan"),"Hasil review tidak valid",IF(AND(Y157="Dikirim",OR(X157="",Z157="")),"Isi bukti dan waktu kirim",IF(AND(AA157="Disetujui",OR(Y157&lt;&gt;"Dikirim",AB157="",AC157="")),"Lengkapi pemeriksaan",IF(AND(AA157="Perlu Perbaikan",OR(AD157="",AB157="",AC157="")),"Isi pemeriksa dan catatan perbaikan","OK")))))))))))))))),"")</f>
        <v/>
      </c>
    </row>
    <row r="158" spans="1:38" ht="24.95" customHeight="1">
      <c r="A158" s="8"/>
      <c r="B158" s="6"/>
      <c r="C158" s="15" t="str">
        <f>IF(COUNTIFS(Master_PIC!$A$8:$A$73,$B158)=1,IF(VLOOKUP($B158,Master_PIC!$A$8:$G$73,2,FALSE)="","",VLOOKUP($B158,Master_PIC!$A$8:$G$73,2,FALSE)),"")</f>
        <v/>
      </c>
      <c r="D158" s="15" t="str">
        <f>IF(COUNTIFS(Master_PIC!$A$8:$A$73,$B158)=1,IF(VLOOKUP($B158,Master_PIC!$A$8:$G$73,4,FALSE)="","",VLOOKUP($B158,Master_PIC!$A$8:$G$73,4,FALSE)),"")</f>
        <v/>
      </c>
      <c r="E158" s="15" t="str">
        <f>IF(COUNTIFS(Master_PIC!$A$8:$A$73,$B158)=1,IF(VLOOKUP($B158,Master_PIC!$A$8:$G$73,5,FALSE)="","",VLOOKUP($B158,Master_PIC!$A$8:$G$73,5,FALSE)),"")</f>
        <v/>
      </c>
      <c r="F158" s="15" t="str">
        <f>IF(COUNTIFS(Master_PIC!$A$8:$A$73,$B158)=1,IF(VLOOKUP($B158,Master_PIC!$A$8:$G$73,6,FALSE)="","",VLOOKUP($B158,Master_PIC!$A$8:$G$73,6,FALSE)),"")</f>
        <v/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9"/>
      <c r="AA158" s="5"/>
      <c r="AB158" s="5"/>
      <c r="AC158" s="9"/>
      <c r="AD158" s="5"/>
      <c r="AE158" s="7" t="str">
        <f t="shared" si="14"/>
        <v/>
      </c>
      <c r="AF158" s="7" t="str">
        <f t="shared" si="15"/>
        <v/>
      </c>
      <c r="AG158" s="7" t="str">
        <f t="shared" si="16"/>
        <v/>
      </c>
      <c r="AH158" s="7" t="str">
        <f t="shared" si="17"/>
        <v/>
      </c>
      <c r="AI158" s="7" t="str">
        <f t="shared" si="18"/>
        <v/>
      </c>
      <c r="AJ158" s="7" t="str">
        <f t="shared" si="19"/>
        <v/>
      </c>
      <c r="AK158" s="10" t="str">
        <f t="shared" si="20"/>
        <v/>
      </c>
      <c r="AL158" s="15" t="str">
        <f>IF(OR($A158&lt;&gt;"",$B158&lt;&gt;""),IF(OR($A158="",$B158=""),"Isi tanggal dan ID PIC",IF(NOT(ISNUMBER($A158)),"Tanggal harus berupa tanggal Excel",IF(COUNTIFS(Master_PIC!$A$8:$A$73,$B158)&lt;&gt;1,"ID PIC tidak unik/terdaftar",IF(VLOOKUP($B158,Master_PIC!$A$8:$G$73,3,FALSE)&lt;&gt;"SPV","Jabatan tidak sesuai sheet",IF(OR($C158="",$D158="",$E158="",$F158=""),"Lengkapi master PIC",IF(COUNTIFS($A$8:$A$507,$A158,$B$8:$B$507,$B158)&gt;1,"Laporan ganda",IF(COUNTIFS(G158:O158,"Tidak Berlaku")&gt;0,"N/A hanya untuk kegiatan bersyarat",IF(SUM(AF158,AG158,AH158,AI158,AJ158)&lt;&gt;13,"Status kegiatan tidak valid",IF(AJ158&gt;0,"Lengkapi status kegiatan",IF(AND(AI158&gt;0,T158=""),"Isi alasan Tidak Berlaku",IF(AND(SUM(AG158,AH158)&gt;0,OR(T158="",U158="",V158="",W158="")),"Isi kendala dan tindak lanjut",IF(AND(Y158&lt;&gt;"Draft",Y158&lt;&gt;"Dikirim"),"Isi status laporan yang valid",IF(AND(AA158&lt;&gt;"",AA158&lt;&gt;"Belum Diperiksa",AA158&lt;&gt;"Disetujui",AA158&lt;&gt;"Perlu Perbaikan"),"Hasil review tidak valid",IF(AND(Y158="Dikirim",OR(X158="",Z158="")),"Isi bukti dan waktu kirim",IF(AND(AA158="Disetujui",OR(Y158&lt;&gt;"Dikirim",AB158="",AC158="")),"Lengkapi pemeriksaan",IF(AND(AA158="Perlu Perbaikan",OR(AD158="",AB158="",AC158="")),"Isi pemeriksa dan catatan perbaikan","OK")))))))))))))))),"")</f>
        <v/>
      </c>
    </row>
    <row r="159" spans="1:38" ht="24.95" customHeight="1">
      <c r="A159" s="8"/>
      <c r="B159" s="6"/>
      <c r="C159" s="15" t="str">
        <f>IF(COUNTIFS(Master_PIC!$A$8:$A$73,$B159)=1,IF(VLOOKUP($B159,Master_PIC!$A$8:$G$73,2,FALSE)="","",VLOOKUP($B159,Master_PIC!$A$8:$G$73,2,FALSE)),"")</f>
        <v/>
      </c>
      <c r="D159" s="15" t="str">
        <f>IF(COUNTIFS(Master_PIC!$A$8:$A$73,$B159)=1,IF(VLOOKUP($B159,Master_PIC!$A$8:$G$73,4,FALSE)="","",VLOOKUP($B159,Master_PIC!$A$8:$G$73,4,FALSE)),"")</f>
        <v/>
      </c>
      <c r="E159" s="15" t="str">
        <f>IF(COUNTIFS(Master_PIC!$A$8:$A$73,$B159)=1,IF(VLOOKUP($B159,Master_PIC!$A$8:$G$73,5,FALSE)="","",VLOOKUP($B159,Master_PIC!$A$8:$G$73,5,FALSE)),"")</f>
        <v/>
      </c>
      <c r="F159" s="15" t="str">
        <f>IF(COUNTIFS(Master_PIC!$A$8:$A$73,$B159)=1,IF(VLOOKUP($B159,Master_PIC!$A$8:$G$73,6,FALSE)="","",VLOOKUP($B159,Master_PIC!$A$8:$G$73,6,FALSE)),"")</f>
        <v/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8"/>
      <c r="X159" s="5"/>
      <c r="Y159" s="5"/>
      <c r="Z159" s="9"/>
      <c r="AA159" s="5"/>
      <c r="AB159" s="5"/>
      <c r="AC159" s="9"/>
      <c r="AD159" s="5"/>
      <c r="AE159" s="7" t="str">
        <f t="shared" si="14"/>
        <v/>
      </c>
      <c r="AF159" s="7" t="str">
        <f t="shared" si="15"/>
        <v/>
      </c>
      <c r="AG159" s="7" t="str">
        <f t="shared" si="16"/>
        <v/>
      </c>
      <c r="AH159" s="7" t="str">
        <f t="shared" si="17"/>
        <v/>
      </c>
      <c r="AI159" s="7" t="str">
        <f t="shared" si="18"/>
        <v/>
      </c>
      <c r="AJ159" s="7" t="str">
        <f t="shared" si="19"/>
        <v/>
      </c>
      <c r="AK159" s="10" t="str">
        <f t="shared" si="20"/>
        <v/>
      </c>
      <c r="AL159" s="15" t="str">
        <f>IF(OR($A159&lt;&gt;"",$B159&lt;&gt;""),IF(OR($A159="",$B159=""),"Isi tanggal dan ID PIC",IF(NOT(ISNUMBER($A159)),"Tanggal harus berupa tanggal Excel",IF(COUNTIFS(Master_PIC!$A$8:$A$73,$B159)&lt;&gt;1,"ID PIC tidak unik/terdaftar",IF(VLOOKUP($B159,Master_PIC!$A$8:$G$73,3,FALSE)&lt;&gt;"SPV","Jabatan tidak sesuai sheet",IF(OR($C159="",$D159="",$E159="",$F159=""),"Lengkapi master PIC",IF(COUNTIFS($A$8:$A$507,$A159,$B$8:$B$507,$B159)&gt;1,"Laporan ganda",IF(COUNTIFS(G159:O159,"Tidak Berlaku")&gt;0,"N/A hanya untuk kegiatan bersyarat",IF(SUM(AF159,AG159,AH159,AI159,AJ159)&lt;&gt;13,"Status kegiatan tidak valid",IF(AJ159&gt;0,"Lengkapi status kegiatan",IF(AND(AI159&gt;0,T159=""),"Isi alasan Tidak Berlaku",IF(AND(SUM(AG159,AH159)&gt;0,OR(T159="",U159="",V159="",W159="")),"Isi kendala dan tindak lanjut",IF(AND(Y159&lt;&gt;"Draft",Y159&lt;&gt;"Dikirim"),"Isi status laporan yang valid",IF(AND(AA159&lt;&gt;"",AA159&lt;&gt;"Belum Diperiksa",AA159&lt;&gt;"Disetujui",AA159&lt;&gt;"Perlu Perbaikan"),"Hasil review tidak valid",IF(AND(Y159="Dikirim",OR(X159="",Z159="")),"Isi bukti dan waktu kirim",IF(AND(AA159="Disetujui",OR(Y159&lt;&gt;"Dikirim",AB159="",AC159="")),"Lengkapi pemeriksaan",IF(AND(AA159="Perlu Perbaikan",OR(AD159="",AB159="",AC159="")),"Isi pemeriksa dan catatan perbaikan","OK")))))))))))))))),"")</f>
        <v/>
      </c>
    </row>
    <row r="160" spans="1:38" ht="24.95" customHeight="1">
      <c r="A160" s="8"/>
      <c r="B160" s="6"/>
      <c r="C160" s="15" t="str">
        <f>IF(COUNTIFS(Master_PIC!$A$8:$A$73,$B160)=1,IF(VLOOKUP($B160,Master_PIC!$A$8:$G$73,2,FALSE)="","",VLOOKUP($B160,Master_PIC!$A$8:$G$73,2,FALSE)),"")</f>
        <v/>
      </c>
      <c r="D160" s="15" t="str">
        <f>IF(COUNTIFS(Master_PIC!$A$8:$A$73,$B160)=1,IF(VLOOKUP($B160,Master_PIC!$A$8:$G$73,4,FALSE)="","",VLOOKUP($B160,Master_PIC!$A$8:$G$73,4,FALSE)),"")</f>
        <v/>
      </c>
      <c r="E160" s="15" t="str">
        <f>IF(COUNTIFS(Master_PIC!$A$8:$A$73,$B160)=1,IF(VLOOKUP($B160,Master_PIC!$A$8:$G$73,5,FALSE)="","",VLOOKUP($B160,Master_PIC!$A$8:$G$73,5,FALSE)),"")</f>
        <v/>
      </c>
      <c r="F160" s="15" t="str">
        <f>IF(COUNTIFS(Master_PIC!$A$8:$A$73,$B160)=1,IF(VLOOKUP($B160,Master_PIC!$A$8:$G$73,6,FALSE)="","",VLOOKUP($B160,Master_PIC!$A$8:$G$73,6,FALSE)),"")</f>
        <v/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8"/>
      <c r="X160" s="5"/>
      <c r="Y160" s="5"/>
      <c r="Z160" s="9"/>
      <c r="AA160" s="5"/>
      <c r="AB160" s="5"/>
      <c r="AC160" s="9"/>
      <c r="AD160" s="5"/>
      <c r="AE160" s="7" t="str">
        <f t="shared" si="14"/>
        <v/>
      </c>
      <c r="AF160" s="7" t="str">
        <f t="shared" si="15"/>
        <v/>
      </c>
      <c r="AG160" s="7" t="str">
        <f t="shared" si="16"/>
        <v/>
      </c>
      <c r="AH160" s="7" t="str">
        <f t="shared" si="17"/>
        <v/>
      </c>
      <c r="AI160" s="7" t="str">
        <f t="shared" si="18"/>
        <v/>
      </c>
      <c r="AJ160" s="7" t="str">
        <f t="shared" si="19"/>
        <v/>
      </c>
      <c r="AK160" s="10" t="str">
        <f t="shared" si="20"/>
        <v/>
      </c>
      <c r="AL160" s="15" t="str">
        <f>IF(OR($A160&lt;&gt;"",$B160&lt;&gt;""),IF(OR($A160="",$B160=""),"Isi tanggal dan ID PIC",IF(NOT(ISNUMBER($A160)),"Tanggal harus berupa tanggal Excel",IF(COUNTIFS(Master_PIC!$A$8:$A$73,$B160)&lt;&gt;1,"ID PIC tidak unik/terdaftar",IF(VLOOKUP($B160,Master_PIC!$A$8:$G$73,3,FALSE)&lt;&gt;"SPV","Jabatan tidak sesuai sheet",IF(OR($C160="",$D160="",$E160="",$F160=""),"Lengkapi master PIC",IF(COUNTIFS($A$8:$A$507,$A160,$B$8:$B$507,$B160)&gt;1,"Laporan ganda",IF(COUNTIFS(G160:O160,"Tidak Berlaku")&gt;0,"N/A hanya untuk kegiatan bersyarat",IF(SUM(AF160,AG160,AH160,AI160,AJ160)&lt;&gt;13,"Status kegiatan tidak valid",IF(AJ160&gt;0,"Lengkapi status kegiatan",IF(AND(AI160&gt;0,T160=""),"Isi alasan Tidak Berlaku",IF(AND(SUM(AG160,AH160)&gt;0,OR(T160="",U160="",V160="",W160="")),"Isi kendala dan tindak lanjut",IF(AND(Y160&lt;&gt;"Draft",Y160&lt;&gt;"Dikirim"),"Isi status laporan yang valid",IF(AND(AA160&lt;&gt;"",AA160&lt;&gt;"Belum Diperiksa",AA160&lt;&gt;"Disetujui",AA160&lt;&gt;"Perlu Perbaikan"),"Hasil review tidak valid",IF(AND(Y160="Dikirim",OR(X160="",Z160="")),"Isi bukti dan waktu kirim",IF(AND(AA160="Disetujui",OR(Y160&lt;&gt;"Dikirim",AB160="",AC160="")),"Lengkapi pemeriksaan",IF(AND(AA160="Perlu Perbaikan",OR(AD160="",AB160="",AC160="")),"Isi pemeriksa dan catatan perbaikan","OK")))))))))))))))),"")</f>
        <v/>
      </c>
    </row>
    <row r="161" spans="1:38" ht="24.95" customHeight="1">
      <c r="A161" s="8"/>
      <c r="B161" s="6"/>
      <c r="C161" s="15" t="str">
        <f>IF(COUNTIFS(Master_PIC!$A$8:$A$73,$B161)=1,IF(VLOOKUP($B161,Master_PIC!$A$8:$G$73,2,FALSE)="","",VLOOKUP($B161,Master_PIC!$A$8:$G$73,2,FALSE)),"")</f>
        <v/>
      </c>
      <c r="D161" s="15" t="str">
        <f>IF(COUNTIFS(Master_PIC!$A$8:$A$73,$B161)=1,IF(VLOOKUP($B161,Master_PIC!$A$8:$G$73,4,FALSE)="","",VLOOKUP($B161,Master_PIC!$A$8:$G$73,4,FALSE)),"")</f>
        <v/>
      </c>
      <c r="E161" s="15" t="str">
        <f>IF(COUNTIFS(Master_PIC!$A$8:$A$73,$B161)=1,IF(VLOOKUP($B161,Master_PIC!$A$8:$G$73,5,FALSE)="","",VLOOKUP($B161,Master_PIC!$A$8:$G$73,5,FALSE)),"")</f>
        <v/>
      </c>
      <c r="F161" s="15" t="str">
        <f>IF(COUNTIFS(Master_PIC!$A$8:$A$73,$B161)=1,IF(VLOOKUP($B161,Master_PIC!$A$8:$G$73,6,FALSE)="","",VLOOKUP($B161,Master_PIC!$A$8:$G$73,6,FALSE)),"")</f>
        <v/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8"/>
      <c r="X161" s="5"/>
      <c r="Y161" s="5"/>
      <c r="Z161" s="9"/>
      <c r="AA161" s="5"/>
      <c r="AB161" s="5"/>
      <c r="AC161" s="9"/>
      <c r="AD161" s="5"/>
      <c r="AE161" s="7" t="str">
        <f t="shared" si="14"/>
        <v/>
      </c>
      <c r="AF161" s="7" t="str">
        <f t="shared" si="15"/>
        <v/>
      </c>
      <c r="AG161" s="7" t="str">
        <f t="shared" si="16"/>
        <v/>
      </c>
      <c r="AH161" s="7" t="str">
        <f t="shared" si="17"/>
        <v/>
      </c>
      <c r="AI161" s="7" t="str">
        <f t="shared" si="18"/>
        <v/>
      </c>
      <c r="AJ161" s="7" t="str">
        <f t="shared" si="19"/>
        <v/>
      </c>
      <c r="AK161" s="10" t="str">
        <f t="shared" si="20"/>
        <v/>
      </c>
      <c r="AL161" s="15" t="str">
        <f>IF(OR($A161&lt;&gt;"",$B161&lt;&gt;""),IF(OR($A161="",$B161=""),"Isi tanggal dan ID PIC",IF(NOT(ISNUMBER($A161)),"Tanggal harus berupa tanggal Excel",IF(COUNTIFS(Master_PIC!$A$8:$A$73,$B161)&lt;&gt;1,"ID PIC tidak unik/terdaftar",IF(VLOOKUP($B161,Master_PIC!$A$8:$G$73,3,FALSE)&lt;&gt;"SPV","Jabatan tidak sesuai sheet",IF(OR($C161="",$D161="",$E161="",$F161=""),"Lengkapi master PIC",IF(COUNTIFS($A$8:$A$507,$A161,$B$8:$B$507,$B161)&gt;1,"Laporan ganda",IF(COUNTIFS(G161:O161,"Tidak Berlaku")&gt;0,"N/A hanya untuk kegiatan bersyarat",IF(SUM(AF161,AG161,AH161,AI161,AJ161)&lt;&gt;13,"Status kegiatan tidak valid",IF(AJ161&gt;0,"Lengkapi status kegiatan",IF(AND(AI161&gt;0,T161=""),"Isi alasan Tidak Berlaku",IF(AND(SUM(AG161,AH161)&gt;0,OR(T161="",U161="",V161="",W161="")),"Isi kendala dan tindak lanjut",IF(AND(Y161&lt;&gt;"Draft",Y161&lt;&gt;"Dikirim"),"Isi status laporan yang valid",IF(AND(AA161&lt;&gt;"",AA161&lt;&gt;"Belum Diperiksa",AA161&lt;&gt;"Disetujui",AA161&lt;&gt;"Perlu Perbaikan"),"Hasil review tidak valid",IF(AND(Y161="Dikirim",OR(X161="",Z161="")),"Isi bukti dan waktu kirim",IF(AND(AA161="Disetujui",OR(Y161&lt;&gt;"Dikirim",AB161="",AC161="")),"Lengkapi pemeriksaan",IF(AND(AA161="Perlu Perbaikan",OR(AD161="",AB161="",AC161="")),"Isi pemeriksa dan catatan perbaikan","OK")))))))))))))))),"")</f>
        <v/>
      </c>
    </row>
    <row r="162" spans="1:38" ht="24.95" customHeight="1">
      <c r="A162" s="8"/>
      <c r="B162" s="6"/>
      <c r="C162" s="15" t="str">
        <f>IF(COUNTIFS(Master_PIC!$A$8:$A$73,$B162)=1,IF(VLOOKUP($B162,Master_PIC!$A$8:$G$73,2,FALSE)="","",VLOOKUP($B162,Master_PIC!$A$8:$G$73,2,FALSE)),"")</f>
        <v/>
      </c>
      <c r="D162" s="15" t="str">
        <f>IF(COUNTIFS(Master_PIC!$A$8:$A$73,$B162)=1,IF(VLOOKUP($B162,Master_PIC!$A$8:$G$73,4,FALSE)="","",VLOOKUP($B162,Master_PIC!$A$8:$G$73,4,FALSE)),"")</f>
        <v/>
      </c>
      <c r="E162" s="15" t="str">
        <f>IF(COUNTIFS(Master_PIC!$A$8:$A$73,$B162)=1,IF(VLOOKUP($B162,Master_PIC!$A$8:$G$73,5,FALSE)="","",VLOOKUP($B162,Master_PIC!$A$8:$G$73,5,FALSE)),"")</f>
        <v/>
      </c>
      <c r="F162" s="15" t="str">
        <f>IF(COUNTIFS(Master_PIC!$A$8:$A$73,$B162)=1,IF(VLOOKUP($B162,Master_PIC!$A$8:$G$73,6,FALSE)="","",VLOOKUP($B162,Master_PIC!$A$8:$G$73,6,FALSE)),"")</f>
        <v/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8"/>
      <c r="X162" s="5"/>
      <c r="Y162" s="5"/>
      <c r="Z162" s="9"/>
      <c r="AA162" s="5"/>
      <c r="AB162" s="5"/>
      <c r="AC162" s="9"/>
      <c r="AD162" s="5"/>
      <c r="AE162" s="7" t="str">
        <f t="shared" si="14"/>
        <v/>
      </c>
      <c r="AF162" s="7" t="str">
        <f t="shared" si="15"/>
        <v/>
      </c>
      <c r="AG162" s="7" t="str">
        <f t="shared" si="16"/>
        <v/>
      </c>
      <c r="AH162" s="7" t="str">
        <f t="shared" si="17"/>
        <v/>
      </c>
      <c r="AI162" s="7" t="str">
        <f t="shared" si="18"/>
        <v/>
      </c>
      <c r="AJ162" s="7" t="str">
        <f t="shared" si="19"/>
        <v/>
      </c>
      <c r="AK162" s="10" t="str">
        <f t="shared" si="20"/>
        <v/>
      </c>
      <c r="AL162" s="15" t="str">
        <f>IF(OR($A162&lt;&gt;"",$B162&lt;&gt;""),IF(OR($A162="",$B162=""),"Isi tanggal dan ID PIC",IF(NOT(ISNUMBER($A162)),"Tanggal harus berupa tanggal Excel",IF(COUNTIFS(Master_PIC!$A$8:$A$73,$B162)&lt;&gt;1,"ID PIC tidak unik/terdaftar",IF(VLOOKUP($B162,Master_PIC!$A$8:$G$73,3,FALSE)&lt;&gt;"SPV","Jabatan tidak sesuai sheet",IF(OR($C162="",$D162="",$E162="",$F162=""),"Lengkapi master PIC",IF(COUNTIFS($A$8:$A$507,$A162,$B$8:$B$507,$B162)&gt;1,"Laporan ganda",IF(COUNTIFS(G162:O162,"Tidak Berlaku")&gt;0,"N/A hanya untuk kegiatan bersyarat",IF(SUM(AF162,AG162,AH162,AI162,AJ162)&lt;&gt;13,"Status kegiatan tidak valid",IF(AJ162&gt;0,"Lengkapi status kegiatan",IF(AND(AI162&gt;0,T162=""),"Isi alasan Tidak Berlaku",IF(AND(SUM(AG162,AH162)&gt;0,OR(T162="",U162="",V162="",W162="")),"Isi kendala dan tindak lanjut",IF(AND(Y162&lt;&gt;"Draft",Y162&lt;&gt;"Dikirim"),"Isi status laporan yang valid",IF(AND(AA162&lt;&gt;"",AA162&lt;&gt;"Belum Diperiksa",AA162&lt;&gt;"Disetujui",AA162&lt;&gt;"Perlu Perbaikan"),"Hasil review tidak valid",IF(AND(Y162="Dikirim",OR(X162="",Z162="")),"Isi bukti dan waktu kirim",IF(AND(AA162="Disetujui",OR(Y162&lt;&gt;"Dikirim",AB162="",AC162="")),"Lengkapi pemeriksaan",IF(AND(AA162="Perlu Perbaikan",OR(AD162="",AB162="",AC162="")),"Isi pemeriksa dan catatan perbaikan","OK")))))))))))))))),"")</f>
        <v/>
      </c>
    </row>
    <row r="163" spans="1:38" ht="24.95" customHeight="1">
      <c r="A163" s="8"/>
      <c r="B163" s="6"/>
      <c r="C163" s="15" t="str">
        <f>IF(COUNTIFS(Master_PIC!$A$8:$A$73,$B163)=1,IF(VLOOKUP($B163,Master_PIC!$A$8:$G$73,2,FALSE)="","",VLOOKUP($B163,Master_PIC!$A$8:$G$73,2,FALSE)),"")</f>
        <v/>
      </c>
      <c r="D163" s="15" t="str">
        <f>IF(COUNTIFS(Master_PIC!$A$8:$A$73,$B163)=1,IF(VLOOKUP($B163,Master_PIC!$A$8:$G$73,4,FALSE)="","",VLOOKUP($B163,Master_PIC!$A$8:$G$73,4,FALSE)),"")</f>
        <v/>
      </c>
      <c r="E163" s="15" t="str">
        <f>IF(COUNTIFS(Master_PIC!$A$8:$A$73,$B163)=1,IF(VLOOKUP($B163,Master_PIC!$A$8:$G$73,5,FALSE)="","",VLOOKUP($B163,Master_PIC!$A$8:$G$73,5,FALSE)),"")</f>
        <v/>
      </c>
      <c r="F163" s="15" t="str">
        <f>IF(COUNTIFS(Master_PIC!$A$8:$A$73,$B163)=1,IF(VLOOKUP($B163,Master_PIC!$A$8:$G$73,6,FALSE)="","",VLOOKUP($B163,Master_PIC!$A$8:$G$73,6,FALSE)),"")</f>
        <v/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9"/>
      <c r="AA163" s="5"/>
      <c r="AB163" s="5"/>
      <c r="AC163" s="9"/>
      <c r="AD163" s="5"/>
      <c r="AE163" s="7" t="str">
        <f t="shared" si="14"/>
        <v/>
      </c>
      <c r="AF163" s="7" t="str">
        <f t="shared" si="15"/>
        <v/>
      </c>
      <c r="AG163" s="7" t="str">
        <f t="shared" si="16"/>
        <v/>
      </c>
      <c r="AH163" s="7" t="str">
        <f t="shared" si="17"/>
        <v/>
      </c>
      <c r="AI163" s="7" t="str">
        <f t="shared" si="18"/>
        <v/>
      </c>
      <c r="AJ163" s="7" t="str">
        <f t="shared" si="19"/>
        <v/>
      </c>
      <c r="AK163" s="10" t="str">
        <f t="shared" si="20"/>
        <v/>
      </c>
      <c r="AL163" s="15" t="str">
        <f>IF(OR($A163&lt;&gt;"",$B163&lt;&gt;""),IF(OR($A163="",$B163=""),"Isi tanggal dan ID PIC",IF(NOT(ISNUMBER($A163)),"Tanggal harus berupa tanggal Excel",IF(COUNTIFS(Master_PIC!$A$8:$A$73,$B163)&lt;&gt;1,"ID PIC tidak unik/terdaftar",IF(VLOOKUP($B163,Master_PIC!$A$8:$G$73,3,FALSE)&lt;&gt;"SPV","Jabatan tidak sesuai sheet",IF(OR($C163="",$D163="",$E163="",$F163=""),"Lengkapi master PIC",IF(COUNTIFS($A$8:$A$507,$A163,$B$8:$B$507,$B163)&gt;1,"Laporan ganda",IF(COUNTIFS(G163:O163,"Tidak Berlaku")&gt;0,"N/A hanya untuk kegiatan bersyarat",IF(SUM(AF163,AG163,AH163,AI163,AJ163)&lt;&gt;13,"Status kegiatan tidak valid",IF(AJ163&gt;0,"Lengkapi status kegiatan",IF(AND(AI163&gt;0,T163=""),"Isi alasan Tidak Berlaku",IF(AND(SUM(AG163,AH163)&gt;0,OR(T163="",U163="",V163="",W163="")),"Isi kendala dan tindak lanjut",IF(AND(Y163&lt;&gt;"Draft",Y163&lt;&gt;"Dikirim"),"Isi status laporan yang valid",IF(AND(AA163&lt;&gt;"",AA163&lt;&gt;"Belum Diperiksa",AA163&lt;&gt;"Disetujui",AA163&lt;&gt;"Perlu Perbaikan"),"Hasil review tidak valid",IF(AND(Y163="Dikirim",OR(X163="",Z163="")),"Isi bukti dan waktu kirim",IF(AND(AA163="Disetujui",OR(Y163&lt;&gt;"Dikirim",AB163="",AC163="")),"Lengkapi pemeriksaan",IF(AND(AA163="Perlu Perbaikan",OR(AD163="",AB163="",AC163="")),"Isi pemeriksa dan catatan perbaikan","OK")))))))))))))))),"")</f>
        <v/>
      </c>
    </row>
    <row r="164" spans="1:38" ht="24.95" customHeight="1">
      <c r="A164" s="8"/>
      <c r="B164" s="6"/>
      <c r="C164" s="15" t="str">
        <f>IF(COUNTIFS(Master_PIC!$A$8:$A$73,$B164)=1,IF(VLOOKUP($B164,Master_PIC!$A$8:$G$73,2,FALSE)="","",VLOOKUP($B164,Master_PIC!$A$8:$G$73,2,FALSE)),"")</f>
        <v/>
      </c>
      <c r="D164" s="15" t="str">
        <f>IF(COUNTIFS(Master_PIC!$A$8:$A$73,$B164)=1,IF(VLOOKUP($B164,Master_PIC!$A$8:$G$73,4,FALSE)="","",VLOOKUP($B164,Master_PIC!$A$8:$G$73,4,FALSE)),"")</f>
        <v/>
      </c>
      <c r="E164" s="15" t="str">
        <f>IF(COUNTIFS(Master_PIC!$A$8:$A$73,$B164)=1,IF(VLOOKUP($B164,Master_PIC!$A$8:$G$73,5,FALSE)="","",VLOOKUP($B164,Master_PIC!$A$8:$G$73,5,FALSE)),"")</f>
        <v/>
      </c>
      <c r="F164" s="15" t="str">
        <f>IF(COUNTIFS(Master_PIC!$A$8:$A$73,$B164)=1,IF(VLOOKUP($B164,Master_PIC!$A$8:$G$73,6,FALSE)="","",VLOOKUP($B164,Master_PIC!$A$8:$G$73,6,FALSE)),"")</f>
        <v/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9"/>
      <c r="AA164" s="5"/>
      <c r="AB164" s="5"/>
      <c r="AC164" s="9"/>
      <c r="AD164" s="5"/>
      <c r="AE164" s="7" t="str">
        <f t="shared" si="14"/>
        <v/>
      </c>
      <c r="AF164" s="7" t="str">
        <f t="shared" si="15"/>
        <v/>
      </c>
      <c r="AG164" s="7" t="str">
        <f t="shared" si="16"/>
        <v/>
      </c>
      <c r="AH164" s="7" t="str">
        <f t="shared" si="17"/>
        <v/>
      </c>
      <c r="AI164" s="7" t="str">
        <f t="shared" si="18"/>
        <v/>
      </c>
      <c r="AJ164" s="7" t="str">
        <f t="shared" si="19"/>
        <v/>
      </c>
      <c r="AK164" s="10" t="str">
        <f t="shared" si="20"/>
        <v/>
      </c>
      <c r="AL164" s="15" t="str">
        <f>IF(OR($A164&lt;&gt;"",$B164&lt;&gt;""),IF(OR($A164="",$B164=""),"Isi tanggal dan ID PIC",IF(NOT(ISNUMBER($A164)),"Tanggal harus berupa tanggal Excel",IF(COUNTIFS(Master_PIC!$A$8:$A$73,$B164)&lt;&gt;1,"ID PIC tidak unik/terdaftar",IF(VLOOKUP($B164,Master_PIC!$A$8:$G$73,3,FALSE)&lt;&gt;"SPV","Jabatan tidak sesuai sheet",IF(OR($C164="",$D164="",$E164="",$F164=""),"Lengkapi master PIC",IF(COUNTIFS($A$8:$A$507,$A164,$B$8:$B$507,$B164)&gt;1,"Laporan ganda",IF(COUNTIFS(G164:O164,"Tidak Berlaku")&gt;0,"N/A hanya untuk kegiatan bersyarat",IF(SUM(AF164,AG164,AH164,AI164,AJ164)&lt;&gt;13,"Status kegiatan tidak valid",IF(AJ164&gt;0,"Lengkapi status kegiatan",IF(AND(AI164&gt;0,T164=""),"Isi alasan Tidak Berlaku",IF(AND(SUM(AG164,AH164)&gt;0,OR(T164="",U164="",V164="",W164="")),"Isi kendala dan tindak lanjut",IF(AND(Y164&lt;&gt;"Draft",Y164&lt;&gt;"Dikirim"),"Isi status laporan yang valid",IF(AND(AA164&lt;&gt;"",AA164&lt;&gt;"Belum Diperiksa",AA164&lt;&gt;"Disetujui",AA164&lt;&gt;"Perlu Perbaikan"),"Hasil review tidak valid",IF(AND(Y164="Dikirim",OR(X164="",Z164="")),"Isi bukti dan waktu kirim",IF(AND(AA164="Disetujui",OR(Y164&lt;&gt;"Dikirim",AB164="",AC164="")),"Lengkapi pemeriksaan",IF(AND(AA164="Perlu Perbaikan",OR(AD164="",AB164="",AC164="")),"Isi pemeriksa dan catatan perbaikan","OK")))))))))))))))),"")</f>
        <v/>
      </c>
    </row>
    <row r="165" spans="1:38" ht="24.95" customHeight="1">
      <c r="A165" s="8"/>
      <c r="B165" s="6"/>
      <c r="C165" s="15" t="str">
        <f>IF(COUNTIFS(Master_PIC!$A$8:$A$73,$B165)=1,IF(VLOOKUP($B165,Master_PIC!$A$8:$G$73,2,FALSE)="","",VLOOKUP($B165,Master_PIC!$A$8:$G$73,2,FALSE)),"")</f>
        <v/>
      </c>
      <c r="D165" s="15" t="str">
        <f>IF(COUNTIFS(Master_PIC!$A$8:$A$73,$B165)=1,IF(VLOOKUP($B165,Master_PIC!$A$8:$G$73,4,FALSE)="","",VLOOKUP($B165,Master_PIC!$A$8:$G$73,4,FALSE)),"")</f>
        <v/>
      </c>
      <c r="E165" s="15" t="str">
        <f>IF(COUNTIFS(Master_PIC!$A$8:$A$73,$B165)=1,IF(VLOOKUP($B165,Master_PIC!$A$8:$G$73,5,FALSE)="","",VLOOKUP($B165,Master_PIC!$A$8:$G$73,5,FALSE)),"")</f>
        <v/>
      </c>
      <c r="F165" s="15" t="str">
        <f>IF(COUNTIFS(Master_PIC!$A$8:$A$73,$B165)=1,IF(VLOOKUP($B165,Master_PIC!$A$8:$G$73,6,FALSE)="","",VLOOKUP($B165,Master_PIC!$A$8:$G$73,6,FALSE)),"")</f>
        <v/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9"/>
      <c r="AA165" s="5"/>
      <c r="AB165" s="5"/>
      <c r="AC165" s="9"/>
      <c r="AD165" s="5"/>
      <c r="AE165" s="7" t="str">
        <f t="shared" si="14"/>
        <v/>
      </c>
      <c r="AF165" s="7" t="str">
        <f t="shared" si="15"/>
        <v/>
      </c>
      <c r="AG165" s="7" t="str">
        <f t="shared" si="16"/>
        <v/>
      </c>
      <c r="AH165" s="7" t="str">
        <f t="shared" si="17"/>
        <v/>
      </c>
      <c r="AI165" s="7" t="str">
        <f t="shared" si="18"/>
        <v/>
      </c>
      <c r="AJ165" s="7" t="str">
        <f t="shared" si="19"/>
        <v/>
      </c>
      <c r="AK165" s="10" t="str">
        <f t="shared" si="20"/>
        <v/>
      </c>
      <c r="AL165" s="15" t="str">
        <f>IF(OR($A165&lt;&gt;"",$B165&lt;&gt;""),IF(OR($A165="",$B165=""),"Isi tanggal dan ID PIC",IF(NOT(ISNUMBER($A165)),"Tanggal harus berupa tanggal Excel",IF(COUNTIFS(Master_PIC!$A$8:$A$73,$B165)&lt;&gt;1,"ID PIC tidak unik/terdaftar",IF(VLOOKUP($B165,Master_PIC!$A$8:$G$73,3,FALSE)&lt;&gt;"SPV","Jabatan tidak sesuai sheet",IF(OR($C165="",$D165="",$E165="",$F165=""),"Lengkapi master PIC",IF(COUNTIFS($A$8:$A$507,$A165,$B$8:$B$507,$B165)&gt;1,"Laporan ganda",IF(COUNTIFS(G165:O165,"Tidak Berlaku")&gt;0,"N/A hanya untuk kegiatan bersyarat",IF(SUM(AF165,AG165,AH165,AI165,AJ165)&lt;&gt;13,"Status kegiatan tidak valid",IF(AJ165&gt;0,"Lengkapi status kegiatan",IF(AND(AI165&gt;0,T165=""),"Isi alasan Tidak Berlaku",IF(AND(SUM(AG165,AH165)&gt;0,OR(T165="",U165="",V165="",W165="")),"Isi kendala dan tindak lanjut",IF(AND(Y165&lt;&gt;"Draft",Y165&lt;&gt;"Dikirim"),"Isi status laporan yang valid",IF(AND(AA165&lt;&gt;"",AA165&lt;&gt;"Belum Diperiksa",AA165&lt;&gt;"Disetujui",AA165&lt;&gt;"Perlu Perbaikan"),"Hasil review tidak valid",IF(AND(Y165="Dikirim",OR(X165="",Z165="")),"Isi bukti dan waktu kirim",IF(AND(AA165="Disetujui",OR(Y165&lt;&gt;"Dikirim",AB165="",AC165="")),"Lengkapi pemeriksaan",IF(AND(AA165="Perlu Perbaikan",OR(AD165="",AB165="",AC165="")),"Isi pemeriksa dan catatan perbaikan","OK")))))))))))))))),"")</f>
        <v/>
      </c>
    </row>
    <row r="166" spans="1:38" ht="24.95" customHeight="1">
      <c r="A166" s="8"/>
      <c r="B166" s="6"/>
      <c r="C166" s="15" t="str">
        <f>IF(COUNTIFS(Master_PIC!$A$8:$A$73,$B166)=1,IF(VLOOKUP($B166,Master_PIC!$A$8:$G$73,2,FALSE)="","",VLOOKUP($B166,Master_PIC!$A$8:$G$73,2,FALSE)),"")</f>
        <v/>
      </c>
      <c r="D166" s="15" t="str">
        <f>IF(COUNTIFS(Master_PIC!$A$8:$A$73,$B166)=1,IF(VLOOKUP($B166,Master_PIC!$A$8:$G$73,4,FALSE)="","",VLOOKUP($B166,Master_PIC!$A$8:$G$73,4,FALSE)),"")</f>
        <v/>
      </c>
      <c r="E166" s="15" t="str">
        <f>IF(COUNTIFS(Master_PIC!$A$8:$A$73,$B166)=1,IF(VLOOKUP($B166,Master_PIC!$A$8:$G$73,5,FALSE)="","",VLOOKUP($B166,Master_PIC!$A$8:$G$73,5,FALSE)),"")</f>
        <v/>
      </c>
      <c r="F166" s="15" t="str">
        <f>IF(COUNTIFS(Master_PIC!$A$8:$A$73,$B166)=1,IF(VLOOKUP($B166,Master_PIC!$A$8:$G$73,6,FALSE)="","",VLOOKUP($B166,Master_PIC!$A$8:$G$73,6,FALSE)),"")</f>
        <v/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8"/>
      <c r="X166" s="5"/>
      <c r="Y166" s="5"/>
      <c r="Z166" s="9"/>
      <c r="AA166" s="5"/>
      <c r="AB166" s="5"/>
      <c r="AC166" s="9"/>
      <c r="AD166" s="5"/>
      <c r="AE166" s="7" t="str">
        <f t="shared" si="14"/>
        <v/>
      </c>
      <c r="AF166" s="7" t="str">
        <f t="shared" si="15"/>
        <v/>
      </c>
      <c r="AG166" s="7" t="str">
        <f t="shared" si="16"/>
        <v/>
      </c>
      <c r="AH166" s="7" t="str">
        <f t="shared" si="17"/>
        <v/>
      </c>
      <c r="AI166" s="7" t="str">
        <f t="shared" si="18"/>
        <v/>
      </c>
      <c r="AJ166" s="7" t="str">
        <f t="shared" si="19"/>
        <v/>
      </c>
      <c r="AK166" s="10" t="str">
        <f t="shared" si="20"/>
        <v/>
      </c>
      <c r="AL166" s="15" t="str">
        <f>IF(OR($A166&lt;&gt;"",$B166&lt;&gt;""),IF(OR($A166="",$B166=""),"Isi tanggal dan ID PIC",IF(NOT(ISNUMBER($A166)),"Tanggal harus berupa tanggal Excel",IF(COUNTIFS(Master_PIC!$A$8:$A$73,$B166)&lt;&gt;1,"ID PIC tidak unik/terdaftar",IF(VLOOKUP($B166,Master_PIC!$A$8:$G$73,3,FALSE)&lt;&gt;"SPV","Jabatan tidak sesuai sheet",IF(OR($C166="",$D166="",$E166="",$F166=""),"Lengkapi master PIC",IF(COUNTIFS($A$8:$A$507,$A166,$B$8:$B$507,$B166)&gt;1,"Laporan ganda",IF(COUNTIFS(G166:O166,"Tidak Berlaku")&gt;0,"N/A hanya untuk kegiatan bersyarat",IF(SUM(AF166,AG166,AH166,AI166,AJ166)&lt;&gt;13,"Status kegiatan tidak valid",IF(AJ166&gt;0,"Lengkapi status kegiatan",IF(AND(AI166&gt;0,T166=""),"Isi alasan Tidak Berlaku",IF(AND(SUM(AG166,AH166)&gt;0,OR(T166="",U166="",V166="",W166="")),"Isi kendala dan tindak lanjut",IF(AND(Y166&lt;&gt;"Draft",Y166&lt;&gt;"Dikirim"),"Isi status laporan yang valid",IF(AND(AA166&lt;&gt;"",AA166&lt;&gt;"Belum Diperiksa",AA166&lt;&gt;"Disetujui",AA166&lt;&gt;"Perlu Perbaikan"),"Hasil review tidak valid",IF(AND(Y166="Dikirim",OR(X166="",Z166="")),"Isi bukti dan waktu kirim",IF(AND(AA166="Disetujui",OR(Y166&lt;&gt;"Dikirim",AB166="",AC166="")),"Lengkapi pemeriksaan",IF(AND(AA166="Perlu Perbaikan",OR(AD166="",AB166="",AC166="")),"Isi pemeriksa dan catatan perbaikan","OK")))))))))))))))),"")</f>
        <v/>
      </c>
    </row>
    <row r="167" spans="1:38" ht="24.95" customHeight="1">
      <c r="A167" s="8"/>
      <c r="B167" s="6"/>
      <c r="C167" s="15" t="str">
        <f>IF(COUNTIFS(Master_PIC!$A$8:$A$73,$B167)=1,IF(VLOOKUP($B167,Master_PIC!$A$8:$G$73,2,FALSE)="","",VLOOKUP($B167,Master_PIC!$A$8:$G$73,2,FALSE)),"")</f>
        <v/>
      </c>
      <c r="D167" s="15" t="str">
        <f>IF(COUNTIFS(Master_PIC!$A$8:$A$73,$B167)=1,IF(VLOOKUP($B167,Master_PIC!$A$8:$G$73,4,FALSE)="","",VLOOKUP($B167,Master_PIC!$A$8:$G$73,4,FALSE)),"")</f>
        <v/>
      </c>
      <c r="E167" s="15" t="str">
        <f>IF(COUNTIFS(Master_PIC!$A$8:$A$73,$B167)=1,IF(VLOOKUP($B167,Master_PIC!$A$8:$G$73,5,FALSE)="","",VLOOKUP($B167,Master_PIC!$A$8:$G$73,5,FALSE)),"")</f>
        <v/>
      </c>
      <c r="F167" s="15" t="str">
        <f>IF(COUNTIFS(Master_PIC!$A$8:$A$73,$B167)=1,IF(VLOOKUP($B167,Master_PIC!$A$8:$G$73,6,FALSE)="","",VLOOKUP($B167,Master_PIC!$A$8:$G$73,6,FALSE)),"")</f>
        <v/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8"/>
      <c r="X167" s="5"/>
      <c r="Y167" s="5"/>
      <c r="Z167" s="9"/>
      <c r="AA167" s="5"/>
      <c r="AB167" s="5"/>
      <c r="AC167" s="9"/>
      <c r="AD167" s="5"/>
      <c r="AE167" s="7" t="str">
        <f t="shared" si="14"/>
        <v/>
      </c>
      <c r="AF167" s="7" t="str">
        <f t="shared" si="15"/>
        <v/>
      </c>
      <c r="AG167" s="7" t="str">
        <f t="shared" si="16"/>
        <v/>
      </c>
      <c r="AH167" s="7" t="str">
        <f t="shared" si="17"/>
        <v/>
      </c>
      <c r="AI167" s="7" t="str">
        <f t="shared" si="18"/>
        <v/>
      </c>
      <c r="AJ167" s="7" t="str">
        <f t="shared" si="19"/>
        <v/>
      </c>
      <c r="AK167" s="10" t="str">
        <f t="shared" si="20"/>
        <v/>
      </c>
      <c r="AL167" s="15" t="str">
        <f>IF(OR($A167&lt;&gt;"",$B167&lt;&gt;""),IF(OR($A167="",$B167=""),"Isi tanggal dan ID PIC",IF(NOT(ISNUMBER($A167)),"Tanggal harus berupa tanggal Excel",IF(COUNTIFS(Master_PIC!$A$8:$A$73,$B167)&lt;&gt;1,"ID PIC tidak unik/terdaftar",IF(VLOOKUP($B167,Master_PIC!$A$8:$G$73,3,FALSE)&lt;&gt;"SPV","Jabatan tidak sesuai sheet",IF(OR($C167="",$D167="",$E167="",$F167=""),"Lengkapi master PIC",IF(COUNTIFS($A$8:$A$507,$A167,$B$8:$B$507,$B167)&gt;1,"Laporan ganda",IF(COUNTIFS(G167:O167,"Tidak Berlaku")&gt;0,"N/A hanya untuk kegiatan bersyarat",IF(SUM(AF167,AG167,AH167,AI167,AJ167)&lt;&gt;13,"Status kegiatan tidak valid",IF(AJ167&gt;0,"Lengkapi status kegiatan",IF(AND(AI167&gt;0,T167=""),"Isi alasan Tidak Berlaku",IF(AND(SUM(AG167,AH167)&gt;0,OR(T167="",U167="",V167="",W167="")),"Isi kendala dan tindak lanjut",IF(AND(Y167&lt;&gt;"Draft",Y167&lt;&gt;"Dikirim"),"Isi status laporan yang valid",IF(AND(AA167&lt;&gt;"",AA167&lt;&gt;"Belum Diperiksa",AA167&lt;&gt;"Disetujui",AA167&lt;&gt;"Perlu Perbaikan"),"Hasil review tidak valid",IF(AND(Y167="Dikirim",OR(X167="",Z167="")),"Isi bukti dan waktu kirim",IF(AND(AA167="Disetujui",OR(Y167&lt;&gt;"Dikirim",AB167="",AC167="")),"Lengkapi pemeriksaan",IF(AND(AA167="Perlu Perbaikan",OR(AD167="",AB167="",AC167="")),"Isi pemeriksa dan catatan perbaikan","OK")))))))))))))))),"")</f>
        <v/>
      </c>
    </row>
    <row r="168" spans="1:38" ht="24.95" customHeight="1">
      <c r="A168" s="8"/>
      <c r="B168" s="6"/>
      <c r="C168" s="15" t="str">
        <f>IF(COUNTIFS(Master_PIC!$A$8:$A$73,$B168)=1,IF(VLOOKUP($B168,Master_PIC!$A$8:$G$73,2,FALSE)="","",VLOOKUP($B168,Master_PIC!$A$8:$G$73,2,FALSE)),"")</f>
        <v/>
      </c>
      <c r="D168" s="15" t="str">
        <f>IF(COUNTIFS(Master_PIC!$A$8:$A$73,$B168)=1,IF(VLOOKUP($B168,Master_PIC!$A$8:$G$73,4,FALSE)="","",VLOOKUP($B168,Master_PIC!$A$8:$G$73,4,FALSE)),"")</f>
        <v/>
      </c>
      <c r="E168" s="15" t="str">
        <f>IF(COUNTIFS(Master_PIC!$A$8:$A$73,$B168)=1,IF(VLOOKUP($B168,Master_PIC!$A$8:$G$73,5,FALSE)="","",VLOOKUP($B168,Master_PIC!$A$8:$G$73,5,FALSE)),"")</f>
        <v/>
      </c>
      <c r="F168" s="15" t="str">
        <f>IF(COUNTIFS(Master_PIC!$A$8:$A$73,$B168)=1,IF(VLOOKUP($B168,Master_PIC!$A$8:$G$73,6,FALSE)="","",VLOOKUP($B168,Master_PIC!$A$8:$G$73,6,FALSE)),"")</f>
        <v/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9"/>
      <c r="AA168" s="5"/>
      <c r="AB168" s="5"/>
      <c r="AC168" s="9"/>
      <c r="AD168" s="5"/>
      <c r="AE168" s="7" t="str">
        <f t="shared" si="14"/>
        <v/>
      </c>
      <c r="AF168" s="7" t="str">
        <f t="shared" si="15"/>
        <v/>
      </c>
      <c r="AG168" s="7" t="str">
        <f t="shared" si="16"/>
        <v/>
      </c>
      <c r="AH168" s="7" t="str">
        <f t="shared" si="17"/>
        <v/>
      </c>
      <c r="AI168" s="7" t="str">
        <f t="shared" si="18"/>
        <v/>
      </c>
      <c r="AJ168" s="7" t="str">
        <f t="shared" si="19"/>
        <v/>
      </c>
      <c r="AK168" s="10" t="str">
        <f t="shared" si="20"/>
        <v/>
      </c>
      <c r="AL168" s="15" t="str">
        <f>IF(OR($A168&lt;&gt;"",$B168&lt;&gt;""),IF(OR($A168="",$B168=""),"Isi tanggal dan ID PIC",IF(NOT(ISNUMBER($A168)),"Tanggal harus berupa tanggal Excel",IF(COUNTIFS(Master_PIC!$A$8:$A$73,$B168)&lt;&gt;1,"ID PIC tidak unik/terdaftar",IF(VLOOKUP($B168,Master_PIC!$A$8:$G$73,3,FALSE)&lt;&gt;"SPV","Jabatan tidak sesuai sheet",IF(OR($C168="",$D168="",$E168="",$F168=""),"Lengkapi master PIC",IF(COUNTIFS($A$8:$A$507,$A168,$B$8:$B$507,$B168)&gt;1,"Laporan ganda",IF(COUNTIFS(G168:O168,"Tidak Berlaku")&gt;0,"N/A hanya untuk kegiatan bersyarat",IF(SUM(AF168,AG168,AH168,AI168,AJ168)&lt;&gt;13,"Status kegiatan tidak valid",IF(AJ168&gt;0,"Lengkapi status kegiatan",IF(AND(AI168&gt;0,T168=""),"Isi alasan Tidak Berlaku",IF(AND(SUM(AG168,AH168)&gt;0,OR(T168="",U168="",V168="",W168="")),"Isi kendala dan tindak lanjut",IF(AND(Y168&lt;&gt;"Draft",Y168&lt;&gt;"Dikirim"),"Isi status laporan yang valid",IF(AND(AA168&lt;&gt;"",AA168&lt;&gt;"Belum Diperiksa",AA168&lt;&gt;"Disetujui",AA168&lt;&gt;"Perlu Perbaikan"),"Hasil review tidak valid",IF(AND(Y168="Dikirim",OR(X168="",Z168="")),"Isi bukti dan waktu kirim",IF(AND(AA168="Disetujui",OR(Y168&lt;&gt;"Dikirim",AB168="",AC168="")),"Lengkapi pemeriksaan",IF(AND(AA168="Perlu Perbaikan",OR(AD168="",AB168="",AC168="")),"Isi pemeriksa dan catatan perbaikan","OK")))))))))))))))),"")</f>
        <v/>
      </c>
    </row>
    <row r="169" spans="1:38" ht="24.95" customHeight="1">
      <c r="A169" s="8"/>
      <c r="B169" s="6"/>
      <c r="C169" s="15" t="str">
        <f>IF(COUNTIFS(Master_PIC!$A$8:$A$73,$B169)=1,IF(VLOOKUP($B169,Master_PIC!$A$8:$G$73,2,FALSE)="","",VLOOKUP($B169,Master_PIC!$A$8:$G$73,2,FALSE)),"")</f>
        <v/>
      </c>
      <c r="D169" s="15" t="str">
        <f>IF(COUNTIFS(Master_PIC!$A$8:$A$73,$B169)=1,IF(VLOOKUP($B169,Master_PIC!$A$8:$G$73,4,FALSE)="","",VLOOKUP($B169,Master_PIC!$A$8:$G$73,4,FALSE)),"")</f>
        <v/>
      </c>
      <c r="E169" s="15" t="str">
        <f>IF(COUNTIFS(Master_PIC!$A$8:$A$73,$B169)=1,IF(VLOOKUP($B169,Master_PIC!$A$8:$G$73,5,FALSE)="","",VLOOKUP($B169,Master_PIC!$A$8:$G$73,5,FALSE)),"")</f>
        <v/>
      </c>
      <c r="F169" s="15" t="str">
        <f>IF(COUNTIFS(Master_PIC!$A$8:$A$73,$B169)=1,IF(VLOOKUP($B169,Master_PIC!$A$8:$G$73,6,FALSE)="","",VLOOKUP($B169,Master_PIC!$A$8:$G$73,6,FALSE)),"")</f>
        <v/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8"/>
      <c r="X169" s="5"/>
      <c r="Y169" s="5"/>
      <c r="Z169" s="9"/>
      <c r="AA169" s="5"/>
      <c r="AB169" s="5"/>
      <c r="AC169" s="9"/>
      <c r="AD169" s="5"/>
      <c r="AE169" s="7" t="str">
        <f t="shared" si="14"/>
        <v/>
      </c>
      <c r="AF169" s="7" t="str">
        <f t="shared" si="15"/>
        <v/>
      </c>
      <c r="AG169" s="7" t="str">
        <f t="shared" si="16"/>
        <v/>
      </c>
      <c r="AH169" s="7" t="str">
        <f t="shared" si="17"/>
        <v/>
      </c>
      <c r="AI169" s="7" t="str">
        <f t="shared" si="18"/>
        <v/>
      </c>
      <c r="AJ169" s="7" t="str">
        <f t="shared" si="19"/>
        <v/>
      </c>
      <c r="AK169" s="10" t="str">
        <f t="shared" si="20"/>
        <v/>
      </c>
      <c r="AL169" s="15" t="str">
        <f>IF(OR($A169&lt;&gt;"",$B169&lt;&gt;""),IF(OR($A169="",$B169=""),"Isi tanggal dan ID PIC",IF(NOT(ISNUMBER($A169)),"Tanggal harus berupa tanggal Excel",IF(COUNTIFS(Master_PIC!$A$8:$A$73,$B169)&lt;&gt;1,"ID PIC tidak unik/terdaftar",IF(VLOOKUP($B169,Master_PIC!$A$8:$G$73,3,FALSE)&lt;&gt;"SPV","Jabatan tidak sesuai sheet",IF(OR($C169="",$D169="",$E169="",$F169=""),"Lengkapi master PIC",IF(COUNTIFS($A$8:$A$507,$A169,$B$8:$B$507,$B169)&gt;1,"Laporan ganda",IF(COUNTIFS(G169:O169,"Tidak Berlaku")&gt;0,"N/A hanya untuk kegiatan bersyarat",IF(SUM(AF169,AG169,AH169,AI169,AJ169)&lt;&gt;13,"Status kegiatan tidak valid",IF(AJ169&gt;0,"Lengkapi status kegiatan",IF(AND(AI169&gt;0,T169=""),"Isi alasan Tidak Berlaku",IF(AND(SUM(AG169,AH169)&gt;0,OR(T169="",U169="",V169="",W169="")),"Isi kendala dan tindak lanjut",IF(AND(Y169&lt;&gt;"Draft",Y169&lt;&gt;"Dikirim"),"Isi status laporan yang valid",IF(AND(AA169&lt;&gt;"",AA169&lt;&gt;"Belum Diperiksa",AA169&lt;&gt;"Disetujui",AA169&lt;&gt;"Perlu Perbaikan"),"Hasil review tidak valid",IF(AND(Y169="Dikirim",OR(X169="",Z169="")),"Isi bukti dan waktu kirim",IF(AND(AA169="Disetujui",OR(Y169&lt;&gt;"Dikirim",AB169="",AC169="")),"Lengkapi pemeriksaan",IF(AND(AA169="Perlu Perbaikan",OR(AD169="",AB169="",AC169="")),"Isi pemeriksa dan catatan perbaikan","OK")))))))))))))))),"")</f>
        <v/>
      </c>
    </row>
    <row r="170" spans="1:38" ht="24.95" customHeight="1">
      <c r="A170" s="8"/>
      <c r="B170" s="6"/>
      <c r="C170" s="15" t="str">
        <f>IF(COUNTIFS(Master_PIC!$A$8:$A$73,$B170)=1,IF(VLOOKUP($B170,Master_PIC!$A$8:$G$73,2,FALSE)="","",VLOOKUP($B170,Master_PIC!$A$8:$G$73,2,FALSE)),"")</f>
        <v/>
      </c>
      <c r="D170" s="15" t="str">
        <f>IF(COUNTIFS(Master_PIC!$A$8:$A$73,$B170)=1,IF(VLOOKUP($B170,Master_PIC!$A$8:$G$73,4,FALSE)="","",VLOOKUP($B170,Master_PIC!$A$8:$G$73,4,FALSE)),"")</f>
        <v/>
      </c>
      <c r="E170" s="15" t="str">
        <f>IF(COUNTIFS(Master_PIC!$A$8:$A$73,$B170)=1,IF(VLOOKUP($B170,Master_PIC!$A$8:$G$73,5,FALSE)="","",VLOOKUP($B170,Master_PIC!$A$8:$G$73,5,FALSE)),"")</f>
        <v/>
      </c>
      <c r="F170" s="15" t="str">
        <f>IF(COUNTIFS(Master_PIC!$A$8:$A$73,$B170)=1,IF(VLOOKUP($B170,Master_PIC!$A$8:$G$73,6,FALSE)="","",VLOOKUP($B170,Master_PIC!$A$8:$G$73,6,FALSE)),"")</f>
        <v/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8"/>
      <c r="X170" s="5"/>
      <c r="Y170" s="5"/>
      <c r="Z170" s="9"/>
      <c r="AA170" s="5"/>
      <c r="AB170" s="5"/>
      <c r="AC170" s="9"/>
      <c r="AD170" s="5"/>
      <c r="AE170" s="7" t="str">
        <f t="shared" si="14"/>
        <v/>
      </c>
      <c r="AF170" s="7" t="str">
        <f t="shared" si="15"/>
        <v/>
      </c>
      <c r="AG170" s="7" t="str">
        <f t="shared" si="16"/>
        <v/>
      </c>
      <c r="AH170" s="7" t="str">
        <f t="shared" si="17"/>
        <v/>
      </c>
      <c r="AI170" s="7" t="str">
        <f t="shared" si="18"/>
        <v/>
      </c>
      <c r="AJ170" s="7" t="str">
        <f t="shared" si="19"/>
        <v/>
      </c>
      <c r="AK170" s="10" t="str">
        <f t="shared" si="20"/>
        <v/>
      </c>
      <c r="AL170" s="15" t="str">
        <f>IF(OR($A170&lt;&gt;"",$B170&lt;&gt;""),IF(OR($A170="",$B170=""),"Isi tanggal dan ID PIC",IF(NOT(ISNUMBER($A170)),"Tanggal harus berupa tanggal Excel",IF(COUNTIFS(Master_PIC!$A$8:$A$73,$B170)&lt;&gt;1,"ID PIC tidak unik/terdaftar",IF(VLOOKUP($B170,Master_PIC!$A$8:$G$73,3,FALSE)&lt;&gt;"SPV","Jabatan tidak sesuai sheet",IF(OR($C170="",$D170="",$E170="",$F170=""),"Lengkapi master PIC",IF(COUNTIFS($A$8:$A$507,$A170,$B$8:$B$507,$B170)&gt;1,"Laporan ganda",IF(COUNTIFS(G170:O170,"Tidak Berlaku")&gt;0,"N/A hanya untuk kegiatan bersyarat",IF(SUM(AF170,AG170,AH170,AI170,AJ170)&lt;&gt;13,"Status kegiatan tidak valid",IF(AJ170&gt;0,"Lengkapi status kegiatan",IF(AND(AI170&gt;0,T170=""),"Isi alasan Tidak Berlaku",IF(AND(SUM(AG170,AH170)&gt;0,OR(T170="",U170="",V170="",W170="")),"Isi kendala dan tindak lanjut",IF(AND(Y170&lt;&gt;"Draft",Y170&lt;&gt;"Dikirim"),"Isi status laporan yang valid",IF(AND(AA170&lt;&gt;"",AA170&lt;&gt;"Belum Diperiksa",AA170&lt;&gt;"Disetujui",AA170&lt;&gt;"Perlu Perbaikan"),"Hasil review tidak valid",IF(AND(Y170="Dikirim",OR(X170="",Z170="")),"Isi bukti dan waktu kirim",IF(AND(AA170="Disetujui",OR(Y170&lt;&gt;"Dikirim",AB170="",AC170="")),"Lengkapi pemeriksaan",IF(AND(AA170="Perlu Perbaikan",OR(AD170="",AB170="",AC170="")),"Isi pemeriksa dan catatan perbaikan","OK")))))))))))))))),"")</f>
        <v/>
      </c>
    </row>
    <row r="171" spans="1:38" ht="24.95" customHeight="1">
      <c r="A171" s="8"/>
      <c r="B171" s="6"/>
      <c r="C171" s="15" t="str">
        <f>IF(COUNTIFS(Master_PIC!$A$8:$A$73,$B171)=1,IF(VLOOKUP($B171,Master_PIC!$A$8:$G$73,2,FALSE)="","",VLOOKUP($B171,Master_PIC!$A$8:$G$73,2,FALSE)),"")</f>
        <v/>
      </c>
      <c r="D171" s="15" t="str">
        <f>IF(COUNTIFS(Master_PIC!$A$8:$A$73,$B171)=1,IF(VLOOKUP($B171,Master_PIC!$A$8:$G$73,4,FALSE)="","",VLOOKUP($B171,Master_PIC!$A$8:$G$73,4,FALSE)),"")</f>
        <v/>
      </c>
      <c r="E171" s="15" t="str">
        <f>IF(COUNTIFS(Master_PIC!$A$8:$A$73,$B171)=1,IF(VLOOKUP($B171,Master_PIC!$A$8:$G$73,5,FALSE)="","",VLOOKUP($B171,Master_PIC!$A$8:$G$73,5,FALSE)),"")</f>
        <v/>
      </c>
      <c r="F171" s="15" t="str">
        <f>IF(COUNTIFS(Master_PIC!$A$8:$A$73,$B171)=1,IF(VLOOKUP($B171,Master_PIC!$A$8:$G$73,6,FALSE)="","",VLOOKUP($B171,Master_PIC!$A$8:$G$73,6,FALSE)),"")</f>
        <v/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8"/>
      <c r="X171" s="5"/>
      <c r="Y171" s="5"/>
      <c r="Z171" s="9"/>
      <c r="AA171" s="5"/>
      <c r="AB171" s="5"/>
      <c r="AC171" s="9"/>
      <c r="AD171" s="5"/>
      <c r="AE171" s="7" t="str">
        <f t="shared" si="14"/>
        <v/>
      </c>
      <c r="AF171" s="7" t="str">
        <f t="shared" si="15"/>
        <v/>
      </c>
      <c r="AG171" s="7" t="str">
        <f t="shared" si="16"/>
        <v/>
      </c>
      <c r="AH171" s="7" t="str">
        <f t="shared" si="17"/>
        <v/>
      </c>
      <c r="AI171" s="7" t="str">
        <f t="shared" si="18"/>
        <v/>
      </c>
      <c r="AJ171" s="7" t="str">
        <f t="shared" si="19"/>
        <v/>
      </c>
      <c r="AK171" s="10" t="str">
        <f t="shared" si="20"/>
        <v/>
      </c>
      <c r="AL171" s="15" t="str">
        <f>IF(OR($A171&lt;&gt;"",$B171&lt;&gt;""),IF(OR($A171="",$B171=""),"Isi tanggal dan ID PIC",IF(NOT(ISNUMBER($A171)),"Tanggal harus berupa tanggal Excel",IF(COUNTIFS(Master_PIC!$A$8:$A$73,$B171)&lt;&gt;1,"ID PIC tidak unik/terdaftar",IF(VLOOKUP($B171,Master_PIC!$A$8:$G$73,3,FALSE)&lt;&gt;"SPV","Jabatan tidak sesuai sheet",IF(OR($C171="",$D171="",$E171="",$F171=""),"Lengkapi master PIC",IF(COUNTIFS($A$8:$A$507,$A171,$B$8:$B$507,$B171)&gt;1,"Laporan ganda",IF(COUNTIFS(G171:O171,"Tidak Berlaku")&gt;0,"N/A hanya untuk kegiatan bersyarat",IF(SUM(AF171,AG171,AH171,AI171,AJ171)&lt;&gt;13,"Status kegiatan tidak valid",IF(AJ171&gt;0,"Lengkapi status kegiatan",IF(AND(AI171&gt;0,T171=""),"Isi alasan Tidak Berlaku",IF(AND(SUM(AG171,AH171)&gt;0,OR(T171="",U171="",V171="",W171="")),"Isi kendala dan tindak lanjut",IF(AND(Y171&lt;&gt;"Draft",Y171&lt;&gt;"Dikirim"),"Isi status laporan yang valid",IF(AND(AA171&lt;&gt;"",AA171&lt;&gt;"Belum Diperiksa",AA171&lt;&gt;"Disetujui",AA171&lt;&gt;"Perlu Perbaikan"),"Hasil review tidak valid",IF(AND(Y171="Dikirim",OR(X171="",Z171="")),"Isi bukti dan waktu kirim",IF(AND(AA171="Disetujui",OR(Y171&lt;&gt;"Dikirim",AB171="",AC171="")),"Lengkapi pemeriksaan",IF(AND(AA171="Perlu Perbaikan",OR(AD171="",AB171="",AC171="")),"Isi pemeriksa dan catatan perbaikan","OK")))))))))))))))),"")</f>
        <v/>
      </c>
    </row>
    <row r="172" spans="1:38" ht="24.95" customHeight="1">
      <c r="A172" s="8"/>
      <c r="B172" s="6"/>
      <c r="C172" s="15" t="str">
        <f>IF(COUNTIFS(Master_PIC!$A$8:$A$73,$B172)=1,IF(VLOOKUP($B172,Master_PIC!$A$8:$G$73,2,FALSE)="","",VLOOKUP($B172,Master_PIC!$A$8:$G$73,2,FALSE)),"")</f>
        <v/>
      </c>
      <c r="D172" s="15" t="str">
        <f>IF(COUNTIFS(Master_PIC!$A$8:$A$73,$B172)=1,IF(VLOOKUP($B172,Master_PIC!$A$8:$G$73,4,FALSE)="","",VLOOKUP($B172,Master_PIC!$A$8:$G$73,4,FALSE)),"")</f>
        <v/>
      </c>
      <c r="E172" s="15" t="str">
        <f>IF(COUNTIFS(Master_PIC!$A$8:$A$73,$B172)=1,IF(VLOOKUP($B172,Master_PIC!$A$8:$G$73,5,FALSE)="","",VLOOKUP($B172,Master_PIC!$A$8:$G$73,5,FALSE)),"")</f>
        <v/>
      </c>
      <c r="F172" s="15" t="str">
        <f>IF(COUNTIFS(Master_PIC!$A$8:$A$73,$B172)=1,IF(VLOOKUP($B172,Master_PIC!$A$8:$G$73,6,FALSE)="","",VLOOKUP($B172,Master_PIC!$A$8:$G$73,6,FALSE)),"")</f>
        <v/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8"/>
      <c r="X172" s="5"/>
      <c r="Y172" s="5"/>
      <c r="Z172" s="9"/>
      <c r="AA172" s="5"/>
      <c r="AB172" s="5"/>
      <c r="AC172" s="9"/>
      <c r="AD172" s="5"/>
      <c r="AE172" s="7" t="str">
        <f t="shared" si="14"/>
        <v/>
      </c>
      <c r="AF172" s="7" t="str">
        <f t="shared" si="15"/>
        <v/>
      </c>
      <c r="AG172" s="7" t="str">
        <f t="shared" si="16"/>
        <v/>
      </c>
      <c r="AH172" s="7" t="str">
        <f t="shared" si="17"/>
        <v/>
      </c>
      <c r="AI172" s="7" t="str">
        <f t="shared" si="18"/>
        <v/>
      </c>
      <c r="AJ172" s="7" t="str">
        <f t="shared" si="19"/>
        <v/>
      </c>
      <c r="AK172" s="10" t="str">
        <f t="shared" si="20"/>
        <v/>
      </c>
      <c r="AL172" s="15" t="str">
        <f>IF(OR($A172&lt;&gt;"",$B172&lt;&gt;""),IF(OR($A172="",$B172=""),"Isi tanggal dan ID PIC",IF(NOT(ISNUMBER($A172)),"Tanggal harus berupa tanggal Excel",IF(COUNTIFS(Master_PIC!$A$8:$A$73,$B172)&lt;&gt;1,"ID PIC tidak unik/terdaftar",IF(VLOOKUP($B172,Master_PIC!$A$8:$G$73,3,FALSE)&lt;&gt;"SPV","Jabatan tidak sesuai sheet",IF(OR($C172="",$D172="",$E172="",$F172=""),"Lengkapi master PIC",IF(COUNTIFS($A$8:$A$507,$A172,$B$8:$B$507,$B172)&gt;1,"Laporan ganda",IF(COUNTIFS(G172:O172,"Tidak Berlaku")&gt;0,"N/A hanya untuk kegiatan bersyarat",IF(SUM(AF172,AG172,AH172,AI172,AJ172)&lt;&gt;13,"Status kegiatan tidak valid",IF(AJ172&gt;0,"Lengkapi status kegiatan",IF(AND(AI172&gt;0,T172=""),"Isi alasan Tidak Berlaku",IF(AND(SUM(AG172,AH172)&gt;0,OR(T172="",U172="",V172="",W172="")),"Isi kendala dan tindak lanjut",IF(AND(Y172&lt;&gt;"Draft",Y172&lt;&gt;"Dikirim"),"Isi status laporan yang valid",IF(AND(AA172&lt;&gt;"",AA172&lt;&gt;"Belum Diperiksa",AA172&lt;&gt;"Disetujui",AA172&lt;&gt;"Perlu Perbaikan"),"Hasil review tidak valid",IF(AND(Y172="Dikirim",OR(X172="",Z172="")),"Isi bukti dan waktu kirim",IF(AND(AA172="Disetujui",OR(Y172&lt;&gt;"Dikirim",AB172="",AC172="")),"Lengkapi pemeriksaan",IF(AND(AA172="Perlu Perbaikan",OR(AD172="",AB172="",AC172="")),"Isi pemeriksa dan catatan perbaikan","OK")))))))))))))))),"")</f>
        <v/>
      </c>
    </row>
    <row r="173" spans="1:38" ht="24.95" customHeight="1">
      <c r="A173" s="8"/>
      <c r="B173" s="6"/>
      <c r="C173" s="15" t="str">
        <f>IF(COUNTIFS(Master_PIC!$A$8:$A$73,$B173)=1,IF(VLOOKUP($B173,Master_PIC!$A$8:$G$73,2,FALSE)="","",VLOOKUP($B173,Master_PIC!$A$8:$G$73,2,FALSE)),"")</f>
        <v/>
      </c>
      <c r="D173" s="15" t="str">
        <f>IF(COUNTIFS(Master_PIC!$A$8:$A$73,$B173)=1,IF(VLOOKUP($B173,Master_PIC!$A$8:$G$73,4,FALSE)="","",VLOOKUP($B173,Master_PIC!$A$8:$G$73,4,FALSE)),"")</f>
        <v/>
      </c>
      <c r="E173" s="15" t="str">
        <f>IF(COUNTIFS(Master_PIC!$A$8:$A$73,$B173)=1,IF(VLOOKUP($B173,Master_PIC!$A$8:$G$73,5,FALSE)="","",VLOOKUP($B173,Master_PIC!$A$8:$G$73,5,FALSE)),"")</f>
        <v/>
      </c>
      <c r="F173" s="15" t="str">
        <f>IF(COUNTIFS(Master_PIC!$A$8:$A$73,$B173)=1,IF(VLOOKUP($B173,Master_PIC!$A$8:$G$73,6,FALSE)="","",VLOOKUP($B173,Master_PIC!$A$8:$G$73,6,FALSE)),"")</f>
        <v/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9"/>
      <c r="AA173" s="5"/>
      <c r="AB173" s="5"/>
      <c r="AC173" s="9"/>
      <c r="AD173" s="5"/>
      <c r="AE173" s="7" t="str">
        <f t="shared" si="14"/>
        <v/>
      </c>
      <c r="AF173" s="7" t="str">
        <f t="shared" si="15"/>
        <v/>
      </c>
      <c r="AG173" s="7" t="str">
        <f t="shared" si="16"/>
        <v/>
      </c>
      <c r="AH173" s="7" t="str">
        <f t="shared" si="17"/>
        <v/>
      </c>
      <c r="AI173" s="7" t="str">
        <f t="shared" si="18"/>
        <v/>
      </c>
      <c r="AJ173" s="7" t="str">
        <f t="shared" si="19"/>
        <v/>
      </c>
      <c r="AK173" s="10" t="str">
        <f t="shared" si="20"/>
        <v/>
      </c>
      <c r="AL173" s="15" t="str">
        <f>IF(OR($A173&lt;&gt;"",$B173&lt;&gt;""),IF(OR($A173="",$B173=""),"Isi tanggal dan ID PIC",IF(NOT(ISNUMBER($A173)),"Tanggal harus berupa tanggal Excel",IF(COUNTIFS(Master_PIC!$A$8:$A$73,$B173)&lt;&gt;1,"ID PIC tidak unik/terdaftar",IF(VLOOKUP($B173,Master_PIC!$A$8:$G$73,3,FALSE)&lt;&gt;"SPV","Jabatan tidak sesuai sheet",IF(OR($C173="",$D173="",$E173="",$F173=""),"Lengkapi master PIC",IF(COUNTIFS($A$8:$A$507,$A173,$B$8:$B$507,$B173)&gt;1,"Laporan ganda",IF(COUNTIFS(G173:O173,"Tidak Berlaku")&gt;0,"N/A hanya untuk kegiatan bersyarat",IF(SUM(AF173,AG173,AH173,AI173,AJ173)&lt;&gt;13,"Status kegiatan tidak valid",IF(AJ173&gt;0,"Lengkapi status kegiatan",IF(AND(AI173&gt;0,T173=""),"Isi alasan Tidak Berlaku",IF(AND(SUM(AG173,AH173)&gt;0,OR(T173="",U173="",V173="",W173="")),"Isi kendala dan tindak lanjut",IF(AND(Y173&lt;&gt;"Draft",Y173&lt;&gt;"Dikirim"),"Isi status laporan yang valid",IF(AND(AA173&lt;&gt;"",AA173&lt;&gt;"Belum Diperiksa",AA173&lt;&gt;"Disetujui",AA173&lt;&gt;"Perlu Perbaikan"),"Hasil review tidak valid",IF(AND(Y173="Dikirim",OR(X173="",Z173="")),"Isi bukti dan waktu kirim",IF(AND(AA173="Disetujui",OR(Y173&lt;&gt;"Dikirim",AB173="",AC173="")),"Lengkapi pemeriksaan",IF(AND(AA173="Perlu Perbaikan",OR(AD173="",AB173="",AC173="")),"Isi pemeriksa dan catatan perbaikan","OK")))))))))))))))),"")</f>
        <v/>
      </c>
    </row>
    <row r="174" spans="1:38" ht="24.95" customHeight="1">
      <c r="A174" s="8"/>
      <c r="B174" s="6"/>
      <c r="C174" s="15" t="str">
        <f>IF(COUNTIFS(Master_PIC!$A$8:$A$73,$B174)=1,IF(VLOOKUP($B174,Master_PIC!$A$8:$G$73,2,FALSE)="","",VLOOKUP($B174,Master_PIC!$A$8:$G$73,2,FALSE)),"")</f>
        <v/>
      </c>
      <c r="D174" s="15" t="str">
        <f>IF(COUNTIFS(Master_PIC!$A$8:$A$73,$B174)=1,IF(VLOOKUP($B174,Master_PIC!$A$8:$G$73,4,FALSE)="","",VLOOKUP($B174,Master_PIC!$A$8:$G$73,4,FALSE)),"")</f>
        <v/>
      </c>
      <c r="E174" s="15" t="str">
        <f>IF(COUNTIFS(Master_PIC!$A$8:$A$73,$B174)=1,IF(VLOOKUP($B174,Master_PIC!$A$8:$G$73,5,FALSE)="","",VLOOKUP($B174,Master_PIC!$A$8:$G$73,5,FALSE)),"")</f>
        <v/>
      </c>
      <c r="F174" s="15" t="str">
        <f>IF(COUNTIFS(Master_PIC!$A$8:$A$73,$B174)=1,IF(VLOOKUP($B174,Master_PIC!$A$8:$G$73,6,FALSE)="","",VLOOKUP($B174,Master_PIC!$A$8:$G$73,6,FALSE)),"")</f>
        <v/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8"/>
      <c r="X174" s="5"/>
      <c r="Y174" s="5"/>
      <c r="Z174" s="9"/>
      <c r="AA174" s="5"/>
      <c r="AB174" s="5"/>
      <c r="AC174" s="9"/>
      <c r="AD174" s="5"/>
      <c r="AE174" s="7" t="str">
        <f t="shared" si="14"/>
        <v/>
      </c>
      <c r="AF174" s="7" t="str">
        <f t="shared" si="15"/>
        <v/>
      </c>
      <c r="AG174" s="7" t="str">
        <f t="shared" si="16"/>
        <v/>
      </c>
      <c r="AH174" s="7" t="str">
        <f t="shared" si="17"/>
        <v/>
      </c>
      <c r="AI174" s="7" t="str">
        <f t="shared" si="18"/>
        <v/>
      </c>
      <c r="AJ174" s="7" t="str">
        <f t="shared" si="19"/>
        <v/>
      </c>
      <c r="AK174" s="10" t="str">
        <f t="shared" si="20"/>
        <v/>
      </c>
      <c r="AL174" s="15" t="str">
        <f>IF(OR($A174&lt;&gt;"",$B174&lt;&gt;""),IF(OR($A174="",$B174=""),"Isi tanggal dan ID PIC",IF(NOT(ISNUMBER($A174)),"Tanggal harus berupa tanggal Excel",IF(COUNTIFS(Master_PIC!$A$8:$A$73,$B174)&lt;&gt;1,"ID PIC tidak unik/terdaftar",IF(VLOOKUP($B174,Master_PIC!$A$8:$G$73,3,FALSE)&lt;&gt;"SPV","Jabatan tidak sesuai sheet",IF(OR($C174="",$D174="",$E174="",$F174=""),"Lengkapi master PIC",IF(COUNTIFS($A$8:$A$507,$A174,$B$8:$B$507,$B174)&gt;1,"Laporan ganda",IF(COUNTIFS(G174:O174,"Tidak Berlaku")&gt;0,"N/A hanya untuk kegiatan bersyarat",IF(SUM(AF174,AG174,AH174,AI174,AJ174)&lt;&gt;13,"Status kegiatan tidak valid",IF(AJ174&gt;0,"Lengkapi status kegiatan",IF(AND(AI174&gt;0,T174=""),"Isi alasan Tidak Berlaku",IF(AND(SUM(AG174,AH174)&gt;0,OR(T174="",U174="",V174="",W174="")),"Isi kendala dan tindak lanjut",IF(AND(Y174&lt;&gt;"Draft",Y174&lt;&gt;"Dikirim"),"Isi status laporan yang valid",IF(AND(AA174&lt;&gt;"",AA174&lt;&gt;"Belum Diperiksa",AA174&lt;&gt;"Disetujui",AA174&lt;&gt;"Perlu Perbaikan"),"Hasil review tidak valid",IF(AND(Y174="Dikirim",OR(X174="",Z174="")),"Isi bukti dan waktu kirim",IF(AND(AA174="Disetujui",OR(Y174&lt;&gt;"Dikirim",AB174="",AC174="")),"Lengkapi pemeriksaan",IF(AND(AA174="Perlu Perbaikan",OR(AD174="",AB174="",AC174="")),"Isi pemeriksa dan catatan perbaikan","OK")))))))))))))))),"")</f>
        <v/>
      </c>
    </row>
    <row r="175" spans="1:38" ht="24.95" customHeight="1">
      <c r="A175" s="8"/>
      <c r="B175" s="6"/>
      <c r="C175" s="15" t="str">
        <f>IF(COUNTIFS(Master_PIC!$A$8:$A$73,$B175)=1,IF(VLOOKUP($B175,Master_PIC!$A$8:$G$73,2,FALSE)="","",VLOOKUP($B175,Master_PIC!$A$8:$G$73,2,FALSE)),"")</f>
        <v/>
      </c>
      <c r="D175" s="15" t="str">
        <f>IF(COUNTIFS(Master_PIC!$A$8:$A$73,$B175)=1,IF(VLOOKUP($B175,Master_PIC!$A$8:$G$73,4,FALSE)="","",VLOOKUP($B175,Master_PIC!$A$8:$G$73,4,FALSE)),"")</f>
        <v/>
      </c>
      <c r="E175" s="15" t="str">
        <f>IF(COUNTIFS(Master_PIC!$A$8:$A$73,$B175)=1,IF(VLOOKUP($B175,Master_PIC!$A$8:$G$73,5,FALSE)="","",VLOOKUP($B175,Master_PIC!$A$8:$G$73,5,FALSE)),"")</f>
        <v/>
      </c>
      <c r="F175" s="15" t="str">
        <f>IF(COUNTIFS(Master_PIC!$A$8:$A$73,$B175)=1,IF(VLOOKUP($B175,Master_PIC!$A$8:$G$73,6,FALSE)="","",VLOOKUP($B175,Master_PIC!$A$8:$G$73,6,FALSE)),"")</f>
        <v/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9"/>
      <c r="AA175" s="5"/>
      <c r="AB175" s="5"/>
      <c r="AC175" s="9"/>
      <c r="AD175" s="5"/>
      <c r="AE175" s="7" t="str">
        <f t="shared" si="14"/>
        <v/>
      </c>
      <c r="AF175" s="7" t="str">
        <f t="shared" si="15"/>
        <v/>
      </c>
      <c r="AG175" s="7" t="str">
        <f t="shared" si="16"/>
        <v/>
      </c>
      <c r="AH175" s="7" t="str">
        <f t="shared" si="17"/>
        <v/>
      </c>
      <c r="AI175" s="7" t="str">
        <f t="shared" si="18"/>
        <v/>
      </c>
      <c r="AJ175" s="7" t="str">
        <f t="shared" si="19"/>
        <v/>
      </c>
      <c r="AK175" s="10" t="str">
        <f t="shared" si="20"/>
        <v/>
      </c>
      <c r="AL175" s="15" t="str">
        <f>IF(OR($A175&lt;&gt;"",$B175&lt;&gt;""),IF(OR($A175="",$B175=""),"Isi tanggal dan ID PIC",IF(NOT(ISNUMBER($A175)),"Tanggal harus berupa tanggal Excel",IF(COUNTIFS(Master_PIC!$A$8:$A$73,$B175)&lt;&gt;1,"ID PIC tidak unik/terdaftar",IF(VLOOKUP($B175,Master_PIC!$A$8:$G$73,3,FALSE)&lt;&gt;"SPV","Jabatan tidak sesuai sheet",IF(OR($C175="",$D175="",$E175="",$F175=""),"Lengkapi master PIC",IF(COUNTIFS($A$8:$A$507,$A175,$B$8:$B$507,$B175)&gt;1,"Laporan ganda",IF(COUNTIFS(G175:O175,"Tidak Berlaku")&gt;0,"N/A hanya untuk kegiatan bersyarat",IF(SUM(AF175,AG175,AH175,AI175,AJ175)&lt;&gt;13,"Status kegiatan tidak valid",IF(AJ175&gt;0,"Lengkapi status kegiatan",IF(AND(AI175&gt;0,T175=""),"Isi alasan Tidak Berlaku",IF(AND(SUM(AG175,AH175)&gt;0,OR(T175="",U175="",V175="",W175="")),"Isi kendala dan tindak lanjut",IF(AND(Y175&lt;&gt;"Draft",Y175&lt;&gt;"Dikirim"),"Isi status laporan yang valid",IF(AND(AA175&lt;&gt;"",AA175&lt;&gt;"Belum Diperiksa",AA175&lt;&gt;"Disetujui",AA175&lt;&gt;"Perlu Perbaikan"),"Hasil review tidak valid",IF(AND(Y175="Dikirim",OR(X175="",Z175="")),"Isi bukti dan waktu kirim",IF(AND(AA175="Disetujui",OR(Y175&lt;&gt;"Dikirim",AB175="",AC175="")),"Lengkapi pemeriksaan",IF(AND(AA175="Perlu Perbaikan",OR(AD175="",AB175="",AC175="")),"Isi pemeriksa dan catatan perbaikan","OK")))))))))))))))),"")</f>
        <v/>
      </c>
    </row>
    <row r="176" spans="1:38" ht="24.95" customHeight="1">
      <c r="A176" s="8"/>
      <c r="B176" s="6"/>
      <c r="C176" s="15" t="str">
        <f>IF(COUNTIFS(Master_PIC!$A$8:$A$73,$B176)=1,IF(VLOOKUP($B176,Master_PIC!$A$8:$G$73,2,FALSE)="","",VLOOKUP($B176,Master_PIC!$A$8:$G$73,2,FALSE)),"")</f>
        <v/>
      </c>
      <c r="D176" s="15" t="str">
        <f>IF(COUNTIFS(Master_PIC!$A$8:$A$73,$B176)=1,IF(VLOOKUP($B176,Master_PIC!$A$8:$G$73,4,FALSE)="","",VLOOKUP($B176,Master_PIC!$A$8:$G$73,4,FALSE)),"")</f>
        <v/>
      </c>
      <c r="E176" s="15" t="str">
        <f>IF(COUNTIFS(Master_PIC!$A$8:$A$73,$B176)=1,IF(VLOOKUP($B176,Master_PIC!$A$8:$G$73,5,FALSE)="","",VLOOKUP($B176,Master_PIC!$A$8:$G$73,5,FALSE)),"")</f>
        <v/>
      </c>
      <c r="F176" s="15" t="str">
        <f>IF(COUNTIFS(Master_PIC!$A$8:$A$73,$B176)=1,IF(VLOOKUP($B176,Master_PIC!$A$8:$G$73,6,FALSE)="","",VLOOKUP($B176,Master_PIC!$A$8:$G$73,6,FALSE)),"")</f>
        <v/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8"/>
      <c r="X176" s="5"/>
      <c r="Y176" s="5"/>
      <c r="Z176" s="9"/>
      <c r="AA176" s="5"/>
      <c r="AB176" s="5"/>
      <c r="AC176" s="9"/>
      <c r="AD176" s="5"/>
      <c r="AE176" s="7" t="str">
        <f t="shared" si="14"/>
        <v/>
      </c>
      <c r="AF176" s="7" t="str">
        <f t="shared" si="15"/>
        <v/>
      </c>
      <c r="AG176" s="7" t="str">
        <f t="shared" si="16"/>
        <v/>
      </c>
      <c r="AH176" s="7" t="str">
        <f t="shared" si="17"/>
        <v/>
      </c>
      <c r="AI176" s="7" t="str">
        <f t="shared" si="18"/>
        <v/>
      </c>
      <c r="AJ176" s="7" t="str">
        <f t="shared" si="19"/>
        <v/>
      </c>
      <c r="AK176" s="10" t="str">
        <f t="shared" si="20"/>
        <v/>
      </c>
      <c r="AL176" s="15" t="str">
        <f>IF(OR($A176&lt;&gt;"",$B176&lt;&gt;""),IF(OR($A176="",$B176=""),"Isi tanggal dan ID PIC",IF(NOT(ISNUMBER($A176)),"Tanggal harus berupa tanggal Excel",IF(COUNTIFS(Master_PIC!$A$8:$A$73,$B176)&lt;&gt;1,"ID PIC tidak unik/terdaftar",IF(VLOOKUP($B176,Master_PIC!$A$8:$G$73,3,FALSE)&lt;&gt;"SPV","Jabatan tidak sesuai sheet",IF(OR($C176="",$D176="",$E176="",$F176=""),"Lengkapi master PIC",IF(COUNTIFS($A$8:$A$507,$A176,$B$8:$B$507,$B176)&gt;1,"Laporan ganda",IF(COUNTIFS(G176:O176,"Tidak Berlaku")&gt;0,"N/A hanya untuk kegiatan bersyarat",IF(SUM(AF176,AG176,AH176,AI176,AJ176)&lt;&gt;13,"Status kegiatan tidak valid",IF(AJ176&gt;0,"Lengkapi status kegiatan",IF(AND(AI176&gt;0,T176=""),"Isi alasan Tidak Berlaku",IF(AND(SUM(AG176,AH176)&gt;0,OR(T176="",U176="",V176="",W176="")),"Isi kendala dan tindak lanjut",IF(AND(Y176&lt;&gt;"Draft",Y176&lt;&gt;"Dikirim"),"Isi status laporan yang valid",IF(AND(AA176&lt;&gt;"",AA176&lt;&gt;"Belum Diperiksa",AA176&lt;&gt;"Disetujui",AA176&lt;&gt;"Perlu Perbaikan"),"Hasil review tidak valid",IF(AND(Y176="Dikirim",OR(X176="",Z176="")),"Isi bukti dan waktu kirim",IF(AND(AA176="Disetujui",OR(Y176&lt;&gt;"Dikirim",AB176="",AC176="")),"Lengkapi pemeriksaan",IF(AND(AA176="Perlu Perbaikan",OR(AD176="",AB176="",AC176="")),"Isi pemeriksa dan catatan perbaikan","OK")))))))))))))))),"")</f>
        <v/>
      </c>
    </row>
    <row r="177" spans="1:38" ht="24.95" customHeight="1">
      <c r="A177" s="8"/>
      <c r="B177" s="6"/>
      <c r="C177" s="15" t="str">
        <f>IF(COUNTIFS(Master_PIC!$A$8:$A$73,$B177)=1,IF(VLOOKUP($B177,Master_PIC!$A$8:$G$73,2,FALSE)="","",VLOOKUP($B177,Master_PIC!$A$8:$G$73,2,FALSE)),"")</f>
        <v/>
      </c>
      <c r="D177" s="15" t="str">
        <f>IF(COUNTIFS(Master_PIC!$A$8:$A$73,$B177)=1,IF(VLOOKUP($B177,Master_PIC!$A$8:$G$73,4,FALSE)="","",VLOOKUP($B177,Master_PIC!$A$8:$G$73,4,FALSE)),"")</f>
        <v/>
      </c>
      <c r="E177" s="15" t="str">
        <f>IF(COUNTIFS(Master_PIC!$A$8:$A$73,$B177)=1,IF(VLOOKUP($B177,Master_PIC!$A$8:$G$73,5,FALSE)="","",VLOOKUP($B177,Master_PIC!$A$8:$G$73,5,FALSE)),"")</f>
        <v/>
      </c>
      <c r="F177" s="15" t="str">
        <f>IF(COUNTIFS(Master_PIC!$A$8:$A$73,$B177)=1,IF(VLOOKUP($B177,Master_PIC!$A$8:$G$73,6,FALSE)="","",VLOOKUP($B177,Master_PIC!$A$8:$G$73,6,FALSE)),"")</f>
        <v/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8"/>
      <c r="X177" s="5"/>
      <c r="Y177" s="5"/>
      <c r="Z177" s="9"/>
      <c r="AA177" s="5"/>
      <c r="AB177" s="5"/>
      <c r="AC177" s="9"/>
      <c r="AD177" s="5"/>
      <c r="AE177" s="7" t="str">
        <f t="shared" si="14"/>
        <v/>
      </c>
      <c r="AF177" s="7" t="str">
        <f t="shared" si="15"/>
        <v/>
      </c>
      <c r="AG177" s="7" t="str">
        <f t="shared" si="16"/>
        <v/>
      </c>
      <c r="AH177" s="7" t="str">
        <f t="shared" si="17"/>
        <v/>
      </c>
      <c r="AI177" s="7" t="str">
        <f t="shared" si="18"/>
        <v/>
      </c>
      <c r="AJ177" s="7" t="str">
        <f t="shared" si="19"/>
        <v/>
      </c>
      <c r="AK177" s="10" t="str">
        <f t="shared" si="20"/>
        <v/>
      </c>
      <c r="AL177" s="15" t="str">
        <f>IF(OR($A177&lt;&gt;"",$B177&lt;&gt;""),IF(OR($A177="",$B177=""),"Isi tanggal dan ID PIC",IF(NOT(ISNUMBER($A177)),"Tanggal harus berupa tanggal Excel",IF(COUNTIFS(Master_PIC!$A$8:$A$73,$B177)&lt;&gt;1,"ID PIC tidak unik/terdaftar",IF(VLOOKUP($B177,Master_PIC!$A$8:$G$73,3,FALSE)&lt;&gt;"SPV","Jabatan tidak sesuai sheet",IF(OR($C177="",$D177="",$E177="",$F177=""),"Lengkapi master PIC",IF(COUNTIFS($A$8:$A$507,$A177,$B$8:$B$507,$B177)&gt;1,"Laporan ganda",IF(COUNTIFS(G177:O177,"Tidak Berlaku")&gt;0,"N/A hanya untuk kegiatan bersyarat",IF(SUM(AF177,AG177,AH177,AI177,AJ177)&lt;&gt;13,"Status kegiatan tidak valid",IF(AJ177&gt;0,"Lengkapi status kegiatan",IF(AND(AI177&gt;0,T177=""),"Isi alasan Tidak Berlaku",IF(AND(SUM(AG177,AH177)&gt;0,OR(T177="",U177="",V177="",W177="")),"Isi kendala dan tindak lanjut",IF(AND(Y177&lt;&gt;"Draft",Y177&lt;&gt;"Dikirim"),"Isi status laporan yang valid",IF(AND(AA177&lt;&gt;"",AA177&lt;&gt;"Belum Diperiksa",AA177&lt;&gt;"Disetujui",AA177&lt;&gt;"Perlu Perbaikan"),"Hasil review tidak valid",IF(AND(Y177="Dikirim",OR(X177="",Z177="")),"Isi bukti dan waktu kirim",IF(AND(AA177="Disetujui",OR(Y177&lt;&gt;"Dikirim",AB177="",AC177="")),"Lengkapi pemeriksaan",IF(AND(AA177="Perlu Perbaikan",OR(AD177="",AB177="",AC177="")),"Isi pemeriksa dan catatan perbaikan","OK")))))))))))))))),"")</f>
        <v/>
      </c>
    </row>
    <row r="178" spans="1:38" ht="24.95" customHeight="1">
      <c r="A178" s="8"/>
      <c r="B178" s="6"/>
      <c r="C178" s="15" t="str">
        <f>IF(COUNTIFS(Master_PIC!$A$8:$A$73,$B178)=1,IF(VLOOKUP($B178,Master_PIC!$A$8:$G$73,2,FALSE)="","",VLOOKUP($B178,Master_PIC!$A$8:$G$73,2,FALSE)),"")</f>
        <v/>
      </c>
      <c r="D178" s="15" t="str">
        <f>IF(COUNTIFS(Master_PIC!$A$8:$A$73,$B178)=1,IF(VLOOKUP($B178,Master_PIC!$A$8:$G$73,4,FALSE)="","",VLOOKUP($B178,Master_PIC!$A$8:$G$73,4,FALSE)),"")</f>
        <v/>
      </c>
      <c r="E178" s="15" t="str">
        <f>IF(COUNTIFS(Master_PIC!$A$8:$A$73,$B178)=1,IF(VLOOKUP($B178,Master_PIC!$A$8:$G$73,5,FALSE)="","",VLOOKUP($B178,Master_PIC!$A$8:$G$73,5,FALSE)),"")</f>
        <v/>
      </c>
      <c r="F178" s="15" t="str">
        <f>IF(COUNTIFS(Master_PIC!$A$8:$A$73,$B178)=1,IF(VLOOKUP($B178,Master_PIC!$A$8:$G$73,6,FALSE)="","",VLOOKUP($B178,Master_PIC!$A$8:$G$73,6,FALSE)),"")</f>
        <v/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8"/>
      <c r="X178" s="5"/>
      <c r="Y178" s="5"/>
      <c r="Z178" s="9"/>
      <c r="AA178" s="5"/>
      <c r="AB178" s="5"/>
      <c r="AC178" s="9"/>
      <c r="AD178" s="5"/>
      <c r="AE178" s="7" t="str">
        <f t="shared" si="14"/>
        <v/>
      </c>
      <c r="AF178" s="7" t="str">
        <f t="shared" si="15"/>
        <v/>
      </c>
      <c r="AG178" s="7" t="str">
        <f t="shared" si="16"/>
        <v/>
      </c>
      <c r="AH178" s="7" t="str">
        <f t="shared" si="17"/>
        <v/>
      </c>
      <c r="AI178" s="7" t="str">
        <f t="shared" si="18"/>
        <v/>
      </c>
      <c r="AJ178" s="7" t="str">
        <f t="shared" si="19"/>
        <v/>
      </c>
      <c r="AK178" s="10" t="str">
        <f t="shared" si="20"/>
        <v/>
      </c>
      <c r="AL178" s="15" t="str">
        <f>IF(OR($A178&lt;&gt;"",$B178&lt;&gt;""),IF(OR($A178="",$B178=""),"Isi tanggal dan ID PIC",IF(NOT(ISNUMBER($A178)),"Tanggal harus berupa tanggal Excel",IF(COUNTIFS(Master_PIC!$A$8:$A$73,$B178)&lt;&gt;1,"ID PIC tidak unik/terdaftar",IF(VLOOKUP($B178,Master_PIC!$A$8:$G$73,3,FALSE)&lt;&gt;"SPV","Jabatan tidak sesuai sheet",IF(OR($C178="",$D178="",$E178="",$F178=""),"Lengkapi master PIC",IF(COUNTIFS($A$8:$A$507,$A178,$B$8:$B$507,$B178)&gt;1,"Laporan ganda",IF(COUNTIFS(G178:O178,"Tidak Berlaku")&gt;0,"N/A hanya untuk kegiatan bersyarat",IF(SUM(AF178,AG178,AH178,AI178,AJ178)&lt;&gt;13,"Status kegiatan tidak valid",IF(AJ178&gt;0,"Lengkapi status kegiatan",IF(AND(AI178&gt;0,T178=""),"Isi alasan Tidak Berlaku",IF(AND(SUM(AG178,AH178)&gt;0,OR(T178="",U178="",V178="",W178="")),"Isi kendala dan tindak lanjut",IF(AND(Y178&lt;&gt;"Draft",Y178&lt;&gt;"Dikirim"),"Isi status laporan yang valid",IF(AND(AA178&lt;&gt;"",AA178&lt;&gt;"Belum Diperiksa",AA178&lt;&gt;"Disetujui",AA178&lt;&gt;"Perlu Perbaikan"),"Hasil review tidak valid",IF(AND(Y178="Dikirim",OR(X178="",Z178="")),"Isi bukti dan waktu kirim",IF(AND(AA178="Disetujui",OR(Y178&lt;&gt;"Dikirim",AB178="",AC178="")),"Lengkapi pemeriksaan",IF(AND(AA178="Perlu Perbaikan",OR(AD178="",AB178="",AC178="")),"Isi pemeriksa dan catatan perbaikan","OK")))))))))))))))),"")</f>
        <v/>
      </c>
    </row>
    <row r="179" spans="1:38" ht="24.95" customHeight="1">
      <c r="A179" s="8"/>
      <c r="B179" s="6"/>
      <c r="C179" s="15" t="str">
        <f>IF(COUNTIFS(Master_PIC!$A$8:$A$73,$B179)=1,IF(VLOOKUP($B179,Master_PIC!$A$8:$G$73,2,FALSE)="","",VLOOKUP($B179,Master_PIC!$A$8:$G$73,2,FALSE)),"")</f>
        <v/>
      </c>
      <c r="D179" s="15" t="str">
        <f>IF(COUNTIFS(Master_PIC!$A$8:$A$73,$B179)=1,IF(VLOOKUP($B179,Master_PIC!$A$8:$G$73,4,FALSE)="","",VLOOKUP($B179,Master_PIC!$A$8:$G$73,4,FALSE)),"")</f>
        <v/>
      </c>
      <c r="E179" s="15" t="str">
        <f>IF(COUNTIFS(Master_PIC!$A$8:$A$73,$B179)=1,IF(VLOOKUP($B179,Master_PIC!$A$8:$G$73,5,FALSE)="","",VLOOKUP($B179,Master_PIC!$A$8:$G$73,5,FALSE)),"")</f>
        <v/>
      </c>
      <c r="F179" s="15" t="str">
        <f>IF(COUNTIFS(Master_PIC!$A$8:$A$73,$B179)=1,IF(VLOOKUP($B179,Master_PIC!$A$8:$G$73,6,FALSE)="","",VLOOKUP($B179,Master_PIC!$A$8:$G$73,6,FALSE)),"")</f>
        <v/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8"/>
      <c r="X179" s="5"/>
      <c r="Y179" s="5"/>
      <c r="Z179" s="9"/>
      <c r="AA179" s="5"/>
      <c r="AB179" s="5"/>
      <c r="AC179" s="9"/>
      <c r="AD179" s="5"/>
      <c r="AE179" s="7" t="str">
        <f t="shared" si="14"/>
        <v/>
      </c>
      <c r="AF179" s="7" t="str">
        <f t="shared" si="15"/>
        <v/>
      </c>
      <c r="AG179" s="7" t="str">
        <f t="shared" si="16"/>
        <v/>
      </c>
      <c r="AH179" s="7" t="str">
        <f t="shared" si="17"/>
        <v/>
      </c>
      <c r="AI179" s="7" t="str">
        <f t="shared" si="18"/>
        <v/>
      </c>
      <c r="AJ179" s="7" t="str">
        <f t="shared" si="19"/>
        <v/>
      </c>
      <c r="AK179" s="10" t="str">
        <f t="shared" si="20"/>
        <v/>
      </c>
      <c r="AL179" s="15" t="str">
        <f>IF(OR($A179&lt;&gt;"",$B179&lt;&gt;""),IF(OR($A179="",$B179=""),"Isi tanggal dan ID PIC",IF(NOT(ISNUMBER($A179)),"Tanggal harus berupa tanggal Excel",IF(COUNTIFS(Master_PIC!$A$8:$A$73,$B179)&lt;&gt;1,"ID PIC tidak unik/terdaftar",IF(VLOOKUP($B179,Master_PIC!$A$8:$G$73,3,FALSE)&lt;&gt;"SPV","Jabatan tidak sesuai sheet",IF(OR($C179="",$D179="",$E179="",$F179=""),"Lengkapi master PIC",IF(COUNTIFS($A$8:$A$507,$A179,$B$8:$B$507,$B179)&gt;1,"Laporan ganda",IF(COUNTIFS(G179:O179,"Tidak Berlaku")&gt;0,"N/A hanya untuk kegiatan bersyarat",IF(SUM(AF179,AG179,AH179,AI179,AJ179)&lt;&gt;13,"Status kegiatan tidak valid",IF(AJ179&gt;0,"Lengkapi status kegiatan",IF(AND(AI179&gt;0,T179=""),"Isi alasan Tidak Berlaku",IF(AND(SUM(AG179,AH179)&gt;0,OR(T179="",U179="",V179="",W179="")),"Isi kendala dan tindak lanjut",IF(AND(Y179&lt;&gt;"Draft",Y179&lt;&gt;"Dikirim"),"Isi status laporan yang valid",IF(AND(AA179&lt;&gt;"",AA179&lt;&gt;"Belum Diperiksa",AA179&lt;&gt;"Disetujui",AA179&lt;&gt;"Perlu Perbaikan"),"Hasil review tidak valid",IF(AND(Y179="Dikirim",OR(X179="",Z179="")),"Isi bukti dan waktu kirim",IF(AND(AA179="Disetujui",OR(Y179&lt;&gt;"Dikirim",AB179="",AC179="")),"Lengkapi pemeriksaan",IF(AND(AA179="Perlu Perbaikan",OR(AD179="",AB179="",AC179="")),"Isi pemeriksa dan catatan perbaikan","OK")))))))))))))))),"")</f>
        <v/>
      </c>
    </row>
    <row r="180" spans="1:38" ht="24.95" customHeight="1">
      <c r="A180" s="8"/>
      <c r="B180" s="6"/>
      <c r="C180" s="15" t="str">
        <f>IF(COUNTIFS(Master_PIC!$A$8:$A$73,$B180)=1,IF(VLOOKUP($B180,Master_PIC!$A$8:$G$73,2,FALSE)="","",VLOOKUP($B180,Master_PIC!$A$8:$G$73,2,FALSE)),"")</f>
        <v/>
      </c>
      <c r="D180" s="15" t="str">
        <f>IF(COUNTIFS(Master_PIC!$A$8:$A$73,$B180)=1,IF(VLOOKUP($B180,Master_PIC!$A$8:$G$73,4,FALSE)="","",VLOOKUP($B180,Master_PIC!$A$8:$G$73,4,FALSE)),"")</f>
        <v/>
      </c>
      <c r="E180" s="15" t="str">
        <f>IF(COUNTIFS(Master_PIC!$A$8:$A$73,$B180)=1,IF(VLOOKUP($B180,Master_PIC!$A$8:$G$73,5,FALSE)="","",VLOOKUP($B180,Master_PIC!$A$8:$G$73,5,FALSE)),"")</f>
        <v/>
      </c>
      <c r="F180" s="15" t="str">
        <f>IF(COUNTIFS(Master_PIC!$A$8:$A$73,$B180)=1,IF(VLOOKUP($B180,Master_PIC!$A$8:$G$73,6,FALSE)="","",VLOOKUP($B180,Master_PIC!$A$8:$G$73,6,FALSE)),"")</f>
        <v/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8"/>
      <c r="X180" s="5"/>
      <c r="Y180" s="5"/>
      <c r="Z180" s="9"/>
      <c r="AA180" s="5"/>
      <c r="AB180" s="5"/>
      <c r="AC180" s="9"/>
      <c r="AD180" s="5"/>
      <c r="AE180" s="7" t="str">
        <f t="shared" si="14"/>
        <v/>
      </c>
      <c r="AF180" s="7" t="str">
        <f t="shared" si="15"/>
        <v/>
      </c>
      <c r="AG180" s="7" t="str">
        <f t="shared" si="16"/>
        <v/>
      </c>
      <c r="AH180" s="7" t="str">
        <f t="shared" si="17"/>
        <v/>
      </c>
      <c r="AI180" s="7" t="str">
        <f t="shared" si="18"/>
        <v/>
      </c>
      <c r="AJ180" s="7" t="str">
        <f t="shared" si="19"/>
        <v/>
      </c>
      <c r="AK180" s="10" t="str">
        <f t="shared" si="20"/>
        <v/>
      </c>
      <c r="AL180" s="15" t="str">
        <f>IF(OR($A180&lt;&gt;"",$B180&lt;&gt;""),IF(OR($A180="",$B180=""),"Isi tanggal dan ID PIC",IF(NOT(ISNUMBER($A180)),"Tanggal harus berupa tanggal Excel",IF(COUNTIFS(Master_PIC!$A$8:$A$73,$B180)&lt;&gt;1,"ID PIC tidak unik/terdaftar",IF(VLOOKUP($B180,Master_PIC!$A$8:$G$73,3,FALSE)&lt;&gt;"SPV","Jabatan tidak sesuai sheet",IF(OR($C180="",$D180="",$E180="",$F180=""),"Lengkapi master PIC",IF(COUNTIFS($A$8:$A$507,$A180,$B$8:$B$507,$B180)&gt;1,"Laporan ganda",IF(COUNTIFS(G180:O180,"Tidak Berlaku")&gt;0,"N/A hanya untuk kegiatan bersyarat",IF(SUM(AF180,AG180,AH180,AI180,AJ180)&lt;&gt;13,"Status kegiatan tidak valid",IF(AJ180&gt;0,"Lengkapi status kegiatan",IF(AND(AI180&gt;0,T180=""),"Isi alasan Tidak Berlaku",IF(AND(SUM(AG180,AH180)&gt;0,OR(T180="",U180="",V180="",W180="")),"Isi kendala dan tindak lanjut",IF(AND(Y180&lt;&gt;"Draft",Y180&lt;&gt;"Dikirim"),"Isi status laporan yang valid",IF(AND(AA180&lt;&gt;"",AA180&lt;&gt;"Belum Diperiksa",AA180&lt;&gt;"Disetujui",AA180&lt;&gt;"Perlu Perbaikan"),"Hasil review tidak valid",IF(AND(Y180="Dikirim",OR(X180="",Z180="")),"Isi bukti dan waktu kirim",IF(AND(AA180="Disetujui",OR(Y180&lt;&gt;"Dikirim",AB180="",AC180="")),"Lengkapi pemeriksaan",IF(AND(AA180="Perlu Perbaikan",OR(AD180="",AB180="",AC180="")),"Isi pemeriksa dan catatan perbaikan","OK")))))))))))))))),"")</f>
        <v/>
      </c>
    </row>
    <row r="181" spans="1:38" ht="24.95" customHeight="1">
      <c r="A181" s="8"/>
      <c r="B181" s="6"/>
      <c r="C181" s="15" t="str">
        <f>IF(COUNTIFS(Master_PIC!$A$8:$A$73,$B181)=1,IF(VLOOKUP($B181,Master_PIC!$A$8:$G$73,2,FALSE)="","",VLOOKUP($B181,Master_PIC!$A$8:$G$73,2,FALSE)),"")</f>
        <v/>
      </c>
      <c r="D181" s="15" t="str">
        <f>IF(COUNTIFS(Master_PIC!$A$8:$A$73,$B181)=1,IF(VLOOKUP($B181,Master_PIC!$A$8:$G$73,4,FALSE)="","",VLOOKUP($B181,Master_PIC!$A$8:$G$73,4,FALSE)),"")</f>
        <v/>
      </c>
      <c r="E181" s="15" t="str">
        <f>IF(COUNTIFS(Master_PIC!$A$8:$A$73,$B181)=1,IF(VLOOKUP($B181,Master_PIC!$A$8:$G$73,5,FALSE)="","",VLOOKUP($B181,Master_PIC!$A$8:$G$73,5,FALSE)),"")</f>
        <v/>
      </c>
      <c r="F181" s="15" t="str">
        <f>IF(COUNTIFS(Master_PIC!$A$8:$A$73,$B181)=1,IF(VLOOKUP($B181,Master_PIC!$A$8:$G$73,6,FALSE)="","",VLOOKUP($B181,Master_PIC!$A$8:$G$73,6,FALSE)),"")</f>
        <v/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9"/>
      <c r="AA181" s="5"/>
      <c r="AB181" s="5"/>
      <c r="AC181" s="9"/>
      <c r="AD181" s="5"/>
      <c r="AE181" s="7" t="str">
        <f t="shared" si="14"/>
        <v/>
      </c>
      <c r="AF181" s="7" t="str">
        <f t="shared" si="15"/>
        <v/>
      </c>
      <c r="AG181" s="7" t="str">
        <f t="shared" si="16"/>
        <v/>
      </c>
      <c r="AH181" s="7" t="str">
        <f t="shared" si="17"/>
        <v/>
      </c>
      <c r="AI181" s="7" t="str">
        <f t="shared" si="18"/>
        <v/>
      </c>
      <c r="AJ181" s="7" t="str">
        <f t="shared" si="19"/>
        <v/>
      </c>
      <c r="AK181" s="10" t="str">
        <f t="shared" si="20"/>
        <v/>
      </c>
      <c r="AL181" s="15" t="str">
        <f>IF(OR($A181&lt;&gt;"",$B181&lt;&gt;""),IF(OR($A181="",$B181=""),"Isi tanggal dan ID PIC",IF(NOT(ISNUMBER($A181)),"Tanggal harus berupa tanggal Excel",IF(COUNTIFS(Master_PIC!$A$8:$A$73,$B181)&lt;&gt;1,"ID PIC tidak unik/terdaftar",IF(VLOOKUP($B181,Master_PIC!$A$8:$G$73,3,FALSE)&lt;&gt;"SPV","Jabatan tidak sesuai sheet",IF(OR($C181="",$D181="",$E181="",$F181=""),"Lengkapi master PIC",IF(COUNTIFS($A$8:$A$507,$A181,$B$8:$B$507,$B181)&gt;1,"Laporan ganda",IF(COUNTIFS(G181:O181,"Tidak Berlaku")&gt;0,"N/A hanya untuk kegiatan bersyarat",IF(SUM(AF181,AG181,AH181,AI181,AJ181)&lt;&gt;13,"Status kegiatan tidak valid",IF(AJ181&gt;0,"Lengkapi status kegiatan",IF(AND(AI181&gt;0,T181=""),"Isi alasan Tidak Berlaku",IF(AND(SUM(AG181,AH181)&gt;0,OR(T181="",U181="",V181="",W181="")),"Isi kendala dan tindak lanjut",IF(AND(Y181&lt;&gt;"Draft",Y181&lt;&gt;"Dikirim"),"Isi status laporan yang valid",IF(AND(AA181&lt;&gt;"",AA181&lt;&gt;"Belum Diperiksa",AA181&lt;&gt;"Disetujui",AA181&lt;&gt;"Perlu Perbaikan"),"Hasil review tidak valid",IF(AND(Y181="Dikirim",OR(X181="",Z181="")),"Isi bukti dan waktu kirim",IF(AND(AA181="Disetujui",OR(Y181&lt;&gt;"Dikirim",AB181="",AC181="")),"Lengkapi pemeriksaan",IF(AND(AA181="Perlu Perbaikan",OR(AD181="",AB181="",AC181="")),"Isi pemeriksa dan catatan perbaikan","OK")))))))))))))))),"")</f>
        <v/>
      </c>
    </row>
    <row r="182" spans="1:38" ht="24.95" customHeight="1">
      <c r="A182" s="8"/>
      <c r="B182" s="6"/>
      <c r="C182" s="15" t="str">
        <f>IF(COUNTIFS(Master_PIC!$A$8:$A$73,$B182)=1,IF(VLOOKUP($B182,Master_PIC!$A$8:$G$73,2,FALSE)="","",VLOOKUP($B182,Master_PIC!$A$8:$G$73,2,FALSE)),"")</f>
        <v/>
      </c>
      <c r="D182" s="15" t="str">
        <f>IF(COUNTIFS(Master_PIC!$A$8:$A$73,$B182)=1,IF(VLOOKUP($B182,Master_PIC!$A$8:$G$73,4,FALSE)="","",VLOOKUP($B182,Master_PIC!$A$8:$G$73,4,FALSE)),"")</f>
        <v/>
      </c>
      <c r="E182" s="15" t="str">
        <f>IF(COUNTIFS(Master_PIC!$A$8:$A$73,$B182)=1,IF(VLOOKUP($B182,Master_PIC!$A$8:$G$73,5,FALSE)="","",VLOOKUP($B182,Master_PIC!$A$8:$G$73,5,FALSE)),"")</f>
        <v/>
      </c>
      <c r="F182" s="15" t="str">
        <f>IF(COUNTIFS(Master_PIC!$A$8:$A$73,$B182)=1,IF(VLOOKUP($B182,Master_PIC!$A$8:$G$73,6,FALSE)="","",VLOOKUP($B182,Master_PIC!$A$8:$G$73,6,FALSE)),"")</f>
        <v/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8"/>
      <c r="X182" s="5"/>
      <c r="Y182" s="5"/>
      <c r="Z182" s="9"/>
      <c r="AA182" s="5"/>
      <c r="AB182" s="5"/>
      <c r="AC182" s="9"/>
      <c r="AD182" s="5"/>
      <c r="AE182" s="7" t="str">
        <f t="shared" si="14"/>
        <v/>
      </c>
      <c r="AF182" s="7" t="str">
        <f t="shared" si="15"/>
        <v/>
      </c>
      <c r="AG182" s="7" t="str">
        <f t="shared" si="16"/>
        <v/>
      </c>
      <c r="AH182" s="7" t="str">
        <f t="shared" si="17"/>
        <v/>
      </c>
      <c r="AI182" s="7" t="str">
        <f t="shared" si="18"/>
        <v/>
      </c>
      <c r="AJ182" s="7" t="str">
        <f t="shared" si="19"/>
        <v/>
      </c>
      <c r="AK182" s="10" t="str">
        <f t="shared" si="20"/>
        <v/>
      </c>
      <c r="AL182" s="15" t="str">
        <f>IF(OR($A182&lt;&gt;"",$B182&lt;&gt;""),IF(OR($A182="",$B182=""),"Isi tanggal dan ID PIC",IF(NOT(ISNUMBER($A182)),"Tanggal harus berupa tanggal Excel",IF(COUNTIFS(Master_PIC!$A$8:$A$73,$B182)&lt;&gt;1,"ID PIC tidak unik/terdaftar",IF(VLOOKUP($B182,Master_PIC!$A$8:$G$73,3,FALSE)&lt;&gt;"SPV","Jabatan tidak sesuai sheet",IF(OR($C182="",$D182="",$E182="",$F182=""),"Lengkapi master PIC",IF(COUNTIFS($A$8:$A$507,$A182,$B$8:$B$507,$B182)&gt;1,"Laporan ganda",IF(COUNTIFS(G182:O182,"Tidak Berlaku")&gt;0,"N/A hanya untuk kegiatan bersyarat",IF(SUM(AF182,AG182,AH182,AI182,AJ182)&lt;&gt;13,"Status kegiatan tidak valid",IF(AJ182&gt;0,"Lengkapi status kegiatan",IF(AND(AI182&gt;0,T182=""),"Isi alasan Tidak Berlaku",IF(AND(SUM(AG182,AH182)&gt;0,OR(T182="",U182="",V182="",W182="")),"Isi kendala dan tindak lanjut",IF(AND(Y182&lt;&gt;"Draft",Y182&lt;&gt;"Dikirim"),"Isi status laporan yang valid",IF(AND(AA182&lt;&gt;"",AA182&lt;&gt;"Belum Diperiksa",AA182&lt;&gt;"Disetujui",AA182&lt;&gt;"Perlu Perbaikan"),"Hasil review tidak valid",IF(AND(Y182="Dikirim",OR(X182="",Z182="")),"Isi bukti dan waktu kirim",IF(AND(AA182="Disetujui",OR(Y182&lt;&gt;"Dikirim",AB182="",AC182="")),"Lengkapi pemeriksaan",IF(AND(AA182="Perlu Perbaikan",OR(AD182="",AB182="",AC182="")),"Isi pemeriksa dan catatan perbaikan","OK")))))))))))))))),"")</f>
        <v/>
      </c>
    </row>
    <row r="183" spans="1:38" ht="24.95" customHeight="1">
      <c r="A183" s="8"/>
      <c r="B183" s="6"/>
      <c r="C183" s="15" t="str">
        <f>IF(COUNTIFS(Master_PIC!$A$8:$A$73,$B183)=1,IF(VLOOKUP($B183,Master_PIC!$A$8:$G$73,2,FALSE)="","",VLOOKUP($B183,Master_PIC!$A$8:$G$73,2,FALSE)),"")</f>
        <v/>
      </c>
      <c r="D183" s="15" t="str">
        <f>IF(COUNTIFS(Master_PIC!$A$8:$A$73,$B183)=1,IF(VLOOKUP($B183,Master_PIC!$A$8:$G$73,4,FALSE)="","",VLOOKUP($B183,Master_PIC!$A$8:$G$73,4,FALSE)),"")</f>
        <v/>
      </c>
      <c r="E183" s="15" t="str">
        <f>IF(COUNTIFS(Master_PIC!$A$8:$A$73,$B183)=1,IF(VLOOKUP($B183,Master_PIC!$A$8:$G$73,5,FALSE)="","",VLOOKUP($B183,Master_PIC!$A$8:$G$73,5,FALSE)),"")</f>
        <v/>
      </c>
      <c r="F183" s="15" t="str">
        <f>IF(COUNTIFS(Master_PIC!$A$8:$A$73,$B183)=1,IF(VLOOKUP($B183,Master_PIC!$A$8:$G$73,6,FALSE)="","",VLOOKUP($B183,Master_PIC!$A$8:$G$73,6,FALSE)),"")</f>
        <v/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8"/>
      <c r="X183" s="5"/>
      <c r="Y183" s="5"/>
      <c r="Z183" s="9"/>
      <c r="AA183" s="5"/>
      <c r="AB183" s="5"/>
      <c r="AC183" s="9"/>
      <c r="AD183" s="5"/>
      <c r="AE183" s="7" t="str">
        <f t="shared" si="14"/>
        <v/>
      </c>
      <c r="AF183" s="7" t="str">
        <f t="shared" si="15"/>
        <v/>
      </c>
      <c r="AG183" s="7" t="str">
        <f t="shared" si="16"/>
        <v/>
      </c>
      <c r="AH183" s="7" t="str">
        <f t="shared" si="17"/>
        <v/>
      </c>
      <c r="AI183" s="7" t="str">
        <f t="shared" si="18"/>
        <v/>
      </c>
      <c r="AJ183" s="7" t="str">
        <f t="shared" si="19"/>
        <v/>
      </c>
      <c r="AK183" s="10" t="str">
        <f t="shared" si="20"/>
        <v/>
      </c>
      <c r="AL183" s="15" t="str">
        <f>IF(OR($A183&lt;&gt;"",$B183&lt;&gt;""),IF(OR($A183="",$B183=""),"Isi tanggal dan ID PIC",IF(NOT(ISNUMBER($A183)),"Tanggal harus berupa tanggal Excel",IF(COUNTIFS(Master_PIC!$A$8:$A$73,$B183)&lt;&gt;1,"ID PIC tidak unik/terdaftar",IF(VLOOKUP($B183,Master_PIC!$A$8:$G$73,3,FALSE)&lt;&gt;"SPV","Jabatan tidak sesuai sheet",IF(OR($C183="",$D183="",$E183="",$F183=""),"Lengkapi master PIC",IF(COUNTIFS($A$8:$A$507,$A183,$B$8:$B$507,$B183)&gt;1,"Laporan ganda",IF(COUNTIFS(G183:O183,"Tidak Berlaku")&gt;0,"N/A hanya untuk kegiatan bersyarat",IF(SUM(AF183,AG183,AH183,AI183,AJ183)&lt;&gt;13,"Status kegiatan tidak valid",IF(AJ183&gt;0,"Lengkapi status kegiatan",IF(AND(AI183&gt;0,T183=""),"Isi alasan Tidak Berlaku",IF(AND(SUM(AG183,AH183)&gt;0,OR(T183="",U183="",V183="",W183="")),"Isi kendala dan tindak lanjut",IF(AND(Y183&lt;&gt;"Draft",Y183&lt;&gt;"Dikirim"),"Isi status laporan yang valid",IF(AND(AA183&lt;&gt;"",AA183&lt;&gt;"Belum Diperiksa",AA183&lt;&gt;"Disetujui",AA183&lt;&gt;"Perlu Perbaikan"),"Hasil review tidak valid",IF(AND(Y183="Dikirim",OR(X183="",Z183="")),"Isi bukti dan waktu kirim",IF(AND(AA183="Disetujui",OR(Y183&lt;&gt;"Dikirim",AB183="",AC183="")),"Lengkapi pemeriksaan",IF(AND(AA183="Perlu Perbaikan",OR(AD183="",AB183="",AC183="")),"Isi pemeriksa dan catatan perbaikan","OK")))))))))))))))),"")</f>
        <v/>
      </c>
    </row>
    <row r="184" spans="1:38" ht="24.95" customHeight="1">
      <c r="A184" s="8"/>
      <c r="B184" s="6"/>
      <c r="C184" s="15" t="str">
        <f>IF(COUNTIFS(Master_PIC!$A$8:$A$73,$B184)=1,IF(VLOOKUP($B184,Master_PIC!$A$8:$G$73,2,FALSE)="","",VLOOKUP($B184,Master_PIC!$A$8:$G$73,2,FALSE)),"")</f>
        <v/>
      </c>
      <c r="D184" s="15" t="str">
        <f>IF(COUNTIFS(Master_PIC!$A$8:$A$73,$B184)=1,IF(VLOOKUP($B184,Master_PIC!$A$8:$G$73,4,FALSE)="","",VLOOKUP($B184,Master_PIC!$A$8:$G$73,4,FALSE)),"")</f>
        <v/>
      </c>
      <c r="E184" s="15" t="str">
        <f>IF(COUNTIFS(Master_PIC!$A$8:$A$73,$B184)=1,IF(VLOOKUP($B184,Master_PIC!$A$8:$G$73,5,FALSE)="","",VLOOKUP($B184,Master_PIC!$A$8:$G$73,5,FALSE)),"")</f>
        <v/>
      </c>
      <c r="F184" s="15" t="str">
        <f>IF(COUNTIFS(Master_PIC!$A$8:$A$73,$B184)=1,IF(VLOOKUP($B184,Master_PIC!$A$8:$G$73,6,FALSE)="","",VLOOKUP($B184,Master_PIC!$A$8:$G$73,6,FALSE)),"")</f>
        <v/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8"/>
      <c r="X184" s="5"/>
      <c r="Y184" s="5"/>
      <c r="Z184" s="9"/>
      <c r="AA184" s="5"/>
      <c r="AB184" s="5"/>
      <c r="AC184" s="9"/>
      <c r="AD184" s="5"/>
      <c r="AE184" s="7" t="str">
        <f t="shared" si="14"/>
        <v/>
      </c>
      <c r="AF184" s="7" t="str">
        <f t="shared" si="15"/>
        <v/>
      </c>
      <c r="AG184" s="7" t="str">
        <f t="shared" si="16"/>
        <v/>
      </c>
      <c r="AH184" s="7" t="str">
        <f t="shared" si="17"/>
        <v/>
      </c>
      <c r="AI184" s="7" t="str">
        <f t="shared" si="18"/>
        <v/>
      </c>
      <c r="AJ184" s="7" t="str">
        <f t="shared" si="19"/>
        <v/>
      </c>
      <c r="AK184" s="10" t="str">
        <f t="shared" si="20"/>
        <v/>
      </c>
      <c r="AL184" s="15" t="str">
        <f>IF(OR($A184&lt;&gt;"",$B184&lt;&gt;""),IF(OR($A184="",$B184=""),"Isi tanggal dan ID PIC",IF(NOT(ISNUMBER($A184)),"Tanggal harus berupa tanggal Excel",IF(COUNTIFS(Master_PIC!$A$8:$A$73,$B184)&lt;&gt;1,"ID PIC tidak unik/terdaftar",IF(VLOOKUP($B184,Master_PIC!$A$8:$G$73,3,FALSE)&lt;&gt;"SPV","Jabatan tidak sesuai sheet",IF(OR($C184="",$D184="",$E184="",$F184=""),"Lengkapi master PIC",IF(COUNTIFS($A$8:$A$507,$A184,$B$8:$B$507,$B184)&gt;1,"Laporan ganda",IF(COUNTIFS(G184:O184,"Tidak Berlaku")&gt;0,"N/A hanya untuk kegiatan bersyarat",IF(SUM(AF184,AG184,AH184,AI184,AJ184)&lt;&gt;13,"Status kegiatan tidak valid",IF(AJ184&gt;0,"Lengkapi status kegiatan",IF(AND(AI184&gt;0,T184=""),"Isi alasan Tidak Berlaku",IF(AND(SUM(AG184,AH184)&gt;0,OR(T184="",U184="",V184="",W184="")),"Isi kendala dan tindak lanjut",IF(AND(Y184&lt;&gt;"Draft",Y184&lt;&gt;"Dikirim"),"Isi status laporan yang valid",IF(AND(AA184&lt;&gt;"",AA184&lt;&gt;"Belum Diperiksa",AA184&lt;&gt;"Disetujui",AA184&lt;&gt;"Perlu Perbaikan"),"Hasil review tidak valid",IF(AND(Y184="Dikirim",OR(X184="",Z184="")),"Isi bukti dan waktu kirim",IF(AND(AA184="Disetujui",OR(Y184&lt;&gt;"Dikirim",AB184="",AC184="")),"Lengkapi pemeriksaan",IF(AND(AA184="Perlu Perbaikan",OR(AD184="",AB184="",AC184="")),"Isi pemeriksa dan catatan perbaikan","OK")))))))))))))))),"")</f>
        <v/>
      </c>
    </row>
    <row r="185" spans="1:38" ht="24.95" customHeight="1">
      <c r="A185" s="8"/>
      <c r="B185" s="6"/>
      <c r="C185" s="15" t="str">
        <f>IF(COUNTIFS(Master_PIC!$A$8:$A$73,$B185)=1,IF(VLOOKUP($B185,Master_PIC!$A$8:$G$73,2,FALSE)="","",VLOOKUP($B185,Master_PIC!$A$8:$G$73,2,FALSE)),"")</f>
        <v/>
      </c>
      <c r="D185" s="15" t="str">
        <f>IF(COUNTIFS(Master_PIC!$A$8:$A$73,$B185)=1,IF(VLOOKUP($B185,Master_PIC!$A$8:$G$73,4,FALSE)="","",VLOOKUP($B185,Master_PIC!$A$8:$G$73,4,FALSE)),"")</f>
        <v/>
      </c>
      <c r="E185" s="15" t="str">
        <f>IF(COUNTIFS(Master_PIC!$A$8:$A$73,$B185)=1,IF(VLOOKUP($B185,Master_PIC!$A$8:$G$73,5,FALSE)="","",VLOOKUP($B185,Master_PIC!$A$8:$G$73,5,FALSE)),"")</f>
        <v/>
      </c>
      <c r="F185" s="15" t="str">
        <f>IF(COUNTIFS(Master_PIC!$A$8:$A$73,$B185)=1,IF(VLOOKUP($B185,Master_PIC!$A$8:$G$73,6,FALSE)="","",VLOOKUP($B185,Master_PIC!$A$8:$G$73,6,FALSE)),"")</f>
        <v/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8"/>
      <c r="X185" s="5"/>
      <c r="Y185" s="5"/>
      <c r="Z185" s="9"/>
      <c r="AA185" s="5"/>
      <c r="AB185" s="5"/>
      <c r="AC185" s="9"/>
      <c r="AD185" s="5"/>
      <c r="AE185" s="7" t="str">
        <f t="shared" si="14"/>
        <v/>
      </c>
      <c r="AF185" s="7" t="str">
        <f t="shared" si="15"/>
        <v/>
      </c>
      <c r="AG185" s="7" t="str">
        <f t="shared" si="16"/>
        <v/>
      </c>
      <c r="AH185" s="7" t="str">
        <f t="shared" si="17"/>
        <v/>
      </c>
      <c r="AI185" s="7" t="str">
        <f t="shared" si="18"/>
        <v/>
      </c>
      <c r="AJ185" s="7" t="str">
        <f t="shared" si="19"/>
        <v/>
      </c>
      <c r="AK185" s="10" t="str">
        <f t="shared" si="20"/>
        <v/>
      </c>
      <c r="AL185" s="15" t="str">
        <f>IF(OR($A185&lt;&gt;"",$B185&lt;&gt;""),IF(OR($A185="",$B185=""),"Isi tanggal dan ID PIC",IF(NOT(ISNUMBER($A185)),"Tanggal harus berupa tanggal Excel",IF(COUNTIFS(Master_PIC!$A$8:$A$73,$B185)&lt;&gt;1,"ID PIC tidak unik/terdaftar",IF(VLOOKUP($B185,Master_PIC!$A$8:$G$73,3,FALSE)&lt;&gt;"SPV","Jabatan tidak sesuai sheet",IF(OR($C185="",$D185="",$E185="",$F185=""),"Lengkapi master PIC",IF(COUNTIFS($A$8:$A$507,$A185,$B$8:$B$507,$B185)&gt;1,"Laporan ganda",IF(COUNTIFS(G185:O185,"Tidak Berlaku")&gt;0,"N/A hanya untuk kegiatan bersyarat",IF(SUM(AF185,AG185,AH185,AI185,AJ185)&lt;&gt;13,"Status kegiatan tidak valid",IF(AJ185&gt;0,"Lengkapi status kegiatan",IF(AND(AI185&gt;0,T185=""),"Isi alasan Tidak Berlaku",IF(AND(SUM(AG185,AH185)&gt;0,OR(T185="",U185="",V185="",W185="")),"Isi kendala dan tindak lanjut",IF(AND(Y185&lt;&gt;"Draft",Y185&lt;&gt;"Dikirim"),"Isi status laporan yang valid",IF(AND(AA185&lt;&gt;"",AA185&lt;&gt;"Belum Diperiksa",AA185&lt;&gt;"Disetujui",AA185&lt;&gt;"Perlu Perbaikan"),"Hasil review tidak valid",IF(AND(Y185="Dikirim",OR(X185="",Z185="")),"Isi bukti dan waktu kirim",IF(AND(AA185="Disetujui",OR(Y185&lt;&gt;"Dikirim",AB185="",AC185="")),"Lengkapi pemeriksaan",IF(AND(AA185="Perlu Perbaikan",OR(AD185="",AB185="",AC185="")),"Isi pemeriksa dan catatan perbaikan","OK")))))))))))))))),"")</f>
        <v/>
      </c>
    </row>
    <row r="186" spans="1:38" ht="24.95" customHeight="1">
      <c r="A186" s="8"/>
      <c r="B186" s="6"/>
      <c r="C186" s="15" t="str">
        <f>IF(COUNTIFS(Master_PIC!$A$8:$A$73,$B186)=1,IF(VLOOKUP($B186,Master_PIC!$A$8:$G$73,2,FALSE)="","",VLOOKUP($B186,Master_PIC!$A$8:$G$73,2,FALSE)),"")</f>
        <v/>
      </c>
      <c r="D186" s="15" t="str">
        <f>IF(COUNTIFS(Master_PIC!$A$8:$A$73,$B186)=1,IF(VLOOKUP($B186,Master_PIC!$A$8:$G$73,4,FALSE)="","",VLOOKUP($B186,Master_PIC!$A$8:$G$73,4,FALSE)),"")</f>
        <v/>
      </c>
      <c r="E186" s="15" t="str">
        <f>IF(COUNTIFS(Master_PIC!$A$8:$A$73,$B186)=1,IF(VLOOKUP($B186,Master_PIC!$A$8:$G$73,5,FALSE)="","",VLOOKUP($B186,Master_PIC!$A$8:$G$73,5,FALSE)),"")</f>
        <v/>
      </c>
      <c r="F186" s="15" t="str">
        <f>IF(COUNTIFS(Master_PIC!$A$8:$A$73,$B186)=1,IF(VLOOKUP($B186,Master_PIC!$A$8:$G$73,6,FALSE)="","",VLOOKUP($B186,Master_PIC!$A$8:$G$73,6,FALSE)),"")</f>
        <v/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8"/>
      <c r="X186" s="5"/>
      <c r="Y186" s="5"/>
      <c r="Z186" s="9"/>
      <c r="AA186" s="5"/>
      <c r="AB186" s="5"/>
      <c r="AC186" s="9"/>
      <c r="AD186" s="5"/>
      <c r="AE186" s="7" t="str">
        <f t="shared" si="14"/>
        <v/>
      </c>
      <c r="AF186" s="7" t="str">
        <f t="shared" si="15"/>
        <v/>
      </c>
      <c r="AG186" s="7" t="str">
        <f t="shared" si="16"/>
        <v/>
      </c>
      <c r="AH186" s="7" t="str">
        <f t="shared" si="17"/>
        <v/>
      </c>
      <c r="AI186" s="7" t="str">
        <f t="shared" si="18"/>
        <v/>
      </c>
      <c r="AJ186" s="7" t="str">
        <f t="shared" si="19"/>
        <v/>
      </c>
      <c r="AK186" s="10" t="str">
        <f t="shared" si="20"/>
        <v/>
      </c>
      <c r="AL186" s="15" t="str">
        <f>IF(OR($A186&lt;&gt;"",$B186&lt;&gt;""),IF(OR($A186="",$B186=""),"Isi tanggal dan ID PIC",IF(NOT(ISNUMBER($A186)),"Tanggal harus berupa tanggal Excel",IF(COUNTIFS(Master_PIC!$A$8:$A$73,$B186)&lt;&gt;1,"ID PIC tidak unik/terdaftar",IF(VLOOKUP($B186,Master_PIC!$A$8:$G$73,3,FALSE)&lt;&gt;"SPV","Jabatan tidak sesuai sheet",IF(OR($C186="",$D186="",$E186="",$F186=""),"Lengkapi master PIC",IF(COUNTIFS($A$8:$A$507,$A186,$B$8:$B$507,$B186)&gt;1,"Laporan ganda",IF(COUNTIFS(G186:O186,"Tidak Berlaku")&gt;0,"N/A hanya untuk kegiatan bersyarat",IF(SUM(AF186,AG186,AH186,AI186,AJ186)&lt;&gt;13,"Status kegiatan tidak valid",IF(AJ186&gt;0,"Lengkapi status kegiatan",IF(AND(AI186&gt;0,T186=""),"Isi alasan Tidak Berlaku",IF(AND(SUM(AG186,AH186)&gt;0,OR(T186="",U186="",V186="",W186="")),"Isi kendala dan tindak lanjut",IF(AND(Y186&lt;&gt;"Draft",Y186&lt;&gt;"Dikirim"),"Isi status laporan yang valid",IF(AND(AA186&lt;&gt;"",AA186&lt;&gt;"Belum Diperiksa",AA186&lt;&gt;"Disetujui",AA186&lt;&gt;"Perlu Perbaikan"),"Hasil review tidak valid",IF(AND(Y186="Dikirim",OR(X186="",Z186="")),"Isi bukti dan waktu kirim",IF(AND(AA186="Disetujui",OR(Y186&lt;&gt;"Dikirim",AB186="",AC186="")),"Lengkapi pemeriksaan",IF(AND(AA186="Perlu Perbaikan",OR(AD186="",AB186="",AC186="")),"Isi pemeriksa dan catatan perbaikan","OK")))))))))))))))),"")</f>
        <v/>
      </c>
    </row>
    <row r="187" spans="1:38" ht="24.95" customHeight="1">
      <c r="A187" s="8"/>
      <c r="B187" s="6"/>
      <c r="C187" s="15" t="str">
        <f>IF(COUNTIFS(Master_PIC!$A$8:$A$73,$B187)=1,IF(VLOOKUP($B187,Master_PIC!$A$8:$G$73,2,FALSE)="","",VLOOKUP($B187,Master_PIC!$A$8:$G$73,2,FALSE)),"")</f>
        <v/>
      </c>
      <c r="D187" s="15" t="str">
        <f>IF(COUNTIFS(Master_PIC!$A$8:$A$73,$B187)=1,IF(VLOOKUP($B187,Master_PIC!$A$8:$G$73,4,FALSE)="","",VLOOKUP($B187,Master_PIC!$A$8:$G$73,4,FALSE)),"")</f>
        <v/>
      </c>
      <c r="E187" s="15" t="str">
        <f>IF(COUNTIFS(Master_PIC!$A$8:$A$73,$B187)=1,IF(VLOOKUP($B187,Master_PIC!$A$8:$G$73,5,FALSE)="","",VLOOKUP($B187,Master_PIC!$A$8:$G$73,5,FALSE)),"")</f>
        <v/>
      </c>
      <c r="F187" s="15" t="str">
        <f>IF(COUNTIFS(Master_PIC!$A$8:$A$73,$B187)=1,IF(VLOOKUP($B187,Master_PIC!$A$8:$G$73,6,FALSE)="","",VLOOKUP($B187,Master_PIC!$A$8:$G$73,6,FALSE)),"")</f>
        <v/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8"/>
      <c r="X187" s="5"/>
      <c r="Y187" s="5"/>
      <c r="Z187" s="9"/>
      <c r="AA187" s="5"/>
      <c r="AB187" s="5"/>
      <c r="AC187" s="9"/>
      <c r="AD187" s="5"/>
      <c r="AE187" s="7" t="str">
        <f t="shared" si="14"/>
        <v/>
      </c>
      <c r="AF187" s="7" t="str">
        <f t="shared" si="15"/>
        <v/>
      </c>
      <c r="AG187" s="7" t="str">
        <f t="shared" si="16"/>
        <v/>
      </c>
      <c r="AH187" s="7" t="str">
        <f t="shared" si="17"/>
        <v/>
      </c>
      <c r="AI187" s="7" t="str">
        <f t="shared" si="18"/>
        <v/>
      </c>
      <c r="AJ187" s="7" t="str">
        <f t="shared" si="19"/>
        <v/>
      </c>
      <c r="AK187" s="10" t="str">
        <f t="shared" si="20"/>
        <v/>
      </c>
      <c r="AL187" s="15" t="str">
        <f>IF(OR($A187&lt;&gt;"",$B187&lt;&gt;""),IF(OR($A187="",$B187=""),"Isi tanggal dan ID PIC",IF(NOT(ISNUMBER($A187)),"Tanggal harus berupa tanggal Excel",IF(COUNTIFS(Master_PIC!$A$8:$A$73,$B187)&lt;&gt;1,"ID PIC tidak unik/terdaftar",IF(VLOOKUP($B187,Master_PIC!$A$8:$G$73,3,FALSE)&lt;&gt;"SPV","Jabatan tidak sesuai sheet",IF(OR($C187="",$D187="",$E187="",$F187=""),"Lengkapi master PIC",IF(COUNTIFS($A$8:$A$507,$A187,$B$8:$B$507,$B187)&gt;1,"Laporan ganda",IF(COUNTIFS(G187:O187,"Tidak Berlaku")&gt;0,"N/A hanya untuk kegiatan bersyarat",IF(SUM(AF187,AG187,AH187,AI187,AJ187)&lt;&gt;13,"Status kegiatan tidak valid",IF(AJ187&gt;0,"Lengkapi status kegiatan",IF(AND(AI187&gt;0,T187=""),"Isi alasan Tidak Berlaku",IF(AND(SUM(AG187,AH187)&gt;0,OR(T187="",U187="",V187="",W187="")),"Isi kendala dan tindak lanjut",IF(AND(Y187&lt;&gt;"Draft",Y187&lt;&gt;"Dikirim"),"Isi status laporan yang valid",IF(AND(AA187&lt;&gt;"",AA187&lt;&gt;"Belum Diperiksa",AA187&lt;&gt;"Disetujui",AA187&lt;&gt;"Perlu Perbaikan"),"Hasil review tidak valid",IF(AND(Y187="Dikirim",OR(X187="",Z187="")),"Isi bukti dan waktu kirim",IF(AND(AA187="Disetujui",OR(Y187&lt;&gt;"Dikirim",AB187="",AC187="")),"Lengkapi pemeriksaan",IF(AND(AA187="Perlu Perbaikan",OR(AD187="",AB187="",AC187="")),"Isi pemeriksa dan catatan perbaikan","OK")))))))))))))))),"")</f>
        <v/>
      </c>
    </row>
    <row r="188" spans="1:38" ht="24.95" customHeight="1">
      <c r="A188" s="8"/>
      <c r="B188" s="6"/>
      <c r="C188" s="15" t="str">
        <f>IF(COUNTIFS(Master_PIC!$A$8:$A$73,$B188)=1,IF(VLOOKUP($B188,Master_PIC!$A$8:$G$73,2,FALSE)="","",VLOOKUP($B188,Master_PIC!$A$8:$G$73,2,FALSE)),"")</f>
        <v/>
      </c>
      <c r="D188" s="15" t="str">
        <f>IF(COUNTIFS(Master_PIC!$A$8:$A$73,$B188)=1,IF(VLOOKUP($B188,Master_PIC!$A$8:$G$73,4,FALSE)="","",VLOOKUP($B188,Master_PIC!$A$8:$G$73,4,FALSE)),"")</f>
        <v/>
      </c>
      <c r="E188" s="15" t="str">
        <f>IF(COUNTIFS(Master_PIC!$A$8:$A$73,$B188)=1,IF(VLOOKUP($B188,Master_PIC!$A$8:$G$73,5,FALSE)="","",VLOOKUP($B188,Master_PIC!$A$8:$G$73,5,FALSE)),"")</f>
        <v/>
      </c>
      <c r="F188" s="15" t="str">
        <f>IF(COUNTIFS(Master_PIC!$A$8:$A$73,$B188)=1,IF(VLOOKUP($B188,Master_PIC!$A$8:$G$73,6,FALSE)="","",VLOOKUP($B188,Master_PIC!$A$8:$G$73,6,FALSE)),"")</f>
        <v/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9"/>
      <c r="AA188" s="5"/>
      <c r="AB188" s="5"/>
      <c r="AC188" s="9"/>
      <c r="AD188" s="5"/>
      <c r="AE188" s="7" t="str">
        <f t="shared" si="14"/>
        <v/>
      </c>
      <c r="AF188" s="7" t="str">
        <f t="shared" si="15"/>
        <v/>
      </c>
      <c r="AG188" s="7" t="str">
        <f t="shared" si="16"/>
        <v/>
      </c>
      <c r="AH188" s="7" t="str">
        <f t="shared" si="17"/>
        <v/>
      </c>
      <c r="AI188" s="7" t="str">
        <f t="shared" si="18"/>
        <v/>
      </c>
      <c r="AJ188" s="7" t="str">
        <f t="shared" si="19"/>
        <v/>
      </c>
      <c r="AK188" s="10" t="str">
        <f t="shared" si="20"/>
        <v/>
      </c>
      <c r="AL188" s="15" t="str">
        <f>IF(OR($A188&lt;&gt;"",$B188&lt;&gt;""),IF(OR($A188="",$B188=""),"Isi tanggal dan ID PIC",IF(NOT(ISNUMBER($A188)),"Tanggal harus berupa tanggal Excel",IF(COUNTIFS(Master_PIC!$A$8:$A$73,$B188)&lt;&gt;1,"ID PIC tidak unik/terdaftar",IF(VLOOKUP($B188,Master_PIC!$A$8:$G$73,3,FALSE)&lt;&gt;"SPV","Jabatan tidak sesuai sheet",IF(OR($C188="",$D188="",$E188="",$F188=""),"Lengkapi master PIC",IF(COUNTIFS($A$8:$A$507,$A188,$B$8:$B$507,$B188)&gt;1,"Laporan ganda",IF(COUNTIFS(G188:O188,"Tidak Berlaku")&gt;0,"N/A hanya untuk kegiatan bersyarat",IF(SUM(AF188,AG188,AH188,AI188,AJ188)&lt;&gt;13,"Status kegiatan tidak valid",IF(AJ188&gt;0,"Lengkapi status kegiatan",IF(AND(AI188&gt;0,T188=""),"Isi alasan Tidak Berlaku",IF(AND(SUM(AG188,AH188)&gt;0,OR(T188="",U188="",V188="",W188="")),"Isi kendala dan tindak lanjut",IF(AND(Y188&lt;&gt;"Draft",Y188&lt;&gt;"Dikirim"),"Isi status laporan yang valid",IF(AND(AA188&lt;&gt;"",AA188&lt;&gt;"Belum Diperiksa",AA188&lt;&gt;"Disetujui",AA188&lt;&gt;"Perlu Perbaikan"),"Hasil review tidak valid",IF(AND(Y188="Dikirim",OR(X188="",Z188="")),"Isi bukti dan waktu kirim",IF(AND(AA188="Disetujui",OR(Y188&lt;&gt;"Dikirim",AB188="",AC188="")),"Lengkapi pemeriksaan",IF(AND(AA188="Perlu Perbaikan",OR(AD188="",AB188="",AC188="")),"Isi pemeriksa dan catatan perbaikan","OK")))))))))))))))),"")</f>
        <v/>
      </c>
    </row>
    <row r="189" spans="1:38" ht="24.95" customHeight="1">
      <c r="A189" s="8"/>
      <c r="B189" s="6"/>
      <c r="C189" s="15" t="str">
        <f>IF(COUNTIFS(Master_PIC!$A$8:$A$73,$B189)=1,IF(VLOOKUP($B189,Master_PIC!$A$8:$G$73,2,FALSE)="","",VLOOKUP($B189,Master_PIC!$A$8:$G$73,2,FALSE)),"")</f>
        <v/>
      </c>
      <c r="D189" s="15" t="str">
        <f>IF(COUNTIFS(Master_PIC!$A$8:$A$73,$B189)=1,IF(VLOOKUP($B189,Master_PIC!$A$8:$G$73,4,FALSE)="","",VLOOKUP($B189,Master_PIC!$A$8:$G$73,4,FALSE)),"")</f>
        <v/>
      </c>
      <c r="E189" s="15" t="str">
        <f>IF(COUNTIFS(Master_PIC!$A$8:$A$73,$B189)=1,IF(VLOOKUP($B189,Master_PIC!$A$8:$G$73,5,FALSE)="","",VLOOKUP($B189,Master_PIC!$A$8:$G$73,5,FALSE)),"")</f>
        <v/>
      </c>
      <c r="F189" s="15" t="str">
        <f>IF(COUNTIFS(Master_PIC!$A$8:$A$73,$B189)=1,IF(VLOOKUP($B189,Master_PIC!$A$8:$G$73,6,FALSE)="","",VLOOKUP($B189,Master_PIC!$A$8:$G$73,6,FALSE)),"")</f>
        <v/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8"/>
      <c r="X189" s="5"/>
      <c r="Y189" s="5"/>
      <c r="Z189" s="9"/>
      <c r="AA189" s="5"/>
      <c r="AB189" s="5"/>
      <c r="AC189" s="9"/>
      <c r="AD189" s="5"/>
      <c r="AE189" s="7" t="str">
        <f t="shared" si="14"/>
        <v/>
      </c>
      <c r="AF189" s="7" t="str">
        <f t="shared" si="15"/>
        <v/>
      </c>
      <c r="AG189" s="7" t="str">
        <f t="shared" si="16"/>
        <v/>
      </c>
      <c r="AH189" s="7" t="str">
        <f t="shared" si="17"/>
        <v/>
      </c>
      <c r="AI189" s="7" t="str">
        <f t="shared" si="18"/>
        <v/>
      </c>
      <c r="AJ189" s="7" t="str">
        <f t="shared" si="19"/>
        <v/>
      </c>
      <c r="AK189" s="10" t="str">
        <f t="shared" si="20"/>
        <v/>
      </c>
      <c r="AL189" s="15" t="str">
        <f>IF(OR($A189&lt;&gt;"",$B189&lt;&gt;""),IF(OR($A189="",$B189=""),"Isi tanggal dan ID PIC",IF(NOT(ISNUMBER($A189)),"Tanggal harus berupa tanggal Excel",IF(COUNTIFS(Master_PIC!$A$8:$A$73,$B189)&lt;&gt;1,"ID PIC tidak unik/terdaftar",IF(VLOOKUP($B189,Master_PIC!$A$8:$G$73,3,FALSE)&lt;&gt;"SPV","Jabatan tidak sesuai sheet",IF(OR($C189="",$D189="",$E189="",$F189=""),"Lengkapi master PIC",IF(COUNTIFS($A$8:$A$507,$A189,$B$8:$B$507,$B189)&gt;1,"Laporan ganda",IF(COUNTIFS(G189:O189,"Tidak Berlaku")&gt;0,"N/A hanya untuk kegiatan bersyarat",IF(SUM(AF189,AG189,AH189,AI189,AJ189)&lt;&gt;13,"Status kegiatan tidak valid",IF(AJ189&gt;0,"Lengkapi status kegiatan",IF(AND(AI189&gt;0,T189=""),"Isi alasan Tidak Berlaku",IF(AND(SUM(AG189,AH189)&gt;0,OR(T189="",U189="",V189="",W189="")),"Isi kendala dan tindak lanjut",IF(AND(Y189&lt;&gt;"Draft",Y189&lt;&gt;"Dikirim"),"Isi status laporan yang valid",IF(AND(AA189&lt;&gt;"",AA189&lt;&gt;"Belum Diperiksa",AA189&lt;&gt;"Disetujui",AA189&lt;&gt;"Perlu Perbaikan"),"Hasil review tidak valid",IF(AND(Y189="Dikirim",OR(X189="",Z189="")),"Isi bukti dan waktu kirim",IF(AND(AA189="Disetujui",OR(Y189&lt;&gt;"Dikirim",AB189="",AC189="")),"Lengkapi pemeriksaan",IF(AND(AA189="Perlu Perbaikan",OR(AD189="",AB189="",AC189="")),"Isi pemeriksa dan catatan perbaikan","OK")))))))))))))))),"")</f>
        <v/>
      </c>
    </row>
    <row r="190" spans="1:38" ht="24.95" customHeight="1">
      <c r="A190" s="8"/>
      <c r="B190" s="6"/>
      <c r="C190" s="15" t="str">
        <f>IF(COUNTIFS(Master_PIC!$A$8:$A$73,$B190)=1,IF(VLOOKUP($B190,Master_PIC!$A$8:$G$73,2,FALSE)="","",VLOOKUP($B190,Master_PIC!$A$8:$G$73,2,FALSE)),"")</f>
        <v/>
      </c>
      <c r="D190" s="15" t="str">
        <f>IF(COUNTIFS(Master_PIC!$A$8:$A$73,$B190)=1,IF(VLOOKUP($B190,Master_PIC!$A$8:$G$73,4,FALSE)="","",VLOOKUP($B190,Master_PIC!$A$8:$G$73,4,FALSE)),"")</f>
        <v/>
      </c>
      <c r="E190" s="15" t="str">
        <f>IF(COUNTIFS(Master_PIC!$A$8:$A$73,$B190)=1,IF(VLOOKUP($B190,Master_PIC!$A$8:$G$73,5,FALSE)="","",VLOOKUP($B190,Master_PIC!$A$8:$G$73,5,FALSE)),"")</f>
        <v/>
      </c>
      <c r="F190" s="15" t="str">
        <f>IF(COUNTIFS(Master_PIC!$A$8:$A$73,$B190)=1,IF(VLOOKUP($B190,Master_PIC!$A$8:$G$73,6,FALSE)="","",VLOOKUP($B190,Master_PIC!$A$8:$G$73,6,FALSE)),"")</f>
        <v/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8"/>
      <c r="X190" s="5"/>
      <c r="Y190" s="5"/>
      <c r="Z190" s="9"/>
      <c r="AA190" s="5"/>
      <c r="AB190" s="5"/>
      <c r="AC190" s="9"/>
      <c r="AD190" s="5"/>
      <c r="AE190" s="7" t="str">
        <f t="shared" si="14"/>
        <v/>
      </c>
      <c r="AF190" s="7" t="str">
        <f t="shared" si="15"/>
        <v/>
      </c>
      <c r="AG190" s="7" t="str">
        <f t="shared" si="16"/>
        <v/>
      </c>
      <c r="AH190" s="7" t="str">
        <f t="shared" si="17"/>
        <v/>
      </c>
      <c r="AI190" s="7" t="str">
        <f t="shared" si="18"/>
        <v/>
      </c>
      <c r="AJ190" s="7" t="str">
        <f t="shared" si="19"/>
        <v/>
      </c>
      <c r="AK190" s="10" t="str">
        <f t="shared" si="20"/>
        <v/>
      </c>
      <c r="AL190" s="15" t="str">
        <f>IF(OR($A190&lt;&gt;"",$B190&lt;&gt;""),IF(OR($A190="",$B190=""),"Isi tanggal dan ID PIC",IF(NOT(ISNUMBER($A190)),"Tanggal harus berupa tanggal Excel",IF(COUNTIFS(Master_PIC!$A$8:$A$73,$B190)&lt;&gt;1,"ID PIC tidak unik/terdaftar",IF(VLOOKUP($B190,Master_PIC!$A$8:$G$73,3,FALSE)&lt;&gt;"SPV","Jabatan tidak sesuai sheet",IF(OR($C190="",$D190="",$E190="",$F190=""),"Lengkapi master PIC",IF(COUNTIFS($A$8:$A$507,$A190,$B$8:$B$507,$B190)&gt;1,"Laporan ganda",IF(COUNTIFS(G190:O190,"Tidak Berlaku")&gt;0,"N/A hanya untuk kegiatan bersyarat",IF(SUM(AF190,AG190,AH190,AI190,AJ190)&lt;&gt;13,"Status kegiatan tidak valid",IF(AJ190&gt;0,"Lengkapi status kegiatan",IF(AND(AI190&gt;0,T190=""),"Isi alasan Tidak Berlaku",IF(AND(SUM(AG190,AH190)&gt;0,OR(T190="",U190="",V190="",W190="")),"Isi kendala dan tindak lanjut",IF(AND(Y190&lt;&gt;"Draft",Y190&lt;&gt;"Dikirim"),"Isi status laporan yang valid",IF(AND(AA190&lt;&gt;"",AA190&lt;&gt;"Belum Diperiksa",AA190&lt;&gt;"Disetujui",AA190&lt;&gt;"Perlu Perbaikan"),"Hasil review tidak valid",IF(AND(Y190="Dikirim",OR(X190="",Z190="")),"Isi bukti dan waktu kirim",IF(AND(AA190="Disetujui",OR(Y190&lt;&gt;"Dikirim",AB190="",AC190="")),"Lengkapi pemeriksaan",IF(AND(AA190="Perlu Perbaikan",OR(AD190="",AB190="",AC190="")),"Isi pemeriksa dan catatan perbaikan","OK")))))))))))))))),"")</f>
        <v/>
      </c>
    </row>
    <row r="191" spans="1:38" ht="24.95" customHeight="1">
      <c r="A191" s="8"/>
      <c r="B191" s="6"/>
      <c r="C191" s="15" t="str">
        <f>IF(COUNTIFS(Master_PIC!$A$8:$A$73,$B191)=1,IF(VLOOKUP($B191,Master_PIC!$A$8:$G$73,2,FALSE)="","",VLOOKUP($B191,Master_PIC!$A$8:$G$73,2,FALSE)),"")</f>
        <v/>
      </c>
      <c r="D191" s="15" t="str">
        <f>IF(COUNTIFS(Master_PIC!$A$8:$A$73,$B191)=1,IF(VLOOKUP($B191,Master_PIC!$A$8:$G$73,4,FALSE)="","",VLOOKUP($B191,Master_PIC!$A$8:$G$73,4,FALSE)),"")</f>
        <v/>
      </c>
      <c r="E191" s="15" t="str">
        <f>IF(COUNTIFS(Master_PIC!$A$8:$A$73,$B191)=1,IF(VLOOKUP($B191,Master_PIC!$A$8:$G$73,5,FALSE)="","",VLOOKUP($B191,Master_PIC!$A$8:$G$73,5,FALSE)),"")</f>
        <v/>
      </c>
      <c r="F191" s="15" t="str">
        <f>IF(COUNTIFS(Master_PIC!$A$8:$A$73,$B191)=1,IF(VLOOKUP($B191,Master_PIC!$A$8:$G$73,6,FALSE)="","",VLOOKUP($B191,Master_PIC!$A$8:$G$73,6,FALSE)),"")</f>
        <v/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8"/>
      <c r="X191" s="5"/>
      <c r="Y191" s="5"/>
      <c r="Z191" s="9"/>
      <c r="AA191" s="5"/>
      <c r="AB191" s="5"/>
      <c r="AC191" s="9"/>
      <c r="AD191" s="5"/>
      <c r="AE191" s="7" t="str">
        <f t="shared" si="14"/>
        <v/>
      </c>
      <c r="AF191" s="7" t="str">
        <f t="shared" si="15"/>
        <v/>
      </c>
      <c r="AG191" s="7" t="str">
        <f t="shared" si="16"/>
        <v/>
      </c>
      <c r="AH191" s="7" t="str">
        <f t="shared" si="17"/>
        <v/>
      </c>
      <c r="AI191" s="7" t="str">
        <f t="shared" si="18"/>
        <v/>
      </c>
      <c r="AJ191" s="7" t="str">
        <f t="shared" si="19"/>
        <v/>
      </c>
      <c r="AK191" s="10" t="str">
        <f t="shared" si="20"/>
        <v/>
      </c>
      <c r="AL191" s="15" t="str">
        <f>IF(OR($A191&lt;&gt;"",$B191&lt;&gt;""),IF(OR($A191="",$B191=""),"Isi tanggal dan ID PIC",IF(NOT(ISNUMBER($A191)),"Tanggal harus berupa tanggal Excel",IF(COUNTIFS(Master_PIC!$A$8:$A$73,$B191)&lt;&gt;1,"ID PIC tidak unik/terdaftar",IF(VLOOKUP($B191,Master_PIC!$A$8:$G$73,3,FALSE)&lt;&gt;"SPV","Jabatan tidak sesuai sheet",IF(OR($C191="",$D191="",$E191="",$F191=""),"Lengkapi master PIC",IF(COUNTIFS($A$8:$A$507,$A191,$B$8:$B$507,$B191)&gt;1,"Laporan ganda",IF(COUNTIFS(G191:O191,"Tidak Berlaku")&gt;0,"N/A hanya untuk kegiatan bersyarat",IF(SUM(AF191,AG191,AH191,AI191,AJ191)&lt;&gt;13,"Status kegiatan tidak valid",IF(AJ191&gt;0,"Lengkapi status kegiatan",IF(AND(AI191&gt;0,T191=""),"Isi alasan Tidak Berlaku",IF(AND(SUM(AG191,AH191)&gt;0,OR(T191="",U191="",V191="",W191="")),"Isi kendala dan tindak lanjut",IF(AND(Y191&lt;&gt;"Draft",Y191&lt;&gt;"Dikirim"),"Isi status laporan yang valid",IF(AND(AA191&lt;&gt;"",AA191&lt;&gt;"Belum Diperiksa",AA191&lt;&gt;"Disetujui",AA191&lt;&gt;"Perlu Perbaikan"),"Hasil review tidak valid",IF(AND(Y191="Dikirim",OR(X191="",Z191="")),"Isi bukti dan waktu kirim",IF(AND(AA191="Disetujui",OR(Y191&lt;&gt;"Dikirim",AB191="",AC191="")),"Lengkapi pemeriksaan",IF(AND(AA191="Perlu Perbaikan",OR(AD191="",AB191="",AC191="")),"Isi pemeriksa dan catatan perbaikan","OK")))))))))))))))),"")</f>
        <v/>
      </c>
    </row>
    <row r="192" spans="1:38" ht="24.95" customHeight="1">
      <c r="A192" s="8"/>
      <c r="B192" s="6"/>
      <c r="C192" s="15" t="str">
        <f>IF(COUNTIFS(Master_PIC!$A$8:$A$73,$B192)=1,IF(VLOOKUP($B192,Master_PIC!$A$8:$G$73,2,FALSE)="","",VLOOKUP($B192,Master_PIC!$A$8:$G$73,2,FALSE)),"")</f>
        <v/>
      </c>
      <c r="D192" s="15" t="str">
        <f>IF(COUNTIFS(Master_PIC!$A$8:$A$73,$B192)=1,IF(VLOOKUP($B192,Master_PIC!$A$8:$G$73,4,FALSE)="","",VLOOKUP($B192,Master_PIC!$A$8:$G$73,4,FALSE)),"")</f>
        <v/>
      </c>
      <c r="E192" s="15" t="str">
        <f>IF(COUNTIFS(Master_PIC!$A$8:$A$73,$B192)=1,IF(VLOOKUP($B192,Master_PIC!$A$8:$G$73,5,FALSE)="","",VLOOKUP($B192,Master_PIC!$A$8:$G$73,5,FALSE)),"")</f>
        <v/>
      </c>
      <c r="F192" s="15" t="str">
        <f>IF(COUNTIFS(Master_PIC!$A$8:$A$73,$B192)=1,IF(VLOOKUP($B192,Master_PIC!$A$8:$G$73,6,FALSE)="","",VLOOKUP($B192,Master_PIC!$A$8:$G$73,6,FALSE)),"")</f>
        <v/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8"/>
      <c r="X192" s="5"/>
      <c r="Y192" s="5"/>
      <c r="Z192" s="9"/>
      <c r="AA192" s="5"/>
      <c r="AB192" s="5"/>
      <c r="AC192" s="9"/>
      <c r="AD192" s="5"/>
      <c r="AE192" s="7" t="str">
        <f t="shared" si="14"/>
        <v/>
      </c>
      <c r="AF192" s="7" t="str">
        <f t="shared" si="15"/>
        <v/>
      </c>
      <c r="AG192" s="7" t="str">
        <f t="shared" si="16"/>
        <v/>
      </c>
      <c r="AH192" s="7" t="str">
        <f t="shared" si="17"/>
        <v/>
      </c>
      <c r="AI192" s="7" t="str">
        <f t="shared" si="18"/>
        <v/>
      </c>
      <c r="AJ192" s="7" t="str">
        <f t="shared" si="19"/>
        <v/>
      </c>
      <c r="AK192" s="10" t="str">
        <f t="shared" si="20"/>
        <v/>
      </c>
      <c r="AL192" s="15" t="str">
        <f>IF(OR($A192&lt;&gt;"",$B192&lt;&gt;""),IF(OR($A192="",$B192=""),"Isi tanggal dan ID PIC",IF(NOT(ISNUMBER($A192)),"Tanggal harus berupa tanggal Excel",IF(COUNTIFS(Master_PIC!$A$8:$A$73,$B192)&lt;&gt;1,"ID PIC tidak unik/terdaftar",IF(VLOOKUP($B192,Master_PIC!$A$8:$G$73,3,FALSE)&lt;&gt;"SPV","Jabatan tidak sesuai sheet",IF(OR($C192="",$D192="",$E192="",$F192=""),"Lengkapi master PIC",IF(COUNTIFS($A$8:$A$507,$A192,$B$8:$B$507,$B192)&gt;1,"Laporan ganda",IF(COUNTIFS(G192:O192,"Tidak Berlaku")&gt;0,"N/A hanya untuk kegiatan bersyarat",IF(SUM(AF192,AG192,AH192,AI192,AJ192)&lt;&gt;13,"Status kegiatan tidak valid",IF(AJ192&gt;0,"Lengkapi status kegiatan",IF(AND(AI192&gt;0,T192=""),"Isi alasan Tidak Berlaku",IF(AND(SUM(AG192,AH192)&gt;0,OR(T192="",U192="",V192="",W192="")),"Isi kendala dan tindak lanjut",IF(AND(Y192&lt;&gt;"Draft",Y192&lt;&gt;"Dikirim"),"Isi status laporan yang valid",IF(AND(AA192&lt;&gt;"",AA192&lt;&gt;"Belum Diperiksa",AA192&lt;&gt;"Disetujui",AA192&lt;&gt;"Perlu Perbaikan"),"Hasil review tidak valid",IF(AND(Y192="Dikirim",OR(X192="",Z192="")),"Isi bukti dan waktu kirim",IF(AND(AA192="Disetujui",OR(Y192&lt;&gt;"Dikirim",AB192="",AC192="")),"Lengkapi pemeriksaan",IF(AND(AA192="Perlu Perbaikan",OR(AD192="",AB192="",AC192="")),"Isi pemeriksa dan catatan perbaikan","OK")))))))))))))))),"")</f>
        <v/>
      </c>
    </row>
    <row r="193" spans="1:38" ht="24.95" customHeight="1">
      <c r="A193" s="8"/>
      <c r="B193" s="6"/>
      <c r="C193" s="15" t="str">
        <f>IF(COUNTIFS(Master_PIC!$A$8:$A$73,$B193)=1,IF(VLOOKUP($B193,Master_PIC!$A$8:$G$73,2,FALSE)="","",VLOOKUP($B193,Master_PIC!$A$8:$G$73,2,FALSE)),"")</f>
        <v/>
      </c>
      <c r="D193" s="15" t="str">
        <f>IF(COUNTIFS(Master_PIC!$A$8:$A$73,$B193)=1,IF(VLOOKUP($B193,Master_PIC!$A$8:$G$73,4,FALSE)="","",VLOOKUP($B193,Master_PIC!$A$8:$G$73,4,FALSE)),"")</f>
        <v/>
      </c>
      <c r="E193" s="15" t="str">
        <f>IF(COUNTIFS(Master_PIC!$A$8:$A$73,$B193)=1,IF(VLOOKUP($B193,Master_PIC!$A$8:$G$73,5,FALSE)="","",VLOOKUP($B193,Master_PIC!$A$8:$G$73,5,FALSE)),"")</f>
        <v/>
      </c>
      <c r="F193" s="15" t="str">
        <f>IF(COUNTIFS(Master_PIC!$A$8:$A$73,$B193)=1,IF(VLOOKUP($B193,Master_PIC!$A$8:$G$73,6,FALSE)="","",VLOOKUP($B193,Master_PIC!$A$8:$G$73,6,FALSE)),"")</f>
        <v/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8"/>
      <c r="X193" s="5"/>
      <c r="Y193" s="5"/>
      <c r="Z193" s="9"/>
      <c r="AA193" s="5"/>
      <c r="AB193" s="5"/>
      <c r="AC193" s="9"/>
      <c r="AD193" s="5"/>
      <c r="AE193" s="7" t="str">
        <f t="shared" si="14"/>
        <v/>
      </c>
      <c r="AF193" s="7" t="str">
        <f t="shared" si="15"/>
        <v/>
      </c>
      <c r="AG193" s="7" t="str">
        <f t="shared" si="16"/>
        <v/>
      </c>
      <c r="AH193" s="7" t="str">
        <f t="shared" si="17"/>
        <v/>
      </c>
      <c r="AI193" s="7" t="str">
        <f t="shared" si="18"/>
        <v/>
      </c>
      <c r="AJ193" s="7" t="str">
        <f t="shared" si="19"/>
        <v/>
      </c>
      <c r="AK193" s="10" t="str">
        <f t="shared" si="20"/>
        <v/>
      </c>
      <c r="AL193" s="15" t="str">
        <f>IF(OR($A193&lt;&gt;"",$B193&lt;&gt;""),IF(OR($A193="",$B193=""),"Isi tanggal dan ID PIC",IF(NOT(ISNUMBER($A193)),"Tanggal harus berupa tanggal Excel",IF(COUNTIFS(Master_PIC!$A$8:$A$73,$B193)&lt;&gt;1,"ID PIC tidak unik/terdaftar",IF(VLOOKUP($B193,Master_PIC!$A$8:$G$73,3,FALSE)&lt;&gt;"SPV","Jabatan tidak sesuai sheet",IF(OR($C193="",$D193="",$E193="",$F193=""),"Lengkapi master PIC",IF(COUNTIFS($A$8:$A$507,$A193,$B$8:$B$507,$B193)&gt;1,"Laporan ganda",IF(COUNTIFS(G193:O193,"Tidak Berlaku")&gt;0,"N/A hanya untuk kegiatan bersyarat",IF(SUM(AF193,AG193,AH193,AI193,AJ193)&lt;&gt;13,"Status kegiatan tidak valid",IF(AJ193&gt;0,"Lengkapi status kegiatan",IF(AND(AI193&gt;0,T193=""),"Isi alasan Tidak Berlaku",IF(AND(SUM(AG193,AH193)&gt;0,OR(T193="",U193="",V193="",W193="")),"Isi kendala dan tindak lanjut",IF(AND(Y193&lt;&gt;"Draft",Y193&lt;&gt;"Dikirim"),"Isi status laporan yang valid",IF(AND(AA193&lt;&gt;"",AA193&lt;&gt;"Belum Diperiksa",AA193&lt;&gt;"Disetujui",AA193&lt;&gt;"Perlu Perbaikan"),"Hasil review tidak valid",IF(AND(Y193="Dikirim",OR(X193="",Z193="")),"Isi bukti dan waktu kirim",IF(AND(AA193="Disetujui",OR(Y193&lt;&gt;"Dikirim",AB193="",AC193="")),"Lengkapi pemeriksaan",IF(AND(AA193="Perlu Perbaikan",OR(AD193="",AB193="",AC193="")),"Isi pemeriksa dan catatan perbaikan","OK")))))))))))))))),"")</f>
        <v/>
      </c>
    </row>
    <row r="194" spans="1:38" ht="24.95" customHeight="1">
      <c r="A194" s="8"/>
      <c r="B194" s="6"/>
      <c r="C194" s="15" t="str">
        <f>IF(COUNTIFS(Master_PIC!$A$8:$A$73,$B194)=1,IF(VLOOKUP($B194,Master_PIC!$A$8:$G$73,2,FALSE)="","",VLOOKUP($B194,Master_PIC!$A$8:$G$73,2,FALSE)),"")</f>
        <v/>
      </c>
      <c r="D194" s="15" t="str">
        <f>IF(COUNTIFS(Master_PIC!$A$8:$A$73,$B194)=1,IF(VLOOKUP($B194,Master_PIC!$A$8:$G$73,4,FALSE)="","",VLOOKUP($B194,Master_PIC!$A$8:$G$73,4,FALSE)),"")</f>
        <v/>
      </c>
      <c r="E194" s="15" t="str">
        <f>IF(COUNTIFS(Master_PIC!$A$8:$A$73,$B194)=1,IF(VLOOKUP($B194,Master_PIC!$A$8:$G$73,5,FALSE)="","",VLOOKUP($B194,Master_PIC!$A$8:$G$73,5,FALSE)),"")</f>
        <v/>
      </c>
      <c r="F194" s="15" t="str">
        <f>IF(COUNTIFS(Master_PIC!$A$8:$A$73,$B194)=1,IF(VLOOKUP($B194,Master_PIC!$A$8:$G$73,6,FALSE)="","",VLOOKUP($B194,Master_PIC!$A$8:$G$73,6,FALSE)),"")</f>
        <v/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8"/>
      <c r="X194" s="5"/>
      <c r="Y194" s="5"/>
      <c r="Z194" s="9"/>
      <c r="AA194" s="5"/>
      <c r="AB194" s="5"/>
      <c r="AC194" s="9"/>
      <c r="AD194" s="5"/>
      <c r="AE194" s="7" t="str">
        <f t="shared" si="14"/>
        <v/>
      </c>
      <c r="AF194" s="7" t="str">
        <f t="shared" si="15"/>
        <v/>
      </c>
      <c r="AG194" s="7" t="str">
        <f t="shared" si="16"/>
        <v/>
      </c>
      <c r="AH194" s="7" t="str">
        <f t="shared" si="17"/>
        <v/>
      </c>
      <c r="AI194" s="7" t="str">
        <f t="shared" si="18"/>
        <v/>
      </c>
      <c r="AJ194" s="7" t="str">
        <f t="shared" si="19"/>
        <v/>
      </c>
      <c r="AK194" s="10" t="str">
        <f t="shared" si="20"/>
        <v/>
      </c>
      <c r="AL194" s="15" t="str">
        <f>IF(OR($A194&lt;&gt;"",$B194&lt;&gt;""),IF(OR($A194="",$B194=""),"Isi tanggal dan ID PIC",IF(NOT(ISNUMBER($A194)),"Tanggal harus berupa tanggal Excel",IF(COUNTIFS(Master_PIC!$A$8:$A$73,$B194)&lt;&gt;1,"ID PIC tidak unik/terdaftar",IF(VLOOKUP($B194,Master_PIC!$A$8:$G$73,3,FALSE)&lt;&gt;"SPV","Jabatan tidak sesuai sheet",IF(OR($C194="",$D194="",$E194="",$F194=""),"Lengkapi master PIC",IF(COUNTIFS($A$8:$A$507,$A194,$B$8:$B$507,$B194)&gt;1,"Laporan ganda",IF(COUNTIFS(G194:O194,"Tidak Berlaku")&gt;0,"N/A hanya untuk kegiatan bersyarat",IF(SUM(AF194,AG194,AH194,AI194,AJ194)&lt;&gt;13,"Status kegiatan tidak valid",IF(AJ194&gt;0,"Lengkapi status kegiatan",IF(AND(AI194&gt;0,T194=""),"Isi alasan Tidak Berlaku",IF(AND(SUM(AG194,AH194)&gt;0,OR(T194="",U194="",V194="",W194="")),"Isi kendala dan tindak lanjut",IF(AND(Y194&lt;&gt;"Draft",Y194&lt;&gt;"Dikirim"),"Isi status laporan yang valid",IF(AND(AA194&lt;&gt;"",AA194&lt;&gt;"Belum Diperiksa",AA194&lt;&gt;"Disetujui",AA194&lt;&gt;"Perlu Perbaikan"),"Hasil review tidak valid",IF(AND(Y194="Dikirim",OR(X194="",Z194="")),"Isi bukti dan waktu kirim",IF(AND(AA194="Disetujui",OR(Y194&lt;&gt;"Dikirim",AB194="",AC194="")),"Lengkapi pemeriksaan",IF(AND(AA194="Perlu Perbaikan",OR(AD194="",AB194="",AC194="")),"Isi pemeriksa dan catatan perbaikan","OK")))))))))))))))),"")</f>
        <v/>
      </c>
    </row>
    <row r="195" spans="1:38" ht="24.95" customHeight="1">
      <c r="A195" s="8"/>
      <c r="B195" s="6"/>
      <c r="C195" s="15" t="str">
        <f>IF(COUNTIFS(Master_PIC!$A$8:$A$73,$B195)=1,IF(VLOOKUP($B195,Master_PIC!$A$8:$G$73,2,FALSE)="","",VLOOKUP($B195,Master_PIC!$A$8:$G$73,2,FALSE)),"")</f>
        <v/>
      </c>
      <c r="D195" s="15" t="str">
        <f>IF(COUNTIFS(Master_PIC!$A$8:$A$73,$B195)=1,IF(VLOOKUP($B195,Master_PIC!$A$8:$G$73,4,FALSE)="","",VLOOKUP($B195,Master_PIC!$A$8:$G$73,4,FALSE)),"")</f>
        <v/>
      </c>
      <c r="E195" s="15" t="str">
        <f>IF(COUNTIFS(Master_PIC!$A$8:$A$73,$B195)=1,IF(VLOOKUP($B195,Master_PIC!$A$8:$G$73,5,FALSE)="","",VLOOKUP($B195,Master_PIC!$A$8:$G$73,5,FALSE)),"")</f>
        <v/>
      </c>
      <c r="F195" s="15" t="str">
        <f>IF(COUNTIFS(Master_PIC!$A$8:$A$73,$B195)=1,IF(VLOOKUP($B195,Master_PIC!$A$8:$G$73,6,FALSE)="","",VLOOKUP($B195,Master_PIC!$A$8:$G$73,6,FALSE)),"")</f>
        <v/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8"/>
      <c r="X195" s="5"/>
      <c r="Y195" s="5"/>
      <c r="Z195" s="9"/>
      <c r="AA195" s="5"/>
      <c r="AB195" s="5"/>
      <c r="AC195" s="9"/>
      <c r="AD195" s="5"/>
      <c r="AE195" s="7" t="str">
        <f t="shared" si="14"/>
        <v/>
      </c>
      <c r="AF195" s="7" t="str">
        <f t="shared" si="15"/>
        <v/>
      </c>
      <c r="AG195" s="7" t="str">
        <f t="shared" si="16"/>
        <v/>
      </c>
      <c r="AH195" s="7" t="str">
        <f t="shared" si="17"/>
        <v/>
      </c>
      <c r="AI195" s="7" t="str">
        <f t="shared" si="18"/>
        <v/>
      </c>
      <c r="AJ195" s="7" t="str">
        <f t="shared" si="19"/>
        <v/>
      </c>
      <c r="AK195" s="10" t="str">
        <f t="shared" si="20"/>
        <v/>
      </c>
      <c r="AL195" s="15" t="str">
        <f>IF(OR($A195&lt;&gt;"",$B195&lt;&gt;""),IF(OR($A195="",$B195=""),"Isi tanggal dan ID PIC",IF(NOT(ISNUMBER($A195)),"Tanggal harus berupa tanggal Excel",IF(COUNTIFS(Master_PIC!$A$8:$A$73,$B195)&lt;&gt;1,"ID PIC tidak unik/terdaftar",IF(VLOOKUP($B195,Master_PIC!$A$8:$G$73,3,FALSE)&lt;&gt;"SPV","Jabatan tidak sesuai sheet",IF(OR($C195="",$D195="",$E195="",$F195=""),"Lengkapi master PIC",IF(COUNTIFS($A$8:$A$507,$A195,$B$8:$B$507,$B195)&gt;1,"Laporan ganda",IF(COUNTIFS(G195:O195,"Tidak Berlaku")&gt;0,"N/A hanya untuk kegiatan bersyarat",IF(SUM(AF195,AG195,AH195,AI195,AJ195)&lt;&gt;13,"Status kegiatan tidak valid",IF(AJ195&gt;0,"Lengkapi status kegiatan",IF(AND(AI195&gt;0,T195=""),"Isi alasan Tidak Berlaku",IF(AND(SUM(AG195,AH195)&gt;0,OR(T195="",U195="",V195="",W195="")),"Isi kendala dan tindak lanjut",IF(AND(Y195&lt;&gt;"Draft",Y195&lt;&gt;"Dikirim"),"Isi status laporan yang valid",IF(AND(AA195&lt;&gt;"",AA195&lt;&gt;"Belum Diperiksa",AA195&lt;&gt;"Disetujui",AA195&lt;&gt;"Perlu Perbaikan"),"Hasil review tidak valid",IF(AND(Y195="Dikirim",OR(X195="",Z195="")),"Isi bukti dan waktu kirim",IF(AND(AA195="Disetujui",OR(Y195&lt;&gt;"Dikirim",AB195="",AC195="")),"Lengkapi pemeriksaan",IF(AND(AA195="Perlu Perbaikan",OR(AD195="",AB195="",AC195="")),"Isi pemeriksa dan catatan perbaikan","OK")))))))))))))))),"")</f>
        <v/>
      </c>
    </row>
    <row r="196" spans="1:38" ht="24.95" customHeight="1">
      <c r="A196" s="8"/>
      <c r="B196" s="6"/>
      <c r="C196" s="15" t="str">
        <f>IF(COUNTIFS(Master_PIC!$A$8:$A$73,$B196)=1,IF(VLOOKUP($B196,Master_PIC!$A$8:$G$73,2,FALSE)="","",VLOOKUP($B196,Master_PIC!$A$8:$G$73,2,FALSE)),"")</f>
        <v/>
      </c>
      <c r="D196" s="15" t="str">
        <f>IF(COUNTIFS(Master_PIC!$A$8:$A$73,$B196)=1,IF(VLOOKUP($B196,Master_PIC!$A$8:$G$73,4,FALSE)="","",VLOOKUP($B196,Master_PIC!$A$8:$G$73,4,FALSE)),"")</f>
        <v/>
      </c>
      <c r="E196" s="15" t="str">
        <f>IF(COUNTIFS(Master_PIC!$A$8:$A$73,$B196)=1,IF(VLOOKUP($B196,Master_PIC!$A$8:$G$73,5,FALSE)="","",VLOOKUP($B196,Master_PIC!$A$8:$G$73,5,FALSE)),"")</f>
        <v/>
      </c>
      <c r="F196" s="15" t="str">
        <f>IF(COUNTIFS(Master_PIC!$A$8:$A$73,$B196)=1,IF(VLOOKUP($B196,Master_PIC!$A$8:$G$73,6,FALSE)="","",VLOOKUP($B196,Master_PIC!$A$8:$G$73,6,FALSE)),"")</f>
        <v/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8"/>
      <c r="X196" s="5"/>
      <c r="Y196" s="5"/>
      <c r="Z196" s="9"/>
      <c r="AA196" s="5"/>
      <c r="AB196" s="5"/>
      <c r="AC196" s="9"/>
      <c r="AD196" s="5"/>
      <c r="AE196" s="7" t="str">
        <f t="shared" si="14"/>
        <v/>
      </c>
      <c r="AF196" s="7" t="str">
        <f t="shared" si="15"/>
        <v/>
      </c>
      <c r="AG196" s="7" t="str">
        <f t="shared" si="16"/>
        <v/>
      </c>
      <c r="AH196" s="7" t="str">
        <f t="shared" si="17"/>
        <v/>
      </c>
      <c r="AI196" s="7" t="str">
        <f t="shared" si="18"/>
        <v/>
      </c>
      <c r="AJ196" s="7" t="str">
        <f t="shared" si="19"/>
        <v/>
      </c>
      <c r="AK196" s="10" t="str">
        <f t="shared" si="20"/>
        <v/>
      </c>
      <c r="AL196" s="15" t="str">
        <f>IF(OR($A196&lt;&gt;"",$B196&lt;&gt;""),IF(OR($A196="",$B196=""),"Isi tanggal dan ID PIC",IF(NOT(ISNUMBER($A196)),"Tanggal harus berupa tanggal Excel",IF(COUNTIFS(Master_PIC!$A$8:$A$73,$B196)&lt;&gt;1,"ID PIC tidak unik/terdaftar",IF(VLOOKUP($B196,Master_PIC!$A$8:$G$73,3,FALSE)&lt;&gt;"SPV","Jabatan tidak sesuai sheet",IF(OR($C196="",$D196="",$E196="",$F196=""),"Lengkapi master PIC",IF(COUNTIFS($A$8:$A$507,$A196,$B$8:$B$507,$B196)&gt;1,"Laporan ganda",IF(COUNTIFS(G196:O196,"Tidak Berlaku")&gt;0,"N/A hanya untuk kegiatan bersyarat",IF(SUM(AF196,AG196,AH196,AI196,AJ196)&lt;&gt;13,"Status kegiatan tidak valid",IF(AJ196&gt;0,"Lengkapi status kegiatan",IF(AND(AI196&gt;0,T196=""),"Isi alasan Tidak Berlaku",IF(AND(SUM(AG196,AH196)&gt;0,OR(T196="",U196="",V196="",W196="")),"Isi kendala dan tindak lanjut",IF(AND(Y196&lt;&gt;"Draft",Y196&lt;&gt;"Dikirim"),"Isi status laporan yang valid",IF(AND(AA196&lt;&gt;"",AA196&lt;&gt;"Belum Diperiksa",AA196&lt;&gt;"Disetujui",AA196&lt;&gt;"Perlu Perbaikan"),"Hasil review tidak valid",IF(AND(Y196="Dikirim",OR(X196="",Z196="")),"Isi bukti dan waktu kirim",IF(AND(AA196="Disetujui",OR(Y196&lt;&gt;"Dikirim",AB196="",AC196="")),"Lengkapi pemeriksaan",IF(AND(AA196="Perlu Perbaikan",OR(AD196="",AB196="",AC196="")),"Isi pemeriksa dan catatan perbaikan","OK")))))))))))))))),"")</f>
        <v/>
      </c>
    </row>
    <row r="197" spans="1:38" ht="24.95" customHeight="1">
      <c r="A197" s="8"/>
      <c r="B197" s="6"/>
      <c r="C197" s="15" t="str">
        <f>IF(COUNTIFS(Master_PIC!$A$8:$A$73,$B197)=1,IF(VLOOKUP($B197,Master_PIC!$A$8:$G$73,2,FALSE)="","",VLOOKUP($B197,Master_PIC!$A$8:$G$73,2,FALSE)),"")</f>
        <v/>
      </c>
      <c r="D197" s="15" t="str">
        <f>IF(COUNTIFS(Master_PIC!$A$8:$A$73,$B197)=1,IF(VLOOKUP($B197,Master_PIC!$A$8:$G$73,4,FALSE)="","",VLOOKUP($B197,Master_PIC!$A$8:$G$73,4,FALSE)),"")</f>
        <v/>
      </c>
      <c r="E197" s="15" t="str">
        <f>IF(COUNTIFS(Master_PIC!$A$8:$A$73,$B197)=1,IF(VLOOKUP($B197,Master_PIC!$A$8:$G$73,5,FALSE)="","",VLOOKUP($B197,Master_PIC!$A$8:$G$73,5,FALSE)),"")</f>
        <v/>
      </c>
      <c r="F197" s="15" t="str">
        <f>IF(COUNTIFS(Master_PIC!$A$8:$A$73,$B197)=1,IF(VLOOKUP($B197,Master_PIC!$A$8:$G$73,6,FALSE)="","",VLOOKUP($B197,Master_PIC!$A$8:$G$73,6,FALSE)),"")</f>
        <v/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9"/>
      <c r="AA197" s="5"/>
      <c r="AB197" s="5"/>
      <c r="AC197" s="9"/>
      <c r="AD197" s="5"/>
      <c r="AE197" s="7" t="str">
        <f t="shared" si="14"/>
        <v/>
      </c>
      <c r="AF197" s="7" t="str">
        <f t="shared" si="15"/>
        <v/>
      </c>
      <c r="AG197" s="7" t="str">
        <f t="shared" si="16"/>
        <v/>
      </c>
      <c r="AH197" s="7" t="str">
        <f t="shared" si="17"/>
        <v/>
      </c>
      <c r="AI197" s="7" t="str">
        <f t="shared" si="18"/>
        <v/>
      </c>
      <c r="AJ197" s="7" t="str">
        <f t="shared" si="19"/>
        <v/>
      </c>
      <c r="AK197" s="10" t="str">
        <f t="shared" si="20"/>
        <v/>
      </c>
      <c r="AL197" s="15" t="str">
        <f>IF(OR($A197&lt;&gt;"",$B197&lt;&gt;""),IF(OR($A197="",$B197=""),"Isi tanggal dan ID PIC",IF(NOT(ISNUMBER($A197)),"Tanggal harus berupa tanggal Excel",IF(COUNTIFS(Master_PIC!$A$8:$A$73,$B197)&lt;&gt;1,"ID PIC tidak unik/terdaftar",IF(VLOOKUP($B197,Master_PIC!$A$8:$G$73,3,FALSE)&lt;&gt;"SPV","Jabatan tidak sesuai sheet",IF(OR($C197="",$D197="",$E197="",$F197=""),"Lengkapi master PIC",IF(COUNTIFS($A$8:$A$507,$A197,$B$8:$B$507,$B197)&gt;1,"Laporan ganda",IF(COUNTIFS(G197:O197,"Tidak Berlaku")&gt;0,"N/A hanya untuk kegiatan bersyarat",IF(SUM(AF197,AG197,AH197,AI197,AJ197)&lt;&gt;13,"Status kegiatan tidak valid",IF(AJ197&gt;0,"Lengkapi status kegiatan",IF(AND(AI197&gt;0,T197=""),"Isi alasan Tidak Berlaku",IF(AND(SUM(AG197,AH197)&gt;0,OR(T197="",U197="",V197="",W197="")),"Isi kendala dan tindak lanjut",IF(AND(Y197&lt;&gt;"Draft",Y197&lt;&gt;"Dikirim"),"Isi status laporan yang valid",IF(AND(AA197&lt;&gt;"",AA197&lt;&gt;"Belum Diperiksa",AA197&lt;&gt;"Disetujui",AA197&lt;&gt;"Perlu Perbaikan"),"Hasil review tidak valid",IF(AND(Y197="Dikirim",OR(X197="",Z197="")),"Isi bukti dan waktu kirim",IF(AND(AA197="Disetujui",OR(Y197&lt;&gt;"Dikirim",AB197="",AC197="")),"Lengkapi pemeriksaan",IF(AND(AA197="Perlu Perbaikan",OR(AD197="",AB197="",AC197="")),"Isi pemeriksa dan catatan perbaikan","OK")))))))))))))))),"")</f>
        <v/>
      </c>
    </row>
    <row r="198" spans="1:38" ht="24.95" customHeight="1">
      <c r="A198" s="8"/>
      <c r="B198" s="6"/>
      <c r="C198" s="15" t="str">
        <f>IF(COUNTIFS(Master_PIC!$A$8:$A$73,$B198)=1,IF(VLOOKUP($B198,Master_PIC!$A$8:$G$73,2,FALSE)="","",VLOOKUP($B198,Master_PIC!$A$8:$G$73,2,FALSE)),"")</f>
        <v/>
      </c>
      <c r="D198" s="15" t="str">
        <f>IF(COUNTIFS(Master_PIC!$A$8:$A$73,$B198)=1,IF(VLOOKUP($B198,Master_PIC!$A$8:$G$73,4,FALSE)="","",VLOOKUP($B198,Master_PIC!$A$8:$G$73,4,FALSE)),"")</f>
        <v/>
      </c>
      <c r="E198" s="15" t="str">
        <f>IF(COUNTIFS(Master_PIC!$A$8:$A$73,$B198)=1,IF(VLOOKUP($B198,Master_PIC!$A$8:$G$73,5,FALSE)="","",VLOOKUP($B198,Master_PIC!$A$8:$G$73,5,FALSE)),"")</f>
        <v/>
      </c>
      <c r="F198" s="15" t="str">
        <f>IF(COUNTIFS(Master_PIC!$A$8:$A$73,$B198)=1,IF(VLOOKUP($B198,Master_PIC!$A$8:$G$73,6,FALSE)="","",VLOOKUP($B198,Master_PIC!$A$8:$G$73,6,FALSE)),"")</f>
        <v/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9"/>
      <c r="AA198" s="5"/>
      <c r="AB198" s="5"/>
      <c r="AC198" s="9"/>
      <c r="AD198" s="5"/>
      <c r="AE198" s="7" t="str">
        <f t="shared" si="14"/>
        <v/>
      </c>
      <c r="AF198" s="7" t="str">
        <f t="shared" si="15"/>
        <v/>
      </c>
      <c r="AG198" s="7" t="str">
        <f t="shared" si="16"/>
        <v/>
      </c>
      <c r="AH198" s="7" t="str">
        <f t="shared" si="17"/>
        <v/>
      </c>
      <c r="AI198" s="7" t="str">
        <f t="shared" si="18"/>
        <v/>
      </c>
      <c r="AJ198" s="7" t="str">
        <f t="shared" si="19"/>
        <v/>
      </c>
      <c r="AK198" s="10" t="str">
        <f t="shared" si="20"/>
        <v/>
      </c>
      <c r="AL198" s="15" t="str">
        <f>IF(OR($A198&lt;&gt;"",$B198&lt;&gt;""),IF(OR($A198="",$B198=""),"Isi tanggal dan ID PIC",IF(NOT(ISNUMBER($A198)),"Tanggal harus berupa tanggal Excel",IF(COUNTIFS(Master_PIC!$A$8:$A$73,$B198)&lt;&gt;1,"ID PIC tidak unik/terdaftar",IF(VLOOKUP($B198,Master_PIC!$A$8:$G$73,3,FALSE)&lt;&gt;"SPV","Jabatan tidak sesuai sheet",IF(OR($C198="",$D198="",$E198="",$F198=""),"Lengkapi master PIC",IF(COUNTIFS($A$8:$A$507,$A198,$B$8:$B$507,$B198)&gt;1,"Laporan ganda",IF(COUNTIFS(G198:O198,"Tidak Berlaku")&gt;0,"N/A hanya untuk kegiatan bersyarat",IF(SUM(AF198,AG198,AH198,AI198,AJ198)&lt;&gt;13,"Status kegiatan tidak valid",IF(AJ198&gt;0,"Lengkapi status kegiatan",IF(AND(AI198&gt;0,T198=""),"Isi alasan Tidak Berlaku",IF(AND(SUM(AG198,AH198)&gt;0,OR(T198="",U198="",V198="",W198="")),"Isi kendala dan tindak lanjut",IF(AND(Y198&lt;&gt;"Draft",Y198&lt;&gt;"Dikirim"),"Isi status laporan yang valid",IF(AND(AA198&lt;&gt;"",AA198&lt;&gt;"Belum Diperiksa",AA198&lt;&gt;"Disetujui",AA198&lt;&gt;"Perlu Perbaikan"),"Hasil review tidak valid",IF(AND(Y198="Dikirim",OR(X198="",Z198="")),"Isi bukti dan waktu kirim",IF(AND(AA198="Disetujui",OR(Y198&lt;&gt;"Dikirim",AB198="",AC198="")),"Lengkapi pemeriksaan",IF(AND(AA198="Perlu Perbaikan",OR(AD198="",AB198="",AC198="")),"Isi pemeriksa dan catatan perbaikan","OK")))))))))))))))),"")</f>
        <v/>
      </c>
    </row>
    <row r="199" spans="1:38" ht="24.95" customHeight="1">
      <c r="A199" s="8"/>
      <c r="B199" s="6"/>
      <c r="C199" s="15" t="str">
        <f>IF(COUNTIFS(Master_PIC!$A$8:$A$73,$B199)=1,IF(VLOOKUP($B199,Master_PIC!$A$8:$G$73,2,FALSE)="","",VLOOKUP($B199,Master_PIC!$A$8:$G$73,2,FALSE)),"")</f>
        <v/>
      </c>
      <c r="D199" s="15" t="str">
        <f>IF(COUNTIFS(Master_PIC!$A$8:$A$73,$B199)=1,IF(VLOOKUP($B199,Master_PIC!$A$8:$G$73,4,FALSE)="","",VLOOKUP($B199,Master_PIC!$A$8:$G$73,4,FALSE)),"")</f>
        <v/>
      </c>
      <c r="E199" s="15" t="str">
        <f>IF(COUNTIFS(Master_PIC!$A$8:$A$73,$B199)=1,IF(VLOOKUP($B199,Master_PIC!$A$8:$G$73,5,FALSE)="","",VLOOKUP($B199,Master_PIC!$A$8:$G$73,5,FALSE)),"")</f>
        <v/>
      </c>
      <c r="F199" s="15" t="str">
        <f>IF(COUNTIFS(Master_PIC!$A$8:$A$73,$B199)=1,IF(VLOOKUP($B199,Master_PIC!$A$8:$G$73,6,FALSE)="","",VLOOKUP($B199,Master_PIC!$A$8:$G$73,6,FALSE)),"")</f>
        <v/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8"/>
      <c r="X199" s="5"/>
      <c r="Y199" s="5"/>
      <c r="Z199" s="9"/>
      <c r="AA199" s="5"/>
      <c r="AB199" s="5"/>
      <c r="AC199" s="9"/>
      <c r="AD199" s="5"/>
      <c r="AE199" s="7" t="str">
        <f t="shared" si="14"/>
        <v/>
      </c>
      <c r="AF199" s="7" t="str">
        <f t="shared" si="15"/>
        <v/>
      </c>
      <c r="AG199" s="7" t="str">
        <f t="shared" si="16"/>
        <v/>
      </c>
      <c r="AH199" s="7" t="str">
        <f t="shared" si="17"/>
        <v/>
      </c>
      <c r="AI199" s="7" t="str">
        <f t="shared" si="18"/>
        <v/>
      </c>
      <c r="AJ199" s="7" t="str">
        <f t="shared" si="19"/>
        <v/>
      </c>
      <c r="AK199" s="10" t="str">
        <f t="shared" si="20"/>
        <v/>
      </c>
      <c r="AL199" s="15" t="str">
        <f>IF(OR($A199&lt;&gt;"",$B199&lt;&gt;""),IF(OR($A199="",$B199=""),"Isi tanggal dan ID PIC",IF(NOT(ISNUMBER($A199)),"Tanggal harus berupa tanggal Excel",IF(COUNTIFS(Master_PIC!$A$8:$A$73,$B199)&lt;&gt;1,"ID PIC tidak unik/terdaftar",IF(VLOOKUP($B199,Master_PIC!$A$8:$G$73,3,FALSE)&lt;&gt;"SPV","Jabatan tidak sesuai sheet",IF(OR($C199="",$D199="",$E199="",$F199=""),"Lengkapi master PIC",IF(COUNTIFS($A$8:$A$507,$A199,$B$8:$B$507,$B199)&gt;1,"Laporan ganda",IF(COUNTIFS(G199:O199,"Tidak Berlaku")&gt;0,"N/A hanya untuk kegiatan bersyarat",IF(SUM(AF199,AG199,AH199,AI199,AJ199)&lt;&gt;13,"Status kegiatan tidak valid",IF(AJ199&gt;0,"Lengkapi status kegiatan",IF(AND(AI199&gt;0,T199=""),"Isi alasan Tidak Berlaku",IF(AND(SUM(AG199,AH199)&gt;0,OR(T199="",U199="",V199="",W199="")),"Isi kendala dan tindak lanjut",IF(AND(Y199&lt;&gt;"Draft",Y199&lt;&gt;"Dikirim"),"Isi status laporan yang valid",IF(AND(AA199&lt;&gt;"",AA199&lt;&gt;"Belum Diperiksa",AA199&lt;&gt;"Disetujui",AA199&lt;&gt;"Perlu Perbaikan"),"Hasil review tidak valid",IF(AND(Y199="Dikirim",OR(X199="",Z199="")),"Isi bukti dan waktu kirim",IF(AND(AA199="Disetujui",OR(Y199&lt;&gt;"Dikirim",AB199="",AC199="")),"Lengkapi pemeriksaan",IF(AND(AA199="Perlu Perbaikan",OR(AD199="",AB199="",AC199="")),"Isi pemeriksa dan catatan perbaikan","OK")))))))))))))))),"")</f>
        <v/>
      </c>
    </row>
    <row r="200" spans="1:38" ht="24.95" customHeight="1">
      <c r="A200" s="8"/>
      <c r="B200" s="6"/>
      <c r="C200" s="15" t="str">
        <f>IF(COUNTIFS(Master_PIC!$A$8:$A$73,$B200)=1,IF(VLOOKUP($B200,Master_PIC!$A$8:$G$73,2,FALSE)="","",VLOOKUP($B200,Master_PIC!$A$8:$G$73,2,FALSE)),"")</f>
        <v/>
      </c>
      <c r="D200" s="15" t="str">
        <f>IF(COUNTIFS(Master_PIC!$A$8:$A$73,$B200)=1,IF(VLOOKUP($B200,Master_PIC!$A$8:$G$73,4,FALSE)="","",VLOOKUP($B200,Master_PIC!$A$8:$G$73,4,FALSE)),"")</f>
        <v/>
      </c>
      <c r="E200" s="15" t="str">
        <f>IF(COUNTIFS(Master_PIC!$A$8:$A$73,$B200)=1,IF(VLOOKUP($B200,Master_PIC!$A$8:$G$73,5,FALSE)="","",VLOOKUP($B200,Master_PIC!$A$8:$G$73,5,FALSE)),"")</f>
        <v/>
      </c>
      <c r="F200" s="15" t="str">
        <f>IF(COUNTIFS(Master_PIC!$A$8:$A$73,$B200)=1,IF(VLOOKUP($B200,Master_PIC!$A$8:$G$73,6,FALSE)="","",VLOOKUP($B200,Master_PIC!$A$8:$G$73,6,FALSE)),"")</f>
        <v/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8"/>
      <c r="X200" s="5"/>
      <c r="Y200" s="5"/>
      <c r="Z200" s="9"/>
      <c r="AA200" s="5"/>
      <c r="AB200" s="5"/>
      <c r="AC200" s="9"/>
      <c r="AD200" s="5"/>
      <c r="AE200" s="7" t="str">
        <f t="shared" ref="AE200:AE263" si="21">IF(OR($A200&lt;&gt;"",$B200&lt;&gt;""),13-AI200,"")</f>
        <v/>
      </c>
      <c r="AF200" s="7" t="str">
        <f t="shared" ref="AF200:AF263" si="22">IF(OR($A200&lt;&gt;"",$B200&lt;&gt;""),COUNTIFS(G200:S200,"Selesai"),"")</f>
        <v/>
      </c>
      <c r="AG200" s="7" t="str">
        <f t="shared" ref="AG200:AG263" si="23">IF(OR($A200&lt;&gt;"",$B200&lt;&gt;""),COUNTIFS(G200:S200,"Proses"),"")</f>
        <v/>
      </c>
      <c r="AH200" s="7" t="str">
        <f t="shared" ref="AH200:AH263" si="24">IF(OR($A200&lt;&gt;"",$B200&lt;&gt;""),COUNTIFS(G200:S200,"Belum"),"")</f>
        <v/>
      </c>
      <c r="AI200" s="7" t="str">
        <f t="shared" ref="AI200:AI263" si="25">IF(OR($A200&lt;&gt;"",$B200&lt;&gt;""),COUNTIFS(G200:S200,"Tidak Berlaku"),"")</f>
        <v/>
      </c>
      <c r="AJ200" s="7" t="str">
        <f t="shared" ref="AJ200:AJ263" si="26">IF(OR($A200&lt;&gt;"",$B200&lt;&gt;""),COUNTBLANK(G200:S200),"")</f>
        <v/>
      </c>
      <c r="AK200" s="10" t="str">
        <f t="shared" ref="AK200:AK263" si="27">IF(OR($A200&lt;&gt;"",$B200&lt;&gt;""),IF(AE200=0,"n.a.",AF200/AE200),"")</f>
        <v/>
      </c>
      <c r="AL200" s="15" t="str">
        <f>IF(OR($A200&lt;&gt;"",$B200&lt;&gt;""),IF(OR($A200="",$B200=""),"Isi tanggal dan ID PIC",IF(NOT(ISNUMBER($A200)),"Tanggal harus berupa tanggal Excel",IF(COUNTIFS(Master_PIC!$A$8:$A$73,$B200)&lt;&gt;1,"ID PIC tidak unik/terdaftar",IF(VLOOKUP($B200,Master_PIC!$A$8:$G$73,3,FALSE)&lt;&gt;"SPV","Jabatan tidak sesuai sheet",IF(OR($C200="",$D200="",$E200="",$F200=""),"Lengkapi master PIC",IF(COUNTIFS($A$8:$A$507,$A200,$B$8:$B$507,$B200)&gt;1,"Laporan ganda",IF(COUNTIFS(G200:O200,"Tidak Berlaku")&gt;0,"N/A hanya untuk kegiatan bersyarat",IF(SUM(AF200,AG200,AH200,AI200,AJ200)&lt;&gt;13,"Status kegiatan tidak valid",IF(AJ200&gt;0,"Lengkapi status kegiatan",IF(AND(AI200&gt;0,T200=""),"Isi alasan Tidak Berlaku",IF(AND(SUM(AG200,AH200)&gt;0,OR(T200="",U200="",V200="",W200="")),"Isi kendala dan tindak lanjut",IF(AND(Y200&lt;&gt;"Draft",Y200&lt;&gt;"Dikirim"),"Isi status laporan yang valid",IF(AND(AA200&lt;&gt;"",AA200&lt;&gt;"Belum Diperiksa",AA200&lt;&gt;"Disetujui",AA200&lt;&gt;"Perlu Perbaikan"),"Hasil review tidak valid",IF(AND(Y200="Dikirim",OR(X200="",Z200="")),"Isi bukti dan waktu kirim",IF(AND(AA200="Disetujui",OR(Y200&lt;&gt;"Dikirim",AB200="",AC200="")),"Lengkapi pemeriksaan",IF(AND(AA200="Perlu Perbaikan",OR(AD200="",AB200="",AC200="")),"Isi pemeriksa dan catatan perbaikan","OK")))))))))))))))),"")</f>
        <v/>
      </c>
    </row>
    <row r="201" spans="1:38" ht="24.95" customHeight="1">
      <c r="A201" s="8"/>
      <c r="B201" s="6"/>
      <c r="C201" s="15" t="str">
        <f>IF(COUNTIFS(Master_PIC!$A$8:$A$73,$B201)=1,IF(VLOOKUP($B201,Master_PIC!$A$8:$G$73,2,FALSE)="","",VLOOKUP($B201,Master_PIC!$A$8:$G$73,2,FALSE)),"")</f>
        <v/>
      </c>
      <c r="D201" s="15" t="str">
        <f>IF(COUNTIFS(Master_PIC!$A$8:$A$73,$B201)=1,IF(VLOOKUP($B201,Master_PIC!$A$8:$G$73,4,FALSE)="","",VLOOKUP($B201,Master_PIC!$A$8:$G$73,4,FALSE)),"")</f>
        <v/>
      </c>
      <c r="E201" s="15" t="str">
        <f>IF(COUNTIFS(Master_PIC!$A$8:$A$73,$B201)=1,IF(VLOOKUP($B201,Master_PIC!$A$8:$G$73,5,FALSE)="","",VLOOKUP($B201,Master_PIC!$A$8:$G$73,5,FALSE)),"")</f>
        <v/>
      </c>
      <c r="F201" s="15" t="str">
        <f>IF(COUNTIFS(Master_PIC!$A$8:$A$73,$B201)=1,IF(VLOOKUP($B201,Master_PIC!$A$8:$G$73,6,FALSE)="","",VLOOKUP($B201,Master_PIC!$A$8:$G$73,6,FALSE)),"")</f>
        <v/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8"/>
      <c r="X201" s="5"/>
      <c r="Y201" s="5"/>
      <c r="Z201" s="9"/>
      <c r="AA201" s="5"/>
      <c r="AB201" s="5"/>
      <c r="AC201" s="9"/>
      <c r="AD201" s="5"/>
      <c r="AE201" s="7" t="str">
        <f t="shared" si="21"/>
        <v/>
      </c>
      <c r="AF201" s="7" t="str">
        <f t="shared" si="22"/>
        <v/>
      </c>
      <c r="AG201" s="7" t="str">
        <f t="shared" si="23"/>
        <v/>
      </c>
      <c r="AH201" s="7" t="str">
        <f t="shared" si="24"/>
        <v/>
      </c>
      <c r="AI201" s="7" t="str">
        <f t="shared" si="25"/>
        <v/>
      </c>
      <c r="AJ201" s="7" t="str">
        <f t="shared" si="26"/>
        <v/>
      </c>
      <c r="AK201" s="10" t="str">
        <f t="shared" si="27"/>
        <v/>
      </c>
      <c r="AL201" s="15" t="str">
        <f>IF(OR($A201&lt;&gt;"",$B201&lt;&gt;""),IF(OR($A201="",$B201=""),"Isi tanggal dan ID PIC",IF(NOT(ISNUMBER($A201)),"Tanggal harus berupa tanggal Excel",IF(COUNTIFS(Master_PIC!$A$8:$A$73,$B201)&lt;&gt;1,"ID PIC tidak unik/terdaftar",IF(VLOOKUP($B201,Master_PIC!$A$8:$G$73,3,FALSE)&lt;&gt;"SPV","Jabatan tidak sesuai sheet",IF(OR($C201="",$D201="",$E201="",$F201=""),"Lengkapi master PIC",IF(COUNTIFS($A$8:$A$507,$A201,$B$8:$B$507,$B201)&gt;1,"Laporan ganda",IF(COUNTIFS(G201:O201,"Tidak Berlaku")&gt;0,"N/A hanya untuk kegiatan bersyarat",IF(SUM(AF201,AG201,AH201,AI201,AJ201)&lt;&gt;13,"Status kegiatan tidak valid",IF(AJ201&gt;0,"Lengkapi status kegiatan",IF(AND(AI201&gt;0,T201=""),"Isi alasan Tidak Berlaku",IF(AND(SUM(AG201,AH201)&gt;0,OR(T201="",U201="",V201="",W201="")),"Isi kendala dan tindak lanjut",IF(AND(Y201&lt;&gt;"Draft",Y201&lt;&gt;"Dikirim"),"Isi status laporan yang valid",IF(AND(AA201&lt;&gt;"",AA201&lt;&gt;"Belum Diperiksa",AA201&lt;&gt;"Disetujui",AA201&lt;&gt;"Perlu Perbaikan"),"Hasil review tidak valid",IF(AND(Y201="Dikirim",OR(X201="",Z201="")),"Isi bukti dan waktu kirim",IF(AND(AA201="Disetujui",OR(Y201&lt;&gt;"Dikirim",AB201="",AC201="")),"Lengkapi pemeriksaan",IF(AND(AA201="Perlu Perbaikan",OR(AD201="",AB201="",AC201="")),"Isi pemeriksa dan catatan perbaikan","OK")))))))))))))))),"")</f>
        <v/>
      </c>
    </row>
    <row r="202" spans="1:38" ht="24.95" customHeight="1">
      <c r="A202" s="8"/>
      <c r="B202" s="6"/>
      <c r="C202" s="15" t="str">
        <f>IF(COUNTIFS(Master_PIC!$A$8:$A$73,$B202)=1,IF(VLOOKUP($B202,Master_PIC!$A$8:$G$73,2,FALSE)="","",VLOOKUP($B202,Master_PIC!$A$8:$G$73,2,FALSE)),"")</f>
        <v/>
      </c>
      <c r="D202" s="15" t="str">
        <f>IF(COUNTIFS(Master_PIC!$A$8:$A$73,$B202)=1,IF(VLOOKUP($B202,Master_PIC!$A$8:$G$73,4,FALSE)="","",VLOOKUP($B202,Master_PIC!$A$8:$G$73,4,FALSE)),"")</f>
        <v/>
      </c>
      <c r="E202" s="15" t="str">
        <f>IF(COUNTIFS(Master_PIC!$A$8:$A$73,$B202)=1,IF(VLOOKUP($B202,Master_PIC!$A$8:$G$73,5,FALSE)="","",VLOOKUP($B202,Master_PIC!$A$8:$G$73,5,FALSE)),"")</f>
        <v/>
      </c>
      <c r="F202" s="15" t="str">
        <f>IF(COUNTIFS(Master_PIC!$A$8:$A$73,$B202)=1,IF(VLOOKUP($B202,Master_PIC!$A$8:$G$73,6,FALSE)="","",VLOOKUP($B202,Master_PIC!$A$8:$G$73,6,FALSE)),"")</f>
        <v/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8"/>
      <c r="X202" s="5"/>
      <c r="Y202" s="5"/>
      <c r="Z202" s="9"/>
      <c r="AA202" s="5"/>
      <c r="AB202" s="5"/>
      <c r="AC202" s="9"/>
      <c r="AD202" s="5"/>
      <c r="AE202" s="7" t="str">
        <f t="shared" si="21"/>
        <v/>
      </c>
      <c r="AF202" s="7" t="str">
        <f t="shared" si="22"/>
        <v/>
      </c>
      <c r="AG202" s="7" t="str">
        <f t="shared" si="23"/>
        <v/>
      </c>
      <c r="AH202" s="7" t="str">
        <f t="shared" si="24"/>
        <v/>
      </c>
      <c r="AI202" s="7" t="str">
        <f t="shared" si="25"/>
        <v/>
      </c>
      <c r="AJ202" s="7" t="str">
        <f t="shared" si="26"/>
        <v/>
      </c>
      <c r="AK202" s="10" t="str">
        <f t="shared" si="27"/>
        <v/>
      </c>
      <c r="AL202" s="15" t="str">
        <f>IF(OR($A202&lt;&gt;"",$B202&lt;&gt;""),IF(OR($A202="",$B202=""),"Isi tanggal dan ID PIC",IF(NOT(ISNUMBER($A202)),"Tanggal harus berupa tanggal Excel",IF(COUNTIFS(Master_PIC!$A$8:$A$73,$B202)&lt;&gt;1,"ID PIC tidak unik/terdaftar",IF(VLOOKUP($B202,Master_PIC!$A$8:$G$73,3,FALSE)&lt;&gt;"SPV","Jabatan tidak sesuai sheet",IF(OR($C202="",$D202="",$E202="",$F202=""),"Lengkapi master PIC",IF(COUNTIFS($A$8:$A$507,$A202,$B$8:$B$507,$B202)&gt;1,"Laporan ganda",IF(COUNTIFS(G202:O202,"Tidak Berlaku")&gt;0,"N/A hanya untuk kegiatan bersyarat",IF(SUM(AF202,AG202,AH202,AI202,AJ202)&lt;&gt;13,"Status kegiatan tidak valid",IF(AJ202&gt;0,"Lengkapi status kegiatan",IF(AND(AI202&gt;0,T202=""),"Isi alasan Tidak Berlaku",IF(AND(SUM(AG202,AH202)&gt;0,OR(T202="",U202="",V202="",W202="")),"Isi kendala dan tindak lanjut",IF(AND(Y202&lt;&gt;"Draft",Y202&lt;&gt;"Dikirim"),"Isi status laporan yang valid",IF(AND(AA202&lt;&gt;"",AA202&lt;&gt;"Belum Diperiksa",AA202&lt;&gt;"Disetujui",AA202&lt;&gt;"Perlu Perbaikan"),"Hasil review tidak valid",IF(AND(Y202="Dikirim",OR(X202="",Z202="")),"Isi bukti dan waktu kirim",IF(AND(AA202="Disetujui",OR(Y202&lt;&gt;"Dikirim",AB202="",AC202="")),"Lengkapi pemeriksaan",IF(AND(AA202="Perlu Perbaikan",OR(AD202="",AB202="",AC202="")),"Isi pemeriksa dan catatan perbaikan","OK")))))))))))))))),"")</f>
        <v/>
      </c>
    </row>
    <row r="203" spans="1:38" ht="24.95" customHeight="1">
      <c r="A203" s="8"/>
      <c r="B203" s="6"/>
      <c r="C203" s="15" t="str">
        <f>IF(COUNTIFS(Master_PIC!$A$8:$A$73,$B203)=1,IF(VLOOKUP($B203,Master_PIC!$A$8:$G$73,2,FALSE)="","",VLOOKUP($B203,Master_PIC!$A$8:$G$73,2,FALSE)),"")</f>
        <v/>
      </c>
      <c r="D203" s="15" t="str">
        <f>IF(COUNTIFS(Master_PIC!$A$8:$A$73,$B203)=1,IF(VLOOKUP($B203,Master_PIC!$A$8:$G$73,4,FALSE)="","",VLOOKUP($B203,Master_PIC!$A$8:$G$73,4,FALSE)),"")</f>
        <v/>
      </c>
      <c r="E203" s="15" t="str">
        <f>IF(COUNTIFS(Master_PIC!$A$8:$A$73,$B203)=1,IF(VLOOKUP($B203,Master_PIC!$A$8:$G$73,5,FALSE)="","",VLOOKUP($B203,Master_PIC!$A$8:$G$73,5,FALSE)),"")</f>
        <v/>
      </c>
      <c r="F203" s="15" t="str">
        <f>IF(COUNTIFS(Master_PIC!$A$8:$A$73,$B203)=1,IF(VLOOKUP($B203,Master_PIC!$A$8:$G$73,6,FALSE)="","",VLOOKUP($B203,Master_PIC!$A$8:$G$73,6,FALSE)),"")</f>
        <v/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9"/>
      <c r="AA203" s="5"/>
      <c r="AB203" s="5"/>
      <c r="AC203" s="9"/>
      <c r="AD203" s="5"/>
      <c r="AE203" s="7" t="str">
        <f t="shared" si="21"/>
        <v/>
      </c>
      <c r="AF203" s="7" t="str">
        <f t="shared" si="22"/>
        <v/>
      </c>
      <c r="AG203" s="7" t="str">
        <f t="shared" si="23"/>
        <v/>
      </c>
      <c r="AH203" s="7" t="str">
        <f t="shared" si="24"/>
        <v/>
      </c>
      <c r="AI203" s="7" t="str">
        <f t="shared" si="25"/>
        <v/>
      </c>
      <c r="AJ203" s="7" t="str">
        <f t="shared" si="26"/>
        <v/>
      </c>
      <c r="AK203" s="10" t="str">
        <f t="shared" si="27"/>
        <v/>
      </c>
      <c r="AL203" s="15" t="str">
        <f>IF(OR($A203&lt;&gt;"",$B203&lt;&gt;""),IF(OR($A203="",$B203=""),"Isi tanggal dan ID PIC",IF(NOT(ISNUMBER($A203)),"Tanggal harus berupa tanggal Excel",IF(COUNTIFS(Master_PIC!$A$8:$A$73,$B203)&lt;&gt;1,"ID PIC tidak unik/terdaftar",IF(VLOOKUP($B203,Master_PIC!$A$8:$G$73,3,FALSE)&lt;&gt;"SPV","Jabatan tidak sesuai sheet",IF(OR($C203="",$D203="",$E203="",$F203=""),"Lengkapi master PIC",IF(COUNTIFS($A$8:$A$507,$A203,$B$8:$B$507,$B203)&gt;1,"Laporan ganda",IF(COUNTIFS(G203:O203,"Tidak Berlaku")&gt;0,"N/A hanya untuk kegiatan bersyarat",IF(SUM(AF203,AG203,AH203,AI203,AJ203)&lt;&gt;13,"Status kegiatan tidak valid",IF(AJ203&gt;0,"Lengkapi status kegiatan",IF(AND(AI203&gt;0,T203=""),"Isi alasan Tidak Berlaku",IF(AND(SUM(AG203,AH203)&gt;0,OR(T203="",U203="",V203="",W203="")),"Isi kendala dan tindak lanjut",IF(AND(Y203&lt;&gt;"Draft",Y203&lt;&gt;"Dikirim"),"Isi status laporan yang valid",IF(AND(AA203&lt;&gt;"",AA203&lt;&gt;"Belum Diperiksa",AA203&lt;&gt;"Disetujui",AA203&lt;&gt;"Perlu Perbaikan"),"Hasil review tidak valid",IF(AND(Y203="Dikirim",OR(X203="",Z203="")),"Isi bukti dan waktu kirim",IF(AND(AA203="Disetujui",OR(Y203&lt;&gt;"Dikirim",AB203="",AC203="")),"Lengkapi pemeriksaan",IF(AND(AA203="Perlu Perbaikan",OR(AD203="",AB203="",AC203="")),"Isi pemeriksa dan catatan perbaikan","OK")))))))))))))))),"")</f>
        <v/>
      </c>
    </row>
    <row r="204" spans="1:38" ht="24.95" customHeight="1">
      <c r="A204" s="8"/>
      <c r="B204" s="6"/>
      <c r="C204" s="15" t="str">
        <f>IF(COUNTIFS(Master_PIC!$A$8:$A$73,$B204)=1,IF(VLOOKUP($B204,Master_PIC!$A$8:$G$73,2,FALSE)="","",VLOOKUP($B204,Master_PIC!$A$8:$G$73,2,FALSE)),"")</f>
        <v/>
      </c>
      <c r="D204" s="15" t="str">
        <f>IF(COUNTIFS(Master_PIC!$A$8:$A$73,$B204)=1,IF(VLOOKUP($B204,Master_PIC!$A$8:$G$73,4,FALSE)="","",VLOOKUP($B204,Master_PIC!$A$8:$G$73,4,FALSE)),"")</f>
        <v/>
      </c>
      <c r="E204" s="15" t="str">
        <f>IF(COUNTIFS(Master_PIC!$A$8:$A$73,$B204)=1,IF(VLOOKUP($B204,Master_PIC!$A$8:$G$73,5,FALSE)="","",VLOOKUP($B204,Master_PIC!$A$8:$G$73,5,FALSE)),"")</f>
        <v/>
      </c>
      <c r="F204" s="15" t="str">
        <f>IF(COUNTIFS(Master_PIC!$A$8:$A$73,$B204)=1,IF(VLOOKUP($B204,Master_PIC!$A$8:$G$73,6,FALSE)="","",VLOOKUP($B204,Master_PIC!$A$8:$G$73,6,FALSE)),"")</f>
        <v/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8"/>
      <c r="X204" s="5"/>
      <c r="Y204" s="5"/>
      <c r="Z204" s="9"/>
      <c r="AA204" s="5"/>
      <c r="AB204" s="5"/>
      <c r="AC204" s="9"/>
      <c r="AD204" s="5"/>
      <c r="AE204" s="7" t="str">
        <f t="shared" si="21"/>
        <v/>
      </c>
      <c r="AF204" s="7" t="str">
        <f t="shared" si="22"/>
        <v/>
      </c>
      <c r="AG204" s="7" t="str">
        <f t="shared" si="23"/>
        <v/>
      </c>
      <c r="AH204" s="7" t="str">
        <f t="shared" si="24"/>
        <v/>
      </c>
      <c r="AI204" s="7" t="str">
        <f t="shared" si="25"/>
        <v/>
      </c>
      <c r="AJ204" s="7" t="str">
        <f t="shared" si="26"/>
        <v/>
      </c>
      <c r="AK204" s="10" t="str">
        <f t="shared" si="27"/>
        <v/>
      </c>
      <c r="AL204" s="15" t="str">
        <f>IF(OR($A204&lt;&gt;"",$B204&lt;&gt;""),IF(OR($A204="",$B204=""),"Isi tanggal dan ID PIC",IF(NOT(ISNUMBER($A204)),"Tanggal harus berupa tanggal Excel",IF(COUNTIFS(Master_PIC!$A$8:$A$73,$B204)&lt;&gt;1,"ID PIC tidak unik/terdaftar",IF(VLOOKUP($B204,Master_PIC!$A$8:$G$73,3,FALSE)&lt;&gt;"SPV","Jabatan tidak sesuai sheet",IF(OR($C204="",$D204="",$E204="",$F204=""),"Lengkapi master PIC",IF(COUNTIFS($A$8:$A$507,$A204,$B$8:$B$507,$B204)&gt;1,"Laporan ganda",IF(COUNTIFS(G204:O204,"Tidak Berlaku")&gt;0,"N/A hanya untuk kegiatan bersyarat",IF(SUM(AF204,AG204,AH204,AI204,AJ204)&lt;&gt;13,"Status kegiatan tidak valid",IF(AJ204&gt;0,"Lengkapi status kegiatan",IF(AND(AI204&gt;0,T204=""),"Isi alasan Tidak Berlaku",IF(AND(SUM(AG204,AH204)&gt;0,OR(T204="",U204="",V204="",W204="")),"Isi kendala dan tindak lanjut",IF(AND(Y204&lt;&gt;"Draft",Y204&lt;&gt;"Dikirim"),"Isi status laporan yang valid",IF(AND(AA204&lt;&gt;"",AA204&lt;&gt;"Belum Diperiksa",AA204&lt;&gt;"Disetujui",AA204&lt;&gt;"Perlu Perbaikan"),"Hasil review tidak valid",IF(AND(Y204="Dikirim",OR(X204="",Z204="")),"Isi bukti dan waktu kirim",IF(AND(AA204="Disetujui",OR(Y204&lt;&gt;"Dikirim",AB204="",AC204="")),"Lengkapi pemeriksaan",IF(AND(AA204="Perlu Perbaikan",OR(AD204="",AB204="",AC204="")),"Isi pemeriksa dan catatan perbaikan","OK")))))))))))))))),"")</f>
        <v/>
      </c>
    </row>
    <row r="205" spans="1:38" ht="24.95" customHeight="1">
      <c r="A205" s="8"/>
      <c r="B205" s="6"/>
      <c r="C205" s="15" t="str">
        <f>IF(COUNTIFS(Master_PIC!$A$8:$A$73,$B205)=1,IF(VLOOKUP($B205,Master_PIC!$A$8:$G$73,2,FALSE)="","",VLOOKUP($B205,Master_PIC!$A$8:$G$73,2,FALSE)),"")</f>
        <v/>
      </c>
      <c r="D205" s="15" t="str">
        <f>IF(COUNTIFS(Master_PIC!$A$8:$A$73,$B205)=1,IF(VLOOKUP($B205,Master_PIC!$A$8:$G$73,4,FALSE)="","",VLOOKUP($B205,Master_PIC!$A$8:$G$73,4,FALSE)),"")</f>
        <v/>
      </c>
      <c r="E205" s="15" t="str">
        <f>IF(COUNTIFS(Master_PIC!$A$8:$A$73,$B205)=1,IF(VLOOKUP($B205,Master_PIC!$A$8:$G$73,5,FALSE)="","",VLOOKUP($B205,Master_PIC!$A$8:$G$73,5,FALSE)),"")</f>
        <v/>
      </c>
      <c r="F205" s="15" t="str">
        <f>IF(COUNTIFS(Master_PIC!$A$8:$A$73,$B205)=1,IF(VLOOKUP($B205,Master_PIC!$A$8:$G$73,6,FALSE)="","",VLOOKUP($B205,Master_PIC!$A$8:$G$73,6,FALSE)),"")</f>
        <v/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8"/>
      <c r="X205" s="5"/>
      <c r="Y205" s="5"/>
      <c r="Z205" s="9"/>
      <c r="AA205" s="5"/>
      <c r="AB205" s="5"/>
      <c r="AC205" s="9"/>
      <c r="AD205" s="5"/>
      <c r="AE205" s="7" t="str">
        <f t="shared" si="21"/>
        <v/>
      </c>
      <c r="AF205" s="7" t="str">
        <f t="shared" si="22"/>
        <v/>
      </c>
      <c r="AG205" s="7" t="str">
        <f t="shared" si="23"/>
        <v/>
      </c>
      <c r="AH205" s="7" t="str">
        <f t="shared" si="24"/>
        <v/>
      </c>
      <c r="AI205" s="7" t="str">
        <f t="shared" si="25"/>
        <v/>
      </c>
      <c r="AJ205" s="7" t="str">
        <f t="shared" si="26"/>
        <v/>
      </c>
      <c r="AK205" s="10" t="str">
        <f t="shared" si="27"/>
        <v/>
      </c>
      <c r="AL205" s="15" t="str">
        <f>IF(OR($A205&lt;&gt;"",$B205&lt;&gt;""),IF(OR($A205="",$B205=""),"Isi tanggal dan ID PIC",IF(NOT(ISNUMBER($A205)),"Tanggal harus berupa tanggal Excel",IF(COUNTIFS(Master_PIC!$A$8:$A$73,$B205)&lt;&gt;1,"ID PIC tidak unik/terdaftar",IF(VLOOKUP($B205,Master_PIC!$A$8:$G$73,3,FALSE)&lt;&gt;"SPV","Jabatan tidak sesuai sheet",IF(OR($C205="",$D205="",$E205="",$F205=""),"Lengkapi master PIC",IF(COUNTIFS($A$8:$A$507,$A205,$B$8:$B$507,$B205)&gt;1,"Laporan ganda",IF(COUNTIFS(G205:O205,"Tidak Berlaku")&gt;0,"N/A hanya untuk kegiatan bersyarat",IF(SUM(AF205,AG205,AH205,AI205,AJ205)&lt;&gt;13,"Status kegiatan tidak valid",IF(AJ205&gt;0,"Lengkapi status kegiatan",IF(AND(AI205&gt;0,T205=""),"Isi alasan Tidak Berlaku",IF(AND(SUM(AG205,AH205)&gt;0,OR(T205="",U205="",V205="",W205="")),"Isi kendala dan tindak lanjut",IF(AND(Y205&lt;&gt;"Draft",Y205&lt;&gt;"Dikirim"),"Isi status laporan yang valid",IF(AND(AA205&lt;&gt;"",AA205&lt;&gt;"Belum Diperiksa",AA205&lt;&gt;"Disetujui",AA205&lt;&gt;"Perlu Perbaikan"),"Hasil review tidak valid",IF(AND(Y205="Dikirim",OR(X205="",Z205="")),"Isi bukti dan waktu kirim",IF(AND(AA205="Disetujui",OR(Y205&lt;&gt;"Dikirim",AB205="",AC205="")),"Lengkapi pemeriksaan",IF(AND(AA205="Perlu Perbaikan",OR(AD205="",AB205="",AC205="")),"Isi pemeriksa dan catatan perbaikan","OK")))))))))))))))),"")</f>
        <v/>
      </c>
    </row>
    <row r="206" spans="1:38" ht="24.95" customHeight="1">
      <c r="A206" s="8"/>
      <c r="B206" s="6"/>
      <c r="C206" s="15" t="str">
        <f>IF(COUNTIFS(Master_PIC!$A$8:$A$73,$B206)=1,IF(VLOOKUP($B206,Master_PIC!$A$8:$G$73,2,FALSE)="","",VLOOKUP($B206,Master_PIC!$A$8:$G$73,2,FALSE)),"")</f>
        <v/>
      </c>
      <c r="D206" s="15" t="str">
        <f>IF(COUNTIFS(Master_PIC!$A$8:$A$73,$B206)=1,IF(VLOOKUP($B206,Master_PIC!$A$8:$G$73,4,FALSE)="","",VLOOKUP($B206,Master_PIC!$A$8:$G$73,4,FALSE)),"")</f>
        <v/>
      </c>
      <c r="E206" s="15" t="str">
        <f>IF(COUNTIFS(Master_PIC!$A$8:$A$73,$B206)=1,IF(VLOOKUP($B206,Master_PIC!$A$8:$G$73,5,FALSE)="","",VLOOKUP($B206,Master_PIC!$A$8:$G$73,5,FALSE)),"")</f>
        <v/>
      </c>
      <c r="F206" s="15" t="str">
        <f>IF(COUNTIFS(Master_PIC!$A$8:$A$73,$B206)=1,IF(VLOOKUP($B206,Master_PIC!$A$8:$G$73,6,FALSE)="","",VLOOKUP($B206,Master_PIC!$A$8:$G$73,6,FALSE)),"")</f>
        <v/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8"/>
      <c r="X206" s="5"/>
      <c r="Y206" s="5"/>
      <c r="Z206" s="9"/>
      <c r="AA206" s="5"/>
      <c r="AB206" s="5"/>
      <c r="AC206" s="9"/>
      <c r="AD206" s="5"/>
      <c r="AE206" s="7" t="str">
        <f t="shared" si="21"/>
        <v/>
      </c>
      <c r="AF206" s="7" t="str">
        <f t="shared" si="22"/>
        <v/>
      </c>
      <c r="AG206" s="7" t="str">
        <f t="shared" si="23"/>
        <v/>
      </c>
      <c r="AH206" s="7" t="str">
        <f t="shared" si="24"/>
        <v/>
      </c>
      <c r="AI206" s="7" t="str">
        <f t="shared" si="25"/>
        <v/>
      </c>
      <c r="AJ206" s="7" t="str">
        <f t="shared" si="26"/>
        <v/>
      </c>
      <c r="AK206" s="10" t="str">
        <f t="shared" si="27"/>
        <v/>
      </c>
      <c r="AL206" s="15" t="str">
        <f>IF(OR($A206&lt;&gt;"",$B206&lt;&gt;""),IF(OR($A206="",$B206=""),"Isi tanggal dan ID PIC",IF(NOT(ISNUMBER($A206)),"Tanggal harus berupa tanggal Excel",IF(COUNTIFS(Master_PIC!$A$8:$A$73,$B206)&lt;&gt;1,"ID PIC tidak unik/terdaftar",IF(VLOOKUP($B206,Master_PIC!$A$8:$G$73,3,FALSE)&lt;&gt;"SPV","Jabatan tidak sesuai sheet",IF(OR($C206="",$D206="",$E206="",$F206=""),"Lengkapi master PIC",IF(COUNTIFS($A$8:$A$507,$A206,$B$8:$B$507,$B206)&gt;1,"Laporan ganda",IF(COUNTIFS(G206:O206,"Tidak Berlaku")&gt;0,"N/A hanya untuk kegiatan bersyarat",IF(SUM(AF206,AG206,AH206,AI206,AJ206)&lt;&gt;13,"Status kegiatan tidak valid",IF(AJ206&gt;0,"Lengkapi status kegiatan",IF(AND(AI206&gt;0,T206=""),"Isi alasan Tidak Berlaku",IF(AND(SUM(AG206,AH206)&gt;0,OR(T206="",U206="",V206="",W206="")),"Isi kendala dan tindak lanjut",IF(AND(Y206&lt;&gt;"Draft",Y206&lt;&gt;"Dikirim"),"Isi status laporan yang valid",IF(AND(AA206&lt;&gt;"",AA206&lt;&gt;"Belum Diperiksa",AA206&lt;&gt;"Disetujui",AA206&lt;&gt;"Perlu Perbaikan"),"Hasil review tidak valid",IF(AND(Y206="Dikirim",OR(X206="",Z206="")),"Isi bukti dan waktu kirim",IF(AND(AA206="Disetujui",OR(Y206&lt;&gt;"Dikirim",AB206="",AC206="")),"Lengkapi pemeriksaan",IF(AND(AA206="Perlu Perbaikan",OR(AD206="",AB206="",AC206="")),"Isi pemeriksa dan catatan perbaikan","OK")))))))))))))))),"")</f>
        <v/>
      </c>
    </row>
    <row r="207" spans="1:38" ht="24.95" customHeight="1">
      <c r="A207" s="8"/>
      <c r="B207" s="6"/>
      <c r="C207" s="15" t="str">
        <f>IF(COUNTIFS(Master_PIC!$A$8:$A$73,$B207)=1,IF(VLOOKUP($B207,Master_PIC!$A$8:$G$73,2,FALSE)="","",VLOOKUP($B207,Master_PIC!$A$8:$G$73,2,FALSE)),"")</f>
        <v/>
      </c>
      <c r="D207" s="15" t="str">
        <f>IF(COUNTIFS(Master_PIC!$A$8:$A$73,$B207)=1,IF(VLOOKUP($B207,Master_PIC!$A$8:$G$73,4,FALSE)="","",VLOOKUP($B207,Master_PIC!$A$8:$G$73,4,FALSE)),"")</f>
        <v/>
      </c>
      <c r="E207" s="15" t="str">
        <f>IF(COUNTIFS(Master_PIC!$A$8:$A$73,$B207)=1,IF(VLOOKUP($B207,Master_PIC!$A$8:$G$73,5,FALSE)="","",VLOOKUP($B207,Master_PIC!$A$8:$G$73,5,FALSE)),"")</f>
        <v/>
      </c>
      <c r="F207" s="15" t="str">
        <f>IF(COUNTIFS(Master_PIC!$A$8:$A$73,$B207)=1,IF(VLOOKUP($B207,Master_PIC!$A$8:$G$73,6,FALSE)="","",VLOOKUP($B207,Master_PIC!$A$8:$G$73,6,FALSE)),"")</f>
        <v/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8"/>
      <c r="X207" s="5"/>
      <c r="Y207" s="5"/>
      <c r="Z207" s="9"/>
      <c r="AA207" s="5"/>
      <c r="AB207" s="5"/>
      <c r="AC207" s="9"/>
      <c r="AD207" s="5"/>
      <c r="AE207" s="7" t="str">
        <f t="shared" si="21"/>
        <v/>
      </c>
      <c r="AF207" s="7" t="str">
        <f t="shared" si="22"/>
        <v/>
      </c>
      <c r="AG207" s="7" t="str">
        <f t="shared" si="23"/>
        <v/>
      </c>
      <c r="AH207" s="7" t="str">
        <f t="shared" si="24"/>
        <v/>
      </c>
      <c r="AI207" s="7" t="str">
        <f t="shared" si="25"/>
        <v/>
      </c>
      <c r="AJ207" s="7" t="str">
        <f t="shared" si="26"/>
        <v/>
      </c>
      <c r="AK207" s="10" t="str">
        <f t="shared" si="27"/>
        <v/>
      </c>
      <c r="AL207" s="15" t="str">
        <f>IF(OR($A207&lt;&gt;"",$B207&lt;&gt;""),IF(OR($A207="",$B207=""),"Isi tanggal dan ID PIC",IF(NOT(ISNUMBER($A207)),"Tanggal harus berupa tanggal Excel",IF(COUNTIFS(Master_PIC!$A$8:$A$73,$B207)&lt;&gt;1,"ID PIC tidak unik/terdaftar",IF(VLOOKUP($B207,Master_PIC!$A$8:$G$73,3,FALSE)&lt;&gt;"SPV","Jabatan tidak sesuai sheet",IF(OR($C207="",$D207="",$E207="",$F207=""),"Lengkapi master PIC",IF(COUNTIFS($A$8:$A$507,$A207,$B$8:$B$507,$B207)&gt;1,"Laporan ganda",IF(COUNTIFS(G207:O207,"Tidak Berlaku")&gt;0,"N/A hanya untuk kegiatan bersyarat",IF(SUM(AF207,AG207,AH207,AI207,AJ207)&lt;&gt;13,"Status kegiatan tidak valid",IF(AJ207&gt;0,"Lengkapi status kegiatan",IF(AND(AI207&gt;0,T207=""),"Isi alasan Tidak Berlaku",IF(AND(SUM(AG207,AH207)&gt;0,OR(T207="",U207="",V207="",W207="")),"Isi kendala dan tindak lanjut",IF(AND(Y207&lt;&gt;"Draft",Y207&lt;&gt;"Dikirim"),"Isi status laporan yang valid",IF(AND(AA207&lt;&gt;"",AA207&lt;&gt;"Belum Diperiksa",AA207&lt;&gt;"Disetujui",AA207&lt;&gt;"Perlu Perbaikan"),"Hasil review tidak valid",IF(AND(Y207="Dikirim",OR(X207="",Z207="")),"Isi bukti dan waktu kirim",IF(AND(AA207="Disetujui",OR(Y207&lt;&gt;"Dikirim",AB207="",AC207="")),"Lengkapi pemeriksaan",IF(AND(AA207="Perlu Perbaikan",OR(AD207="",AB207="",AC207="")),"Isi pemeriksa dan catatan perbaikan","OK")))))))))))))))),"")</f>
        <v/>
      </c>
    </row>
    <row r="208" spans="1:38" ht="24.95" customHeight="1">
      <c r="A208" s="8"/>
      <c r="B208" s="6"/>
      <c r="C208" s="15" t="str">
        <f>IF(COUNTIFS(Master_PIC!$A$8:$A$73,$B208)=1,IF(VLOOKUP($B208,Master_PIC!$A$8:$G$73,2,FALSE)="","",VLOOKUP($B208,Master_PIC!$A$8:$G$73,2,FALSE)),"")</f>
        <v/>
      </c>
      <c r="D208" s="15" t="str">
        <f>IF(COUNTIFS(Master_PIC!$A$8:$A$73,$B208)=1,IF(VLOOKUP($B208,Master_PIC!$A$8:$G$73,4,FALSE)="","",VLOOKUP($B208,Master_PIC!$A$8:$G$73,4,FALSE)),"")</f>
        <v/>
      </c>
      <c r="E208" s="15" t="str">
        <f>IF(COUNTIFS(Master_PIC!$A$8:$A$73,$B208)=1,IF(VLOOKUP($B208,Master_PIC!$A$8:$G$73,5,FALSE)="","",VLOOKUP($B208,Master_PIC!$A$8:$G$73,5,FALSE)),"")</f>
        <v/>
      </c>
      <c r="F208" s="15" t="str">
        <f>IF(COUNTIFS(Master_PIC!$A$8:$A$73,$B208)=1,IF(VLOOKUP($B208,Master_PIC!$A$8:$G$73,6,FALSE)="","",VLOOKUP($B208,Master_PIC!$A$8:$G$73,6,FALSE)),"")</f>
        <v/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9"/>
      <c r="AA208" s="5"/>
      <c r="AB208" s="5"/>
      <c r="AC208" s="9"/>
      <c r="AD208" s="5"/>
      <c r="AE208" s="7" t="str">
        <f t="shared" si="21"/>
        <v/>
      </c>
      <c r="AF208" s="7" t="str">
        <f t="shared" si="22"/>
        <v/>
      </c>
      <c r="AG208" s="7" t="str">
        <f t="shared" si="23"/>
        <v/>
      </c>
      <c r="AH208" s="7" t="str">
        <f t="shared" si="24"/>
        <v/>
      </c>
      <c r="AI208" s="7" t="str">
        <f t="shared" si="25"/>
        <v/>
      </c>
      <c r="AJ208" s="7" t="str">
        <f t="shared" si="26"/>
        <v/>
      </c>
      <c r="AK208" s="10" t="str">
        <f t="shared" si="27"/>
        <v/>
      </c>
      <c r="AL208" s="15" t="str">
        <f>IF(OR($A208&lt;&gt;"",$B208&lt;&gt;""),IF(OR($A208="",$B208=""),"Isi tanggal dan ID PIC",IF(NOT(ISNUMBER($A208)),"Tanggal harus berupa tanggal Excel",IF(COUNTIFS(Master_PIC!$A$8:$A$73,$B208)&lt;&gt;1,"ID PIC tidak unik/terdaftar",IF(VLOOKUP($B208,Master_PIC!$A$8:$G$73,3,FALSE)&lt;&gt;"SPV","Jabatan tidak sesuai sheet",IF(OR($C208="",$D208="",$E208="",$F208=""),"Lengkapi master PIC",IF(COUNTIFS($A$8:$A$507,$A208,$B$8:$B$507,$B208)&gt;1,"Laporan ganda",IF(COUNTIFS(G208:O208,"Tidak Berlaku")&gt;0,"N/A hanya untuk kegiatan bersyarat",IF(SUM(AF208,AG208,AH208,AI208,AJ208)&lt;&gt;13,"Status kegiatan tidak valid",IF(AJ208&gt;0,"Lengkapi status kegiatan",IF(AND(AI208&gt;0,T208=""),"Isi alasan Tidak Berlaku",IF(AND(SUM(AG208,AH208)&gt;0,OR(T208="",U208="",V208="",W208="")),"Isi kendala dan tindak lanjut",IF(AND(Y208&lt;&gt;"Draft",Y208&lt;&gt;"Dikirim"),"Isi status laporan yang valid",IF(AND(AA208&lt;&gt;"",AA208&lt;&gt;"Belum Diperiksa",AA208&lt;&gt;"Disetujui",AA208&lt;&gt;"Perlu Perbaikan"),"Hasil review tidak valid",IF(AND(Y208="Dikirim",OR(X208="",Z208="")),"Isi bukti dan waktu kirim",IF(AND(AA208="Disetujui",OR(Y208&lt;&gt;"Dikirim",AB208="",AC208="")),"Lengkapi pemeriksaan",IF(AND(AA208="Perlu Perbaikan",OR(AD208="",AB208="",AC208="")),"Isi pemeriksa dan catatan perbaikan","OK")))))))))))))))),"")</f>
        <v/>
      </c>
    </row>
    <row r="209" spans="1:38" ht="24.95" customHeight="1">
      <c r="A209" s="8"/>
      <c r="B209" s="6"/>
      <c r="C209" s="15" t="str">
        <f>IF(COUNTIFS(Master_PIC!$A$8:$A$73,$B209)=1,IF(VLOOKUP($B209,Master_PIC!$A$8:$G$73,2,FALSE)="","",VLOOKUP($B209,Master_PIC!$A$8:$G$73,2,FALSE)),"")</f>
        <v/>
      </c>
      <c r="D209" s="15" t="str">
        <f>IF(COUNTIFS(Master_PIC!$A$8:$A$73,$B209)=1,IF(VLOOKUP($B209,Master_PIC!$A$8:$G$73,4,FALSE)="","",VLOOKUP($B209,Master_PIC!$A$8:$G$73,4,FALSE)),"")</f>
        <v/>
      </c>
      <c r="E209" s="15" t="str">
        <f>IF(COUNTIFS(Master_PIC!$A$8:$A$73,$B209)=1,IF(VLOOKUP($B209,Master_PIC!$A$8:$G$73,5,FALSE)="","",VLOOKUP($B209,Master_PIC!$A$8:$G$73,5,FALSE)),"")</f>
        <v/>
      </c>
      <c r="F209" s="15" t="str">
        <f>IF(COUNTIFS(Master_PIC!$A$8:$A$73,$B209)=1,IF(VLOOKUP($B209,Master_PIC!$A$8:$G$73,6,FALSE)="","",VLOOKUP($B209,Master_PIC!$A$8:$G$73,6,FALSE)),"")</f>
        <v/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8"/>
      <c r="X209" s="5"/>
      <c r="Y209" s="5"/>
      <c r="Z209" s="9"/>
      <c r="AA209" s="5"/>
      <c r="AB209" s="5"/>
      <c r="AC209" s="9"/>
      <c r="AD209" s="5"/>
      <c r="AE209" s="7" t="str">
        <f t="shared" si="21"/>
        <v/>
      </c>
      <c r="AF209" s="7" t="str">
        <f t="shared" si="22"/>
        <v/>
      </c>
      <c r="AG209" s="7" t="str">
        <f t="shared" si="23"/>
        <v/>
      </c>
      <c r="AH209" s="7" t="str">
        <f t="shared" si="24"/>
        <v/>
      </c>
      <c r="AI209" s="7" t="str">
        <f t="shared" si="25"/>
        <v/>
      </c>
      <c r="AJ209" s="7" t="str">
        <f t="shared" si="26"/>
        <v/>
      </c>
      <c r="AK209" s="10" t="str">
        <f t="shared" si="27"/>
        <v/>
      </c>
      <c r="AL209" s="15" t="str">
        <f>IF(OR($A209&lt;&gt;"",$B209&lt;&gt;""),IF(OR($A209="",$B209=""),"Isi tanggal dan ID PIC",IF(NOT(ISNUMBER($A209)),"Tanggal harus berupa tanggal Excel",IF(COUNTIFS(Master_PIC!$A$8:$A$73,$B209)&lt;&gt;1,"ID PIC tidak unik/terdaftar",IF(VLOOKUP($B209,Master_PIC!$A$8:$G$73,3,FALSE)&lt;&gt;"SPV","Jabatan tidak sesuai sheet",IF(OR($C209="",$D209="",$E209="",$F209=""),"Lengkapi master PIC",IF(COUNTIFS($A$8:$A$507,$A209,$B$8:$B$507,$B209)&gt;1,"Laporan ganda",IF(COUNTIFS(G209:O209,"Tidak Berlaku")&gt;0,"N/A hanya untuk kegiatan bersyarat",IF(SUM(AF209,AG209,AH209,AI209,AJ209)&lt;&gt;13,"Status kegiatan tidak valid",IF(AJ209&gt;0,"Lengkapi status kegiatan",IF(AND(AI209&gt;0,T209=""),"Isi alasan Tidak Berlaku",IF(AND(SUM(AG209,AH209)&gt;0,OR(T209="",U209="",V209="",W209="")),"Isi kendala dan tindak lanjut",IF(AND(Y209&lt;&gt;"Draft",Y209&lt;&gt;"Dikirim"),"Isi status laporan yang valid",IF(AND(AA209&lt;&gt;"",AA209&lt;&gt;"Belum Diperiksa",AA209&lt;&gt;"Disetujui",AA209&lt;&gt;"Perlu Perbaikan"),"Hasil review tidak valid",IF(AND(Y209="Dikirim",OR(X209="",Z209="")),"Isi bukti dan waktu kirim",IF(AND(AA209="Disetujui",OR(Y209&lt;&gt;"Dikirim",AB209="",AC209="")),"Lengkapi pemeriksaan",IF(AND(AA209="Perlu Perbaikan",OR(AD209="",AB209="",AC209="")),"Isi pemeriksa dan catatan perbaikan","OK")))))))))))))))),"")</f>
        <v/>
      </c>
    </row>
    <row r="210" spans="1:38" ht="24.95" customHeight="1">
      <c r="A210" s="8"/>
      <c r="B210" s="6"/>
      <c r="C210" s="15" t="str">
        <f>IF(COUNTIFS(Master_PIC!$A$8:$A$73,$B210)=1,IF(VLOOKUP($B210,Master_PIC!$A$8:$G$73,2,FALSE)="","",VLOOKUP($B210,Master_PIC!$A$8:$G$73,2,FALSE)),"")</f>
        <v/>
      </c>
      <c r="D210" s="15" t="str">
        <f>IF(COUNTIFS(Master_PIC!$A$8:$A$73,$B210)=1,IF(VLOOKUP($B210,Master_PIC!$A$8:$G$73,4,FALSE)="","",VLOOKUP($B210,Master_PIC!$A$8:$G$73,4,FALSE)),"")</f>
        <v/>
      </c>
      <c r="E210" s="15" t="str">
        <f>IF(COUNTIFS(Master_PIC!$A$8:$A$73,$B210)=1,IF(VLOOKUP($B210,Master_PIC!$A$8:$G$73,5,FALSE)="","",VLOOKUP($B210,Master_PIC!$A$8:$G$73,5,FALSE)),"")</f>
        <v/>
      </c>
      <c r="F210" s="15" t="str">
        <f>IF(COUNTIFS(Master_PIC!$A$8:$A$73,$B210)=1,IF(VLOOKUP($B210,Master_PIC!$A$8:$G$73,6,FALSE)="","",VLOOKUP($B210,Master_PIC!$A$8:$G$73,6,FALSE)),"")</f>
        <v/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8"/>
      <c r="X210" s="5"/>
      <c r="Y210" s="5"/>
      <c r="Z210" s="9"/>
      <c r="AA210" s="5"/>
      <c r="AB210" s="5"/>
      <c r="AC210" s="9"/>
      <c r="AD210" s="5"/>
      <c r="AE210" s="7" t="str">
        <f t="shared" si="21"/>
        <v/>
      </c>
      <c r="AF210" s="7" t="str">
        <f t="shared" si="22"/>
        <v/>
      </c>
      <c r="AG210" s="7" t="str">
        <f t="shared" si="23"/>
        <v/>
      </c>
      <c r="AH210" s="7" t="str">
        <f t="shared" si="24"/>
        <v/>
      </c>
      <c r="AI210" s="7" t="str">
        <f t="shared" si="25"/>
        <v/>
      </c>
      <c r="AJ210" s="7" t="str">
        <f t="shared" si="26"/>
        <v/>
      </c>
      <c r="AK210" s="10" t="str">
        <f t="shared" si="27"/>
        <v/>
      </c>
      <c r="AL210" s="15" t="str">
        <f>IF(OR($A210&lt;&gt;"",$B210&lt;&gt;""),IF(OR($A210="",$B210=""),"Isi tanggal dan ID PIC",IF(NOT(ISNUMBER($A210)),"Tanggal harus berupa tanggal Excel",IF(COUNTIFS(Master_PIC!$A$8:$A$73,$B210)&lt;&gt;1,"ID PIC tidak unik/terdaftar",IF(VLOOKUP($B210,Master_PIC!$A$8:$G$73,3,FALSE)&lt;&gt;"SPV","Jabatan tidak sesuai sheet",IF(OR($C210="",$D210="",$E210="",$F210=""),"Lengkapi master PIC",IF(COUNTIFS($A$8:$A$507,$A210,$B$8:$B$507,$B210)&gt;1,"Laporan ganda",IF(COUNTIFS(G210:O210,"Tidak Berlaku")&gt;0,"N/A hanya untuk kegiatan bersyarat",IF(SUM(AF210,AG210,AH210,AI210,AJ210)&lt;&gt;13,"Status kegiatan tidak valid",IF(AJ210&gt;0,"Lengkapi status kegiatan",IF(AND(AI210&gt;0,T210=""),"Isi alasan Tidak Berlaku",IF(AND(SUM(AG210,AH210)&gt;0,OR(T210="",U210="",V210="",W210="")),"Isi kendala dan tindak lanjut",IF(AND(Y210&lt;&gt;"Draft",Y210&lt;&gt;"Dikirim"),"Isi status laporan yang valid",IF(AND(AA210&lt;&gt;"",AA210&lt;&gt;"Belum Diperiksa",AA210&lt;&gt;"Disetujui",AA210&lt;&gt;"Perlu Perbaikan"),"Hasil review tidak valid",IF(AND(Y210="Dikirim",OR(X210="",Z210="")),"Isi bukti dan waktu kirim",IF(AND(AA210="Disetujui",OR(Y210&lt;&gt;"Dikirim",AB210="",AC210="")),"Lengkapi pemeriksaan",IF(AND(AA210="Perlu Perbaikan",OR(AD210="",AB210="",AC210="")),"Isi pemeriksa dan catatan perbaikan","OK")))))))))))))))),"")</f>
        <v/>
      </c>
    </row>
    <row r="211" spans="1:38" ht="24.95" customHeight="1">
      <c r="A211" s="8"/>
      <c r="B211" s="6"/>
      <c r="C211" s="15" t="str">
        <f>IF(COUNTIFS(Master_PIC!$A$8:$A$73,$B211)=1,IF(VLOOKUP($B211,Master_PIC!$A$8:$G$73,2,FALSE)="","",VLOOKUP($B211,Master_PIC!$A$8:$G$73,2,FALSE)),"")</f>
        <v/>
      </c>
      <c r="D211" s="15" t="str">
        <f>IF(COUNTIFS(Master_PIC!$A$8:$A$73,$B211)=1,IF(VLOOKUP($B211,Master_PIC!$A$8:$G$73,4,FALSE)="","",VLOOKUP($B211,Master_PIC!$A$8:$G$73,4,FALSE)),"")</f>
        <v/>
      </c>
      <c r="E211" s="15" t="str">
        <f>IF(COUNTIFS(Master_PIC!$A$8:$A$73,$B211)=1,IF(VLOOKUP($B211,Master_PIC!$A$8:$G$73,5,FALSE)="","",VLOOKUP($B211,Master_PIC!$A$8:$G$73,5,FALSE)),"")</f>
        <v/>
      </c>
      <c r="F211" s="15" t="str">
        <f>IF(COUNTIFS(Master_PIC!$A$8:$A$73,$B211)=1,IF(VLOOKUP($B211,Master_PIC!$A$8:$G$73,6,FALSE)="","",VLOOKUP($B211,Master_PIC!$A$8:$G$73,6,FALSE)),"")</f>
        <v/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8"/>
      <c r="X211" s="5"/>
      <c r="Y211" s="5"/>
      <c r="Z211" s="9"/>
      <c r="AA211" s="5"/>
      <c r="AB211" s="5"/>
      <c r="AC211" s="9"/>
      <c r="AD211" s="5"/>
      <c r="AE211" s="7" t="str">
        <f t="shared" si="21"/>
        <v/>
      </c>
      <c r="AF211" s="7" t="str">
        <f t="shared" si="22"/>
        <v/>
      </c>
      <c r="AG211" s="7" t="str">
        <f t="shared" si="23"/>
        <v/>
      </c>
      <c r="AH211" s="7" t="str">
        <f t="shared" si="24"/>
        <v/>
      </c>
      <c r="AI211" s="7" t="str">
        <f t="shared" si="25"/>
        <v/>
      </c>
      <c r="AJ211" s="7" t="str">
        <f t="shared" si="26"/>
        <v/>
      </c>
      <c r="AK211" s="10" t="str">
        <f t="shared" si="27"/>
        <v/>
      </c>
      <c r="AL211" s="15" t="str">
        <f>IF(OR($A211&lt;&gt;"",$B211&lt;&gt;""),IF(OR($A211="",$B211=""),"Isi tanggal dan ID PIC",IF(NOT(ISNUMBER($A211)),"Tanggal harus berupa tanggal Excel",IF(COUNTIFS(Master_PIC!$A$8:$A$73,$B211)&lt;&gt;1,"ID PIC tidak unik/terdaftar",IF(VLOOKUP($B211,Master_PIC!$A$8:$G$73,3,FALSE)&lt;&gt;"SPV","Jabatan tidak sesuai sheet",IF(OR($C211="",$D211="",$E211="",$F211=""),"Lengkapi master PIC",IF(COUNTIFS($A$8:$A$507,$A211,$B$8:$B$507,$B211)&gt;1,"Laporan ganda",IF(COUNTIFS(G211:O211,"Tidak Berlaku")&gt;0,"N/A hanya untuk kegiatan bersyarat",IF(SUM(AF211,AG211,AH211,AI211,AJ211)&lt;&gt;13,"Status kegiatan tidak valid",IF(AJ211&gt;0,"Lengkapi status kegiatan",IF(AND(AI211&gt;0,T211=""),"Isi alasan Tidak Berlaku",IF(AND(SUM(AG211,AH211)&gt;0,OR(T211="",U211="",V211="",W211="")),"Isi kendala dan tindak lanjut",IF(AND(Y211&lt;&gt;"Draft",Y211&lt;&gt;"Dikirim"),"Isi status laporan yang valid",IF(AND(AA211&lt;&gt;"",AA211&lt;&gt;"Belum Diperiksa",AA211&lt;&gt;"Disetujui",AA211&lt;&gt;"Perlu Perbaikan"),"Hasil review tidak valid",IF(AND(Y211="Dikirim",OR(X211="",Z211="")),"Isi bukti dan waktu kirim",IF(AND(AA211="Disetujui",OR(Y211&lt;&gt;"Dikirim",AB211="",AC211="")),"Lengkapi pemeriksaan",IF(AND(AA211="Perlu Perbaikan",OR(AD211="",AB211="",AC211="")),"Isi pemeriksa dan catatan perbaikan","OK")))))))))))))))),"")</f>
        <v/>
      </c>
    </row>
    <row r="212" spans="1:38" ht="24.95" customHeight="1">
      <c r="A212" s="8"/>
      <c r="B212" s="6"/>
      <c r="C212" s="15" t="str">
        <f>IF(COUNTIFS(Master_PIC!$A$8:$A$73,$B212)=1,IF(VLOOKUP($B212,Master_PIC!$A$8:$G$73,2,FALSE)="","",VLOOKUP($B212,Master_PIC!$A$8:$G$73,2,FALSE)),"")</f>
        <v/>
      </c>
      <c r="D212" s="15" t="str">
        <f>IF(COUNTIFS(Master_PIC!$A$8:$A$73,$B212)=1,IF(VLOOKUP($B212,Master_PIC!$A$8:$G$73,4,FALSE)="","",VLOOKUP($B212,Master_PIC!$A$8:$G$73,4,FALSE)),"")</f>
        <v/>
      </c>
      <c r="E212" s="15" t="str">
        <f>IF(COUNTIFS(Master_PIC!$A$8:$A$73,$B212)=1,IF(VLOOKUP($B212,Master_PIC!$A$8:$G$73,5,FALSE)="","",VLOOKUP($B212,Master_PIC!$A$8:$G$73,5,FALSE)),"")</f>
        <v/>
      </c>
      <c r="F212" s="15" t="str">
        <f>IF(COUNTIFS(Master_PIC!$A$8:$A$73,$B212)=1,IF(VLOOKUP($B212,Master_PIC!$A$8:$G$73,6,FALSE)="","",VLOOKUP($B212,Master_PIC!$A$8:$G$73,6,FALSE)),"")</f>
        <v/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8"/>
      <c r="X212" s="5"/>
      <c r="Y212" s="5"/>
      <c r="Z212" s="9"/>
      <c r="AA212" s="5"/>
      <c r="AB212" s="5"/>
      <c r="AC212" s="9"/>
      <c r="AD212" s="5"/>
      <c r="AE212" s="7" t="str">
        <f t="shared" si="21"/>
        <v/>
      </c>
      <c r="AF212" s="7" t="str">
        <f t="shared" si="22"/>
        <v/>
      </c>
      <c r="AG212" s="7" t="str">
        <f t="shared" si="23"/>
        <v/>
      </c>
      <c r="AH212" s="7" t="str">
        <f t="shared" si="24"/>
        <v/>
      </c>
      <c r="AI212" s="7" t="str">
        <f t="shared" si="25"/>
        <v/>
      </c>
      <c r="AJ212" s="7" t="str">
        <f t="shared" si="26"/>
        <v/>
      </c>
      <c r="AK212" s="10" t="str">
        <f t="shared" si="27"/>
        <v/>
      </c>
      <c r="AL212" s="15" t="str">
        <f>IF(OR($A212&lt;&gt;"",$B212&lt;&gt;""),IF(OR($A212="",$B212=""),"Isi tanggal dan ID PIC",IF(NOT(ISNUMBER($A212)),"Tanggal harus berupa tanggal Excel",IF(COUNTIFS(Master_PIC!$A$8:$A$73,$B212)&lt;&gt;1,"ID PIC tidak unik/terdaftar",IF(VLOOKUP($B212,Master_PIC!$A$8:$G$73,3,FALSE)&lt;&gt;"SPV","Jabatan tidak sesuai sheet",IF(OR($C212="",$D212="",$E212="",$F212=""),"Lengkapi master PIC",IF(COUNTIFS($A$8:$A$507,$A212,$B$8:$B$507,$B212)&gt;1,"Laporan ganda",IF(COUNTIFS(G212:O212,"Tidak Berlaku")&gt;0,"N/A hanya untuk kegiatan bersyarat",IF(SUM(AF212,AG212,AH212,AI212,AJ212)&lt;&gt;13,"Status kegiatan tidak valid",IF(AJ212&gt;0,"Lengkapi status kegiatan",IF(AND(AI212&gt;0,T212=""),"Isi alasan Tidak Berlaku",IF(AND(SUM(AG212,AH212)&gt;0,OR(T212="",U212="",V212="",W212="")),"Isi kendala dan tindak lanjut",IF(AND(Y212&lt;&gt;"Draft",Y212&lt;&gt;"Dikirim"),"Isi status laporan yang valid",IF(AND(AA212&lt;&gt;"",AA212&lt;&gt;"Belum Diperiksa",AA212&lt;&gt;"Disetujui",AA212&lt;&gt;"Perlu Perbaikan"),"Hasil review tidak valid",IF(AND(Y212="Dikirim",OR(X212="",Z212="")),"Isi bukti dan waktu kirim",IF(AND(AA212="Disetujui",OR(Y212&lt;&gt;"Dikirim",AB212="",AC212="")),"Lengkapi pemeriksaan",IF(AND(AA212="Perlu Perbaikan",OR(AD212="",AB212="",AC212="")),"Isi pemeriksa dan catatan perbaikan","OK")))))))))))))))),"")</f>
        <v/>
      </c>
    </row>
    <row r="213" spans="1:38" ht="24.95" customHeight="1">
      <c r="A213" s="8"/>
      <c r="B213" s="6"/>
      <c r="C213" s="15" t="str">
        <f>IF(COUNTIFS(Master_PIC!$A$8:$A$73,$B213)=1,IF(VLOOKUP($B213,Master_PIC!$A$8:$G$73,2,FALSE)="","",VLOOKUP($B213,Master_PIC!$A$8:$G$73,2,FALSE)),"")</f>
        <v/>
      </c>
      <c r="D213" s="15" t="str">
        <f>IF(COUNTIFS(Master_PIC!$A$8:$A$73,$B213)=1,IF(VLOOKUP($B213,Master_PIC!$A$8:$G$73,4,FALSE)="","",VLOOKUP($B213,Master_PIC!$A$8:$G$73,4,FALSE)),"")</f>
        <v/>
      </c>
      <c r="E213" s="15" t="str">
        <f>IF(COUNTIFS(Master_PIC!$A$8:$A$73,$B213)=1,IF(VLOOKUP($B213,Master_PIC!$A$8:$G$73,5,FALSE)="","",VLOOKUP($B213,Master_PIC!$A$8:$G$73,5,FALSE)),"")</f>
        <v/>
      </c>
      <c r="F213" s="15" t="str">
        <f>IF(COUNTIFS(Master_PIC!$A$8:$A$73,$B213)=1,IF(VLOOKUP($B213,Master_PIC!$A$8:$G$73,6,FALSE)="","",VLOOKUP($B213,Master_PIC!$A$8:$G$73,6,FALSE)),"")</f>
        <v/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8"/>
      <c r="X213" s="5"/>
      <c r="Y213" s="5"/>
      <c r="Z213" s="9"/>
      <c r="AA213" s="5"/>
      <c r="AB213" s="5"/>
      <c r="AC213" s="9"/>
      <c r="AD213" s="5"/>
      <c r="AE213" s="7" t="str">
        <f t="shared" si="21"/>
        <v/>
      </c>
      <c r="AF213" s="7" t="str">
        <f t="shared" si="22"/>
        <v/>
      </c>
      <c r="AG213" s="7" t="str">
        <f t="shared" si="23"/>
        <v/>
      </c>
      <c r="AH213" s="7" t="str">
        <f t="shared" si="24"/>
        <v/>
      </c>
      <c r="AI213" s="7" t="str">
        <f t="shared" si="25"/>
        <v/>
      </c>
      <c r="AJ213" s="7" t="str">
        <f t="shared" si="26"/>
        <v/>
      </c>
      <c r="AK213" s="10" t="str">
        <f t="shared" si="27"/>
        <v/>
      </c>
      <c r="AL213" s="15" t="str">
        <f>IF(OR($A213&lt;&gt;"",$B213&lt;&gt;""),IF(OR($A213="",$B213=""),"Isi tanggal dan ID PIC",IF(NOT(ISNUMBER($A213)),"Tanggal harus berupa tanggal Excel",IF(COUNTIFS(Master_PIC!$A$8:$A$73,$B213)&lt;&gt;1,"ID PIC tidak unik/terdaftar",IF(VLOOKUP($B213,Master_PIC!$A$8:$G$73,3,FALSE)&lt;&gt;"SPV","Jabatan tidak sesuai sheet",IF(OR($C213="",$D213="",$E213="",$F213=""),"Lengkapi master PIC",IF(COUNTIFS($A$8:$A$507,$A213,$B$8:$B$507,$B213)&gt;1,"Laporan ganda",IF(COUNTIFS(G213:O213,"Tidak Berlaku")&gt;0,"N/A hanya untuk kegiatan bersyarat",IF(SUM(AF213,AG213,AH213,AI213,AJ213)&lt;&gt;13,"Status kegiatan tidak valid",IF(AJ213&gt;0,"Lengkapi status kegiatan",IF(AND(AI213&gt;0,T213=""),"Isi alasan Tidak Berlaku",IF(AND(SUM(AG213,AH213)&gt;0,OR(T213="",U213="",V213="",W213="")),"Isi kendala dan tindak lanjut",IF(AND(Y213&lt;&gt;"Draft",Y213&lt;&gt;"Dikirim"),"Isi status laporan yang valid",IF(AND(AA213&lt;&gt;"",AA213&lt;&gt;"Belum Diperiksa",AA213&lt;&gt;"Disetujui",AA213&lt;&gt;"Perlu Perbaikan"),"Hasil review tidak valid",IF(AND(Y213="Dikirim",OR(X213="",Z213="")),"Isi bukti dan waktu kirim",IF(AND(AA213="Disetujui",OR(Y213&lt;&gt;"Dikirim",AB213="",AC213="")),"Lengkapi pemeriksaan",IF(AND(AA213="Perlu Perbaikan",OR(AD213="",AB213="",AC213="")),"Isi pemeriksa dan catatan perbaikan","OK")))))))))))))))),"")</f>
        <v/>
      </c>
    </row>
    <row r="214" spans="1:38" ht="24.95" customHeight="1">
      <c r="A214" s="8"/>
      <c r="B214" s="6"/>
      <c r="C214" s="15" t="str">
        <f>IF(COUNTIFS(Master_PIC!$A$8:$A$73,$B214)=1,IF(VLOOKUP($B214,Master_PIC!$A$8:$G$73,2,FALSE)="","",VLOOKUP($B214,Master_PIC!$A$8:$G$73,2,FALSE)),"")</f>
        <v/>
      </c>
      <c r="D214" s="15" t="str">
        <f>IF(COUNTIFS(Master_PIC!$A$8:$A$73,$B214)=1,IF(VLOOKUP($B214,Master_PIC!$A$8:$G$73,4,FALSE)="","",VLOOKUP($B214,Master_PIC!$A$8:$G$73,4,FALSE)),"")</f>
        <v/>
      </c>
      <c r="E214" s="15" t="str">
        <f>IF(COUNTIFS(Master_PIC!$A$8:$A$73,$B214)=1,IF(VLOOKUP($B214,Master_PIC!$A$8:$G$73,5,FALSE)="","",VLOOKUP($B214,Master_PIC!$A$8:$G$73,5,FALSE)),"")</f>
        <v/>
      </c>
      <c r="F214" s="15" t="str">
        <f>IF(COUNTIFS(Master_PIC!$A$8:$A$73,$B214)=1,IF(VLOOKUP($B214,Master_PIC!$A$8:$G$73,6,FALSE)="","",VLOOKUP($B214,Master_PIC!$A$8:$G$73,6,FALSE)),"")</f>
        <v/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8"/>
      <c r="X214" s="5"/>
      <c r="Y214" s="5"/>
      <c r="Z214" s="9"/>
      <c r="AA214" s="5"/>
      <c r="AB214" s="5"/>
      <c r="AC214" s="9"/>
      <c r="AD214" s="5"/>
      <c r="AE214" s="7" t="str">
        <f t="shared" si="21"/>
        <v/>
      </c>
      <c r="AF214" s="7" t="str">
        <f t="shared" si="22"/>
        <v/>
      </c>
      <c r="AG214" s="7" t="str">
        <f t="shared" si="23"/>
        <v/>
      </c>
      <c r="AH214" s="7" t="str">
        <f t="shared" si="24"/>
        <v/>
      </c>
      <c r="AI214" s="7" t="str">
        <f t="shared" si="25"/>
        <v/>
      </c>
      <c r="AJ214" s="7" t="str">
        <f t="shared" si="26"/>
        <v/>
      </c>
      <c r="AK214" s="10" t="str">
        <f t="shared" si="27"/>
        <v/>
      </c>
      <c r="AL214" s="15" t="str">
        <f>IF(OR($A214&lt;&gt;"",$B214&lt;&gt;""),IF(OR($A214="",$B214=""),"Isi tanggal dan ID PIC",IF(NOT(ISNUMBER($A214)),"Tanggal harus berupa tanggal Excel",IF(COUNTIFS(Master_PIC!$A$8:$A$73,$B214)&lt;&gt;1,"ID PIC tidak unik/terdaftar",IF(VLOOKUP($B214,Master_PIC!$A$8:$G$73,3,FALSE)&lt;&gt;"SPV","Jabatan tidak sesuai sheet",IF(OR($C214="",$D214="",$E214="",$F214=""),"Lengkapi master PIC",IF(COUNTIFS($A$8:$A$507,$A214,$B$8:$B$507,$B214)&gt;1,"Laporan ganda",IF(COUNTIFS(G214:O214,"Tidak Berlaku")&gt;0,"N/A hanya untuk kegiatan bersyarat",IF(SUM(AF214,AG214,AH214,AI214,AJ214)&lt;&gt;13,"Status kegiatan tidak valid",IF(AJ214&gt;0,"Lengkapi status kegiatan",IF(AND(AI214&gt;0,T214=""),"Isi alasan Tidak Berlaku",IF(AND(SUM(AG214,AH214)&gt;0,OR(T214="",U214="",V214="",W214="")),"Isi kendala dan tindak lanjut",IF(AND(Y214&lt;&gt;"Draft",Y214&lt;&gt;"Dikirim"),"Isi status laporan yang valid",IF(AND(AA214&lt;&gt;"",AA214&lt;&gt;"Belum Diperiksa",AA214&lt;&gt;"Disetujui",AA214&lt;&gt;"Perlu Perbaikan"),"Hasil review tidak valid",IF(AND(Y214="Dikirim",OR(X214="",Z214="")),"Isi bukti dan waktu kirim",IF(AND(AA214="Disetujui",OR(Y214&lt;&gt;"Dikirim",AB214="",AC214="")),"Lengkapi pemeriksaan",IF(AND(AA214="Perlu Perbaikan",OR(AD214="",AB214="",AC214="")),"Isi pemeriksa dan catatan perbaikan","OK")))))))))))))))),"")</f>
        <v/>
      </c>
    </row>
    <row r="215" spans="1:38" ht="24.95" customHeight="1">
      <c r="A215" s="8"/>
      <c r="B215" s="6"/>
      <c r="C215" s="15" t="str">
        <f>IF(COUNTIFS(Master_PIC!$A$8:$A$73,$B215)=1,IF(VLOOKUP($B215,Master_PIC!$A$8:$G$73,2,FALSE)="","",VLOOKUP($B215,Master_PIC!$A$8:$G$73,2,FALSE)),"")</f>
        <v/>
      </c>
      <c r="D215" s="15" t="str">
        <f>IF(COUNTIFS(Master_PIC!$A$8:$A$73,$B215)=1,IF(VLOOKUP($B215,Master_PIC!$A$8:$G$73,4,FALSE)="","",VLOOKUP($B215,Master_PIC!$A$8:$G$73,4,FALSE)),"")</f>
        <v/>
      </c>
      <c r="E215" s="15" t="str">
        <f>IF(COUNTIFS(Master_PIC!$A$8:$A$73,$B215)=1,IF(VLOOKUP($B215,Master_PIC!$A$8:$G$73,5,FALSE)="","",VLOOKUP($B215,Master_PIC!$A$8:$G$73,5,FALSE)),"")</f>
        <v/>
      </c>
      <c r="F215" s="15" t="str">
        <f>IF(COUNTIFS(Master_PIC!$A$8:$A$73,$B215)=1,IF(VLOOKUP($B215,Master_PIC!$A$8:$G$73,6,FALSE)="","",VLOOKUP($B215,Master_PIC!$A$8:$G$73,6,FALSE)),"")</f>
        <v/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8"/>
      <c r="X215" s="5"/>
      <c r="Y215" s="5"/>
      <c r="Z215" s="9"/>
      <c r="AA215" s="5"/>
      <c r="AB215" s="5"/>
      <c r="AC215" s="9"/>
      <c r="AD215" s="5"/>
      <c r="AE215" s="7" t="str">
        <f t="shared" si="21"/>
        <v/>
      </c>
      <c r="AF215" s="7" t="str">
        <f t="shared" si="22"/>
        <v/>
      </c>
      <c r="AG215" s="7" t="str">
        <f t="shared" si="23"/>
        <v/>
      </c>
      <c r="AH215" s="7" t="str">
        <f t="shared" si="24"/>
        <v/>
      </c>
      <c r="AI215" s="7" t="str">
        <f t="shared" si="25"/>
        <v/>
      </c>
      <c r="AJ215" s="7" t="str">
        <f t="shared" si="26"/>
        <v/>
      </c>
      <c r="AK215" s="10" t="str">
        <f t="shared" si="27"/>
        <v/>
      </c>
      <c r="AL215" s="15" t="str">
        <f>IF(OR($A215&lt;&gt;"",$B215&lt;&gt;""),IF(OR($A215="",$B215=""),"Isi tanggal dan ID PIC",IF(NOT(ISNUMBER($A215)),"Tanggal harus berupa tanggal Excel",IF(COUNTIFS(Master_PIC!$A$8:$A$73,$B215)&lt;&gt;1,"ID PIC tidak unik/terdaftar",IF(VLOOKUP($B215,Master_PIC!$A$8:$G$73,3,FALSE)&lt;&gt;"SPV","Jabatan tidak sesuai sheet",IF(OR($C215="",$D215="",$E215="",$F215=""),"Lengkapi master PIC",IF(COUNTIFS($A$8:$A$507,$A215,$B$8:$B$507,$B215)&gt;1,"Laporan ganda",IF(COUNTIFS(G215:O215,"Tidak Berlaku")&gt;0,"N/A hanya untuk kegiatan bersyarat",IF(SUM(AF215,AG215,AH215,AI215,AJ215)&lt;&gt;13,"Status kegiatan tidak valid",IF(AJ215&gt;0,"Lengkapi status kegiatan",IF(AND(AI215&gt;0,T215=""),"Isi alasan Tidak Berlaku",IF(AND(SUM(AG215,AH215)&gt;0,OR(T215="",U215="",V215="",W215="")),"Isi kendala dan tindak lanjut",IF(AND(Y215&lt;&gt;"Draft",Y215&lt;&gt;"Dikirim"),"Isi status laporan yang valid",IF(AND(AA215&lt;&gt;"",AA215&lt;&gt;"Belum Diperiksa",AA215&lt;&gt;"Disetujui",AA215&lt;&gt;"Perlu Perbaikan"),"Hasil review tidak valid",IF(AND(Y215="Dikirim",OR(X215="",Z215="")),"Isi bukti dan waktu kirim",IF(AND(AA215="Disetujui",OR(Y215&lt;&gt;"Dikirim",AB215="",AC215="")),"Lengkapi pemeriksaan",IF(AND(AA215="Perlu Perbaikan",OR(AD215="",AB215="",AC215="")),"Isi pemeriksa dan catatan perbaikan","OK")))))))))))))))),"")</f>
        <v/>
      </c>
    </row>
    <row r="216" spans="1:38" ht="24.95" customHeight="1">
      <c r="A216" s="8"/>
      <c r="B216" s="6"/>
      <c r="C216" s="15" t="str">
        <f>IF(COUNTIFS(Master_PIC!$A$8:$A$73,$B216)=1,IF(VLOOKUP($B216,Master_PIC!$A$8:$G$73,2,FALSE)="","",VLOOKUP($B216,Master_PIC!$A$8:$G$73,2,FALSE)),"")</f>
        <v/>
      </c>
      <c r="D216" s="15" t="str">
        <f>IF(COUNTIFS(Master_PIC!$A$8:$A$73,$B216)=1,IF(VLOOKUP($B216,Master_PIC!$A$8:$G$73,4,FALSE)="","",VLOOKUP($B216,Master_PIC!$A$8:$G$73,4,FALSE)),"")</f>
        <v/>
      </c>
      <c r="E216" s="15" t="str">
        <f>IF(COUNTIFS(Master_PIC!$A$8:$A$73,$B216)=1,IF(VLOOKUP($B216,Master_PIC!$A$8:$G$73,5,FALSE)="","",VLOOKUP($B216,Master_PIC!$A$8:$G$73,5,FALSE)),"")</f>
        <v/>
      </c>
      <c r="F216" s="15" t="str">
        <f>IF(COUNTIFS(Master_PIC!$A$8:$A$73,$B216)=1,IF(VLOOKUP($B216,Master_PIC!$A$8:$G$73,6,FALSE)="","",VLOOKUP($B216,Master_PIC!$A$8:$G$73,6,FALSE)),"")</f>
        <v/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8"/>
      <c r="X216" s="5"/>
      <c r="Y216" s="5"/>
      <c r="Z216" s="9"/>
      <c r="AA216" s="5"/>
      <c r="AB216" s="5"/>
      <c r="AC216" s="9"/>
      <c r="AD216" s="5"/>
      <c r="AE216" s="7" t="str">
        <f t="shared" si="21"/>
        <v/>
      </c>
      <c r="AF216" s="7" t="str">
        <f t="shared" si="22"/>
        <v/>
      </c>
      <c r="AG216" s="7" t="str">
        <f t="shared" si="23"/>
        <v/>
      </c>
      <c r="AH216" s="7" t="str">
        <f t="shared" si="24"/>
        <v/>
      </c>
      <c r="AI216" s="7" t="str">
        <f t="shared" si="25"/>
        <v/>
      </c>
      <c r="AJ216" s="7" t="str">
        <f t="shared" si="26"/>
        <v/>
      </c>
      <c r="AK216" s="10" t="str">
        <f t="shared" si="27"/>
        <v/>
      </c>
      <c r="AL216" s="15" t="str">
        <f>IF(OR($A216&lt;&gt;"",$B216&lt;&gt;""),IF(OR($A216="",$B216=""),"Isi tanggal dan ID PIC",IF(NOT(ISNUMBER($A216)),"Tanggal harus berupa tanggal Excel",IF(COUNTIFS(Master_PIC!$A$8:$A$73,$B216)&lt;&gt;1,"ID PIC tidak unik/terdaftar",IF(VLOOKUP($B216,Master_PIC!$A$8:$G$73,3,FALSE)&lt;&gt;"SPV","Jabatan tidak sesuai sheet",IF(OR($C216="",$D216="",$E216="",$F216=""),"Lengkapi master PIC",IF(COUNTIFS($A$8:$A$507,$A216,$B$8:$B$507,$B216)&gt;1,"Laporan ganda",IF(COUNTIFS(G216:O216,"Tidak Berlaku")&gt;0,"N/A hanya untuk kegiatan bersyarat",IF(SUM(AF216,AG216,AH216,AI216,AJ216)&lt;&gt;13,"Status kegiatan tidak valid",IF(AJ216&gt;0,"Lengkapi status kegiatan",IF(AND(AI216&gt;0,T216=""),"Isi alasan Tidak Berlaku",IF(AND(SUM(AG216,AH216)&gt;0,OR(T216="",U216="",V216="",W216="")),"Isi kendala dan tindak lanjut",IF(AND(Y216&lt;&gt;"Draft",Y216&lt;&gt;"Dikirim"),"Isi status laporan yang valid",IF(AND(AA216&lt;&gt;"",AA216&lt;&gt;"Belum Diperiksa",AA216&lt;&gt;"Disetujui",AA216&lt;&gt;"Perlu Perbaikan"),"Hasil review tidak valid",IF(AND(Y216="Dikirim",OR(X216="",Z216="")),"Isi bukti dan waktu kirim",IF(AND(AA216="Disetujui",OR(Y216&lt;&gt;"Dikirim",AB216="",AC216="")),"Lengkapi pemeriksaan",IF(AND(AA216="Perlu Perbaikan",OR(AD216="",AB216="",AC216="")),"Isi pemeriksa dan catatan perbaikan","OK")))))))))))))))),"")</f>
        <v/>
      </c>
    </row>
    <row r="217" spans="1:38" ht="24.95" customHeight="1">
      <c r="A217" s="8"/>
      <c r="B217" s="6"/>
      <c r="C217" s="15" t="str">
        <f>IF(COUNTIFS(Master_PIC!$A$8:$A$73,$B217)=1,IF(VLOOKUP($B217,Master_PIC!$A$8:$G$73,2,FALSE)="","",VLOOKUP($B217,Master_PIC!$A$8:$G$73,2,FALSE)),"")</f>
        <v/>
      </c>
      <c r="D217" s="15" t="str">
        <f>IF(COUNTIFS(Master_PIC!$A$8:$A$73,$B217)=1,IF(VLOOKUP($B217,Master_PIC!$A$8:$G$73,4,FALSE)="","",VLOOKUP($B217,Master_PIC!$A$8:$G$73,4,FALSE)),"")</f>
        <v/>
      </c>
      <c r="E217" s="15" t="str">
        <f>IF(COUNTIFS(Master_PIC!$A$8:$A$73,$B217)=1,IF(VLOOKUP($B217,Master_PIC!$A$8:$G$73,5,FALSE)="","",VLOOKUP($B217,Master_PIC!$A$8:$G$73,5,FALSE)),"")</f>
        <v/>
      </c>
      <c r="F217" s="15" t="str">
        <f>IF(COUNTIFS(Master_PIC!$A$8:$A$73,$B217)=1,IF(VLOOKUP($B217,Master_PIC!$A$8:$G$73,6,FALSE)="","",VLOOKUP($B217,Master_PIC!$A$8:$G$73,6,FALSE)),"")</f>
        <v/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8"/>
      <c r="X217" s="5"/>
      <c r="Y217" s="5"/>
      <c r="Z217" s="9"/>
      <c r="AA217" s="5"/>
      <c r="AB217" s="5"/>
      <c r="AC217" s="9"/>
      <c r="AD217" s="5"/>
      <c r="AE217" s="7" t="str">
        <f t="shared" si="21"/>
        <v/>
      </c>
      <c r="AF217" s="7" t="str">
        <f t="shared" si="22"/>
        <v/>
      </c>
      <c r="AG217" s="7" t="str">
        <f t="shared" si="23"/>
        <v/>
      </c>
      <c r="AH217" s="7" t="str">
        <f t="shared" si="24"/>
        <v/>
      </c>
      <c r="AI217" s="7" t="str">
        <f t="shared" si="25"/>
        <v/>
      </c>
      <c r="AJ217" s="7" t="str">
        <f t="shared" si="26"/>
        <v/>
      </c>
      <c r="AK217" s="10" t="str">
        <f t="shared" si="27"/>
        <v/>
      </c>
      <c r="AL217" s="15" t="str">
        <f>IF(OR($A217&lt;&gt;"",$B217&lt;&gt;""),IF(OR($A217="",$B217=""),"Isi tanggal dan ID PIC",IF(NOT(ISNUMBER($A217)),"Tanggal harus berupa tanggal Excel",IF(COUNTIFS(Master_PIC!$A$8:$A$73,$B217)&lt;&gt;1,"ID PIC tidak unik/terdaftar",IF(VLOOKUP($B217,Master_PIC!$A$8:$G$73,3,FALSE)&lt;&gt;"SPV","Jabatan tidak sesuai sheet",IF(OR($C217="",$D217="",$E217="",$F217=""),"Lengkapi master PIC",IF(COUNTIFS($A$8:$A$507,$A217,$B$8:$B$507,$B217)&gt;1,"Laporan ganda",IF(COUNTIFS(G217:O217,"Tidak Berlaku")&gt;0,"N/A hanya untuk kegiatan bersyarat",IF(SUM(AF217,AG217,AH217,AI217,AJ217)&lt;&gt;13,"Status kegiatan tidak valid",IF(AJ217&gt;0,"Lengkapi status kegiatan",IF(AND(AI217&gt;0,T217=""),"Isi alasan Tidak Berlaku",IF(AND(SUM(AG217,AH217)&gt;0,OR(T217="",U217="",V217="",W217="")),"Isi kendala dan tindak lanjut",IF(AND(Y217&lt;&gt;"Draft",Y217&lt;&gt;"Dikirim"),"Isi status laporan yang valid",IF(AND(AA217&lt;&gt;"",AA217&lt;&gt;"Belum Diperiksa",AA217&lt;&gt;"Disetujui",AA217&lt;&gt;"Perlu Perbaikan"),"Hasil review tidak valid",IF(AND(Y217="Dikirim",OR(X217="",Z217="")),"Isi bukti dan waktu kirim",IF(AND(AA217="Disetujui",OR(Y217&lt;&gt;"Dikirim",AB217="",AC217="")),"Lengkapi pemeriksaan",IF(AND(AA217="Perlu Perbaikan",OR(AD217="",AB217="",AC217="")),"Isi pemeriksa dan catatan perbaikan","OK")))))))))))))))),"")</f>
        <v/>
      </c>
    </row>
    <row r="218" spans="1:38" ht="24.95" customHeight="1">
      <c r="A218" s="8"/>
      <c r="B218" s="6"/>
      <c r="C218" s="15" t="str">
        <f>IF(COUNTIFS(Master_PIC!$A$8:$A$73,$B218)=1,IF(VLOOKUP($B218,Master_PIC!$A$8:$G$73,2,FALSE)="","",VLOOKUP($B218,Master_PIC!$A$8:$G$73,2,FALSE)),"")</f>
        <v/>
      </c>
      <c r="D218" s="15" t="str">
        <f>IF(COUNTIFS(Master_PIC!$A$8:$A$73,$B218)=1,IF(VLOOKUP($B218,Master_PIC!$A$8:$G$73,4,FALSE)="","",VLOOKUP($B218,Master_PIC!$A$8:$G$73,4,FALSE)),"")</f>
        <v/>
      </c>
      <c r="E218" s="15" t="str">
        <f>IF(COUNTIFS(Master_PIC!$A$8:$A$73,$B218)=1,IF(VLOOKUP($B218,Master_PIC!$A$8:$G$73,5,FALSE)="","",VLOOKUP($B218,Master_PIC!$A$8:$G$73,5,FALSE)),"")</f>
        <v/>
      </c>
      <c r="F218" s="15" t="str">
        <f>IF(COUNTIFS(Master_PIC!$A$8:$A$73,$B218)=1,IF(VLOOKUP($B218,Master_PIC!$A$8:$G$73,6,FALSE)="","",VLOOKUP($B218,Master_PIC!$A$8:$G$73,6,FALSE)),"")</f>
        <v/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8"/>
      <c r="X218" s="5"/>
      <c r="Y218" s="5"/>
      <c r="Z218" s="9"/>
      <c r="AA218" s="5"/>
      <c r="AB218" s="5"/>
      <c r="AC218" s="9"/>
      <c r="AD218" s="5"/>
      <c r="AE218" s="7" t="str">
        <f t="shared" si="21"/>
        <v/>
      </c>
      <c r="AF218" s="7" t="str">
        <f t="shared" si="22"/>
        <v/>
      </c>
      <c r="AG218" s="7" t="str">
        <f t="shared" si="23"/>
        <v/>
      </c>
      <c r="AH218" s="7" t="str">
        <f t="shared" si="24"/>
        <v/>
      </c>
      <c r="AI218" s="7" t="str">
        <f t="shared" si="25"/>
        <v/>
      </c>
      <c r="AJ218" s="7" t="str">
        <f t="shared" si="26"/>
        <v/>
      </c>
      <c r="AK218" s="10" t="str">
        <f t="shared" si="27"/>
        <v/>
      </c>
      <c r="AL218" s="15" t="str">
        <f>IF(OR($A218&lt;&gt;"",$B218&lt;&gt;""),IF(OR($A218="",$B218=""),"Isi tanggal dan ID PIC",IF(NOT(ISNUMBER($A218)),"Tanggal harus berupa tanggal Excel",IF(COUNTIFS(Master_PIC!$A$8:$A$73,$B218)&lt;&gt;1,"ID PIC tidak unik/terdaftar",IF(VLOOKUP($B218,Master_PIC!$A$8:$G$73,3,FALSE)&lt;&gt;"SPV","Jabatan tidak sesuai sheet",IF(OR($C218="",$D218="",$E218="",$F218=""),"Lengkapi master PIC",IF(COUNTIFS($A$8:$A$507,$A218,$B$8:$B$507,$B218)&gt;1,"Laporan ganda",IF(COUNTIFS(G218:O218,"Tidak Berlaku")&gt;0,"N/A hanya untuk kegiatan bersyarat",IF(SUM(AF218,AG218,AH218,AI218,AJ218)&lt;&gt;13,"Status kegiatan tidak valid",IF(AJ218&gt;0,"Lengkapi status kegiatan",IF(AND(AI218&gt;0,T218=""),"Isi alasan Tidak Berlaku",IF(AND(SUM(AG218,AH218)&gt;0,OR(T218="",U218="",V218="",W218="")),"Isi kendala dan tindak lanjut",IF(AND(Y218&lt;&gt;"Draft",Y218&lt;&gt;"Dikirim"),"Isi status laporan yang valid",IF(AND(AA218&lt;&gt;"",AA218&lt;&gt;"Belum Diperiksa",AA218&lt;&gt;"Disetujui",AA218&lt;&gt;"Perlu Perbaikan"),"Hasil review tidak valid",IF(AND(Y218="Dikirim",OR(X218="",Z218="")),"Isi bukti dan waktu kirim",IF(AND(AA218="Disetujui",OR(Y218&lt;&gt;"Dikirim",AB218="",AC218="")),"Lengkapi pemeriksaan",IF(AND(AA218="Perlu Perbaikan",OR(AD218="",AB218="",AC218="")),"Isi pemeriksa dan catatan perbaikan","OK")))))))))))))))),"")</f>
        <v/>
      </c>
    </row>
    <row r="219" spans="1:38" ht="24.95" customHeight="1">
      <c r="A219" s="8"/>
      <c r="B219" s="6"/>
      <c r="C219" s="15" t="str">
        <f>IF(COUNTIFS(Master_PIC!$A$8:$A$73,$B219)=1,IF(VLOOKUP($B219,Master_PIC!$A$8:$G$73,2,FALSE)="","",VLOOKUP($B219,Master_PIC!$A$8:$G$73,2,FALSE)),"")</f>
        <v/>
      </c>
      <c r="D219" s="15" t="str">
        <f>IF(COUNTIFS(Master_PIC!$A$8:$A$73,$B219)=1,IF(VLOOKUP($B219,Master_PIC!$A$8:$G$73,4,FALSE)="","",VLOOKUP($B219,Master_PIC!$A$8:$G$73,4,FALSE)),"")</f>
        <v/>
      </c>
      <c r="E219" s="15" t="str">
        <f>IF(COUNTIFS(Master_PIC!$A$8:$A$73,$B219)=1,IF(VLOOKUP($B219,Master_PIC!$A$8:$G$73,5,FALSE)="","",VLOOKUP($B219,Master_PIC!$A$8:$G$73,5,FALSE)),"")</f>
        <v/>
      </c>
      <c r="F219" s="15" t="str">
        <f>IF(COUNTIFS(Master_PIC!$A$8:$A$73,$B219)=1,IF(VLOOKUP($B219,Master_PIC!$A$8:$G$73,6,FALSE)="","",VLOOKUP($B219,Master_PIC!$A$8:$G$73,6,FALSE)),"")</f>
        <v/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8"/>
      <c r="X219" s="5"/>
      <c r="Y219" s="5"/>
      <c r="Z219" s="9"/>
      <c r="AA219" s="5"/>
      <c r="AB219" s="5"/>
      <c r="AC219" s="9"/>
      <c r="AD219" s="5"/>
      <c r="AE219" s="7" t="str">
        <f t="shared" si="21"/>
        <v/>
      </c>
      <c r="AF219" s="7" t="str">
        <f t="shared" si="22"/>
        <v/>
      </c>
      <c r="AG219" s="7" t="str">
        <f t="shared" si="23"/>
        <v/>
      </c>
      <c r="AH219" s="7" t="str">
        <f t="shared" si="24"/>
        <v/>
      </c>
      <c r="AI219" s="7" t="str">
        <f t="shared" si="25"/>
        <v/>
      </c>
      <c r="AJ219" s="7" t="str">
        <f t="shared" si="26"/>
        <v/>
      </c>
      <c r="AK219" s="10" t="str">
        <f t="shared" si="27"/>
        <v/>
      </c>
      <c r="AL219" s="15" t="str">
        <f>IF(OR($A219&lt;&gt;"",$B219&lt;&gt;""),IF(OR($A219="",$B219=""),"Isi tanggal dan ID PIC",IF(NOT(ISNUMBER($A219)),"Tanggal harus berupa tanggal Excel",IF(COUNTIFS(Master_PIC!$A$8:$A$73,$B219)&lt;&gt;1,"ID PIC tidak unik/terdaftar",IF(VLOOKUP($B219,Master_PIC!$A$8:$G$73,3,FALSE)&lt;&gt;"SPV","Jabatan tidak sesuai sheet",IF(OR($C219="",$D219="",$E219="",$F219=""),"Lengkapi master PIC",IF(COUNTIFS($A$8:$A$507,$A219,$B$8:$B$507,$B219)&gt;1,"Laporan ganda",IF(COUNTIFS(G219:O219,"Tidak Berlaku")&gt;0,"N/A hanya untuk kegiatan bersyarat",IF(SUM(AF219,AG219,AH219,AI219,AJ219)&lt;&gt;13,"Status kegiatan tidak valid",IF(AJ219&gt;0,"Lengkapi status kegiatan",IF(AND(AI219&gt;0,T219=""),"Isi alasan Tidak Berlaku",IF(AND(SUM(AG219,AH219)&gt;0,OR(T219="",U219="",V219="",W219="")),"Isi kendala dan tindak lanjut",IF(AND(Y219&lt;&gt;"Draft",Y219&lt;&gt;"Dikirim"),"Isi status laporan yang valid",IF(AND(AA219&lt;&gt;"",AA219&lt;&gt;"Belum Diperiksa",AA219&lt;&gt;"Disetujui",AA219&lt;&gt;"Perlu Perbaikan"),"Hasil review tidak valid",IF(AND(Y219="Dikirim",OR(X219="",Z219="")),"Isi bukti dan waktu kirim",IF(AND(AA219="Disetujui",OR(Y219&lt;&gt;"Dikirim",AB219="",AC219="")),"Lengkapi pemeriksaan",IF(AND(AA219="Perlu Perbaikan",OR(AD219="",AB219="",AC219="")),"Isi pemeriksa dan catatan perbaikan","OK")))))))))))))))),"")</f>
        <v/>
      </c>
    </row>
    <row r="220" spans="1:38" ht="24.95" customHeight="1">
      <c r="A220" s="8"/>
      <c r="B220" s="6"/>
      <c r="C220" s="15" t="str">
        <f>IF(COUNTIFS(Master_PIC!$A$8:$A$73,$B220)=1,IF(VLOOKUP($B220,Master_PIC!$A$8:$G$73,2,FALSE)="","",VLOOKUP($B220,Master_PIC!$A$8:$G$73,2,FALSE)),"")</f>
        <v/>
      </c>
      <c r="D220" s="15" t="str">
        <f>IF(COUNTIFS(Master_PIC!$A$8:$A$73,$B220)=1,IF(VLOOKUP($B220,Master_PIC!$A$8:$G$73,4,FALSE)="","",VLOOKUP($B220,Master_PIC!$A$8:$G$73,4,FALSE)),"")</f>
        <v/>
      </c>
      <c r="E220" s="15" t="str">
        <f>IF(COUNTIFS(Master_PIC!$A$8:$A$73,$B220)=1,IF(VLOOKUP($B220,Master_PIC!$A$8:$G$73,5,FALSE)="","",VLOOKUP($B220,Master_PIC!$A$8:$G$73,5,FALSE)),"")</f>
        <v/>
      </c>
      <c r="F220" s="15" t="str">
        <f>IF(COUNTIFS(Master_PIC!$A$8:$A$73,$B220)=1,IF(VLOOKUP($B220,Master_PIC!$A$8:$G$73,6,FALSE)="","",VLOOKUP($B220,Master_PIC!$A$8:$G$73,6,FALSE)),"")</f>
        <v/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8"/>
      <c r="X220" s="5"/>
      <c r="Y220" s="5"/>
      <c r="Z220" s="9"/>
      <c r="AA220" s="5"/>
      <c r="AB220" s="5"/>
      <c r="AC220" s="9"/>
      <c r="AD220" s="5"/>
      <c r="AE220" s="7" t="str">
        <f t="shared" si="21"/>
        <v/>
      </c>
      <c r="AF220" s="7" t="str">
        <f t="shared" si="22"/>
        <v/>
      </c>
      <c r="AG220" s="7" t="str">
        <f t="shared" si="23"/>
        <v/>
      </c>
      <c r="AH220" s="7" t="str">
        <f t="shared" si="24"/>
        <v/>
      </c>
      <c r="AI220" s="7" t="str">
        <f t="shared" si="25"/>
        <v/>
      </c>
      <c r="AJ220" s="7" t="str">
        <f t="shared" si="26"/>
        <v/>
      </c>
      <c r="AK220" s="10" t="str">
        <f t="shared" si="27"/>
        <v/>
      </c>
      <c r="AL220" s="15" t="str">
        <f>IF(OR($A220&lt;&gt;"",$B220&lt;&gt;""),IF(OR($A220="",$B220=""),"Isi tanggal dan ID PIC",IF(NOT(ISNUMBER($A220)),"Tanggal harus berupa tanggal Excel",IF(COUNTIFS(Master_PIC!$A$8:$A$73,$B220)&lt;&gt;1,"ID PIC tidak unik/terdaftar",IF(VLOOKUP($B220,Master_PIC!$A$8:$G$73,3,FALSE)&lt;&gt;"SPV","Jabatan tidak sesuai sheet",IF(OR($C220="",$D220="",$E220="",$F220=""),"Lengkapi master PIC",IF(COUNTIFS($A$8:$A$507,$A220,$B$8:$B$507,$B220)&gt;1,"Laporan ganda",IF(COUNTIFS(G220:O220,"Tidak Berlaku")&gt;0,"N/A hanya untuk kegiatan bersyarat",IF(SUM(AF220,AG220,AH220,AI220,AJ220)&lt;&gt;13,"Status kegiatan tidak valid",IF(AJ220&gt;0,"Lengkapi status kegiatan",IF(AND(AI220&gt;0,T220=""),"Isi alasan Tidak Berlaku",IF(AND(SUM(AG220,AH220)&gt;0,OR(T220="",U220="",V220="",W220="")),"Isi kendala dan tindak lanjut",IF(AND(Y220&lt;&gt;"Draft",Y220&lt;&gt;"Dikirim"),"Isi status laporan yang valid",IF(AND(AA220&lt;&gt;"",AA220&lt;&gt;"Belum Diperiksa",AA220&lt;&gt;"Disetujui",AA220&lt;&gt;"Perlu Perbaikan"),"Hasil review tidak valid",IF(AND(Y220="Dikirim",OR(X220="",Z220="")),"Isi bukti dan waktu kirim",IF(AND(AA220="Disetujui",OR(Y220&lt;&gt;"Dikirim",AB220="",AC220="")),"Lengkapi pemeriksaan",IF(AND(AA220="Perlu Perbaikan",OR(AD220="",AB220="",AC220="")),"Isi pemeriksa dan catatan perbaikan","OK")))))))))))))))),"")</f>
        <v/>
      </c>
    </row>
    <row r="221" spans="1:38" ht="24.95" customHeight="1">
      <c r="A221" s="8"/>
      <c r="B221" s="6"/>
      <c r="C221" s="15" t="str">
        <f>IF(COUNTIFS(Master_PIC!$A$8:$A$73,$B221)=1,IF(VLOOKUP($B221,Master_PIC!$A$8:$G$73,2,FALSE)="","",VLOOKUP($B221,Master_PIC!$A$8:$G$73,2,FALSE)),"")</f>
        <v/>
      </c>
      <c r="D221" s="15" t="str">
        <f>IF(COUNTIFS(Master_PIC!$A$8:$A$73,$B221)=1,IF(VLOOKUP($B221,Master_PIC!$A$8:$G$73,4,FALSE)="","",VLOOKUP($B221,Master_PIC!$A$8:$G$73,4,FALSE)),"")</f>
        <v/>
      </c>
      <c r="E221" s="15" t="str">
        <f>IF(COUNTIFS(Master_PIC!$A$8:$A$73,$B221)=1,IF(VLOOKUP($B221,Master_PIC!$A$8:$G$73,5,FALSE)="","",VLOOKUP($B221,Master_PIC!$A$8:$G$73,5,FALSE)),"")</f>
        <v/>
      </c>
      <c r="F221" s="15" t="str">
        <f>IF(COUNTIFS(Master_PIC!$A$8:$A$73,$B221)=1,IF(VLOOKUP($B221,Master_PIC!$A$8:$G$73,6,FALSE)="","",VLOOKUP($B221,Master_PIC!$A$8:$G$73,6,FALSE)),"")</f>
        <v/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8"/>
      <c r="X221" s="5"/>
      <c r="Y221" s="5"/>
      <c r="Z221" s="9"/>
      <c r="AA221" s="5"/>
      <c r="AB221" s="5"/>
      <c r="AC221" s="9"/>
      <c r="AD221" s="5"/>
      <c r="AE221" s="7" t="str">
        <f t="shared" si="21"/>
        <v/>
      </c>
      <c r="AF221" s="7" t="str">
        <f t="shared" si="22"/>
        <v/>
      </c>
      <c r="AG221" s="7" t="str">
        <f t="shared" si="23"/>
        <v/>
      </c>
      <c r="AH221" s="7" t="str">
        <f t="shared" si="24"/>
        <v/>
      </c>
      <c r="AI221" s="7" t="str">
        <f t="shared" si="25"/>
        <v/>
      </c>
      <c r="AJ221" s="7" t="str">
        <f t="shared" si="26"/>
        <v/>
      </c>
      <c r="AK221" s="10" t="str">
        <f t="shared" si="27"/>
        <v/>
      </c>
      <c r="AL221" s="15" t="str">
        <f>IF(OR($A221&lt;&gt;"",$B221&lt;&gt;""),IF(OR($A221="",$B221=""),"Isi tanggal dan ID PIC",IF(NOT(ISNUMBER($A221)),"Tanggal harus berupa tanggal Excel",IF(COUNTIFS(Master_PIC!$A$8:$A$73,$B221)&lt;&gt;1,"ID PIC tidak unik/terdaftar",IF(VLOOKUP($B221,Master_PIC!$A$8:$G$73,3,FALSE)&lt;&gt;"SPV","Jabatan tidak sesuai sheet",IF(OR($C221="",$D221="",$E221="",$F221=""),"Lengkapi master PIC",IF(COUNTIFS($A$8:$A$507,$A221,$B$8:$B$507,$B221)&gt;1,"Laporan ganda",IF(COUNTIFS(G221:O221,"Tidak Berlaku")&gt;0,"N/A hanya untuk kegiatan bersyarat",IF(SUM(AF221,AG221,AH221,AI221,AJ221)&lt;&gt;13,"Status kegiatan tidak valid",IF(AJ221&gt;0,"Lengkapi status kegiatan",IF(AND(AI221&gt;0,T221=""),"Isi alasan Tidak Berlaku",IF(AND(SUM(AG221,AH221)&gt;0,OR(T221="",U221="",V221="",W221="")),"Isi kendala dan tindak lanjut",IF(AND(Y221&lt;&gt;"Draft",Y221&lt;&gt;"Dikirim"),"Isi status laporan yang valid",IF(AND(AA221&lt;&gt;"",AA221&lt;&gt;"Belum Diperiksa",AA221&lt;&gt;"Disetujui",AA221&lt;&gt;"Perlu Perbaikan"),"Hasil review tidak valid",IF(AND(Y221="Dikirim",OR(X221="",Z221="")),"Isi bukti dan waktu kirim",IF(AND(AA221="Disetujui",OR(Y221&lt;&gt;"Dikirim",AB221="",AC221="")),"Lengkapi pemeriksaan",IF(AND(AA221="Perlu Perbaikan",OR(AD221="",AB221="",AC221="")),"Isi pemeriksa dan catatan perbaikan","OK")))))))))))))))),"")</f>
        <v/>
      </c>
    </row>
    <row r="222" spans="1:38" ht="24.95" customHeight="1">
      <c r="A222" s="8"/>
      <c r="B222" s="6"/>
      <c r="C222" s="15" t="str">
        <f>IF(COUNTIFS(Master_PIC!$A$8:$A$73,$B222)=1,IF(VLOOKUP($B222,Master_PIC!$A$8:$G$73,2,FALSE)="","",VLOOKUP($B222,Master_PIC!$A$8:$G$73,2,FALSE)),"")</f>
        <v/>
      </c>
      <c r="D222" s="15" t="str">
        <f>IF(COUNTIFS(Master_PIC!$A$8:$A$73,$B222)=1,IF(VLOOKUP($B222,Master_PIC!$A$8:$G$73,4,FALSE)="","",VLOOKUP($B222,Master_PIC!$A$8:$G$73,4,FALSE)),"")</f>
        <v/>
      </c>
      <c r="E222" s="15" t="str">
        <f>IF(COUNTIFS(Master_PIC!$A$8:$A$73,$B222)=1,IF(VLOOKUP($B222,Master_PIC!$A$8:$G$73,5,FALSE)="","",VLOOKUP($B222,Master_PIC!$A$8:$G$73,5,FALSE)),"")</f>
        <v/>
      </c>
      <c r="F222" s="15" t="str">
        <f>IF(COUNTIFS(Master_PIC!$A$8:$A$73,$B222)=1,IF(VLOOKUP($B222,Master_PIC!$A$8:$G$73,6,FALSE)="","",VLOOKUP($B222,Master_PIC!$A$8:$G$73,6,FALSE)),"")</f>
        <v/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8"/>
      <c r="X222" s="5"/>
      <c r="Y222" s="5"/>
      <c r="Z222" s="9"/>
      <c r="AA222" s="5"/>
      <c r="AB222" s="5"/>
      <c r="AC222" s="9"/>
      <c r="AD222" s="5"/>
      <c r="AE222" s="7" t="str">
        <f t="shared" si="21"/>
        <v/>
      </c>
      <c r="AF222" s="7" t="str">
        <f t="shared" si="22"/>
        <v/>
      </c>
      <c r="AG222" s="7" t="str">
        <f t="shared" si="23"/>
        <v/>
      </c>
      <c r="AH222" s="7" t="str">
        <f t="shared" si="24"/>
        <v/>
      </c>
      <c r="AI222" s="7" t="str">
        <f t="shared" si="25"/>
        <v/>
      </c>
      <c r="AJ222" s="7" t="str">
        <f t="shared" si="26"/>
        <v/>
      </c>
      <c r="AK222" s="10" t="str">
        <f t="shared" si="27"/>
        <v/>
      </c>
      <c r="AL222" s="15" t="str">
        <f>IF(OR($A222&lt;&gt;"",$B222&lt;&gt;""),IF(OR($A222="",$B222=""),"Isi tanggal dan ID PIC",IF(NOT(ISNUMBER($A222)),"Tanggal harus berupa tanggal Excel",IF(COUNTIFS(Master_PIC!$A$8:$A$73,$B222)&lt;&gt;1,"ID PIC tidak unik/terdaftar",IF(VLOOKUP($B222,Master_PIC!$A$8:$G$73,3,FALSE)&lt;&gt;"SPV","Jabatan tidak sesuai sheet",IF(OR($C222="",$D222="",$E222="",$F222=""),"Lengkapi master PIC",IF(COUNTIFS($A$8:$A$507,$A222,$B$8:$B$507,$B222)&gt;1,"Laporan ganda",IF(COUNTIFS(G222:O222,"Tidak Berlaku")&gt;0,"N/A hanya untuk kegiatan bersyarat",IF(SUM(AF222,AG222,AH222,AI222,AJ222)&lt;&gt;13,"Status kegiatan tidak valid",IF(AJ222&gt;0,"Lengkapi status kegiatan",IF(AND(AI222&gt;0,T222=""),"Isi alasan Tidak Berlaku",IF(AND(SUM(AG222,AH222)&gt;0,OR(T222="",U222="",V222="",W222="")),"Isi kendala dan tindak lanjut",IF(AND(Y222&lt;&gt;"Draft",Y222&lt;&gt;"Dikirim"),"Isi status laporan yang valid",IF(AND(AA222&lt;&gt;"",AA222&lt;&gt;"Belum Diperiksa",AA222&lt;&gt;"Disetujui",AA222&lt;&gt;"Perlu Perbaikan"),"Hasil review tidak valid",IF(AND(Y222="Dikirim",OR(X222="",Z222="")),"Isi bukti dan waktu kirim",IF(AND(AA222="Disetujui",OR(Y222&lt;&gt;"Dikirim",AB222="",AC222="")),"Lengkapi pemeriksaan",IF(AND(AA222="Perlu Perbaikan",OR(AD222="",AB222="",AC222="")),"Isi pemeriksa dan catatan perbaikan","OK")))))))))))))))),"")</f>
        <v/>
      </c>
    </row>
    <row r="223" spans="1:38" ht="24.95" customHeight="1">
      <c r="A223" s="8"/>
      <c r="B223" s="6"/>
      <c r="C223" s="15" t="str">
        <f>IF(COUNTIFS(Master_PIC!$A$8:$A$73,$B223)=1,IF(VLOOKUP($B223,Master_PIC!$A$8:$G$73,2,FALSE)="","",VLOOKUP($B223,Master_PIC!$A$8:$G$73,2,FALSE)),"")</f>
        <v/>
      </c>
      <c r="D223" s="15" t="str">
        <f>IF(COUNTIFS(Master_PIC!$A$8:$A$73,$B223)=1,IF(VLOOKUP($B223,Master_PIC!$A$8:$G$73,4,FALSE)="","",VLOOKUP($B223,Master_PIC!$A$8:$G$73,4,FALSE)),"")</f>
        <v/>
      </c>
      <c r="E223" s="15" t="str">
        <f>IF(COUNTIFS(Master_PIC!$A$8:$A$73,$B223)=1,IF(VLOOKUP($B223,Master_PIC!$A$8:$G$73,5,FALSE)="","",VLOOKUP($B223,Master_PIC!$A$8:$G$73,5,FALSE)),"")</f>
        <v/>
      </c>
      <c r="F223" s="15" t="str">
        <f>IF(COUNTIFS(Master_PIC!$A$8:$A$73,$B223)=1,IF(VLOOKUP($B223,Master_PIC!$A$8:$G$73,6,FALSE)="","",VLOOKUP($B223,Master_PIC!$A$8:$G$73,6,FALSE)),"")</f>
        <v/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8"/>
      <c r="X223" s="5"/>
      <c r="Y223" s="5"/>
      <c r="Z223" s="9"/>
      <c r="AA223" s="5"/>
      <c r="AB223" s="5"/>
      <c r="AC223" s="9"/>
      <c r="AD223" s="5"/>
      <c r="AE223" s="7" t="str">
        <f t="shared" si="21"/>
        <v/>
      </c>
      <c r="AF223" s="7" t="str">
        <f t="shared" si="22"/>
        <v/>
      </c>
      <c r="AG223" s="7" t="str">
        <f t="shared" si="23"/>
        <v/>
      </c>
      <c r="AH223" s="7" t="str">
        <f t="shared" si="24"/>
        <v/>
      </c>
      <c r="AI223" s="7" t="str">
        <f t="shared" si="25"/>
        <v/>
      </c>
      <c r="AJ223" s="7" t="str">
        <f t="shared" si="26"/>
        <v/>
      </c>
      <c r="AK223" s="10" t="str">
        <f t="shared" si="27"/>
        <v/>
      </c>
      <c r="AL223" s="15" t="str">
        <f>IF(OR($A223&lt;&gt;"",$B223&lt;&gt;""),IF(OR($A223="",$B223=""),"Isi tanggal dan ID PIC",IF(NOT(ISNUMBER($A223)),"Tanggal harus berupa tanggal Excel",IF(COUNTIFS(Master_PIC!$A$8:$A$73,$B223)&lt;&gt;1,"ID PIC tidak unik/terdaftar",IF(VLOOKUP($B223,Master_PIC!$A$8:$G$73,3,FALSE)&lt;&gt;"SPV","Jabatan tidak sesuai sheet",IF(OR($C223="",$D223="",$E223="",$F223=""),"Lengkapi master PIC",IF(COUNTIFS($A$8:$A$507,$A223,$B$8:$B$507,$B223)&gt;1,"Laporan ganda",IF(COUNTIFS(G223:O223,"Tidak Berlaku")&gt;0,"N/A hanya untuk kegiatan bersyarat",IF(SUM(AF223,AG223,AH223,AI223,AJ223)&lt;&gt;13,"Status kegiatan tidak valid",IF(AJ223&gt;0,"Lengkapi status kegiatan",IF(AND(AI223&gt;0,T223=""),"Isi alasan Tidak Berlaku",IF(AND(SUM(AG223,AH223)&gt;0,OR(T223="",U223="",V223="",W223="")),"Isi kendala dan tindak lanjut",IF(AND(Y223&lt;&gt;"Draft",Y223&lt;&gt;"Dikirim"),"Isi status laporan yang valid",IF(AND(AA223&lt;&gt;"",AA223&lt;&gt;"Belum Diperiksa",AA223&lt;&gt;"Disetujui",AA223&lt;&gt;"Perlu Perbaikan"),"Hasil review tidak valid",IF(AND(Y223="Dikirim",OR(X223="",Z223="")),"Isi bukti dan waktu kirim",IF(AND(AA223="Disetujui",OR(Y223&lt;&gt;"Dikirim",AB223="",AC223="")),"Lengkapi pemeriksaan",IF(AND(AA223="Perlu Perbaikan",OR(AD223="",AB223="",AC223="")),"Isi pemeriksa dan catatan perbaikan","OK")))))))))))))))),"")</f>
        <v/>
      </c>
    </row>
    <row r="224" spans="1:38" ht="24.95" customHeight="1">
      <c r="A224" s="8"/>
      <c r="B224" s="6"/>
      <c r="C224" s="15" t="str">
        <f>IF(COUNTIFS(Master_PIC!$A$8:$A$73,$B224)=1,IF(VLOOKUP($B224,Master_PIC!$A$8:$G$73,2,FALSE)="","",VLOOKUP($B224,Master_PIC!$A$8:$G$73,2,FALSE)),"")</f>
        <v/>
      </c>
      <c r="D224" s="15" t="str">
        <f>IF(COUNTIFS(Master_PIC!$A$8:$A$73,$B224)=1,IF(VLOOKUP($B224,Master_PIC!$A$8:$G$73,4,FALSE)="","",VLOOKUP($B224,Master_PIC!$A$8:$G$73,4,FALSE)),"")</f>
        <v/>
      </c>
      <c r="E224" s="15" t="str">
        <f>IF(COUNTIFS(Master_PIC!$A$8:$A$73,$B224)=1,IF(VLOOKUP($B224,Master_PIC!$A$8:$G$73,5,FALSE)="","",VLOOKUP($B224,Master_PIC!$A$8:$G$73,5,FALSE)),"")</f>
        <v/>
      </c>
      <c r="F224" s="15" t="str">
        <f>IF(COUNTIFS(Master_PIC!$A$8:$A$73,$B224)=1,IF(VLOOKUP($B224,Master_PIC!$A$8:$G$73,6,FALSE)="","",VLOOKUP($B224,Master_PIC!$A$8:$G$73,6,FALSE)),"")</f>
        <v/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8"/>
      <c r="X224" s="5"/>
      <c r="Y224" s="5"/>
      <c r="Z224" s="9"/>
      <c r="AA224" s="5"/>
      <c r="AB224" s="5"/>
      <c r="AC224" s="9"/>
      <c r="AD224" s="5"/>
      <c r="AE224" s="7" t="str">
        <f t="shared" si="21"/>
        <v/>
      </c>
      <c r="AF224" s="7" t="str">
        <f t="shared" si="22"/>
        <v/>
      </c>
      <c r="AG224" s="7" t="str">
        <f t="shared" si="23"/>
        <v/>
      </c>
      <c r="AH224" s="7" t="str">
        <f t="shared" si="24"/>
        <v/>
      </c>
      <c r="AI224" s="7" t="str">
        <f t="shared" si="25"/>
        <v/>
      </c>
      <c r="AJ224" s="7" t="str">
        <f t="shared" si="26"/>
        <v/>
      </c>
      <c r="AK224" s="10" t="str">
        <f t="shared" si="27"/>
        <v/>
      </c>
      <c r="AL224" s="15" t="str">
        <f>IF(OR($A224&lt;&gt;"",$B224&lt;&gt;""),IF(OR($A224="",$B224=""),"Isi tanggal dan ID PIC",IF(NOT(ISNUMBER($A224)),"Tanggal harus berupa tanggal Excel",IF(COUNTIFS(Master_PIC!$A$8:$A$73,$B224)&lt;&gt;1,"ID PIC tidak unik/terdaftar",IF(VLOOKUP($B224,Master_PIC!$A$8:$G$73,3,FALSE)&lt;&gt;"SPV","Jabatan tidak sesuai sheet",IF(OR($C224="",$D224="",$E224="",$F224=""),"Lengkapi master PIC",IF(COUNTIFS($A$8:$A$507,$A224,$B$8:$B$507,$B224)&gt;1,"Laporan ganda",IF(COUNTIFS(G224:O224,"Tidak Berlaku")&gt;0,"N/A hanya untuk kegiatan bersyarat",IF(SUM(AF224,AG224,AH224,AI224,AJ224)&lt;&gt;13,"Status kegiatan tidak valid",IF(AJ224&gt;0,"Lengkapi status kegiatan",IF(AND(AI224&gt;0,T224=""),"Isi alasan Tidak Berlaku",IF(AND(SUM(AG224,AH224)&gt;0,OR(T224="",U224="",V224="",W224="")),"Isi kendala dan tindak lanjut",IF(AND(Y224&lt;&gt;"Draft",Y224&lt;&gt;"Dikirim"),"Isi status laporan yang valid",IF(AND(AA224&lt;&gt;"",AA224&lt;&gt;"Belum Diperiksa",AA224&lt;&gt;"Disetujui",AA224&lt;&gt;"Perlu Perbaikan"),"Hasil review tidak valid",IF(AND(Y224="Dikirim",OR(X224="",Z224="")),"Isi bukti dan waktu kirim",IF(AND(AA224="Disetujui",OR(Y224&lt;&gt;"Dikirim",AB224="",AC224="")),"Lengkapi pemeriksaan",IF(AND(AA224="Perlu Perbaikan",OR(AD224="",AB224="",AC224="")),"Isi pemeriksa dan catatan perbaikan","OK")))))))))))))))),"")</f>
        <v/>
      </c>
    </row>
    <row r="225" spans="1:38" ht="24.95" customHeight="1">
      <c r="A225" s="8"/>
      <c r="B225" s="6"/>
      <c r="C225" s="15" t="str">
        <f>IF(COUNTIFS(Master_PIC!$A$8:$A$73,$B225)=1,IF(VLOOKUP($B225,Master_PIC!$A$8:$G$73,2,FALSE)="","",VLOOKUP($B225,Master_PIC!$A$8:$G$73,2,FALSE)),"")</f>
        <v/>
      </c>
      <c r="D225" s="15" t="str">
        <f>IF(COUNTIFS(Master_PIC!$A$8:$A$73,$B225)=1,IF(VLOOKUP($B225,Master_PIC!$A$8:$G$73,4,FALSE)="","",VLOOKUP($B225,Master_PIC!$A$8:$G$73,4,FALSE)),"")</f>
        <v/>
      </c>
      <c r="E225" s="15" t="str">
        <f>IF(COUNTIFS(Master_PIC!$A$8:$A$73,$B225)=1,IF(VLOOKUP($B225,Master_PIC!$A$8:$G$73,5,FALSE)="","",VLOOKUP($B225,Master_PIC!$A$8:$G$73,5,FALSE)),"")</f>
        <v/>
      </c>
      <c r="F225" s="15" t="str">
        <f>IF(COUNTIFS(Master_PIC!$A$8:$A$73,$B225)=1,IF(VLOOKUP($B225,Master_PIC!$A$8:$G$73,6,FALSE)="","",VLOOKUP($B225,Master_PIC!$A$8:$G$73,6,FALSE)),"")</f>
        <v/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8"/>
      <c r="X225" s="5"/>
      <c r="Y225" s="5"/>
      <c r="Z225" s="9"/>
      <c r="AA225" s="5"/>
      <c r="AB225" s="5"/>
      <c r="AC225" s="9"/>
      <c r="AD225" s="5"/>
      <c r="AE225" s="7" t="str">
        <f t="shared" si="21"/>
        <v/>
      </c>
      <c r="AF225" s="7" t="str">
        <f t="shared" si="22"/>
        <v/>
      </c>
      <c r="AG225" s="7" t="str">
        <f t="shared" si="23"/>
        <v/>
      </c>
      <c r="AH225" s="7" t="str">
        <f t="shared" si="24"/>
        <v/>
      </c>
      <c r="AI225" s="7" t="str">
        <f t="shared" si="25"/>
        <v/>
      </c>
      <c r="AJ225" s="7" t="str">
        <f t="shared" si="26"/>
        <v/>
      </c>
      <c r="AK225" s="10" t="str">
        <f t="shared" si="27"/>
        <v/>
      </c>
      <c r="AL225" s="15" t="str">
        <f>IF(OR($A225&lt;&gt;"",$B225&lt;&gt;""),IF(OR($A225="",$B225=""),"Isi tanggal dan ID PIC",IF(NOT(ISNUMBER($A225)),"Tanggal harus berupa tanggal Excel",IF(COUNTIFS(Master_PIC!$A$8:$A$73,$B225)&lt;&gt;1,"ID PIC tidak unik/terdaftar",IF(VLOOKUP($B225,Master_PIC!$A$8:$G$73,3,FALSE)&lt;&gt;"SPV","Jabatan tidak sesuai sheet",IF(OR($C225="",$D225="",$E225="",$F225=""),"Lengkapi master PIC",IF(COUNTIFS($A$8:$A$507,$A225,$B$8:$B$507,$B225)&gt;1,"Laporan ganda",IF(COUNTIFS(G225:O225,"Tidak Berlaku")&gt;0,"N/A hanya untuk kegiatan bersyarat",IF(SUM(AF225,AG225,AH225,AI225,AJ225)&lt;&gt;13,"Status kegiatan tidak valid",IF(AJ225&gt;0,"Lengkapi status kegiatan",IF(AND(AI225&gt;0,T225=""),"Isi alasan Tidak Berlaku",IF(AND(SUM(AG225,AH225)&gt;0,OR(T225="",U225="",V225="",W225="")),"Isi kendala dan tindak lanjut",IF(AND(Y225&lt;&gt;"Draft",Y225&lt;&gt;"Dikirim"),"Isi status laporan yang valid",IF(AND(AA225&lt;&gt;"",AA225&lt;&gt;"Belum Diperiksa",AA225&lt;&gt;"Disetujui",AA225&lt;&gt;"Perlu Perbaikan"),"Hasil review tidak valid",IF(AND(Y225="Dikirim",OR(X225="",Z225="")),"Isi bukti dan waktu kirim",IF(AND(AA225="Disetujui",OR(Y225&lt;&gt;"Dikirim",AB225="",AC225="")),"Lengkapi pemeriksaan",IF(AND(AA225="Perlu Perbaikan",OR(AD225="",AB225="",AC225="")),"Isi pemeriksa dan catatan perbaikan","OK")))))))))))))))),"")</f>
        <v/>
      </c>
    </row>
    <row r="226" spans="1:38" ht="24.95" customHeight="1">
      <c r="A226" s="8"/>
      <c r="B226" s="6"/>
      <c r="C226" s="15" t="str">
        <f>IF(COUNTIFS(Master_PIC!$A$8:$A$73,$B226)=1,IF(VLOOKUP($B226,Master_PIC!$A$8:$G$73,2,FALSE)="","",VLOOKUP($B226,Master_PIC!$A$8:$G$73,2,FALSE)),"")</f>
        <v/>
      </c>
      <c r="D226" s="15" t="str">
        <f>IF(COUNTIFS(Master_PIC!$A$8:$A$73,$B226)=1,IF(VLOOKUP($B226,Master_PIC!$A$8:$G$73,4,FALSE)="","",VLOOKUP($B226,Master_PIC!$A$8:$G$73,4,FALSE)),"")</f>
        <v/>
      </c>
      <c r="E226" s="15" t="str">
        <f>IF(COUNTIFS(Master_PIC!$A$8:$A$73,$B226)=1,IF(VLOOKUP($B226,Master_PIC!$A$8:$G$73,5,FALSE)="","",VLOOKUP($B226,Master_PIC!$A$8:$G$73,5,FALSE)),"")</f>
        <v/>
      </c>
      <c r="F226" s="15" t="str">
        <f>IF(COUNTIFS(Master_PIC!$A$8:$A$73,$B226)=1,IF(VLOOKUP($B226,Master_PIC!$A$8:$G$73,6,FALSE)="","",VLOOKUP($B226,Master_PIC!$A$8:$G$73,6,FALSE)),"")</f>
        <v/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8"/>
      <c r="X226" s="5"/>
      <c r="Y226" s="5"/>
      <c r="Z226" s="9"/>
      <c r="AA226" s="5"/>
      <c r="AB226" s="5"/>
      <c r="AC226" s="9"/>
      <c r="AD226" s="5"/>
      <c r="AE226" s="7" t="str">
        <f t="shared" si="21"/>
        <v/>
      </c>
      <c r="AF226" s="7" t="str">
        <f t="shared" si="22"/>
        <v/>
      </c>
      <c r="AG226" s="7" t="str">
        <f t="shared" si="23"/>
        <v/>
      </c>
      <c r="AH226" s="7" t="str">
        <f t="shared" si="24"/>
        <v/>
      </c>
      <c r="AI226" s="7" t="str">
        <f t="shared" si="25"/>
        <v/>
      </c>
      <c r="AJ226" s="7" t="str">
        <f t="shared" si="26"/>
        <v/>
      </c>
      <c r="AK226" s="10" t="str">
        <f t="shared" si="27"/>
        <v/>
      </c>
      <c r="AL226" s="15" t="str">
        <f>IF(OR($A226&lt;&gt;"",$B226&lt;&gt;""),IF(OR($A226="",$B226=""),"Isi tanggal dan ID PIC",IF(NOT(ISNUMBER($A226)),"Tanggal harus berupa tanggal Excel",IF(COUNTIFS(Master_PIC!$A$8:$A$73,$B226)&lt;&gt;1,"ID PIC tidak unik/terdaftar",IF(VLOOKUP($B226,Master_PIC!$A$8:$G$73,3,FALSE)&lt;&gt;"SPV","Jabatan tidak sesuai sheet",IF(OR($C226="",$D226="",$E226="",$F226=""),"Lengkapi master PIC",IF(COUNTIFS($A$8:$A$507,$A226,$B$8:$B$507,$B226)&gt;1,"Laporan ganda",IF(COUNTIFS(G226:O226,"Tidak Berlaku")&gt;0,"N/A hanya untuk kegiatan bersyarat",IF(SUM(AF226,AG226,AH226,AI226,AJ226)&lt;&gt;13,"Status kegiatan tidak valid",IF(AJ226&gt;0,"Lengkapi status kegiatan",IF(AND(AI226&gt;0,T226=""),"Isi alasan Tidak Berlaku",IF(AND(SUM(AG226,AH226)&gt;0,OR(T226="",U226="",V226="",W226="")),"Isi kendala dan tindak lanjut",IF(AND(Y226&lt;&gt;"Draft",Y226&lt;&gt;"Dikirim"),"Isi status laporan yang valid",IF(AND(AA226&lt;&gt;"",AA226&lt;&gt;"Belum Diperiksa",AA226&lt;&gt;"Disetujui",AA226&lt;&gt;"Perlu Perbaikan"),"Hasil review tidak valid",IF(AND(Y226="Dikirim",OR(X226="",Z226="")),"Isi bukti dan waktu kirim",IF(AND(AA226="Disetujui",OR(Y226&lt;&gt;"Dikirim",AB226="",AC226="")),"Lengkapi pemeriksaan",IF(AND(AA226="Perlu Perbaikan",OR(AD226="",AB226="",AC226="")),"Isi pemeriksa dan catatan perbaikan","OK")))))))))))))))),"")</f>
        <v/>
      </c>
    </row>
    <row r="227" spans="1:38" ht="24.95" customHeight="1">
      <c r="A227" s="8"/>
      <c r="B227" s="6"/>
      <c r="C227" s="15" t="str">
        <f>IF(COUNTIFS(Master_PIC!$A$8:$A$73,$B227)=1,IF(VLOOKUP($B227,Master_PIC!$A$8:$G$73,2,FALSE)="","",VLOOKUP($B227,Master_PIC!$A$8:$G$73,2,FALSE)),"")</f>
        <v/>
      </c>
      <c r="D227" s="15" t="str">
        <f>IF(COUNTIFS(Master_PIC!$A$8:$A$73,$B227)=1,IF(VLOOKUP($B227,Master_PIC!$A$8:$G$73,4,FALSE)="","",VLOOKUP($B227,Master_PIC!$A$8:$G$73,4,FALSE)),"")</f>
        <v/>
      </c>
      <c r="E227" s="15" t="str">
        <f>IF(COUNTIFS(Master_PIC!$A$8:$A$73,$B227)=1,IF(VLOOKUP($B227,Master_PIC!$A$8:$G$73,5,FALSE)="","",VLOOKUP($B227,Master_PIC!$A$8:$G$73,5,FALSE)),"")</f>
        <v/>
      </c>
      <c r="F227" s="15" t="str">
        <f>IF(COUNTIFS(Master_PIC!$A$8:$A$73,$B227)=1,IF(VLOOKUP($B227,Master_PIC!$A$8:$G$73,6,FALSE)="","",VLOOKUP($B227,Master_PIC!$A$8:$G$73,6,FALSE)),"")</f>
        <v/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8"/>
      <c r="X227" s="5"/>
      <c r="Y227" s="5"/>
      <c r="Z227" s="9"/>
      <c r="AA227" s="5"/>
      <c r="AB227" s="5"/>
      <c r="AC227" s="9"/>
      <c r="AD227" s="5"/>
      <c r="AE227" s="7" t="str">
        <f t="shared" si="21"/>
        <v/>
      </c>
      <c r="AF227" s="7" t="str">
        <f t="shared" si="22"/>
        <v/>
      </c>
      <c r="AG227" s="7" t="str">
        <f t="shared" si="23"/>
        <v/>
      </c>
      <c r="AH227" s="7" t="str">
        <f t="shared" si="24"/>
        <v/>
      </c>
      <c r="AI227" s="7" t="str">
        <f t="shared" si="25"/>
        <v/>
      </c>
      <c r="AJ227" s="7" t="str">
        <f t="shared" si="26"/>
        <v/>
      </c>
      <c r="AK227" s="10" t="str">
        <f t="shared" si="27"/>
        <v/>
      </c>
      <c r="AL227" s="15" t="str">
        <f>IF(OR($A227&lt;&gt;"",$B227&lt;&gt;""),IF(OR($A227="",$B227=""),"Isi tanggal dan ID PIC",IF(NOT(ISNUMBER($A227)),"Tanggal harus berupa tanggal Excel",IF(COUNTIFS(Master_PIC!$A$8:$A$73,$B227)&lt;&gt;1,"ID PIC tidak unik/terdaftar",IF(VLOOKUP($B227,Master_PIC!$A$8:$G$73,3,FALSE)&lt;&gt;"SPV","Jabatan tidak sesuai sheet",IF(OR($C227="",$D227="",$E227="",$F227=""),"Lengkapi master PIC",IF(COUNTIFS($A$8:$A$507,$A227,$B$8:$B$507,$B227)&gt;1,"Laporan ganda",IF(COUNTIFS(G227:O227,"Tidak Berlaku")&gt;0,"N/A hanya untuk kegiatan bersyarat",IF(SUM(AF227,AG227,AH227,AI227,AJ227)&lt;&gt;13,"Status kegiatan tidak valid",IF(AJ227&gt;0,"Lengkapi status kegiatan",IF(AND(AI227&gt;0,T227=""),"Isi alasan Tidak Berlaku",IF(AND(SUM(AG227,AH227)&gt;0,OR(T227="",U227="",V227="",W227="")),"Isi kendala dan tindak lanjut",IF(AND(Y227&lt;&gt;"Draft",Y227&lt;&gt;"Dikirim"),"Isi status laporan yang valid",IF(AND(AA227&lt;&gt;"",AA227&lt;&gt;"Belum Diperiksa",AA227&lt;&gt;"Disetujui",AA227&lt;&gt;"Perlu Perbaikan"),"Hasil review tidak valid",IF(AND(Y227="Dikirim",OR(X227="",Z227="")),"Isi bukti dan waktu kirim",IF(AND(AA227="Disetujui",OR(Y227&lt;&gt;"Dikirim",AB227="",AC227="")),"Lengkapi pemeriksaan",IF(AND(AA227="Perlu Perbaikan",OR(AD227="",AB227="",AC227="")),"Isi pemeriksa dan catatan perbaikan","OK")))))))))))))))),"")</f>
        <v/>
      </c>
    </row>
    <row r="228" spans="1:38" ht="24.95" customHeight="1">
      <c r="A228" s="8"/>
      <c r="B228" s="6"/>
      <c r="C228" s="15" t="str">
        <f>IF(COUNTIFS(Master_PIC!$A$8:$A$73,$B228)=1,IF(VLOOKUP($B228,Master_PIC!$A$8:$G$73,2,FALSE)="","",VLOOKUP($B228,Master_PIC!$A$8:$G$73,2,FALSE)),"")</f>
        <v/>
      </c>
      <c r="D228" s="15" t="str">
        <f>IF(COUNTIFS(Master_PIC!$A$8:$A$73,$B228)=1,IF(VLOOKUP($B228,Master_PIC!$A$8:$G$73,4,FALSE)="","",VLOOKUP($B228,Master_PIC!$A$8:$G$73,4,FALSE)),"")</f>
        <v/>
      </c>
      <c r="E228" s="15" t="str">
        <f>IF(COUNTIFS(Master_PIC!$A$8:$A$73,$B228)=1,IF(VLOOKUP($B228,Master_PIC!$A$8:$G$73,5,FALSE)="","",VLOOKUP($B228,Master_PIC!$A$8:$G$73,5,FALSE)),"")</f>
        <v/>
      </c>
      <c r="F228" s="15" t="str">
        <f>IF(COUNTIFS(Master_PIC!$A$8:$A$73,$B228)=1,IF(VLOOKUP($B228,Master_PIC!$A$8:$G$73,6,FALSE)="","",VLOOKUP($B228,Master_PIC!$A$8:$G$73,6,FALSE)),"")</f>
        <v/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8"/>
      <c r="X228" s="5"/>
      <c r="Y228" s="5"/>
      <c r="Z228" s="9"/>
      <c r="AA228" s="5"/>
      <c r="AB228" s="5"/>
      <c r="AC228" s="9"/>
      <c r="AD228" s="5"/>
      <c r="AE228" s="7" t="str">
        <f t="shared" si="21"/>
        <v/>
      </c>
      <c r="AF228" s="7" t="str">
        <f t="shared" si="22"/>
        <v/>
      </c>
      <c r="AG228" s="7" t="str">
        <f t="shared" si="23"/>
        <v/>
      </c>
      <c r="AH228" s="7" t="str">
        <f t="shared" si="24"/>
        <v/>
      </c>
      <c r="AI228" s="7" t="str">
        <f t="shared" si="25"/>
        <v/>
      </c>
      <c r="AJ228" s="7" t="str">
        <f t="shared" si="26"/>
        <v/>
      </c>
      <c r="AK228" s="10" t="str">
        <f t="shared" si="27"/>
        <v/>
      </c>
      <c r="AL228" s="15" t="str">
        <f>IF(OR($A228&lt;&gt;"",$B228&lt;&gt;""),IF(OR($A228="",$B228=""),"Isi tanggal dan ID PIC",IF(NOT(ISNUMBER($A228)),"Tanggal harus berupa tanggal Excel",IF(COUNTIFS(Master_PIC!$A$8:$A$73,$B228)&lt;&gt;1,"ID PIC tidak unik/terdaftar",IF(VLOOKUP($B228,Master_PIC!$A$8:$G$73,3,FALSE)&lt;&gt;"SPV","Jabatan tidak sesuai sheet",IF(OR($C228="",$D228="",$E228="",$F228=""),"Lengkapi master PIC",IF(COUNTIFS($A$8:$A$507,$A228,$B$8:$B$507,$B228)&gt;1,"Laporan ganda",IF(COUNTIFS(G228:O228,"Tidak Berlaku")&gt;0,"N/A hanya untuk kegiatan bersyarat",IF(SUM(AF228,AG228,AH228,AI228,AJ228)&lt;&gt;13,"Status kegiatan tidak valid",IF(AJ228&gt;0,"Lengkapi status kegiatan",IF(AND(AI228&gt;0,T228=""),"Isi alasan Tidak Berlaku",IF(AND(SUM(AG228,AH228)&gt;0,OR(T228="",U228="",V228="",W228="")),"Isi kendala dan tindak lanjut",IF(AND(Y228&lt;&gt;"Draft",Y228&lt;&gt;"Dikirim"),"Isi status laporan yang valid",IF(AND(AA228&lt;&gt;"",AA228&lt;&gt;"Belum Diperiksa",AA228&lt;&gt;"Disetujui",AA228&lt;&gt;"Perlu Perbaikan"),"Hasil review tidak valid",IF(AND(Y228="Dikirim",OR(X228="",Z228="")),"Isi bukti dan waktu kirim",IF(AND(AA228="Disetujui",OR(Y228&lt;&gt;"Dikirim",AB228="",AC228="")),"Lengkapi pemeriksaan",IF(AND(AA228="Perlu Perbaikan",OR(AD228="",AB228="",AC228="")),"Isi pemeriksa dan catatan perbaikan","OK")))))))))))))))),"")</f>
        <v/>
      </c>
    </row>
    <row r="229" spans="1:38" ht="24.95" customHeight="1">
      <c r="A229" s="8"/>
      <c r="B229" s="6"/>
      <c r="C229" s="15" t="str">
        <f>IF(COUNTIFS(Master_PIC!$A$8:$A$73,$B229)=1,IF(VLOOKUP($B229,Master_PIC!$A$8:$G$73,2,FALSE)="","",VLOOKUP($B229,Master_PIC!$A$8:$G$73,2,FALSE)),"")</f>
        <v/>
      </c>
      <c r="D229" s="15" t="str">
        <f>IF(COUNTIFS(Master_PIC!$A$8:$A$73,$B229)=1,IF(VLOOKUP($B229,Master_PIC!$A$8:$G$73,4,FALSE)="","",VLOOKUP($B229,Master_PIC!$A$8:$G$73,4,FALSE)),"")</f>
        <v/>
      </c>
      <c r="E229" s="15" t="str">
        <f>IF(COUNTIFS(Master_PIC!$A$8:$A$73,$B229)=1,IF(VLOOKUP($B229,Master_PIC!$A$8:$G$73,5,FALSE)="","",VLOOKUP($B229,Master_PIC!$A$8:$G$73,5,FALSE)),"")</f>
        <v/>
      </c>
      <c r="F229" s="15" t="str">
        <f>IF(COUNTIFS(Master_PIC!$A$8:$A$73,$B229)=1,IF(VLOOKUP($B229,Master_PIC!$A$8:$G$73,6,FALSE)="","",VLOOKUP($B229,Master_PIC!$A$8:$G$73,6,FALSE)),"")</f>
        <v/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8"/>
      <c r="X229" s="5"/>
      <c r="Y229" s="5"/>
      <c r="Z229" s="9"/>
      <c r="AA229" s="5"/>
      <c r="AB229" s="5"/>
      <c r="AC229" s="9"/>
      <c r="AD229" s="5"/>
      <c r="AE229" s="7" t="str">
        <f t="shared" si="21"/>
        <v/>
      </c>
      <c r="AF229" s="7" t="str">
        <f t="shared" si="22"/>
        <v/>
      </c>
      <c r="AG229" s="7" t="str">
        <f t="shared" si="23"/>
        <v/>
      </c>
      <c r="AH229" s="7" t="str">
        <f t="shared" si="24"/>
        <v/>
      </c>
      <c r="AI229" s="7" t="str">
        <f t="shared" si="25"/>
        <v/>
      </c>
      <c r="AJ229" s="7" t="str">
        <f t="shared" si="26"/>
        <v/>
      </c>
      <c r="AK229" s="10" t="str">
        <f t="shared" si="27"/>
        <v/>
      </c>
      <c r="AL229" s="15" t="str">
        <f>IF(OR($A229&lt;&gt;"",$B229&lt;&gt;""),IF(OR($A229="",$B229=""),"Isi tanggal dan ID PIC",IF(NOT(ISNUMBER($A229)),"Tanggal harus berupa tanggal Excel",IF(COUNTIFS(Master_PIC!$A$8:$A$73,$B229)&lt;&gt;1,"ID PIC tidak unik/terdaftar",IF(VLOOKUP($B229,Master_PIC!$A$8:$G$73,3,FALSE)&lt;&gt;"SPV","Jabatan tidak sesuai sheet",IF(OR($C229="",$D229="",$E229="",$F229=""),"Lengkapi master PIC",IF(COUNTIFS($A$8:$A$507,$A229,$B$8:$B$507,$B229)&gt;1,"Laporan ganda",IF(COUNTIFS(G229:O229,"Tidak Berlaku")&gt;0,"N/A hanya untuk kegiatan bersyarat",IF(SUM(AF229,AG229,AH229,AI229,AJ229)&lt;&gt;13,"Status kegiatan tidak valid",IF(AJ229&gt;0,"Lengkapi status kegiatan",IF(AND(AI229&gt;0,T229=""),"Isi alasan Tidak Berlaku",IF(AND(SUM(AG229,AH229)&gt;0,OR(T229="",U229="",V229="",W229="")),"Isi kendala dan tindak lanjut",IF(AND(Y229&lt;&gt;"Draft",Y229&lt;&gt;"Dikirim"),"Isi status laporan yang valid",IF(AND(AA229&lt;&gt;"",AA229&lt;&gt;"Belum Diperiksa",AA229&lt;&gt;"Disetujui",AA229&lt;&gt;"Perlu Perbaikan"),"Hasil review tidak valid",IF(AND(Y229="Dikirim",OR(X229="",Z229="")),"Isi bukti dan waktu kirim",IF(AND(AA229="Disetujui",OR(Y229&lt;&gt;"Dikirim",AB229="",AC229="")),"Lengkapi pemeriksaan",IF(AND(AA229="Perlu Perbaikan",OR(AD229="",AB229="",AC229="")),"Isi pemeriksa dan catatan perbaikan","OK")))))))))))))))),"")</f>
        <v/>
      </c>
    </row>
    <row r="230" spans="1:38" ht="24.95" customHeight="1">
      <c r="A230" s="8"/>
      <c r="B230" s="6"/>
      <c r="C230" s="15" t="str">
        <f>IF(COUNTIFS(Master_PIC!$A$8:$A$73,$B230)=1,IF(VLOOKUP($B230,Master_PIC!$A$8:$G$73,2,FALSE)="","",VLOOKUP($B230,Master_PIC!$A$8:$G$73,2,FALSE)),"")</f>
        <v/>
      </c>
      <c r="D230" s="15" t="str">
        <f>IF(COUNTIFS(Master_PIC!$A$8:$A$73,$B230)=1,IF(VLOOKUP($B230,Master_PIC!$A$8:$G$73,4,FALSE)="","",VLOOKUP($B230,Master_PIC!$A$8:$G$73,4,FALSE)),"")</f>
        <v/>
      </c>
      <c r="E230" s="15" t="str">
        <f>IF(COUNTIFS(Master_PIC!$A$8:$A$73,$B230)=1,IF(VLOOKUP($B230,Master_PIC!$A$8:$G$73,5,FALSE)="","",VLOOKUP($B230,Master_PIC!$A$8:$G$73,5,FALSE)),"")</f>
        <v/>
      </c>
      <c r="F230" s="15" t="str">
        <f>IF(COUNTIFS(Master_PIC!$A$8:$A$73,$B230)=1,IF(VLOOKUP($B230,Master_PIC!$A$8:$G$73,6,FALSE)="","",VLOOKUP($B230,Master_PIC!$A$8:$G$73,6,FALSE)),"")</f>
        <v/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8"/>
      <c r="X230" s="5"/>
      <c r="Y230" s="5"/>
      <c r="Z230" s="9"/>
      <c r="AA230" s="5"/>
      <c r="AB230" s="5"/>
      <c r="AC230" s="9"/>
      <c r="AD230" s="5"/>
      <c r="AE230" s="7" t="str">
        <f t="shared" si="21"/>
        <v/>
      </c>
      <c r="AF230" s="7" t="str">
        <f t="shared" si="22"/>
        <v/>
      </c>
      <c r="AG230" s="7" t="str">
        <f t="shared" si="23"/>
        <v/>
      </c>
      <c r="AH230" s="7" t="str">
        <f t="shared" si="24"/>
        <v/>
      </c>
      <c r="AI230" s="7" t="str">
        <f t="shared" si="25"/>
        <v/>
      </c>
      <c r="AJ230" s="7" t="str">
        <f t="shared" si="26"/>
        <v/>
      </c>
      <c r="AK230" s="10" t="str">
        <f t="shared" si="27"/>
        <v/>
      </c>
      <c r="AL230" s="15" t="str">
        <f>IF(OR($A230&lt;&gt;"",$B230&lt;&gt;""),IF(OR($A230="",$B230=""),"Isi tanggal dan ID PIC",IF(NOT(ISNUMBER($A230)),"Tanggal harus berupa tanggal Excel",IF(COUNTIFS(Master_PIC!$A$8:$A$73,$B230)&lt;&gt;1,"ID PIC tidak unik/terdaftar",IF(VLOOKUP($B230,Master_PIC!$A$8:$G$73,3,FALSE)&lt;&gt;"SPV","Jabatan tidak sesuai sheet",IF(OR($C230="",$D230="",$E230="",$F230=""),"Lengkapi master PIC",IF(COUNTIFS($A$8:$A$507,$A230,$B$8:$B$507,$B230)&gt;1,"Laporan ganda",IF(COUNTIFS(G230:O230,"Tidak Berlaku")&gt;0,"N/A hanya untuk kegiatan bersyarat",IF(SUM(AF230,AG230,AH230,AI230,AJ230)&lt;&gt;13,"Status kegiatan tidak valid",IF(AJ230&gt;0,"Lengkapi status kegiatan",IF(AND(AI230&gt;0,T230=""),"Isi alasan Tidak Berlaku",IF(AND(SUM(AG230,AH230)&gt;0,OR(T230="",U230="",V230="",W230="")),"Isi kendala dan tindak lanjut",IF(AND(Y230&lt;&gt;"Draft",Y230&lt;&gt;"Dikirim"),"Isi status laporan yang valid",IF(AND(AA230&lt;&gt;"",AA230&lt;&gt;"Belum Diperiksa",AA230&lt;&gt;"Disetujui",AA230&lt;&gt;"Perlu Perbaikan"),"Hasil review tidak valid",IF(AND(Y230="Dikirim",OR(X230="",Z230="")),"Isi bukti dan waktu kirim",IF(AND(AA230="Disetujui",OR(Y230&lt;&gt;"Dikirim",AB230="",AC230="")),"Lengkapi pemeriksaan",IF(AND(AA230="Perlu Perbaikan",OR(AD230="",AB230="",AC230="")),"Isi pemeriksa dan catatan perbaikan","OK")))))))))))))))),"")</f>
        <v/>
      </c>
    </row>
    <row r="231" spans="1:38" ht="24.95" customHeight="1">
      <c r="A231" s="8"/>
      <c r="B231" s="6"/>
      <c r="C231" s="15" t="str">
        <f>IF(COUNTIFS(Master_PIC!$A$8:$A$73,$B231)=1,IF(VLOOKUP($B231,Master_PIC!$A$8:$G$73,2,FALSE)="","",VLOOKUP($B231,Master_PIC!$A$8:$G$73,2,FALSE)),"")</f>
        <v/>
      </c>
      <c r="D231" s="15" t="str">
        <f>IF(COUNTIFS(Master_PIC!$A$8:$A$73,$B231)=1,IF(VLOOKUP($B231,Master_PIC!$A$8:$G$73,4,FALSE)="","",VLOOKUP($B231,Master_PIC!$A$8:$G$73,4,FALSE)),"")</f>
        <v/>
      </c>
      <c r="E231" s="15" t="str">
        <f>IF(COUNTIFS(Master_PIC!$A$8:$A$73,$B231)=1,IF(VLOOKUP($B231,Master_PIC!$A$8:$G$73,5,FALSE)="","",VLOOKUP($B231,Master_PIC!$A$8:$G$73,5,FALSE)),"")</f>
        <v/>
      </c>
      <c r="F231" s="15" t="str">
        <f>IF(COUNTIFS(Master_PIC!$A$8:$A$73,$B231)=1,IF(VLOOKUP($B231,Master_PIC!$A$8:$G$73,6,FALSE)="","",VLOOKUP($B231,Master_PIC!$A$8:$G$73,6,FALSE)),"")</f>
        <v/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8"/>
      <c r="X231" s="5"/>
      <c r="Y231" s="5"/>
      <c r="Z231" s="9"/>
      <c r="AA231" s="5"/>
      <c r="AB231" s="5"/>
      <c r="AC231" s="9"/>
      <c r="AD231" s="5"/>
      <c r="AE231" s="7" t="str">
        <f t="shared" si="21"/>
        <v/>
      </c>
      <c r="AF231" s="7" t="str">
        <f t="shared" si="22"/>
        <v/>
      </c>
      <c r="AG231" s="7" t="str">
        <f t="shared" si="23"/>
        <v/>
      </c>
      <c r="AH231" s="7" t="str">
        <f t="shared" si="24"/>
        <v/>
      </c>
      <c r="AI231" s="7" t="str">
        <f t="shared" si="25"/>
        <v/>
      </c>
      <c r="AJ231" s="7" t="str">
        <f t="shared" si="26"/>
        <v/>
      </c>
      <c r="AK231" s="10" t="str">
        <f t="shared" si="27"/>
        <v/>
      </c>
      <c r="AL231" s="15" t="str">
        <f>IF(OR($A231&lt;&gt;"",$B231&lt;&gt;""),IF(OR($A231="",$B231=""),"Isi tanggal dan ID PIC",IF(NOT(ISNUMBER($A231)),"Tanggal harus berupa tanggal Excel",IF(COUNTIFS(Master_PIC!$A$8:$A$73,$B231)&lt;&gt;1,"ID PIC tidak unik/terdaftar",IF(VLOOKUP($B231,Master_PIC!$A$8:$G$73,3,FALSE)&lt;&gt;"SPV","Jabatan tidak sesuai sheet",IF(OR($C231="",$D231="",$E231="",$F231=""),"Lengkapi master PIC",IF(COUNTIFS($A$8:$A$507,$A231,$B$8:$B$507,$B231)&gt;1,"Laporan ganda",IF(COUNTIFS(G231:O231,"Tidak Berlaku")&gt;0,"N/A hanya untuk kegiatan bersyarat",IF(SUM(AF231,AG231,AH231,AI231,AJ231)&lt;&gt;13,"Status kegiatan tidak valid",IF(AJ231&gt;0,"Lengkapi status kegiatan",IF(AND(AI231&gt;0,T231=""),"Isi alasan Tidak Berlaku",IF(AND(SUM(AG231,AH231)&gt;0,OR(T231="",U231="",V231="",W231="")),"Isi kendala dan tindak lanjut",IF(AND(Y231&lt;&gt;"Draft",Y231&lt;&gt;"Dikirim"),"Isi status laporan yang valid",IF(AND(AA231&lt;&gt;"",AA231&lt;&gt;"Belum Diperiksa",AA231&lt;&gt;"Disetujui",AA231&lt;&gt;"Perlu Perbaikan"),"Hasil review tidak valid",IF(AND(Y231="Dikirim",OR(X231="",Z231="")),"Isi bukti dan waktu kirim",IF(AND(AA231="Disetujui",OR(Y231&lt;&gt;"Dikirim",AB231="",AC231="")),"Lengkapi pemeriksaan",IF(AND(AA231="Perlu Perbaikan",OR(AD231="",AB231="",AC231="")),"Isi pemeriksa dan catatan perbaikan","OK")))))))))))))))),"")</f>
        <v/>
      </c>
    </row>
    <row r="232" spans="1:38" ht="24.95" customHeight="1">
      <c r="A232" s="8"/>
      <c r="B232" s="6"/>
      <c r="C232" s="15" t="str">
        <f>IF(COUNTIFS(Master_PIC!$A$8:$A$73,$B232)=1,IF(VLOOKUP($B232,Master_PIC!$A$8:$G$73,2,FALSE)="","",VLOOKUP($B232,Master_PIC!$A$8:$G$73,2,FALSE)),"")</f>
        <v/>
      </c>
      <c r="D232" s="15" t="str">
        <f>IF(COUNTIFS(Master_PIC!$A$8:$A$73,$B232)=1,IF(VLOOKUP($B232,Master_PIC!$A$8:$G$73,4,FALSE)="","",VLOOKUP($B232,Master_PIC!$A$8:$G$73,4,FALSE)),"")</f>
        <v/>
      </c>
      <c r="E232" s="15" t="str">
        <f>IF(COUNTIFS(Master_PIC!$A$8:$A$73,$B232)=1,IF(VLOOKUP($B232,Master_PIC!$A$8:$G$73,5,FALSE)="","",VLOOKUP($B232,Master_PIC!$A$8:$G$73,5,FALSE)),"")</f>
        <v/>
      </c>
      <c r="F232" s="15" t="str">
        <f>IF(COUNTIFS(Master_PIC!$A$8:$A$73,$B232)=1,IF(VLOOKUP($B232,Master_PIC!$A$8:$G$73,6,FALSE)="","",VLOOKUP($B232,Master_PIC!$A$8:$G$73,6,FALSE)),"")</f>
        <v/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8"/>
      <c r="X232" s="5"/>
      <c r="Y232" s="5"/>
      <c r="Z232" s="9"/>
      <c r="AA232" s="5"/>
      <c r="AB232" s="5"/>
      <c r="AC232" s="9"/>
      <c r="AD232" s="5"/>
      <c r="AE232" s="7" t="str">
        <f t="shared" si="21"/>
        <v/>
      </c>
      <c r="AF232" s="7" t="str">
        <f t="shared" si="22"/>
        <v/>
      </c>
      <c r="AG232" s="7" t="str">
        <f t="shared" si="23"/>
        <v/>
      </c>
      <c r="AH232" s="7" t="str">
        <f t="shared" si="24"/>
        <v/>
      </c>
      <c r="AI232" s="7" t="str">
        <f t="shared" si="25"/>
        <v/>
      </c>
      <c r="AJ232" s="7" t="str">
        <f t="shared" si="26"/>
        <v/>
      </c>
      <c r="AK232" s="10" t="str">
        <f t="shared" si="27"/>
        <v/>
      </c>
      <c r="AL232" s="15" t="str">
        <f>IF(OR($A232&lt;&gt;"",$B232&lt;&gt;""),IF(OR($A232="",$B232=""),"Isi tanggal dan ID PIC",IF(NOT(ISNUMBER($A232)),"Tanggal harus berupa tanggal Excel",IF(COUNTIFS(Master_PIC!$A$8:$A$73,$B232)&lt;&gt;1,"ID PIC tidak unik/terdaftar",IF(VLOOKUP($B232,Master_PIC!$A$8:$G$73,3,FALSE)&lt;&gt;"SPV","Jabatan tidak sesuai sheet",IF(OR($C232="",$D232="",$E232="",$F232=""),"Lengkapi master PIC",IF(COUNTIFS($A$8:$A$507,$A232,$B$8:$B$507,$B232)&gt;1,"Laporan ganda",IF(COUNTIFS(G232:O232,"Tidak Berlaku")&gt;0,"N/A hanya untuk kegiatan bersyarat",IF(SUM(AF232,AG232,AH232,AI232,AJ232)&lt;&gt;13,"Status kegiatan tidak valid",IF(AJ232&gt;0,"Lengkapi status kegiatan",IF(AND(AI232&gt;0,T232=""),"Isi alasan Tidak Berlaku",IF(AND(SUM(AG232,AH232)&gt;0,OR(T232="",U232="",V232="",W232="")),"Isi kendala dan tindak lanjut",IF(AND(Y232&lt;&gt;"Draft",Y232&lt;&gt;"Dikirim"),"Isi status laporan yang valid",IF(AND(AA232&lt;&gt;"",AA232&lt;&gt;"Belum Diperiksa",AA232&lt;&gt;"Disetujui",AA232&lt;&gt;"Perlu Perbaikan"),"Hasil review tidak valid",IF(AND(Y232="Dikirim",OR(X232="",Z232="")),"Isi bukti dan waktu kirim",IF(AND(AA232="Disetujui",OR(Y232&lt;&gt;"Dikirim",AB232="",AC232="")),"Lengkapi pemeriksaan",IF(AND(AA232="Perlu Perbaikan",OR(AD232="",AB232="",AC232="")),"Isi pemeriksa dan catatan perbaikan","OK")))))))))))))))),"")</f>
        <v/>
      </c>
    </row>
    <row r="233" spans="1:38" ht="24.95" customHeight="1">
      <c r="A233" s="8"/>
      <c r="B233" s="6"/>
      <c r="C233" s="15" t="str">
        <f>IF(COUNTIFS(Master_PIC!$A$8:$A$73,$B233)=1,IF(VLOOKUP($B233,Master_PIC!$A$8:$G$73,2,FALSE)="","",VLOOKUP($B233,Master_PIC!$A$8:$G$73,2,FALSE)),"")</f>
        <v/>
      </c>
      <c r="D233" s="15" t="str">
        <f>IF(COUNTIFS(Master_PIC!$A$8:$A$73,$B233)=1,IF(VLOOKUP($B233,Master_PIC!$A$8:$G$73,4,FALSE)="","",VLOOKUP($B233,Master_PIC!$A$8:$G$73,4,FALSE)),"")</f>
        <v/>
      </c>
      <c r="E233" s="15" t="str">
        <f>IF(COUNTIFS(Master_PIC!$A$8:$A$73,$B233)=1,IF(VLOOKUP($B233,Master_PIC!$A$8:$G$73,5,FALSE)="","",VLOOKUP($B233,Master_PIC!$A$8:$G$73,5,FALSE)),"")</f>
        <v/>
      </c>
      <c r="F233" s="15" t="str">
        <f>IF(COUNTIFS(Master_PIC!$A$8:$A$73,$B233)=1,IF(VLOOKUP($B233,Master_PIC!$A$8:$G$73,6,FALSE)="","",VLOOKUP($B233,Master_PIC!$A$8:$G$73,6,FALSE)),"")</f>
        <v/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8"/>
      <c r="X233" s="5"/>
      <c r="Y233" s="5"/>
      <c r="Z233" s="9"/>
      <c r="AA233" s="5"/>
      <c r="AB233" s="5"/>
      <c r="AC233" s="9"/>
      <c r="AD233" s="5"/>
      <c r="AE233" s="7" t="str">
        <f t="shared" si="21"/>
        <v/>
      </c>
      <c r="AF233" s="7" t="str">
        <f t="shared" si="22"/>
        <v/>
      </c>
      <c r="AG233" s="7" t="str">
        <f t="shared" si="23"/>
        <v/>
      </c>
      <c r="AH233" s="7" t="str">
        <f t="shared" si="24"/>
        <v/>
      </c>
      <c r="AI233" s="7" t="str">
        <f t="shared" si="25"/>
        <v/>
      </c>
      <c r="AJ233" s="7" t="str">
        <f t="shared" si="26"/>
        <v/>
      </c>
      <c r="AK233" s="10" t="str">
        <f t="shared" si="27"/>
        <v/>
      </c>
      <c r="AL233" s="15" t="str">
        <f>IF(OR($A233&lt;&gt;"",$B233&lt;&gt;""),IF(OR($A233="",$B233=""),"Isi tanggal dan ID PIC",IF(NOT(ISNUMBER($A233)),"Tanggal harus berupa tanggal Excel",IF(COUNTIFS(Master_PIC!$A$8:$A$73,$B233)&lt;&gt;1,"ID PIC tidak unik/terdaftar",IF(VLOOKUP($B233,Master_PIC!$A$8:$G$73,3,FALSE)&lt;&gt;"SPV","Jabatan tidak sesuai sheet",IF(OR($C233="",$D233="",$E233="",$F233=""),"Lengkapi master PIC",IF(COUNTIFS($A$8:$A$507,$A233,$B$8:$B$507,$B233)&gt;1,"Laporan ganda",IF(COUNTIFS(G233:O233,"Tidak Berlaku")&gt;0,"N/A hanya untuk kegiatan bersyarat",IF(SUM(AF233,AG233,AH233,AI233,AJ233)&lt;&gt;13,"Status kegiatan tidak valid",IF(AJ233&gt;0,"Lengkapi status kegiatan",IF(AND(AI233&gt;0,T233=""),"Isi alasan Tidak Berlaku",IF(AND(SUM(AG233,AH233)&gt;0,OR(T233="",U233="",V233="",W233="")),"Isi kendala dan tindak lanjut",IF(AND(Y233&lt;&gt;"Draft",Y233&lt;&gt;"Dikirim"),"Isi status laporan yang valid",IF(AND(AA233&lt;&gt;"",AA233&lt;&gt;"Belum Diperiksa",AA233&lt;&gt;"Disetujui",AA233&lt;&gt;"Perlu Perbaikan"),"Hasil review tidak valid",IF(AND(Y233="Dikirim",OR(X233="",Z233="")),"Isi bukti dan waktu kirim",IF(AND(AA233="Disetujui",OR(Y233&lt;&gt;"Dikirim",AB233="",AC233="")),"Lengkapi pemeriksaan",IF(AND(AA233="Perlu Perbaikan",OR(AD233="",AB233="",AC233="")),"Isi pemeriksa dan catatan perbaikan","OK")))))))))))))))),"")</f>
        <v/>
      </c>
    </row>
    <row r="234" spans="1:38" ht="24.95" customHeight="1">
      <c r="A234" s="8"/>
      <c r="B234" s="6"/>
      <c r="C234" s="15" t="str">
        <f>IF(COUNTIFS(Master_PIC!$A$8:$A$73,$B234)=1,IF(VLOOKUP($B234,Master_PIC!$A$8:$G$73,2,FALSE)="","",VLOOKUP($B234,Master_PIC!$A$8:$G$73,2,FALSE)),"")</f>
        <v/>
      </c>
      <c r="D234" s="15" t="str">
        <f>IF(COUNTIFS(Master_PIC!$A$8:$A$73,$B234)=1,IF(VLOOKUP($B234,Master_PIC!$A$8:$G$73,4,FALSE)="","",VLOOKUP($B234,Master_PIC!$A$8:$G$73,4,FALSE)),"")</f>
        <v/>
      </c>
      <c r="E234" s="15" t="str">
        <f>IF(COUNTIFS(Master_PIC!$A$8:$A$73,$B234)=1,IF(VLOOKUP($B234,Master_PIC!$A$8:$G$73,5,FALSE)="","",VLOOKUP($B234,Master_PIC!$A$8:$G$73,5,FALSE)),"")</f>
        <v/>
      </c>
      <c r="F234" s="15" t="str">
        <f>IF(COUNTIFS(Master_PIC!$A$8:$A$73,$B234)=1,IF(VLOOKUP($B234,Master_PIC!$A$8:$G$73,6,FALSE)="","",VLOOKUP($B234,Master_PIC!$A$8:$G$73,6,FALSE)),"")</f>
        <v/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8"/>
      <c r="X234" s="5"/>
      <c r="Y234" s="5"/>
      <c r="Z234" s="9"/>
      <c r="AA234" s="5"/>
      <c r="AB234" s="5"/>
      <c r="AC234" s="9"/>
      <c r="AD234" s="5"/>
      <c r="AE234" s="7" t="str">
        <f t="shared" si="21"/>
        <v/>
      </c>
      <c r="AF234" s="7" t="str">
        <f t="shared" si="22"/>
        <v/>
      </c>
      <c r="AG234" s="7" t="str">
        <f t="shared" si="23"/>
        <v/>
      </c>
      <c r="AH234" s="7" t="str">
        <f t="shared" si="24"/>
        <v/>
      </c>
      <c r="AI234" s="7" t="str">
        <f t="shared" si="25"/>
        <v/>
      </c>
      <c r="AJ234" s="7" t="str">
        <f t="shared" si="26"/>
        <v/>
      </c>
      <c r="AK234" s="10" t="str">
        <f t="shared" si="27"/>
        <v/>
      </c>
      <c r="AL234" s="15" t="str">
        <f>IF(OR($A234&lt;&gt;"",$B234&lt;&gt;""),IF(OR($A234="",$B234=""),"Isi tanggal dan ID PIC",IF(NOT(ISNUMBER($A234)),"Tanggal harus berupa tanggal Excel",IF(COUNTIFS(Master_PIC!$A$8:$A$73,$B234)&lt;&gt;1,"ID PIC tidak unik/terdaftar",IF(VLOOKUP($B234,Master_PIC!$A$8:$G$73,3,FALSE)&lt;&gt;"SPV","Jabatan tidak sesuai sheet",IF(OR($C234="",$D234="",$E234="",$F234=""),"Lengkapi master PIC",IF(COUNTIFS($A$8:$A$507,$A234,$B$8:$B$507,$B234)&gt;1,"Laporan ganda",IF(COUNTIFS(G234:O234,"Tidak Berlaku")&gt;0,"N/A hanya untuk kegiatan bersyarat",IF(SUM(AF234,AG234,AH234,AI234,AJ234)&lt;&gt;13,"Status kegiatan tidak valid",IF(AJ234&gt;0,"Lengkapi status kegiatan",IF(AND(AI234&gt;0,T234=""),"Isi alasan Tidak Berlaku",IF(AND(SUM(AG234,AH234)&gt;0,OR(T234="",U234="",V234="",W234="")),"Isi kendala dan tindak lanjut",IF(AND(Y234&lt;&gt;"Draft",Y234&lt;&gt;"Dikirim"),"Isi status laporan yang valid",IF(AND(AA234&lt;&gt;"",AA234&lt;&gt;"Belum Diperiksa",AA234&lt;&gt;"Disetujui",AA234&lt;&gt;"Perlu Perbaikan"),"Hasil review tidak valid",IF(AND(Y234="Dikirim",OR(X234="",Z234="")),"Isi bukti dan waktu kirim",IF(AND(AA234="Disetujui",OR(Y234&lt;&gt;"Dikirim",AB234="",AC234="")),"Lengkapi pemeriksaan",IF(AND(AA234="Perlu Perbaikan",OR(AD234="",AB234="",AC234="")),"Isi pemeriksa dan catatan perbaikan","OK")))))))))))))))),"")</f>
        <v/>
      </c>
    </row>
    <row r="235" spans="1:38" ht="24.95" customHeight="1">
      <c r="A235" s="8"/>
      <c r="B235" s="6"/>
      <c r="C235" s="15" t="str">
        <f>IF(COUNTIFS(Master_PIC!$A$8:$A$73,$B235)=1,IF(VLOOKUP($B235,Master_PIC!$A$8:$G$73,2,FALSE)="","",VLOOKUP($B235,Master_PIC!$A$8:$G$73,2,FALSE)),"")</f>
        <v/>
      </c>
      <c r="D235" s="15" t="str">
        <f>IF(COUNTIFS(Master_PIC!$A$8:$A$73,$B235)=1,IF(VLOOKUP($B235,Master_PIC!$A$8:$G$73,4,FALSE)="","",VLOOKUP($B235,Master_PIC!$A$8:$G$73,4,FALSE)),"")</f>
        <v/>
      </c>
      <c r="E235" s="15" t="str">
        <f>IF(COUNTIFS(Master_PIC!$A$8:$A$73,$B235)=1,IF(VLOOKUP($B235,Master_PIC!$A$8:$G$73,5,FALSE)="","",VLOOKUP($B235,Master_PIC!$A$8:$G$73,5,FALSE)),"")</f>
        <v/>
      </c>
      <c r="F235" s="15" t="str">
        <f>IF(COUNTIFS(Master_PIC!$A$8:$A$73,$B235)=1,IF(VLOOKUP($B235,Master_PIC!$A$8:$G$73,6,FALSE)="","",VLOOKUP($B235,Master_PIC!$A$8:$G$73,6,FALSE)),"")</f>
        <v/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8"/>
      <c r="X235" s="5"/>
      <c r="Y235" s="5"/>
      <c r="Z235" s="9"/>
      <c r="AA235" s="5"/>
      <c r="AB235" s="5"/>
      <c r="AC235" s="9"/>
      <c r="AD235" s="5"/>
      <c r="AE235" s="7" t="str">
        <f t="shared" si="21"/>
        <v/>
      </c>
      <c r="AF235" s="7" t="str">
        <f t="shared" si="22"/>
        <v/>
      </c>
      <c r="AG235" s="7" t="str">
        <f t="shared" si="23"/>
        <v/>
      </c>
      <c r="AH235" s="7" t="str">
        <f t="shared" si="24"/>
        <v/>
      </c>
      <c r="AI235" s="7" t="str">
        <f t="shared" si="25"/>
        <v/>
      </c>
      <c r="AJ235" s="7" t="str">
        <f t="shared" si="26"/>
        <v/>
      </c>
      <c r="AK235" s="10" t="str">
        <f t="shared" si="27"/>
        <v/>
      </c>
      <c r="AL235" s="15" t="str">
        <f>IF(OR($A235&lt;&gt;"",$B235&lt;&gt;""),IF(OR($A235="",$B235=""),"Isi tanggal dan ID PIC",IF(NOT(ISNUMBER($A235)),"Tanggal harus berupa tanggal Excel",IF(COUNTIFS(Master_PIC!$A$8:$A$73,$B235)&lt;&gt;1,"ID PIC tidak unik/terdaftar",IF(VLOOKUP($B235,Master_PIC!$A$8:$G$73,3,FALSE)&lt;&gt;"SPV","Jabatan tidak sesuai sheet",IF(OR($C235="",$D235="",$E235="",$F235=""),"Lengkapi master PIC",IF(COUNTIFS($A$8:$A$507,$A235,$B$8:$B$507,$B235)&gt;1,"Laporan ganda",IF(COUNTIFS(G235:O235,"Tidak Berlaku")&gt;0,"N/A hanya untuk kegiatan bersyarat",IF(SUM(AF235,AG235,AH235,AI235,AJ235)&lt;&gt;13,"Status kegiatan tidak valid",IF(AJ235&gt;0,"Lengkapi status kegiatan",IF(AND(AI235&gt;0,T235=""),"Isi alasan Tidak Berlaku",IF(AND(SUM(AG235,AH235)&gt;0,OR(T235="",U235="",V235="",W235="")),"Isi kendala dan tindak lanjut",IF(AND(Y235&lt;&gt;"Draft",Y235&lt;&gt;"Dikirim"),"Isi status laporan yang valid",IF(AND(AA235&lt;&gt;"",AA235&lt;&gt;"Belum Diperiksa",AA235&lt;&gt;"Disetujui",AA235&lt;&gt;"Perlu Perbaikan"),"Hasil review tidak valid",IF(AND(Y235="Dikirim",OR(X235="",Z235="")),"Isi bukti dan waktu kirim",IF(AND(AA235="Disetujui",OR(Y235&lt;&gt;"Dikirim",AB235="",AC235="")),"Lengkapi pemeriksaan",IF(AND(AA235="Perlu Perbaikan",OR(AD235="",AB235="",AC235="")),"Isi pemeriksa dan catatan perbaikan","OK")))))))))))))))),"")</f>
        <v/>
      </c>
    </row>
    <row r="236" spans="1:38" ht="24.95" customHeight="1">
      <c r="A236" s="8"/>
      <c r="B236" s="6"/>
      <c r="C236" s="15" t="str">
        <f>IF(COUNTIFS(Master_PIC!$A$8:$A$73,$B236)=1,IF(VLOOKUP($B236,Master_PIC!$A$8:$G$73,2,FALSE)="","",VLOOKUP($B236,Master_PIC!$A$8:$G$73,2,FALSE)),"")</f>
        <v/>
      </c>
      <c r="D236" s="15" t="str">
        <f>IF(COUNTIFS(Master_PIC!$A$8:$A$73,$B236)=1,IF(VLOOKUP($B236,Master_PIC!$A$8:$G$73,4,FALSE)="","",VLOOKUP($B236,Master_PIC!$A$8:$G$73,4,FALSE)),"")</f>
        <v/>
      </c>
      <c r="E236" s="15" t="str">
        <f>IF(COUNTIFS(Master_PIC!$A$8:$A$73,$B236)=1,IF(VLOOKUP($B236,Master_PIC!$A$8:$G$73,5,FALSE)="","",VLOOKUP($B236,Master_PIC!$A$8:$G$73,5,FALSE)),"")</f>
        <v/>
      </c>
      <c r="F236" s="15" t="str">
        <f>IF(COUNTIFS(Master_PIC!$A$8:$A$73,$B236)=1,IF(VLOOKUP($B236,Master_PIC!$A$8:$G$73,6,FALSE)="","",VLOOKUP($B236,Master_PIC!$A$8:$G$73,6,FALSE)),"")</f>
        <v/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8"/>
      <c r="X236" s="5"/>
      <c r="Y236" s="5"/>
      <c r="Z236" s="9"/>
      <c r="AA236" s="5"/>
      <c r="AB236" s="5"/>
      <c r="AC236" s="9"/>
      <c r="AD236" s="5"/>
      <c r="AE236" s="7" t="str">
        <f t="shared" si="21"/>
        <v/>
      </c>
      <c r="AF236" s="7" t="str">
        <f t="shared" si="22"/>
        <v/>
      </c>
      <c r="AG236" s="7" t="str">
        <f t="shared" si="23"/>
        <v/>
      </c>
      <c r="AH236" s="7" t="str">
        <f t="shared" si="24"/>
        <v/>
      </c>
      <c r="AI236" s="7" t="str">
        <f t="shared" si="25"/>
        <v/>
      </c>
      <c r="AJ236" s="7" t="str">
        <f t="shared" si="26"/>
        <v/>
      </c>
      <c r="AK236" s="10" t="str">
        <f t="shared" si="27"/>
        <v/>
      </c>
      <c r="AL236" s="15" t="str">
        <f>IF(OR($A236&lt;&gt;"",$B236&lt;&gt;""),IF(OR($A236="",$B236=""),"Isi tanggal dan ID PIC",IF(NOT(ISNUMBER($A236)),"Tanggal harus berupa tanggal Excel",IF(COUNTIFS(Master_PIC!$A$8:$A$73,$B236)&lt;&gt;1,"ID PIC tidak unik/terdaftar",IF(VLOOKUP($B236,Master_PIC!$A$8:$G$73,3,FALSE)&lt;&gt;"SPV","Jabatan tidak sesuai sheet",IF(OR($C236="",$D236="",$E236="",$F236=""),"Lengkapi master PIC",IF(COUNTIFS($A$8:$A$507,$A236,$B$8:$B$507,$B236)&gt;1,"Laporan ganda",IF(COUNTIFS(G236:O236,"Tidak Berlaku")&gt;0,"N/A hanya untuk kegiatan bersyarat",IF(SUM(AF236,AG236,AH236,AI236,AJ236)&lt;&gt;13,"Status kegiatan tidak valid",IF(AJ236&gt;0,"Lengkapi status kegiatan",IF(AND(AI236&gt;0,T236=""),"Isi alasan Tidak Berlaku",IF(AND(SUM(AG236,AH236)&gt;0,OR(T236="",U236="",V236="",W236="")),"Isi kendala dan tindak lanjut",IF(AND(Y236&lt;&gt;"Draft",Y236&lt;&gt;"Dikirim"),"Isi status laporan yang valid",IF(AND(AA236&lt;&gt;"",AA236&lt;&gt;"Belum Diperiksa",AA236&lt;&gt;"Disetujui",AA236&lt;&gt;"Perlu Perbaikan"),"Hasil review tidak valid",IF(AND(Y236="Dikirim",OR(X236="",Z236="")),"Isi bukti dan waktu kirim",IF(AND(AA236="Disetujui",OR(Y236&lt;&gt;"Dikirim",AB236="",AC236="")),"Lengkapi pemeriksaan",IF(AND(AA236="Perlu Perbaikan",OR(AD236="",AB236="",AC236="")),"Isi pemeriksa dan catatan perbaikan","OK")))))))))))))))),"")</f>
        <v/>
      </c>
    </row>
    <row r="237" spans="1:38" ht="24.95" customHeight="1">
      <c r="A237" s="8"/>
      <c r="B237" s="6"/>
      <c r="C237" s="15" t="str">
        <f>IF(COUNTIFS(Master_PIC!$A$8:$A$73,$B237)=1,IF(VLOOKUP($B237,Master_PIC!$A$8:$G$73,2,FALSE)="","",VLOOKUP($B237,Master_PIC!$A$8:$G$73,2,FALSE)),"")</f>
        <v/>
      </c>
      <c r="D237" s="15" t="str">
        <f>IF(COUNTIFS(Master_PIC!$A$8:$A$73,$B237)=1,IF(VLOOKUP($B237,Master_PIC!$A$8:$G$73,4,FALSE)="","",VLOOKUP($B237,Master_PIC!$A$8:$G$73,4,FALSE)),"")</f>
        <v/>
      </c>
      <c r="E237" s="15" t="str">
        <f>IF(COUNTIFS(Master_PIC!$A$8:$A$73,$B237)=1,IF(VLOOKUP($B237,Master_PIC!$A$8:$G$73,5,FALSE)="","",VLOOKUP($B237,Master_PIC!$A$8:$G$73,5,FALSE)),"")</f>
        <v/>
      </c>
      <c r="F237" s="15" t="str">
        <f>IF(COUNTIFS(Master_PIC!$A$8:$A$73,$B237)=1,IF(VLOOKUP($B237,Master_PIC!$A$8:$G$73,6,FALSE)="","",VLOOKUP($B237,Master_PIC!$A$8:$G$73,6,FALSE)),"")</f>
        <v/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8"/>
      <c r="X237" s="5"/>
      <c r="Y237" s="5"/>
      <c r="Z237" s="9"/>
      <c r="AA237" s="5"/>
      <c r="AB237" s="5"/>
      <c r="AC237" s="9"/>
      <c r="AD237" s="5"/>
      <c r="AE237" s="7" t="str">
        <f t="shared" si="21"/>
        <v/>
      </c>
      <c r="AF237" s="7" t="str">
        <f t="shared" si="22"/>
        <v/>
      </c>
      <c r="AG237" s="7" t="str">
        <f t="shared" si="23"/>
        <v/>
      </c>
      <c r="AH237" s="7" t="str">
        <f t="shared" si="24"/>
        <v/>
      </c>
      <c r="AI237" s="7" t="str">
        <f t="shared" si="25"/>
        <v/>
      </c>
      <c r="AJ237" s="7" t="str">
        <f t="shared" si="26"/>
        <v/>
      </c>
      <c r="AK237" s="10" t="str">
        <f t="shared" si="27"/>
        <v/>
      </c>
      <c r="AL237" s="15" t="str">
        <f>IF(OR($A237&lt;&gt;"",$B237&lt;&gt;""),IF(OR($A237="",$B237=""),"Isi tanggal dan ID PIC",IF(NOT(ISNUMBER($A237)),"Tanggal harus berupa tanggal Excel",IF(COUNTIFS(Master_PIC!$A$8:$A$73,$B237)&lt;&gt;1,"ID PIC tidak unik/terdaftar",IF(VLOOKUP($B237,Master_PIC!$A$8:$G$73,3,FALSE)&lt;&gt;"SPV","Jabatan tidak sesuai sheet",IF(OR($C237="",$D237="",$E237="",$F237=""),"Lengkapi master PIC",IF(COUNTIFS($A$8:$A$507,$A237,$B$8:$B$507,$B237)&gt;1,"Laporan ganda",IF(COUNTIFS(G237:O237,"Tidak Berlaku")&gt;0,"N/A hanya untuk kegiatan bersyarat",IF(SUM(AF237,AG237,AH237,AI237,AJ237)&lt;&gt;13,"Status kegiatan tidak valid",IF(AJ237&gt;0,"Lengkapi status kegiatan",IF(AND(AI237&gt;0,T237=""),"Isi alasan Tidak Berlaku",IF(AND(SUM(AG237,AH237)&gt;0,OR(T237="",U237="",V237="",W237="")),"Isi kendala dan tindak lanjut",IF(AND(Y237&lt;&gt;"Draft",Y237&lt;&gt;"Dikirim"),"Isi status laporan yang valid",IF(AND(AA237&lt;&gt;"",AA237&lt;&gt;"Belum Diperiksa",AA237&lt;&gt;"Disetujui",AA237&lt;&gt;"Perlu Perbaikan"),"Hasil review tidak valid",IF(AND(Y237="Dikirim",OR(X237="",Z237="")),"Isi bukti dan waktu kirim",IF(AND(AA237="Disetujui",OR(Y237&lt;&gt;"Dikirim",AB237="",AC237="")),"Lengkapi pemeriksaan",IF(AND(AA237="Perlu Perbaikan",OR(AD237="",AB237="",AC237="")),"Isi pemeriksa dan catatan perbaikan","OK")))))))))))))))),"")</f>
        <v/>
      </c>
    </row>
    <row r="238" spans="1:38" ht="24.95" customHeight="1">
      <c r="A238" s="8"/>
      <c r="B238" s="6"/>
      <c r="C238" s="15" t="str">
        <f>IF(COUNTIFS(Master_PIC!$A$8:$A$73,$B238)=1,IF(VLOOKUP($B238,Master_PIC!$A$8:$G$73,2,FALSE)="","",VLOOKUP($B238,Master_PIC!$A$8:$G$73,2,FALSE)),"")</f>
        <v/>
      </c>
      <c r="D238" s="15" t="str">
        <f>IF(COUNTIFS(Master_PIC!$A$8:$A$73,$B238)=1,IF(VLOOKUP($B238,Master_PIC!$A$8:$G$73,4,FALSE)="","",VLOOKUP($B238,Master_PIC!$A$8:$G$73,4,FALSE)),"")</f>
        <v/>
      </c>
      <c r="E238" s="15" t="str">
        <f>IF(COUNTIFS(Master_PIC!$A$8:$A$73,$B238)=1,IF(VLOOKUP($B238,Master_PIC!$A$8:$G$73,5,FALSE)="","",VLOOKUP($B238,Master_PIC!$A$8:$G$73,5,FALSE)),"")</f>
        <v/>
      </c>
      <c r="F238" s="15" t="str">
        <f>IF(COUNTIFS(Master_PIC!$A$8:$A$73,$B238)=1,IF(VLOOKUP($B238,Master_PIC!$A$8:$G$73,6,FALSE)="","",VLOOKUP($B238,Master_PIC!$A$8:$G$73,6,FALSE)),"")</f>
        <v/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8"/>
      <c r="X238" s="5"/>
      <c r="Y238" s="5"/>
      <c r="Z238" s="9"/>
      <c r="AA238" s="5"/>
      <c r="AB238" s="5"/>
      <c r="AC238" s="9"/>
      <c r="AD238" s="5"/>
      <c r="AE238" s="7" t="str">
        <f t="shared" si="21"/>
        <v/>
      </c>
      <c r="AF238" s="7" t="str">
        <f t="shared" si="22"/>
        <v/>
      </c>
      <c r="AG238" s="7" t="str">
        <f t="shared" si="23"/>
        <v/>
      </c>
      <c r="AH238" s="7" t="str">
        <f t="shared" si="24"/>
        <v/>
      </c>
      <c r="AI238" s="7" t="str">
        <f t="shared" si="25"/>
        <v/>
      </c>
      <c r="AJ238" s="7" t="str">
        <f t="shared" si="26"/>
        <v/>
      </c>
      <c r="AK238" s="10" t="str">
        <f t="shared" si="27"/>
        <v/>
      </c>
      <c r="AL238" s="15" t="str">
        <f>IF(OR($A238&lt;&gt;"",$B238&lt;&gt;""),IF(OR($A238="",$B238=""),"Isi tanggal dan ID PIC",IF(NOT(ISNUMBER($A238)),"Tanggal harus berupa tanggal Excel",IF(COUNTIFS(Master_PIC!$A$8:$A$73,$B238)&lt;&gt;1,"ID PIC tidak unik/terdaftar",IF(VLOOKUP($B238,Master_PIC!$A$8:$G$73,3,FALSE)&lt;&gt;"SPV","Jabatan tidak sesuai sheet",IF(OR($C238="",$D238="",$E238="",$F238=""),"Lengkapi master PIC",IF(COUNTIFS($A$8:$A$507,$A238,$B$8:$B$507,$B238)&gt;1,"Laporan ganda",IF(COUNTIFS(G238:O238,"Tidak Berlaku")&gt;0,"N/A hanya untuk kegiatan bersyarat",IF(SUM(AF238,AG238,AH238,AI238,AJ238)&lt;&gt;13,"Status kegiatan tidak valid",IF(AJ238&gt;0,"Lengkapi status kegiatan",IF(AND(AI238&gt;0,T238=""),"Isi alasan Tidak Berlaku",IF(AND(SUM(AG238,AH238)&gt;0,OR(T238="",U238="",V238="",W238="")),"Isi kendala dan tindak lanjut",IF(AND(Y238&lt;&gt;"Draft",Y238&lt;&gt;"Dikirim"),"Isi status laporan yang valid",IF(AND(AA238&lt;&gt;"",AA238&lt;&gt;"Belum Diperiksa",AA238&lt;&gt;"Disetujui",AA238&lt;&gt;"Perlu Perbaikan"),"Hasil review tidak valid",IF(AND(Y238="Dikirim",OR(X238="",Z238="")),"Isi bukti dan waktu kirim",IF(AND(AA238="Disetujui",OR(Y238&lt;&gt;"Dikirim",AB238="",AC238="")),"Lengkapi pemeriksaan",IF(AND(AA238="Perlu Perbaikan",OR(AD238="",AB238="",AC238="")),"Isi pemeriksa dan catatan perbaikan","OK")))))))))))))))),"")</f>
        <v/>
      </c>
    </row>
    <row r="239" spans="1:38" ht="24.95" customHeight="1">
      <c r="A239" s="8"/>
      <c r="B239" s="6"/>
      <c r="C239" s="15" t="str">
        <f>IF(COUNTIFS(Master_PIC!$A$8:$A$73,$B239)=1,IF(VLOOKUP($B239,Master_PIC!$A$8:$G$73,2,FALSE)="","",VLOOKUP($B239,Master_PIC!$A$8:$G$73,2,FALSE)),"")</f>
        <v/>
      </c>
      <c r="D239" s="15" t="str">
        <f>IF(COUNTIFS(Master_PIC!$A$8:$A$73,$B239)=1,IF(VLOOKUP($B239,Master_PIC!$A$8:$G$73,4,FALSE)="","",VLOOKUP($B239,Master_PIC!$A$8:$G$73,4,FALSE)),"")</f>
        <v/>
      </c>
      <c r="E239" s="15" t="str">
        <f>IF(COUNTIFS(Master_PIC!$A$8:$A$73,$B239)=1,IF(VLOOKUP($B239,Master_PIC!$A$8:$G$73,5,FALSE)="","",VLOOKUP($B239,Master_PIC!$A$8:$G$73,5,FALSE)),"")</f>
        <v/>
      </c>
      <c r="F239" s="15" t="str">
        <f>IF(COUNTIFS(Master_PIC!$A$8:$A$73,$B239)=1,IF(VLOOKUP($B239,Master_PIC!$A$8:$G$73,6,FALSE)="","",VLOOKUP($B239,Master_PIC!$A$8:$G$73,6,FALSE)),"")</f>
        <v/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8"/>
      <c r="X239" s="5"/>
      <c r="Y239" s="5"/>
      <c r="Z239" s="9"/>
      <c r="AA239" s="5"/>
      <c r="AB239" s="5"/>
      <c r="AC239" s="9"/>
      <c r="AD239" s="5"/>
      <c r="AE239" s="7" t="str">
        <f t="shared" si="21"/>
        <v/>
      </c>
      <c r="AF239" s="7" t="str">
        <f t="shared" si="22"/>
        <v/>
      </c>
      <c r="AG239" s="7" t="str">
        <f t="shared" si="23"/>
        <v/>
      </c>
      <c r="AH239" s="7" t="str">
        <f t="shared" si="24"/>
        <v/>
      </c>
      <c r="AI239" s="7" t="str">
        <f t="shared" si="25"/>
        <v/>
      </c>
      <c r="AJ239" s="7" t="str">
        <f t="shared" si="26"/>
        <v/>
      </c>
      <c r="AK239" s="10" t="str">
        <f t="shared" si="27"/>
        <v/>
      </c>
      <c r="AL239" s="15" t="str">
        <f>IF(OR($A239&lt;&gt;"",$B239&lt;&gt;""),IF(OR($A239="",$B239=""),"Isi tanggal dan ID PIC",IF(NOT(ISNUMBER($A239)),"Tanggal harus berupa tanggal Excel",IF(COUNTIFS(Master_PIC!$A$8:$A$73,$B239)&lt;&gt;1,"ID PIC tidak unik/terdaftar",IF(VLOOKUP($B239,Master_PIC!$A$8:$G$73,3,FALSE)&lt;&gt;"SPV","Jabatan tidak sesuai sheet",IF(OR($C239="",$D239="",$E239="",$F239=""),"Lengkapi master PIC",IF(COUNTIFS($A$8:$A$507,$A239,$B$8:$B$507,$B239)&gt;1,"Laporan ganda",IF(COUNTIFS(G239:O239,"Tidak Berlaku")&gt;0,"N/A hanya untuk kegiatan bersyarat",IF(SUM(AF239,AG239,AH239,AI239,AJ239)&lt;&gt;13,"Status kegiatan tidak valid",IF(AJ239&gt;0,"Lengkapi status kegiatan",IF(AND(AI239&gt;0,T239=""),"Isi alasan Tidak Berlaku",IF(AND(SUM(AG239,AH239)&gt;0,OR(T239="",U239="",V239="",W239="")),"Isi kendala dan tindak lanjut",IF(AND(Y239&lt;&gt;"Draft",Y239&lt;&gt;"Dikirim"),"Isi status laporan yang valid",IF(AND(AA239&lt;&gt;"",AA239&lt;&gt;"Belum Diperiksa",AA239&lt;&gt;"Disetujui",AA239&lt;&gt;"Perlu Perbaikan"),"Hasil review tidak valid",IF(AND(Y239="Dikirim",OR(X239="",Z239="")),"Isi bukti dan waktu kirim",IF(AND(AA239="Disetujui",OR(Y239&lt;&gt;"Dikirim",AB239="",AC239="")),"Lengkapi pemeriksaan",IF(AND(AA239="Perlu Perbaikan",OR(AD239="",AB239="",AC239="")),"Isi pemeriksa dan catatan perbaikan","OK")))))))))))))))),"")</f>
        <v/>
      </c>
    </row>
    <row r="240" spans="1:38" ht="24.95" customHeight="1">
      <c r="A240" s="8"/>
      <c r="B240" s="6"/>
      <c r="C240" s="15" t="str">
        <f>IF(COUNTIFS(Master_PIC!$A$8:$A$73,$B240)=1,IF(VLOOKUP($B240,Master_PIC!$A$8:$G$73,2,FALSE)="","",VLOOKUP($B240,Master_PIC!$A$8:$G$73,2,FALSE)),"")</f>
        <v/>
      </c>
      <c r="D240" s="15" t="str">
        <f>IF(COUNTIFS(Master_PIC!$A$8:$A$73,$B240)=1,IF(VLOOKUP($B240,Master_PIC!$A$8:$G$73,4,FALSE)="","",VLOOKUP($B240,Master_PIC!$A$8:$G$73,4,FALSE)),"")</f>
        <v/>
      </c>
      <c r="E240" s="15" t="str">
        <f>IF(COUNTIFS(Master_PIC!$A$8:$A$73,$B240)=1,IF(VLOOKUP($B240,Master_PIC!$A$8:$G$73,5,FALSE)="","",VLOOKUP($B240,Master_PIC!$A$8:$G$73,5,FALSE)),"")</f>
        <v/>
      </c>
      <c r="F240" s="15" t="str">
        <f>IF(COUNTIFS(Master_PIC!$A$8:$A$73,$B240)=1,IF(VLOOKUP($B240,Master_PIC!$A$8:$G$73,6,FALSE)="","",VLOOKUP($B240,Master_PIC!$A$8:$G$73,6,FALSE)),"")</f>
        <v/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8"/>
      <c r="X240" s="5"/>
      <c r="Y240" s="5"/>
      <c r="Z240" s="9"/>
      <c r="AA240" s="5"/>
      <c r="AB240" s="5"/>
      <c r="AC240" s="9"/>
      <c r="AD240" s="5"/>
      <c r="AE240" s="7" t="str">
        <f t="shared" si="21"/>
        <v/>
      </c>
      <c r="AF240" s="7" t="str">
        <f t="shared" si="22"/>
        <v/>
      </c>
      <c r="AG240" s="7" t="str">
        <f t="shared" si="23"/>
        <v/>
      </c>
      <c r="AH240" s="7" t="str">
        <f t="shared" si="24"/>
        <v/>
      </c>
      <c r="AI240" s="7" t="str">
        <f t="shared" si="25"/>
        <v/>
      </c>
      <c r="AJ240" s="7" t="str">
        <f t="shared" si="26"/>
        <v/>
      </c>
      <c r="AK240" s="10" t="str">
        <f t="shared" si="27"/>
        <v/>
      </c>
      <c r="AL240" s="15" t="str">
        <f>IF(OR($A240&lt;&gt;"",$B240&lt;&gt;""),IF(OR($A240="",$B240=""),"Isi tanggal dan ID PIC",IF(NOT(ISNUMBER($A240)),"Tanggal harus berupa tanggal Excel",IF(COUNTIFS(Master_PIC!$A$8:$A$73,$B240)&lt;&gt;1,"ID PIC tidak unik/terdaftar",IF(VLOOKUP($B240,Master_PIC!$A$8:$G$73,3,FALSE)&lt;&gt;"SPV","Jabatan tidak sesuai sheet",IF(OR($C240="",$D240="",$E240="",$F240=""),"Lengkapi master PIC",IF(COUNTIFS($A$8:$A$507,$A240,$B$8:$B$507,$B240)&gt;1,"Laporan ganda",IF(COUNTIFS(G240:O240,"Tidak Berlaku")&gt;0,"N/A hanya untuk kegiatan bersyarat",IF(SUM(AF240,AG240,AH240,AI240,AJ240)&lt;&gt;13,"Status kegiatan tidak valid",IF(AJ240&gt;0,"Lengkapi status kegiatan",IF(AND(AI240&gt;0,T240=""),"Isi alasan Tidak Berlaku",IF(AND(SUM(AG240,AH240)&gt;0,OR(T240="",U240="",V240="",W240="")),"Isi kendala dan tindak lanjut",IF(AND(Y240&lt;&gt;"Draft",Y240&lt;&gt;"Dikirim"),"Isi status laporan yang valid",IF(AND(AA240&lt;&gt;"",AA240&lt;&gt;"Belum Diperiksa",AA240&lt;&gt;"Disetujui",AA240&lt;&gt;"Perlu Perbaikan"),"Hasil review tidak valid",IF(AND(Y240="Dikirim",OR(X240="",Z240="")),"Isi bukti dan waktu kirim",IF(AND(AA240="Disetujui",OR(Y240&lt;&gt;"Dikirim",AB240="",AC240="")),"Lengkapi pemeriksaan",IF(AND(AA240="Perlu Perbaikan",OR(AD240="",AB240="",AC240="")),"Isi pemeriksa dan catatan perbaikan","OK")))))))))))))))),"")</f>
        <v/>
      </c>
    </row>
    <row r="241" spans="1:38" ht="24.95" customHeight="1">
      <c r="A241" s="8"/>
      <c r="B241" s="6"/>
      <c r="C241" s="15" t="str">
        <f>IF(COUNTIFS(Master_PIC!$A$8:$A$73,$B241)=1,IF(VLOOKUP($B241,Master_PIC!$A$8:$G$73,2,FALSE)="","",VLOOKUP($B241,Master_PIC!$A$8:$G$73,2,FALSE)),"")</f>
        <v/>
      </c>
      <c r="D241" s="15" t="str">
        <f>IF(COUNTIFS(Master_PIC!$A$8:$A$73,$B241)=1,IF(VLOOKUP($B241,Master_PIC!$A$8:$G$73,4,FALSE)="","",VLOOKUP($B241,Master_PIC!$A$8:$G$73,4,FALSE)),"")</f>
        <v/>
      </c>
      <c r="E241" s="15" t="str">
        <f>IF(COUNTIFS(Master_PIC!$A$8:$A$73,$B241)=1,IF(VLOOKUP($B241,Master_PIC!$A$8:$G$73,5,FALSE)="","",VLOOKUP($B241,Master_PIC!$A$8:$G$73,5,FALSE)),"")</f>
        <v/>
      </c>
      <c r="F241" s="15" t="str">
        <f>IF(COUNTIFS(Master_PIC!$A$8:$A$73,$B241)=1,IF(VLOOKUP($B241,Master_PIC!$A$8:$G$73,6,FALSE)="","",VLOOKUP($B241,Master_PIC!$A$8:$G$73,6,FALSE)),"")</f>
        <v/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8"/>
      <c r="X241" s="5"/>
      <c r="Y241" s="5"/>
      <c r="Z241" s="9"/>
      <c r="AA241" s="5"/>
      <c r="AB241" s="5"/>
      <c r="AC241" s="9"/>
      <c r="AD241" s="5"/>
      <c r="AE241" s="7" t="str">
        <f t="shared" si="21"/>
        <v/>
      </c>
      <c r="AF241" s="7" t="str">
        <f t="shared" si="22"/>
        <v/>
      </c>
      <c r="AG241" s="7" t="str">
        <f t="shared" si="23"/>
        <v/>
      </c>
      <c r="AH241" s="7" t="str">
        <f t="shared" si="24"/>
        <v/>
      </c>
      <c r="AI241" s="7" t="str">
        <f t="shared" si="25"/>
        <v/>
      </c>
      <c r="AJ241" s="7" t="str">
        <f t="shared" si="26"/>
        <v/>
      </c>
      <c r="AK241" s="10" t="str">
        <f t="shared" si="27"/>
        <v/>
      </c>
      <c r="AL241" s="15" t="str">
        <f>IF(OR($A241&lt;&gt;"",$B241&lt;&gt;""),IF(OR($A241="",$B241=""),"Isi tanggal dan ID PIC",IF(NOT(ISNUMBER($A241)),"Tanggal harus berupa tanggal Excel",IF(COUNTIFS(Master_PIC!$A$8:$A$73,$B241)&lt;&gt;1,"ID PIC tidak unik/terdaftar",IF(VLOOKUP($B241,Master_PIC!$A$8:$G$73,3,FALSE)&lt;&gt;"SPV","Jabatan tidak sesuai sheet",IF(OR($C241="",$D241="",$E241="",$F241=""),"Lengkapi master PIC",IF(COUNTIFS($A$8:$A$507,$A241,$B$8:$B$507,$B241)&gt;1,"Laporan ganda",IF(COUNTIFS(G241:O241,"Tidak Berlaku")&gt;0,"N/A hanya untuk kegiatan bersyarat",IF(SUM(AF241,AG241,AH241,AI241,AJ241)&lt;&gt;13,"Status kegiatan tidak valid",IF(AJ241&gt;0,"Lengkapi status kegiatan",IF(AND(AI241&gt;0,T241=""),"Isi alasan Tidak Berlaku",IF(AND(SUM(AG241,AH241)&gt;0,OR(T241="",U241="",V241="",W241="")),"Isi kendala dan tindak lanjut",IF(AND(Y241&lt;&gt;"Draft",Y241&lt;&gt;"Dikirim"),"Isi status laporan yang valid",IF(AND(AA241&lt;&gt;"",AA241&lt;&gt;"Belum Diperiksa",AA241&lt;&gt;"Disetujui",AA241&lt;&gt;"Perlu Perbaikan"),"Hasil review tidak valid",IF(AND(Y241="Dikirim",OR(X241="",Z241="")),"Isi bukti dan waktu kirim",IF(AND(AA241="Disetujui",OR(Y241&lt;&gt;"Dikirim",AB241="",AC241="")),"Lengkapi pemeriksaan",IF(AND(AA241="Perlu Perbaikan",OR(AD241="",AB241="",AC241="")),"Isi pemeriksa dan catatan perbaikan","OK")))))))))))))))),"")</f>
        <v/>
      </c>
    </row>
    <row r="242" spans="1:38" ht="24.95" customHeight="1">
      <c r="A242" s="8"/>
      <c r="B242" s="6"/>
      <c r="C242" s="15" t="str">
        <f>IF(COUNTIFS(Master_PIC!$A$8:$A$73,$B242)=1,IF(VLOOKUP($B242,Master_PIC!$A$8:$G$73,2,FALSE)="","",VLOOKUP($B242,Master_PIC!$A$8:$G$73,2,FALSE)),"")</f>
        <v/>
      </c>
      <c r="D242" s="15" t="str">
        <f>IF(COUNTIFS(Master_PIC!$A$8:$A$73,$B242)=1,IF(VLOOKUP($B242,Master_PIC!$A$8:$G$73,4,FALSE)="","",VLOOKUP($B242,Master_PIC!$A$8:$G$73,4,FALSE)),"")</f>
        <v/>
      </c>
      <c r="E242" s="15" t="str">
        <f>IF(COUNTIFS(Master_PIC!$A$8:$A$73,$B242)=1,IF(VLOOKUP($B242,Master_PIC!$A$8:$G$73,5,FALSE)="","",VLOOKUP($B242,Master_PIC!$A$8:$G$73,5,FALSE)),"")</f>
        <v/>
      </c>
      <c r="F242" s="15" t="str">
        <f>IF(COUNTIFS(Master_PIC!$A$8:$A$73,$B242)=1,IF(VLOOKUP($B242,Master_PIC!$A$8:$G$73,6,FALSE)="","",VLOOKUP($B242,Master_PIC!$A$8:$G$73,6,FALSE)),"")</f>
        <v/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8"/>
      <c r="X242" s="5"/>
      <c r="Y242" s="5"/>
      <c r="Z242" s="9"/>
      <c r="AA242" s="5"/>
      <c r="AB242" s="5"/>
      <c r="AC242" s="9"/>
      <c r="AD242" s="5"/>
      <c r="AE242" s="7" t="str">
        <f t="shared" si="21"/>
        <v/>
      </c>
      <c r="AF242" s="7" t="str">
        <f t="shared" si="22"/>
        <v/>
      </c>
      <c r="AG242" s="7" t="str">
        <f t="shared" si="23"/>
        <v/>
      </c>
      <c r="AH242" s="7" t="str">
        <f t="shared" si="24"/>
        <v/>
      </c>
      <c r="AI242" s="7" t="str">
        <f t="shared" si="25"/>
        <v/>
      </c>
      <c r="AJ242" s="7" t="str">
        <f t="shared" si="26"/>
        <v/>
      </c>
      <c r="AK242" s="10" t="str">
        <f t="shared" si="27"/>
        <v/>
      </c>
      <c r="AL242" s="15" t="str">
        <f>IF(OR($A242&lt;&gt;"",$B242&lt;&gt;""),IF(OR($A242="",$B242=""),"Isi tanggal dan ID PIC",IF(NOT(ISNUMBER($A242)),"Tanggal harus berupa tanggal Excel",IF(COUNTIFS(Master_PIC!$A$8:$A$73,$B242)&lt;&gt;1,"ID PIC tidak unik/terdaftar",IF(VLOOKUP($B242,Master_PIC!$A$8:$G$73,3,FALSE)&lt;&gt;"SPV","Jabatan tidak sesuai sheet",IF(OR($C242="",$D242="",$E242="",$F242=""),"Lengkapi master PIC",IF(COUNTIFS($A$8:$A$507,$A242,$B$8:$B$507,$B242)&gt;1,"Laporan ganda",IF(COUNTIFS(G242:O242,"Tidak Berlaku")&gt;0,"N/A hanya untuk kegiatan bersyarat",IF(SUM(AF242,AG242,AH242,AI242,AJ242)&lt;&gt;13,"Status kegiatan tidak valid",IF(AJ242&gt;0,"Lengkapi status kegiatan",IF(AND(AI242&gt;0,T242=""),"Isi alasan Tidak Berlaku",IF(AND(SUM(AG242,AH242)&gt;0,OR(T242="",U242="",V242="",W242="")),"Isi kendala dan tindak lanjut",IF(AND(Y242&lt;&gt;"Draft",Y242&lt;&gt;"Dikirim"),"Isi status laporan yang valid",IF(AND(AA242&lt;&gt;"",AA242&lt;&gt;"Belum Diperiksa",AA242&lt;&gt;"Disetujui",AA242&lt;&gt;"Perlu Perbaikan"),"Hasil review tidak valid",IF(AND(Y242="Dikirim",OR(X242="",Z242="")),"Isi bukti dan waktu kirim",IF(AND(AA242="Disetujui",OR(Y242&lt;&gt;"Dikirim",AB242="",AC242="")),"Lengkapi pemeriksaan",IF(AND(AA242="Perlu Perbaikan",OR(AD242="",AB242="",AC242="")),"Isi pemeriksa dan catatan perbaikan","OK")))))))))))))))),"")</f>
        <v/>
      </c>
    </row>
    <row r="243" spans="1:38" ht="24.95" customHeight="1">
      <c r="A243" s="8"/>
      <c r="B243" s="6"/>
      <c r="C243" s="15" t="str">
        <f>IF(COUNTIFS(Master_PIC!$A$8:$A$73,$B243)=1,IF(VLOOKUP($B243,Master_PIC!$A$8:$G$73,2,FALSE)="","",VLOOKUP($B243,Master_PIC!$A$8:$G$73,2,FALSE)),"")</f>
        <v/>
      </c>
      <c r="D243" s="15" t="str">
        <f>IF(COUNTIFS(Master_PIC!$A$8:$A$73,$B243)=1,IF(VLOOKUP($B243,Master_PIC!$A$8:$G$73,4,FALSE)="","",VLOOKUP($B243,Master_PIC!$A$8:$G$73,4,FALSE)),"")</f>
        <v/>
      </c>
      <c r="E243" s="15" t="str">
        <f>IF(COUNTIFS(Master_PIC!$A$8:$A$73,$B243)=1,IF(VLOOKUP($B243,Master_PIC!$A$8:$G$73,5,FALSE)="","",VLOOKUP($B243,Master_PIC!$A$8:$G$73,5,FALSE)),"")</f>
        <v/>
      </c>
      <c r="F243" s="15" t="str">
        <f>IF(COUNTIFS(Master_PIC!$A$8:$A$73,$B243)=1,IF(VLOOKUP($B243,Master_PIC!$A$8:$G$73,6,FALSE)="","",VLOOKUP($B243,Master_PIC!$A$8:$G$73,6,FALSE)),"")</f>
        <v/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8"/>
      <c r="X243" s="5"/>
      <c r="Y243" s="5"/>
      <c r="Z243" s="9"/>
      <c r="AA243" s="5"/>
      <c r="AB243" s="5"/>
      <c r="AC243" s="9"/>
      <c r="AD243" s="5"/>
      <c r="AE243" s="7" t="str">
        <f t="shared" si="21"/>
        <v/>
      </c>
      <c r="AF243" s="7" t="str">
        <f t="shared" si="22"/>
        <v/>
      </c>
      <c r="AG243" s="7" t="str">
        <f t="shared" si="23"/>
        <v/>
      </c>
      <c r="AH243" s="7" t="str">
        <f t="shared" si="24"/>
        <v/>
      </c>
      <c r="AI243" s="7" t="str">
        <f t="shared" si="25"/>
        <v/>
      </c>
      <c r="AJ243" s="7" t="str">
        <f t="shared" si="26"/>
        <v/>
      </c>
      <c r="AK243" s="10" t="str">
        <f t="shared" si="27"/>
        <v/>
      </c>
      <c r="AL243" s="15" t="str">
        <f>IF(OR($A243&lt;&gt;"",$B243&lt;&gt;""),IF(OR($A243="",$B243=""),"Isi tanggal dan ID PIC",IF(NOT(ISNUMBER($A243)),"Tanggal harus berupa tanggal Excel",IF(COUNTIFS(Master_PIC!$A$8:$A$73,$B243)&lt;&gt;1,"ID PIC tidak unik/terdaftar",IF(VLOOKUP($B243,Master_PIC!$A$8:$G$73,3,FALSE)&lt;&gt;"SPV","Jabatan tidak sesuai sheet",IF(OR($C243="",$D243="",$E243="",$F243=""),"Lengkapi master PIC",IF(COUNTIFS($A$8:$A$507,$A243,$B$8:$B$507,$B243)&gt;1,"Laporan ganda",IF(COUNTIFS(G243:O243,"Tidak Berlaku")&gt;0,"N/A hanya untuk kegiatan bersyarat",IF(SUM(AF243,AG243,AH243,AI243,AJ243)&lt;&gt;13,"Status kegiatan tidak valid",IF(AJ243&gt;0,"Lengkapi status kegiatan",IF(AND(AI243&gt;0,T243=""),"Isi alasan Tidak Berlaku",IF(AND(SUM(AG243,AH243)&gt;0,OR(T243="",U243="",V243="",W243="")),"Isi kendala dan tindak lanjut",IF(AND(Y243&lt;&gt;"Draft",Y243&lt;&gt;"Dikirim"),"Isi status laporan yang valid",IF(AND(AA243&lt;&gt;"",AA243&lt;&gt;"Belum Diperiksa",AA243&lt;&gt;"Disetujui",AA243&lt;&gt;"Perlu Perbaikan"),"Hasil review tidak valid",IF(AND(Y243="Dikirim",OR(X243="",Z243="")),"Isi bukti dan waktu kirim",IF(AND(AA243="Disetujui",OR(Y243&lt;&gt;"Dikirim",AB243="",AC243="")),"Lengkapi pemeriksaan",IF(AND(AA243="Perlu Perbaikan",OR(AD243="",AB243="",AC243="")),"Isi pemeriksa dan catatan perbaikan","OK")))))))))))))))),"")</f>
        <v/>
      </c>
    </row>
    <row r="244" spans="1:38" ht="24.95" customHeight="1">
      <c r="A244" s="8"/>
      <c r="B244" s="6"/>
      <c r="C244" s="15" t="str">
        <f>IF(COUNTIFS(Master_PIC!$A$8:$A$73,$B244)=1,IF(VLOOKUP($B244,Master_PIC!$A$8:$G$73,2,FALSE)="","",VLOOKUP($B244,Master_PIC!$A$8:$G$73,2,FALSE)),"")</f>
        <v/>
      </c>
      <c r="D244" s="15" t="str">
        <f>IF(COUNTIFS(Master_PIC!$A$8:$A$73,$B244)=1,IF(VLOOKUP($B244,Master_PIC!$A$8:$G$73,4,FALSE)="","",VLOOKUP($B244,Master_PIC!$A$8:$G$73,4,FALSE)),"")</f>
        <v/>
      </c>
      <c r="E244" s="15" t="str">
        <f>IF(COUNTIFS(Master_PIC!$A$8:$A$73,$B244)=1,IF(VLOOKUP($B244,Master_PIC!$A$8:$G$73,5,FALSE)="","",VLOOKUP($B244,Master_PIC!$A$8:$G$73,5,FALSE)),"")</f>
        <v/>
      </c>
      <c r="F244" s="15" t="str">
        <f>IF(COUNTIFS(Master_PIC!$A$8:$A$73,$B244)=1,IF(VLOOKUP($B244,Master_PIC!$A$8:$G$73,6,FALSE)="","",VLOOKUP($B244,Master_PIC!$A$8:$G$73,6,FALSE)),"")</f>
        <v/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8"/>
      <c r="X244" s="5"/>
      <c r="Y244" s="5"/>
      <c r="Z244" s="9"/>
      <c r="AA244" s="5"/>
      <c r="AB244" s="5"/>
      <c r="AC244" s="9"/>
      <c r="AD244" s="5"/>
      <c r="AE244" s="7" t="str">
        <f t="shared" si="21"/>
        <v/>
      </c>
      <c r="AF244" s="7" t="str">
        <f t="shared" si="22"/>
        <v/>
      </c>
      <c r="AG244" s="7" t="str">
        <f t="shared" si="23"/>
        <v/>
      </c>
      <c r="AH244" s="7" t="str">
        <f t="shared" si="24"/>
        <v/>
      </c>
      <c r="AI244" s="7" t="str">
        <f t="shared" si="25"/>
        <v/>
      </c>
      <c r="AJ244" s="7" t="str">
        <f t="shared" si="26"/>
        <v/>
      </c>
      <c r="AK244" s="10" t="str">
        <f t="shared" si="27"/>
        <v/>
      </c>
      <c r="AL244" s="15" t="str">
        <f>IF(OR($A244&lt;&gt;"",$B244&lt;&gt;""),IF(OR($A244="",$B244=""),"Isi tanggal dan ID PIC",IF(NOT(ISNUMBER($A244)),"Tanggal harus berupa tanggal Excel",IF(COUNTIFS(Master_PIC!$A$8:$A$73,$B244)&lt;&gt;1,"ID PIC tidak unik/terdaftar",IF(VLOOKUP($B244,Master_PIC!$A$8:$G$73,3,FALSE)&lt;&gt;"SPV","Jabatan tidak sesuai sheet",IF(OR($C244="",$D244="",$E244="",$F244=""),"Lengkapi master PIC",IF(COUNTIFS($A$8:$A$507,$A244,$B$8:$B$507,$B244)&gt;1,"Laporan ganda",IF(COUNTIFS(G244:O244,"Tidak Berlaku")&gt;0,"N/A hanya untuk kegiatan bersyarat",IF(SUM(AF244,AG244,AH244,AI244,AJ244)&lt;&gt;13,"Status kegiatan tidak valid",IF(AJ244&gt;0,"Lengkapi status kegiatan",IF(AND(AI244&gt;0,T244=""),"Isi alasan Tidak Berlaku",IF(AND(SUM(AG244,AH244)&gt;0,OR(T244="",U244="",V244="",W244="")),"Isi kendala dan tindak lanjut",IF(AND(Y244&lt;&gt;"Draft",Y244&lt;&gt;"Dikirim"),"Isi status laporan yang valid",IF(AND(AA244&lt;&gt;"",AA244&lt;&gt;"Belum Diperiksa",AA244&lt;&gt;"Disetujui",AA244&lt;&gt;"Perlu Perbaikan"),"Hasil review tidak valid",IF(AND(Y244="Dikirim",OR(X244="",Z244="")),"Isi bukti dan waktu kirim",IF(AND(AA244="Disetujui",OR(Y244&lt;&gt;"Dikirim",AB244="",AC244="")),"Lengkapi pemeriksaan",IF(AND(AA244="Perlu Perbaikan",OR(AD244="",AB244="",AC244="")),"Isi pemeriksa dan catatan perbaikan","OK")))))))))))))))),"")</f>
        <v/>
      </c>
    </row>
    <row r="245" spans="1:38" ht="24.95" customHeight="1">
      <c r="A245" s="8"/>
      <c r="B245" s="6"/>
      <c r="C245" s="15" t="str">
        <f>IF(COUNTIFS(Master_PIC!$A$8:$A$73,$B245)=1,IF(VLOOKUP($B245,Master_PIC!$A$8:$G$73,2,FALSE)="","",VLOOKUP($B245,Master_PIC!$A$8:$G$73,2,FALSE)),"")</f>
        <v/>
      </c>
      <c r="D245" s="15" t="str">
        <f>IF(COUNTIFS(Master_PIC!$A$8:$A$73,$B245)=1,IF(VLOOKUP($B245,Master_PIC!$A$8:$G$73,4,FALSE)="","",VLOOKUP($B245,Master_PIC!$A$8:$G$73,4,FALSE)),"")</f>
        <v/>
      </c>
      <c r="E245" s="15" t="str">
        <f>IF(COUNTIFS(Master_PIC!$A$8:$A$73,$B245)=1,IF(VLOOKUP($B245,Master_PIC!$A$8:$G$73,5,FALSE)="","",VLOOKUP($B245,Master_PIC!$A$8:$G$73,5,FALSE)),"")</f>
        <v/>
      </c>
      <c r="F245" s="15" t="str">
        <f>IF(COUNTIFS(Master_PIC!$A$8:$A$73,$B245)=1,IF(VLOOKUP($B245,Master_PIC!$A$8:$G$73,6,FALSE)="","",VLOOKUP($B245,Master_PIC!$A$8:$G$73,6,FALSE)),"")</f>
        <v/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8"/>
      <c r="X245" s="5"/>
      <c r="Y245" s="5"/>
      <c r="Z245" s="9"/>
      <c r="AA245" s="5"/>
      <c r="AB245" s="5"/>
      <c r="AC245" s="9"/>
      <c r="AD245" s="5"/>
      <c r="AE245" s="7" t="str">
        <f t="shared" si="21"/>
        <v/>
      </c>
      <c r="AF245" s="7" t="str">
        <f t="shared" si="22"/>
        <v/>
      </c>
      <c r="AG245" s="7" t="str">
        <f t="shared" si="23"/>
        <v/>
      </c>
      <c r="AH245" s="7" t="str">
        <f t="shared" si="24"/>
        <v/>
      </c>
      <c r="AI245" s="7" t="str">
        <f t="shared" si="25"/>
        <v/>
      </c>
      <c r="AJ245" s="7" t="str">
        <f t="shared" si="26"/>
        <v/>
      </c>
      <c r="AK245" s="10" t="str">
        <f t="shared" si="27"/>
        <v/>
      </c>
      <c r="AL245" s="15" t="str">
        <f>IF(OR($A245&lt;&gt;"",$B245&lt;&gt;""),IF(OR($A245="",$B245=""),"Isi tanggal dan ID PIC",IF(NOT(ISNUMBER($A245)),"Tanggal harus berupa tanggal Excel",IF(COUNTIFS(Master_PIC!$A$8:$A$73,$B245)&lt;&gt;1,"ID PIC tidak unik/terdaftar",IF(VLOOKUP($B245,Master_PIC!$A$8:$G$73,3,FALSE)&lt;&gt;"SPV","Jabatan tidak sesuai sheet",IF(OR($C245="",$D245="",$E245="",$F245=""),"Lengkapi master PIC",IF(COUNTIFS($A$8:$A$507,$A245,$B$8:$B$507,$B245)&gt;1,"Laporan ganda",IF(COUNTIFS(G245:O245,"Tidak Berlaku")&gt;0,"N/A hanya untuk kegiatan bersyarat",IF(SUM(AF245,AG245,AH245,AI245,AJ245)&lt;&gt;13,"Status kegiatan tidak valid",IF(AJ245&gt;0,"Lengkapi status kegiatan",IF(AND(AI245&gt;0,T245=""),"Isi alasan Tidak Berlaku",IF(AND(SUM(AG245,AH245)&gt;0,OR(T245="",U245="",V245="",W245="")),"Isi kendala dan tindak lanjut",IF(AND(Y245&lt;&gt;"Draft",Y245&lt;&gt;"Dikirim"),"Isi status laporan yang valid",IF(AND(AA245&lt;&gt;"",AA245&lt;&gt;"Belum Diperiksa",AA245&lt;&gt;"Disetujui",AA245&lt;&gt;"Perlu Perbaikan"),"Hasil review tidak valid",IF(AND(Y245="Dikirim",OR(X245="",Z245="")),"Isi bukti dan waktu kirim",IF(AND(AA245="Disetujui",OR(Y245&lt;&gt;"Dikirim",AB245="",AC245="")),"Lengkapi pemeriksaan",IF(AND(AA245="Perlu Perbaikan",OR(AD245="",AB245="",AC245="")),"Isi pemeriksa dan catatan perbaikan","OK")))))))))))))))),"")</f>
        <v/>
      </c>
    </row>
    <row r="246" spans="1:38" ht="24.95" customHeight="1">
      <c r="A246" s="8"/>
      <c r="B246" s="6"/>
      <c r="C246" s="15" t="str">
        <f>IF(COUNTIFS(Master_PIC!$A$8:$A$73,$B246)=1,IF(VLOOKUP($B246,Master_PIC!$A$8:$G$73,2,FALSE)="","",VLOOKUP($B246,Master_PIC!$A$8:$G$73,2,FALSE)),"")</f>
        <v/>
      </c>
      <c r="D246" s="15" t="str">
        <f>IF(COUNTIFS(Master_PIC!$A$8:$A$73,$B246)=1,IF(VLOOKUP($B246,Master_PIC!$A$8:$G$73,4,FALSE)="","",VLOOKUP($B246,Master_PIC!$A$8:$G$73,4,FALSE)),"")</f>
        <v/>
      </c>
      <c r="E246" s="15" t="str">
        <f>IF(COUNTIFS(Master_PIC!$A$8:$A$73,$B246)=1,IF(VLOOKUP($B246,Master_PIC!$A$8:$G$73,5,FALSE)="","",VLOOKUP($B246,Master_PIC!$A$8:$G$73,5,FALSE)),"")</f>
        <v/>
      </c>
      <c r="F246" s="15" t="str">
        <f>IF(COUNTIFS(Master_PIC!$A$8:$A$73,$B246)=1,IF(VLOOKUP($B246,Master_PIC!$A$8:$G$73,6,FALSE)="","",VLOOKUP($B246,Master_PIC!$A$8:$G$73,6,FALSE)),"")</f>
        <v/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8"/>
      <c r="X246" s="5"/>
      <c r="Y246" s="5"/>
      <c r="Z246" s="9"/>
      <c r="AA246" s="5"/>
      <c r="AB246" s="5"/>
      <c r="AC246" s="9"/>
      <c r="AD246" s="5"/>
      <c r="AE246" s="7" t="str">
        <f t="shared" si="21"/>
        <v/>
      </c>
      <c r="AF246" s="7" t="str">
        <f t="shared" si="22"/>
        <v/>
      </c>
      <c r="AG246" s="7" t="str">
        <f t="shared" si="23"/>
        <v/>
      </c>
      <c r="AH246" s="7" t="str">
        <f t="shared" si="24"/>
        <v/>
      </c>
      <c r="AI246" s="7" t="str">
        <f t="shared" si="25"/>
        <v/>
      </c>
      <c r="AJ246" s="7" t="str">
        <f t="shared" si="26"/>
        <v/>
      </c>
      <c r="AK246" s="10" t="str">
        <f t="shared" si="27"/>
        <v/>
      </c>
      <c r="AL246" s="15" t="str">
        <f>IF(OR($A246&lt;&gt;"",$B246&lt;&gt;""),IF(OR($A246="",$B246=""),"Isi tanggal dan ID PIC",IF(NOT(ISNUMBER($A246)),"Tanggal harus berupa tanggal Excel",IF(COUNTIFS(Master_PIC!$A$8:$A$73,$B246)&lt;&gt;1,"ID PIC tidak unik/terdaftar",IF(VLOOKUP($B246,Master_PIC!$A$8:$G$73,3,FALSE)&lt;&gt;"SPV","Jabatan tidak sesuai sheet",IF(OR($C246="",$D246="",$E246="",$F246=""),"Lengkapi master PIC",IF(COUNTIFS($A$8:$A$507,$A246,$B$8:$B$507,$B246)&gt;1,"Laporan ganda",IF(COUNTIFS(G246:O246,"Tidak Berlaku")&gt;0,"N/A hanya untuk kegiatan bersyarat",IF(SUM(AF246,AG246,AH246,AI246,AJ246)&lt;&gt;13,"Status kegiatan tidak valid",IF(AJ246&gt;0,"Lengkapi status kegiatan",IF(AND(AI246&gt;0,T246=""),"Isi alasan Tidak Berlaku",IF(AND(SUM(AG246,AH246)&gt;0,OR(T246="",U246="",V246="",W246="")),"Isi kendala dan tindak lanjut",IF(AND(Y246&lt;&gt;"Draft",Y246&lt;&gt;"Dikirim"),"Isi status laporan yang valid",IF(AND(AA246&lt;&gt;"",AA246&lt;&gt;"Belum Diperiksa",AA246&lt;&gt;"Disetujui",AA246&lt;&gt;"Perlu Perbaikan"),"Hasil review tidak valid",IF(AND(Y246="Dikirim",OR(X246="",Z246="")),"Isi bukti dan waktu kirim",IF(AND(AA246="Disetujui",OR(Y246&lt;&gt;"Dikirim",AB246="",AC246="")),"Lengkapi pemeriksaan",IF(AND(AA246="Perlu Perbaikan",OR(AD246="",AB246="",AC246="")),"Isi pemeriksa dan catatan perbaikan","OK")))))))))))))))),"")</f>
        <v/>
      </c>
    </row>
    <row r="247" spans="1:38" ht="24.95" customHeight="1">
      <c r="A247" s="8"/>
      <c r="B247" s="6"/>
      <c r="C247" s="15" t="str">
        <f>IF(COUNTIFS(Master_PIC!$A$8:$A$73,$B247)=1,IF(VLOOKUP($B247,Master_PIC!$A$8:$G$73,2,FALSE)="","",VLOOKUP($B247,Master_PIC!$A$8:$G$73,2,FALSE)),"")</f>
        <v/>
      </c>
      <c r="D247" s="15" t="str">
        <f>IF(COUNTIFS(Master_PIC!$A$8:$A$73,$B247)=1,IF(VLOOKUP($B247,Master_PIC!$A$8:$G$73,4,FALSE)="","",VLOOKUP($B247,Master_PIC!$A$8:$G$73,4,FALSE)),"")</f>
        <v/>
      </c>
      <c r="E247" s="15" t="str">
        <f>IF(COUNTIFS(Master_PIC!$A$8:$A$73,$B247)=1,IF(VLOOKUP($B247,Master_PIC!$A$8:$G$73,5,FALSE)="","",VLOOKUP($B247,Master_PIC!$A$8:$G$73,5,FALSE)),"")</f>
        <v/>
      </c>
      <c r="F247" s="15" t="str">
        <f>IF(COUNTIFS(Master_PIC!$A$8:$A$73,$B247)=1,IF(VLOOKUP($B247,Master_PIC!$A$8:$G$73,6,FALSE)="","",VLOOKUP($B247,Master_PIC!$A$8:$G$73,6,FALSE)),"")</f>
        <v/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8"/>
      <c r="X247" s="5"/>
      <c r="Y247" s="5"/>
      <c r="Z247" s="9"/>
      <c r="AA247" s="5"/>
      <c r="AB247" s="5"/>
      <c r="AC247" s="9"/>
      <c r="AD247" s="5"/>
      <c r="AE247" s="7" t="str">
        <f t="shared" si="21"/>
        <v/>
      </c>
      <c r="AF247" s="7" t="str">
        <f t="shared" si="22"/>
        <v/>
      </c>
      <c r="AG247" s="7" t="str">
        <f t="shared" si="23"/>
        <v/>
      </c>
      <c r="AH247" s="7" t="str">
        <f t="shared" si="24"/>
        <v/>
      </c>
      <c r="AI247" s="7" t="str">
        <f t="shared" si="25"/>
        <v/>
      </c>
      <c r="AJ247" s="7" t="str">
        <f t="shared" si="26"/>
        <v/>
      </c>
      <c r="AK247" s="10" t="str">
        <f t="shared" si="27"/>
        <v/>
      </c>
      <c r="AL247" s="15" t="str">
        <f>IF(OR($A247&lt;&gt;"",$B247&lt;&gt;""),IF(OR($A247="",$B247=""),"Isi tanggal dan ID PIC",IF(NOT(ISNUMBER($A247)),"Tanggal harus berupa tanggal Excel",IF(COUNTIFS(Master_PIC!$A$8:$A$73,$B247)&lt;&gt;1,"ID PIC tidak unik/terdaftar",IF(VLOOKUP($B247,Master_PIC!$A$8:$G$73,3,FALSE)&lt;&gt;"SPV","Jabatan tidak sesuai sheet",IF(OR($C247="",$D247="",$E247="",$F247=""),"Lengkapi master PIC",IF(COUNTIFS($A$8:$A$507,$A247,$B$8:$B$507,$B247)&gt;1,"Laporan ganda",IF(COUNTIFS(G247:O247,"Tidak Berlaku")&gt;0,"N/A hanya untuk kegiatan bersyarat",IF(SUM(AF247,AG247,AH247,AI247,AJ247)&lt;&gt;13,"Status kegiatan tidak valid",IF(AJ247&gt;0,"Lengkapi status kegiatan",IF(AND(AI247&gt;0,T247=""),"Isi alasan Tidak Berlaku",IF(AND(SUM(AG247,AH247)&gt;0,OR(T247="",U247="",V247="",W247="")),"Isi kendala dan tindak lanjut",IF(AND(Y247&lt;&gt;"Draft",Y247&lt;&gt;"Dikirim"),"Isi status laporan yang valid",IF(AND(AA247&lt;&gt;"",AA247&lt;&gt;"Belum Diperiksa",AA247&lt;&gt;"Disetujui",AA247&lt;&gt;"Perlu Perbaikan"),"Hasil review tidak valid",IF(AND(Y247="Dikirim",OR(X247="",Z247="")),"Isi bukti dan waktu kirim",IF(AND(AA247="Disetujui",OR(Y247&lt;&gt;"Dikirim",AB247="",AC247="")),"Lengkapi pemeriksaan",IF(AND(AA247="Perlu Perbaikan",OR(AD247="",AB247="",AC247="")),"Isi pemeriksa dan catatan perbaikan","OK")))))))))))))))),"")</f>
        <v/>
      </c>
    </row>
    <row r="248" spans="1:38" ht="24.95" customHeight="1">
      <c r="A248" s="8"/>
      <c r="B248" s="6"/>
      <c r="C248" s="15" t="str">
        <f>IF(COUNTIFS(Master_PIC!$A$8:$A$73,$B248)=1,IF(VLOOKUP($B248,Master_PIC!$A$8:$G$73,2,FALSE)="","",VLOOKUP($B248,Master_PIC!$A$8:$G$73,2,FALSE)),"")</f>
        <v/>
      </c>
      <c r="D248" s="15" t="str">
        <f>IF(COUNTIFS(Master_PIC!$A$8:$A$73,$B248)=1,IF(VLOOKUP($B248,Master_PIC!$A$8:$G$73,4,FALSE)="","",VLOOKUP($B248,Master_PIC!$A$8:$G$73,4,FALSE)),"")</f>
        <v/>
      </c>
      <c r="E248" s="15" t="str">
        <f>IF(COUNTIFS(Master_PIC!$A$8:$A$73,$B248)=1,IF(VLOOKUP($B248,Master_PIC!$A$8:$G$73,5,FALSE)="","",VLOOKUP($B248,Master_PIC!$A$8:$G$73,5,FALSE)),"")</f>
        <v/>
      </c>
      <c r="F248" s="15" t="str">
        <f>IF(COUNTIFS(Master_PIC!$A$8:$A$73,$B248)=1,IF(VLOOKUP($B248,Master_PIC!$A$8:$G$73,6,FALSE)="","",VLOOKUP($B248,Master_PIC!$A$8:$G$73,6,FALSE)),"")</f>
        <v/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8"/>
      <c r="X248" s="5"/>
      <c r="Y248" s="5"/>
      <c r="Z248" s="9"/>
      <c r="AA248" s="5"/>
      <c r="AB248" s="5"/>
      <c r="AC248" s="9"/>
      <c r="AD248" s="5"/>
      <c r="AE248" s="7" t="str">
        <f t="shared" si="21"/>
        <v/>
      </c>
      <c r="AF248" s="7" t="str">
        <f t="shared" si="22"/>
        <v/>
      </c>
      <c r="AG248" s="7" t="str">
        <f t="shared" si="23"/>
        <v/>
      </c>
      <c r="AH248" s="7" t="str">
        <f t="shared" si="24"/>
        <v/>
      </c>
      <c r="AI248" s="7" t="str">
        <f t="shared" si="25"/>
        <v/>
      </c>
      <c r="AJ248" s="7" t="str">
        <f t="shared" si="26"/>
        <v/>
      </c>
      <c r="AK248" s="10" t="str">
        <f t="shared" si="27"/>
        <v/>
      </c>
      <c r="AL248" s="15" t="str">
        <f>IF(OR($A248&lt;&gt;"",$B248&lt;&gt;""),IF(OR($A248="",$B248=""),"Isi tanggal dan ID PIC",IF(NOT(ISNUMBER($A248)),"Tanggal harus berupa tanggal Excel",IF(COUNTIFS(Master_PIC!$A$8:$A$73,$B248)&lt;&gt;1,"ID PIC tidak unik/terdaftar",IF(VLOOKUP($B248,Master_PIC!$A$8:$G$73,3,FALSE)&lt;&gt;"SPV","Jabatan tidak sesuai sheet",IF(OR($C248="",$D248="",$E248="",$F248=""),"Lengkapi master PIC",IF(COUNTIFS($A$8:$A$507,$A248,$B$8:$B$507,$B248)&gt;1,"Laporan ganda",IF(COUNTIFS(G248:O248,"Tidak Berlaku")&gt;0,"N/A hanya untuk kegiatan bersyarat",IF(SUM(AF248,AG248,AH248,AI248,AJ248)&lt;&gt;13,"Status kegiatan tidak valid",IF(AJ248&gt;0,"Lengkapi status kegiatan",IF(AND(AI248&gt;0,T248=""),"Isi alasan Tidak Berlaku",IF(AND(SUM(AG248,AH248)&gt;0,OR(T248="",U248="",V248="",W248="")),"Isi kendala dan tindak lanjut",IF(AND(Y248&lt;&gt;"Draft",Y248&lt;&gt;"Dikirim"),"Isi status laporan yang valid",IF(AND(AA248&lt;&gt;"",AA248&lt;&gt;"Belum Diperiksa",AA248&lt;&gt;"Disetujui",AA248&lt;&gt;"Perlu Perbaikan"),"Hasil review tidak valid",IF(AND(Y248="Dikirim",OR(X248="",Z248="")),"Isi bukti dan waktu kirim",IF(AND(AA248="Disetujui",OR(Y248&lt;&gt;"Dikirim",AB248="",AC248="")),"Lengkapi pemeriksaan",IF(AND(AA248="Perlu Perbaikan",OR(AD248="",AB248="",AC248="")),"Isi pemeriksa dan catatan perbaikan","OK")))))))))))))))),"")</f>
        <v/>
      </c>
    </row>
    <row r="249" spans="1:38" ht="24.95" customHeight="1">
      <c r="A249" s="8"/>
      <c r="B249" s="6"/>
      <c r="C249" s="15" t="str">
        <f>IF(COUNTIFS(Master_PIC!$A$8:$A$73,$B249)=1,IF(VLOOKUP($B249,Master_PIC!$A$8:$G$73,2,FALSE)="","",VLOOKUP($B249,Master_PIC!$A$8:$G$73,2,FALSE)),"")</f>
        <v/>
      </c>
      <c r="D249" s="15" t="str">
        <f>IF(COUNTIFS(Master_PIC!$A$8:$A$73,$B249)=1,IF(VLOOKUP($B249,Master_PIC!$A$8:$G$73,4,FALSE)="","",VLOOKUP($B249,Master_PIC!$A$8:$G$73,4,FALSE)),"")</f>
        <v/>
      </c>
      <c r="E249" s="15" t="str">
        <f>IF(COUNTIFS(Master_PIC!$A$8:$A$73,$B249)=1,IF(VLOOKUP($B249,Master_PIC!$A$8:$G$73,5,FALSE)="","",VLOOKUP($B249,Master_PIC!$A$8:$G$73,5,FALSE)),"")</f>
        <v/>
      </c>
      <c r="F249" s="15" t="str">
        <f>IF(COUNTIFS(Master_PIC!$A$8:$A$73,$B249)=1,IF(VLOOKUP($B249,Master_PIC!$A$8:$G$73,6,FALSE)="","",VLOOKUP($B249,Master_PIC!$A$8:$G$73,6,FALSE)),"")</f>
        <v/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8"/>
      <c r="X249" s="5"/>
      <c r="Y249" s="5"/>
      <c r="Z249" s="9"/>
      <c r="AA249" s="5"/>
      <c r="AB249" s="5"/>
      <c r="AC249" s="9"/>
      <c r="AD249" s="5"/>
      <c r="AE249" s="7" t="str">
        <f t="shared" si="21"/>
        <v/>
      </c>
      <c r="AF249" s="7" t="str">
        <f t="shared" si="22"/>
        <v/>
      </c>
      <c r="AG249" s="7" t="str">
        <f t="shared" si="23"/>
        <v/>
      </c>
      <c r="AH249" s="7" t="str">
        <f t="shared" si="24"/>
        <v/>
      </c>
      <c r="AI249" s="7" t="str">
        <f t="shared" si="25"/>
        <v/>
      </c>
      <c r="AJ249" s="7" t="str">
        <f t="shared" si="26"/>
        <v/>
      </c>
      <c r="AK249" s="10" t="str">
        <f t="shared" si="27"/>
        <v/>
      </c>
      <c r="AL249" s="15" t="str">
        <f>IF(OR($A249&lt;&gt;"",$B249&lt;&gt;""),IF(OR($A249="",$B249=""),"Isi tanggal dan ID PIC",IF(NOT(ISNUMBER($A249)),"Tanggal harus berupa tanggal Excel",IF(COUNTIFS(Master_PIC!$A$8:$A$73,$B249)&lt;&gt;1,"ID PIC tidak unik/terdaftar",IF(VLOOKUP($B249,Master_PIC!$A$8:$G$73,3,FALSE)&lt;&gt;"SPV","Jabatan tidak sesuai sheet",IF(OR($C249="",$D249="",$E249="",$F249=""),"Lengkapi master PIC",IF(COUNTIFS($A$8:$A$507,$A249,$B$8:$B$507,$B249)&gt;1,"Laporan ganda",IF(COUNTIFS(G249:O249,"Tidak Berlaku")&gt;0,"N/A hanya untuk kegiatan bersyarat",IF(SUM(AF249,AG249,AH249,AI249,AJ249)&lt;&gt;13,"Status kegiatan tidak valid",IF(AJ249&gt;0,"Lengkapi status kegiatan",IF(AND(AI249&gt;0,T249=""),"Isi alasan Tidak Berlaku",IF(AND(SUM(AG249,AH249)&gt;0,OR(T249="",U249="",V249="",W249="")),"Isi kendala dan tindak lanjut",IF(AND(Y249&lt;&gt;"Draft",Y249&lt;&gt;"Dikirim"),"Isi status laporan yang valid",IF(AND(AA249&lt;&gt;"",AA249&lt;&gt;"Belum Diperiksa",AA249&lt;&gt;"Disetujui",AA249&lt;&gt;"Perlu Perbaikan"),"Hasil review tidak valid",IF(AND(Y249="Dikirim",OR(X249="",Z249="")),"Isi bukti dan waktu kirim",IF(AND(AA249="Disetujui",OR(Y249&lt;&gt;"Dikirim",AB249="",AC249="")),"Lengkapi pemeriksaan",IF(AND(AA249="Perlu Perbaikan",OR(AD249="",AB249="",AC249="")),"Isi pemeriksa dan catatan perbaikan","OK")))))))))))))))),"")</f>
        <v/>
      </c>
    </row>
    <row r="250" spans="1:38" ht="24.95" customHeight="1">
      <c r="A250" s="8"/>
      <c r="B250" s="6"/>
      <c r="C250" s="15" t="str">
        <f>IF(COUNTIFS(Master_PIC!$A$8:$A$73,$B250)=1,IF(VLOOKUP($B250,Master_PIC!$A$8:$G$73,2,FALSE)="","",VLOOKUP($B250,Master_PIC!$A$8:$G$73,2,FALSE)),"")</f>
        <v/>
      </c>
      <c r="D250" s="15" t="str">
        <f>IF(COUNTIFS(Master_PIC!$A$8:$A$73,$B250)=1,IF(VLOOKUP($B250,Master_PIC!$A$8:$G$73,4,FALSE)="","",VLOOKUP($B250,Master_PIC!$A$8:$G$73,4,FALSE)),"")</f>
        <v/>
      </c>
      <c r="E250" s="15" t="str">
        <f>IF(COUNTIFS(Master_PIC!$A$8:$A$73,$B250)=1,IF(VLOOKUP($B250,Master_PIC!$A$8:$G$73,5,FALSE)="","",VLOOKUP($B250,Master_PIC!$A$8:$G$73,5,FALSE)),"")</f>
        <v/>
      </c>
      <c r="F250" s="15" t="str">
        <f>IF(COUNTIFS(Master_PIC!$A$8:$A$73,$B250)=1,IF(VLOOKUP($B250,Master_PIC!$A$8:$G$73,6,FALSE)="","",VLOOKUP($B250,Master_PIC!$A$8:$G$73,6,FALSE)),"")</f>
        <v/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8"/>
      <c r="X250" s="5"/>
      <c r="Y250" s="5"/>
      <c r="Z250" s="9"/>
      <c r="AA250" s="5"/>
      <c r="AB250" s="5"/>
      <c r="AC250" s="9"/>
      <c r="AD250" s="5"/>
      <c r="AE250" s="7" t="str">
        <f t="shared" si="21"/>
        <v/>
      </c>
      <c r="AF250" s="7" t="str">
        <f t="shared" si="22"/>
        <v/>
      </c>
      <c r="AG250" s="7" t="str">
        <f t="shared" si="23"/>
        <v/>
      </c>
      <c r="AH250" s="7" t="str">
        <f t="shared" si="24"/>
        <v/>
      </c>
      <c r="AI250" s="7" t="str">
        <f t="shared" si="25"/>
        <v/>
      </c>
      <c r="AJ250" s="7" t="str">
        <f t="shared" si="26"/>
        <v/>
      </c>
      <c r="AK250" s="10" t="str">
        <f t="shared" si="27"/>
        <v/>
      </c>
      <c r="AL250" s="15" t="str">
        <f>IF(OR($A250&lt;&gt;"",$B250&lt;&gt;""),IF(OR($A250="",$B250=""),"Isi tanggal dan ID PIC",IF(NOT(ISNUMBER($A250)),"Tanggal harus berupa tanggal Excel",IF(COUNTIFS(Master_PIC!$A$8:$A$73,$B250)&lt;&gt;1,"ID PIC tidak unik/terdaftar",IF(VLOOKUP($B250,Master_PIC!$A$8:$G$73,3,FALSE)&lt;&gt;"SPV","Jabatan tidak sesuai sheet",IF(OR($C250="",$D250="",$E250="",$F250=""),"Lengkapi master PIC",IF(COUNTIFS($A$8:$A$507,$A250,$B$8:$B$507,$B250)&gt;1,"Laporan ganda",IF(COUNTIFS(G250:O250,"Tidak Berlaku")&gt;0,"N/A hanya untuk kegiatan bersyarat",IF(SUM(AF250,AG250,AH250,AI250,AJ250)&lt;&gt;13,"Status kegiatan tidak valid",IF(AJ250&gt;0,"Lengkapi status kegiatan",IF(AND(AI250&gt;0,T250=""),"Isi alasan Tidak Berlaku",IF(AND(SUM(AG250,AH250)&gt;0,OR(T250="",U250="",V250="",W250="")),"Isi kendala dan tindak lanjut",IF(AND(Y250&lt;&gt;"Draft",Y250&lt;&gt;"Dikirim"),"Isi status laporan yang valid",IF(AND(AA250&lt;&gt;"",AA250&lt;&gt;"Belum Diperiksa",AA250&lt;&gt;"Disetujui",AA250&lt;&gt;"Perlu Perbaikan"),"Hasil review tidak valid",IF(AND(Y250="Dikirim",OR(X250="",Z250="")),"Isi bukti dan waktu kirim",IF(AND(AA250="Disetujui",OR(Y250&lt;&gt;"Dikirim",AB250="",AC250="")),"Lengkapi pemeriksaan",IF(AND(AA250="Perlu Perbaikan",OR(AD250="",AB250="",AC250="")),"Isi pemeriksa dan catatan perbaikan","OK")))))))))))))))),"")</f>
        <v/>
      </c>
    </row>
    <row r="251" spans="1:38" ht="24.95" customHeight="1">
      <c r="A251" s="8"/>
      <c r="B251" s="6"/>
      <c r="C251" s="15" t="str">
        <f>IF(COUNTIFS(Master_PIC!$A$8:$A$73,$B251)=1,IF(VLOOKUP($B251,Master_PIC!$A$8:$G$73,2,FALSE)="","",VLOOKUP($B251,Master_PIC!$A$8:$G$73,2,FALSE)),"")</f>
        <v/>
      </c>
      <c r="D251" s="15" t="str">
        <f>IF(COUNTIFS(Master_PIC!$A$8:$A$73,$B251)=1,IF(VLOOKUP($B251,Master_PIC!$A$8:$G$73,4,FALSE)="","",VLOOKUP($B251,Master_PIC!$A$8:$G$73,4,FALSE)),"")</f>
        <v/>
      </c>
      <c r="E251" s="15" t="str">
        <f>IF(COUNTIFS(Master_PIC!$A$8:$A$73,$B251)=1,IF(VLOOKUP($B251,Master_PIC!$A$8:$G$73,5,FALSE)="","",VLOOKUP($B251,Master_PIC!$A$8:$G$73,5,FALSE)),"")</f>
        <v/>
      </c>
      <c r="F251" s="15" t="str">
        <f>IF(COUNTIFS(Master_PIC!$A$8:$A$73,$B251)=1,IF(VLOOKUP($B251,Master_PIC!$A$8:$G$73,6,FALSE)="","",VLOOKUP($B251,Master_PIC!$A$8:$G$73,6,FALSE)),"")</f>
        <v/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8"/>
      <c r="X251" s="5"/>
      <c r="Y251" s="5"/>
      <c r="Z251" s="9"/>
      <c r="AA251" s="5"/>
      <c r="AB251" s="5"/>
      <c r="AC251" s="9"/>
      <c r="AD251" s="5"/>
      <c r="AE251" s="7" t="str">
        <f t="shared" si="21"/>
        <v/>
      </c>
      <c r="AF251" s="7" t="str">
        <f t="shared" si="22"/>
        <v/>
      </c>
      <c r="AG251" s="7" t="str">
        <f t="shared" si="23"/>
        <v/>
      </c>
      <c r="AH251" s="7" t="str">
        <f t="shared" si="24"/>
        <v/>
      </c>
      <c r="AI251" s="7" t="str">
        <f t="shared" si="25"/>
        <v/>
      </c>
      <c r="AJ251" s="7" t="str">
        <f t="shared" si="26"/>
        <v/>
      </c>
      <c r="AK251" s="10" t="str">
        <f t="shared" si="27"/>
        <v/>
      </c>
      <c r="AL251" s="15" t="str">
        <f>IF(OR($A251&lt;&gt;"",$B251&lt;&gt;""),IF(OR($A251="",$B251=""),"Isi tanggal dan ID PIC",IF(NOT(ISNUMBER($A251)),"Tanggal harus berupa tanggal Excel",IF(COUNTIFS(Master_PIC!$A$8:$A$73,$B251)&lt;&gt;1,"ID PIC tidak unik/terdaftar",IF(VLOOKUP($B251,Master_PIC!$A$8:$G$73,3,FALSE)&lt;&gt;"SPV","Jabatan tidak sesuai sheet",IF(OR($C251="",$D251="",$E251="",$F251=""),"Lengkapi master PIC",IF(COUNTIFS($A$8:$A$507,$A251,$B$8:$B$507,$B251)&gt;1,"Laporan ganda",IF(COUNTIFS(G251:O251,"Tidak Berlaku")&gt;0,"N/A hanya untuk kegiatan bersyarat",IF(SUM(AF251,AG251,AH251,AI251,AJ251)&lt;&gt;13,"Status kegiatan tidak valid",IF(AJ251&gt;0,"Lengkapi status kegiatan",IF(AND(AI251&gt;0,T251=""),"Isi alasan Tidak Berlaku",IF(AND(SUM(AG251,AH251)&gt;0,OR(T251="",U251="",V251="",W251="")),"Isi kendala dan tindak lanjut",IF(AND(Y251&lt;&gt;"Draft",Y251&lt;&gt;"Dikirim"),"Isi status laporan yang valid",IF(AND(AA251&lt;&gt;"",AA251&lt;&gt;"Belum Diperiksa",AA251&lt;&gt;"Disetujui",AA251&lt;&gt;"Perlu Perbaikan"),"Hasil review tidak valid",IF(AND(Y251="Dikirim",OR(X251="",Z251="")),"Isi bukti dan waktu kirim",IF(AND(AA251="Disetujui",OR(Y251&lt;&gt;"Dikirim",AB251="",AC251="")),"Lengkapi pemeriksaan",IF(AND(AA251="Perlu Perbaikan",OR(AD251="",AB251="",AC251="")),"Isi pemeriksa dan catatan perbaikan","OK")))))))))))))))),"")</f>
        <v/>
      </c>
    </row>
    <row r="252" spans="1:38" ht="24.95" customHeight="1">
      <c r="A252" s="8"/>
      <c r="B252" s="6"/>
      <c r="C252" s="15" t="str">
        <f>IF(COUNTIFS(Master_PIC!$A$8:$A$73,$B252)=1,IF(VLOOKUP($B252,Master_PIC!$A$8:$G$73,2,FALSE)="","",VLOOKUP($B252,Master_PIC!$A$8:$G$73,2,FALSE)),"")</f>
        <v/>
      </c>
      <c r="D252" s="15" t="str">
        <f>IF(COUNTIFS(Master_PIC!$A$8:$A$73,$B252)=1,IF(VLOOKUP($B252,Master_PIC!$A$8:$G$73,4,FALSE)="","",VLOOKUP($B252,Master_PIC!$A$8:$G$73,4,FALSE)),"")</f>
        <v/>
      </c>
      <c r="E252" s="15" t="str">
        <f>IF(COUNTIFS(Master_PIC!$A$8:$A$73,$B252)=1,IF(VLOOKUP($B252,Master_PIC!$A$8:$G$73,5,FALSE)="","",VLOOKUP($B252,Master_PIC!$A$8:$G$73,5,FALSE)),"")</f>
        <v/>
      </c>
      <c r="F252" s="15" t="str">
        <f>IF(COUNTIFS(Master_PIC!$A$8:$A$73,$B252)=1,IF(VLOOKUP($B252,Master_PIC!$A$8:$G$73,6,FALSE)="","",VLOOKUP($B252,Master_PIC!$A$8:$G$73,6,FALSE)),"")</f>
        <v/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8"/>
      <c r="X252" s="5"/>
      <c r="Y252" s="5"/>
      <c r="Z252" s="9"/>
      <c r="AA252" s="5"/>
      <c r="AB252" s="5"/>
      <c r="AC252" s="9"/>
      <c r="AD252" s="5"/>
      <c r="AE252" s="7" t="str">
        <f t="shared" si="21"/>
        <v/>
      </c>
      <c r="AF252" s="7" t="str">
        <f t="shared" si="22"/>
        <v/>
      </c>
      <c r="AG252" s="7" t="str">
        <f t="shared" si="23"/>
        <v/>
      </c>
      <c r="AH252" s="7" t="str">
        <f t="shared" si="24"/>
        <v/>
      </c>
      <c r="AI252" s="7" t="str">
        <f t="shared" si="25"/>
        <v/>
      </c>
      <c r="AJ252" s="7" t="str">
        <f t="shared" si="26"/>
        <v/>
      </c>
      <c r="AK252" s="10" t="str">
        <f t="shared" si="27"/>
        <v/>
      </c>
      <c r="AL252" s="15" t="str">
        <f>IF(OR($A252&lt;&gt;"",$B252&lt;&gt;""),IF(OR($A252="",$B252=""),"Isi tanggal dan ID PIC",IF(NOT(ISNUMBER($A252)),"Tanggal harus berupa tanggal Excel",IF(COUNTIFS(Master_PIC!$A$8:$A$73,$B252)&lt;&gt;1,"ID PIC tidak unik/terdaftar",IF(VLOOKUP($B252,Master_PIC!$A$8:$G$73,3,FALSE)&lt;&gt;"SPV","Jabatan tidak sesuai sheet",IF(OR($C252="",$D252="",$E252="",$F252=""),"Lengkapi master PIC",IF(COUNTIFS($A$8:$A$507,$A252,$B$8:$B$507,$B252)&gt;1,"Laporan ganda",IF(COUNTIFS(G252:O252,"Tidak Berlaku")&gt;0,"N/A hanya untuk kegiatan bersyarat",IF(SUM(AF252,AG252,AH252,AI252,AJ252)&lt;&gt;13,"Status kegiatan tidak valid",IF(AJ252&gt;0,"Lengkapi status kegiatan",IF(AND(AI252&gt;0,T252=""),"Isi alasan Tidak Berlaku",IF(AND(SUM(AG252,AH252)&gt;0,OR(T252="",U252="",V252="",W252="")),"Isi kendala dan tindak lanjut",IF(AND(Y252&lt;&gt;"Draft",Y252&lt;&gt;"Dikirim"),"Isi status laporan yang valid",IF(AND(AA252&lt;&gt;"",AA252&lt;&gt;"Belum Diperiksa",AA252&lt;&gt;"Disetujui",AA252&lt;&gt;"Perlu Perbaikan"),"Hasil review tidak valid",IF(AND(Y252="Dikirim",OR(X252="",Z252="")),"Isi bukti dan waktu kirim",IF(AND(AA252="Disetujui",OR(Y252&lt;&gt;"Dikirim",AB252="",AC252="")),"Lengkapi pemeriksaan",IF(AND(AA252="Perlu Perbaikan",OR(AD252="",AB252="",AC252="")),"Isi pemeriksa dan catatan perbaikan","OK")))))))))))))))),"")</f>
        <v/>
      </c>
    </row>
    <row r="253" spans="1:38" ht="24.95" customHeight="1">
      <c r="A253" s="8"/>
      <c r="B253" s="6"/>
      <c r="C253" s="15" t="str">
        <f>IF(COUNTIFS(Master_PIC!$A$8:$A$73,$B253)=1,IF(VLOOKUP($B253,Master_PIC!$A$8:$G$73,2,FALSE)="","",VLOOKUP($B253,Master_PIC!$A$8:$G$73,2,FALSE)),"")</f>
        <v/>
      </c>
      <c r="D253" s="15" t="str">
        <f>IF(COUNTIFS(Master_PIC!$A$8:$A$73,$B253)=1,IF(VLOOKUP($B253,Master_PIC!$A$8:$G$73,4,FALSE)="","",VLOOKUP($B253,Master_PIC!$A$8:$G$73,4,FALSE)),"")</f>
        <v/>
      </c>
      <c r="E253" s="15" t="str">
        <f>IF(COUNTIFS(Master_PIC!$A$8:$A$73,$B253)=1,IF(VLOOKUP($B253,Master_PIC!$A$8:$G$73,5,FALSE)="","",VLOOKUP($B253,Master_PIC!$A$8:$G$73,5,FALSE)),"")</f>
        <v/>
      </c>
      <c r="F253" s="15" t="str">
        <f>IF(COUNTIFS(Master_PIC!$A$8:$A$73,$B253)=1,IF(VLOOKUP($B253,Master_PIC!$A$8:$G$73,6,FALSE)="","",VLOOKUP($B253,Master_PIC!$A$8:$G$73,6,FALSE)),"")</f>
        <v/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8"/>
      <c r="X253" s="5"/>
      <c r="Y253" s="5"/>
      <c r="Z253" s="9"/>
      <c r="AA253" s="5"/>
      <c r="AB253" s="5"/>
      <c r="AC253" s="9"/>
      <c r="AD253" s="5"/>
      <c r="AE253" s="7" t="str">
        <f t="shared" si="21"/>
        <v/>
      </c>
      <c r="AF253" s="7" t="str">
        <f t="shared" si="22"/>
        <v/>
      </c>
      <c r="AG253" s="7" t="str">
        <f t="shared" si="23"/>
        <v/>
      </c>
      <c r="AH253" s="7" t="str">
        <f t="shared" si="24"/>
        <v/>
      </c>
      <c r="AI253" s="7" t="str">
        <f t="shared" si="25"/>
        <v/>
      </c>
      <c r="AJ253" s="7" t="str">
        <f t="shared" si="26"/>
        <v/>
      </c>
      <c r="AK253" s="10" t="str">
        <f t="shared" si="27"/>
        <v/>
      </c>
      <c r="AL253" s="15" t="str">
        <f>IF(OR($A253&lt;&gt;"",$B253&lt;&gt;""),IF(OR($A253="",$B253=""),"Isi tanggal dan ID PIC",IF(NOT(ISNUMBER($A253)),"Tanggal harus berupa tanggal Excel",IF(COUNTIFS(Master_PIC!$A$8:$A$73,$B253)&lt;&gt;1,"ID PIC tidak unik/terdaftar",IF(VLOOKUP($B253,Master_PIC!$A$8:$G$73,3,FALSE)&lt;&gt;"SPV","Jabatan tidak sesuai sheet",IF(OR($C253="",$D253="",$E253="",$F253=""),"Lengkapi master PIC",IF(COUNTIFS($A$8:$A$507,$A253,$B$8:$B$507,$B253)&gt;1,"Laporan ganda",IF(COUNTIFS(G253:O253,"Tidak Berlaku")&gt;0,"N/A hanya untuk kegiatan bersyarat",IF(SUM(AF253,AG253,AH253,AI253,AJ253)&lt;&gt;13,"Status kegiatan tidak valid",IF(AJ253&gt;0,"Lengkapi status kegiatan",IF(AND(AI253&gt;0,T253=""),"Isi alasan Tidak Berlaku",IF(AND(SUM(AG253,AH253)&gt;0,OR(T253="",U253="",V253="",W253="")),"Isi kendala dan tindak lanjut",IF(AND(Y253&lt;&gt;"Draft",Y253&lt;&gt;"Dikirim"),"Isi status laporan yang valid",IF(AND(AA253&lt;&gt;"",AA253&lt;&gt;"Belum Diperiksa",AA253&lt;&gt;"Disetujui",AA253&lt;&gt;"Perlu Perbaikan"),"Hasil review tidak valid",IF(AND(Y253="Dikirim",OR(X253="",Z253="")),"Isi bukti dan waktu kirim",IF(AND(AA253="Disetujui",OR(Y253&lt;&gt;"Dikirim",AB253="",AC253="")),"Lengkapi pemeriksaan",IF(AND(AA253="Perlu Perbaikan",OR(AD253="",AB253="",AC253="")),"Isi pemeriksa dan catatan perbaikan","OK")))))))))))))))),"")</f>
        <v/>
      </c>
    </row>
    <row r="254" spans="1:38" ht="24.95" customHeight="1">
      <c r="A254" s="8"/>
      <c r="B254" s="6"/>
      <c r="C254" s="15" t="str">
        <f>IF(COUNTIFS(Master_PIC!$A$8:$A$73,$B254)=1,IF(VLOOKUP($B254,Master_PIC!$A$8:$G$73,2,FALSE)="","",VLOOKUP($B254,Master_PIC!$A$8:$G$73,2,FALSE)),"")</f>
        <v/>
      </c>
      <c r="D254" s="15" t="str">
        <f>IF(COUNTIFS(Master_PIC!$A$8:$A$73,$B254)=1,IF(VLOOKUP($B254,Master_PIC!$A$8:$G$73,4,FALSE)="","",VLOOKUP($B254,Master_PIC!$A$8:$G$73,4,FALSE)),"")</f>
        <v/>
      </c>
      <c r="E254" s="15" t="str">
        <f>IF(COUNTIFS(Master_PIC!$A$8:$A$73,$B254)=1,IF(VLOOKUP($B254,Master_PIC!$A$8:$G$73,5,FALSE)="","",VLOOKUP($B254,Master_PIC!$A$8:$G$73,5,FALSE)),"")</f>
        <v/>
      </c>
      <c r="F254" s="15" t="str">
        <f>IF(COUNTIFS(Master_PIC!$A$8:$A$73,$B254)=1,IF(VLOOKUP($B254,Master_PIC!$A$8:$G$73,6,FALSE)="","",VLOOKUP($B254,Master_PIC!$A$8:$G$73,6,FALSE)),"")</f>
        <v/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8"/>
      <c r="X254" s="5"/>
      <c r="Y254" s="5"/>
      <c r="Z254" s="9"/>
      <c r="AA254" s="5"/>
      <c r="AB254" s="5"/>
      <c r="AC254" s="9"/>
      <c r="AD254" s="5"/>
      <c r="AE254" s="7" t="str">
        <f t="shared" si="21"/>
        <v/>
      </c>
      <c r="AF254" s="7" t="str">
        <f t="shared" si="22"/>
        <v/>
      </c>
      <c r="AG254" s="7" t="str">
        <f t="shared" si="23"/>
        <v/>
      </c>
      <c r="AH254" s="7" t="str">
        <f t="shared" si="24"/>
        <v/>
      </c>
      <c r="AI254" s="7" t="str">
        <f t="shared" si="25"/>
        <v/>
      </c>
      <c r="AJ254" s="7" t="str">
        <f t="shared" si="26"/>
        <v/>
      </c>
      <c r="AK254" s="10" t="str">
        <f t="shared" si="27"/>
        <v/>
      </c>
      <c r="AL254" s="15" t="str">
        <f>IF(OR($A254&lt;&gt;"",$B254&lt;&gt;""),IF(OR($A254="",$B254=""),"Isi tanggal dan ID PIC",IF(NOT(ISNUMBER($A254)),"Tanggal harus berupa tanggal Excel",IF(COUNTIFS(Master_PIC!$A$8:$A$73,$B254)&lt;&gt;1,"ID PIC tidak unik/terdaftar",IF(VLOOKUP($B254,Master_PIC!$A$8:$G$73,3,FALSE)&lt;&gt;"SPV","Jabatan tidak sesuai sheet",IF(OR($C254="",$D254="",$E254="",$F254=""),"Lengkapi master PIC",IF(COUNTIFS($A$8:$A$507,$A254,$B$8:$B$507,$B254)&gt;1,"Laporan ganda",IF(COUNTIFS(G254:O254,"Tidak Berlaku")&gt;0,"N/A hanya untuk kegiatan bersyarat",IF(SUM(AF254,AG254,AH254,AI254,AJ254)&lt;&gt;13,"Status kegiatan tidak valid",IF(AJ254&gt;0,"Lengkapi status kegiatan",IF(AND(AI254&gt;0,T254=""),"Isi alasan Tidak Berlaku",IF(AND(SUM(AG254,AH254)&gt;0,OR(T254="",U254="",V254="",W254="")),"Isi kendala dan tindak lanjut",IF(AND(Y254&lt;&gt;"Draft",Y254&lt;&gt;"Dikirim"),"Isi status laporan yang valid",IF(AND(AA254&lt;&gt;"",AA254&lt;&gt;"Belum Diperiksa",AA254&lt;&gt;"Disetujui",AA254&lt;&gt;"Perlu Perbaikan"),"Hasil review tidak valid",IF(AND(Y254="Dikirim",OR(X254="",Z254="")),"Isi bukti dan waktu kirim",IF(AND(AA254="Disetujui",OR(Y254&lt;&gt;"Dikirim",AB254="",AC254="")),"Lengkapi pemeriksaan",IF(AND(AA254="Perlu Perbaikan",OR(AD254="",AB254="",AC254="")),"Isi pemeriksa dan catatan perbaikan","OK")))))))))))))))),"")</f>
        <v/>
      </c>
    </row>
    <row r="255" spans="1:38" ht="24.95" customHeight="1">
      <c r="A255" s="8"/>
      <c r="B255" s="6"/>
      <c r="C255" s="15" t="str">
        <f>IF(COUNTIFS(Master_PIC!$A$8:$A$73,$B255)=1,IF(VLOOKUP($B255,Master_PIC!$A$8:$G$73,2,FALSE)="","",VLOOKUP($B255,Master_PIC!$A$8:$G$73,2,FALSE)),"")</f>
        <v/>
      </c>
      <c r="D255" s="15" t="str">
        <f>IF(COUNTIFS(Master_PIC!$A$8:$A$73,$B255)=1,IF(VLOOKUP($B255,Master_PIC!$A$8:$G$73,4,FALSE)="","",VLOOKUP($B255,Master_PIC!$A$8:$G$73,4,FALSE)),"")</f>
        <v/>
      </c>
      <c r="E255" s="15" t="str">
        <f>IF(COUNTIFS(Master_PIC!$A$8:$A$73,$B255)=1,IF(VLOOKUP($B255,Master_PIC!$A$8:$G$73,5,FALSE)="","",VLOOKUP($B255,Master_PIC!$A$8:$G$73,5,FALSE)),"")</f>
        <v/>
      </c>
      <c r="F255" s="15" t="str">
        <f>IF(COUNTIFS(Master_PIC!$A$8:$A$73,$B255)=1,IF(VLOOKUP($B255,Master_PIC!$A$8:$G$73,6,FALSE)="","",VLOOKUP($B255,Master_PIC!$A$8:$G$73,6,FALSE)),"")</f>
        <v/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8"/>
      <c r="X255" s="5"/>
      <c r="Y255" s="5"/>
      <c r="Z255" s="9"/>
      <c r="AA255" s="5"/>
      <c r="AB255" s="5"/>
      <c r="AC255" s="9"/>
      <c r="AD255" s="5"/>
      <c r="AE255" s="7" t="str">
        <f t="shared" si="21"/>
        <v/>
      </c>
      <c r="AF255" s="7" t="str">
        <f t="shared" si="22"/>
        <v/>
      </c>
      <c r="AG255" s="7" t="str">
        <f t="shared" si="23"/>
        <v/>
      </c>
      <c r="AH255" s="7" t="str">
        <f t="shared" si="24"/>
        <v/>
      </c>
      <c r="AI255" s="7" t="str">
        <f t="shared" si="25"/>
        <v/>
      </c>
      <c r="AJ255" s="7" t="str">
        <f t="shared" si="26"/>
        <v/>
      </c>
      <c r="AK255" s="10" t="str">
        <f t="shared" si="27"/>
        <v/>
      </c>
      <c r="AL255" s="15" t="str">
        <f>IF(OR($A255&lt;&gt;"",$B255&lt;&gt;""),IF(OR($A255="",$B255=""),"Isi tanggal dan ID PIC",IF(NOT(ISNUMBER($A255)),"Tanggal harus berupa tanggal Excel",IF(COUNTIFS(Master_PIC!$A$8:$A$73,$B255)&lt;&gt;1,"ID PIC tidak unik/terdaftar",IF(VLOOKUP($B255,Master_PIC!$A$8:$G$73,3,FALSE)&lt;&gt;"SPV","Jabatan tidak sesuai sheet",IF(OR($C255="",$D255="",$E255="",$F255=""),"Lengkapi master PIC",IF(COUNTIFS($A$8:$A$507,$A255,$B$8:$B$507,$B255)&gt;1,"Laporan ganda",IF(COUNTIFS(G255:O255,"Tidak Berlaku")&gt;0,"N/A hanya untuk kegiatan bersyarat",IF(SUM(AF255,AG255,AH255,AI255,AJ255)&lt;&gt;13,"Status kegiatan tidak valid",IF(AJ255&gt;0,"Lengkapi status kegiatan",IF(AND(AI255&gt;0,T255=""),"Isi alasan Tidak Berlaku",IF(AND(SUM(AG255,AH255)&gt;0,OR(T255="",U255="",V255="",W255="")),"Isi kendala dan tindak lanjut",IF(AND(Y255&lt;&gt;"Draft",Y255&lt;&gt;"Dikirim"),"Isi status laporan yang valid",IF(AND(AA255&lt;&gt;"",AA255&lt;&gt;"Belum Diperiksa",AA255&lt;&gt;"Disetujui",AA255&lt;&gt;"Perlu Perbaikan"),"Hasil review tidak valid",IF(AND(Y255="Dikirim",OR(X255="",Z255="")),"Isi bukti dan waktu kirim",IF(AND(AA255="Disetujui",OR(Y255&lt;&gt;"Dikirim",AB255="",AC255="")),"Lengkapi pemeriksaan",IF(AND(AA255="Perlu Perbaikan",OR(AD255="",AB255="",AC255="")),"Isi pemeriksa dan catatan perbaikan","OK")))))))))))))))),"")</f>
        <v/>
      </c>
    </row>
    <row r="256" spans="1:38" ht="24.95" customHeight="1">
      <c r="A256" s="8"/>
      <c r="B256" s="6"/>
      <c r="C256" s="15" t="str">
        <f>IF(COUNTIFS(Master_PIC!$A$8:$A$73,$B256)=1,IF(VLOOKUP($B256,Master_PIC!$A$8:$G$73,2,FALSE)="","",VLOOKUP($B256,Master_PIC!$A$8:$G$73,2,FALSE)),"")</f>
        <v/>
      </c>
      <c r="D256" s="15" t="str">
        <f>IF(COUNTIFS(Master_PIC!$A$8:$A$73,$B256)=1,IF(VLOOKUP($B256,Master_PIC!$A$8:$G$73,4,FALSE)="","",VLOOKUP($B256,Master_PIC!$A$8:$G$73,4,FALSE)),"")</f>
        <v/>
      </c>
      <c r="E256" s="15" t="str">
        <f>IF(COUNTIFS(Master_PIC!$A$8:$A$73,$B256)=1,IF(VLOOKUP($B256,Master_PIC!$A$8:$G$73,5,FALSE)="","",VLOOKUP($B256,Master_PIC!$A$8:$G$73,5,FALSE)),"")</f>
        <v/>
      </c>
      <c r="F256" s="15" t="str">
        <f>IF(COUNTIFS(Master_PIC!$A$8:$A$73,$B256)=1,IF(VLOOKUP($B256,Master_PIC!$A$8:$G$73,6,FALSE)="","",VLOOKUP($B256,Master_PIC!$A$8:$G$73,6,FALSE)),"")</f>
        <v/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8"/>
      <c r="X256" s="5"/>
      <c r="Y256" s="5"/>
      <c r="Z256" s="9"/>
      <c r="AA256" s="5"/>
      <c r="AB256" s="5"/>
      <c r="AC256" s="9"/>
      <c r="AD256" s="5"/>
      <c r="AE256" s="7" t="str">
        <f t="shared" si="21"/>
        <v/>
      </c>
      <c r="AF256" s="7" t="str">
        <f t="shared" si="22"/>
        <v/>
      </c>
      <c r="AG256" s="7" t="str">
        <f t="shared" si="23"/>
        <v/>
      </c>
      <c r="AH256" s="7" t="str">
        <f t="shared" si="24"/>
        <v/>
      </c>
      <c r="AI256" s="7" t="str">
        <f t="shared" si="25"/>
        <v/>
      </c>
      <c r="AJ256" s="7" t="str">
        <f t="shared" si="26"/>
        <v/>
      </c>
      <c r="AK256" s="10" t="str">
        <f t="shared" si="27"/>
        <v/>
      </c>
      <c r="AL256" s="15" t="str">
        <f>IF(OR($A256&lt;&gt;"",$B256&lt;&gt;""),IF(OR($A256="",$B256=""),"Isi tanggal dan ID PIC",IF(NOT(ISNUMBER($A256)),"Tanggal harus berupa tanggal Excel",IF(COUNTIFS(Master_PIC!$A$8:$A$73,$B256)&lt;&gt;1,"ID PIC tidak unik/terdaftar",IF(VLOOKUP($B256,Master_PIC!$A$8:$G$73,3,FALSE)&lt;&gt;"SPV","Jabatan tidak sesuai sheet",IF(OR($C256="",$D256="",$E256="",$F256=""),"Lengkapi master PIC",IF(COUNTIFS($A$8:$A$507,$A256,$B$8:$B$507,$B256)&gt;1,"Laporan ganda",IF(COUNTIFS(G256:O256,"Tidak Berlaku")&gt;0,"N/A hanya untuk kegiatan bersyarat",IF(SUM(AF256,AG256,AH256,AI256,AJ256)&lt;&gt;13,"Status kegiatan tidak valid",IF(AJ256&gt;0,"Lengkapi status kegiatan",IF(AND(AI256&gt;0,T256=""),"Isi alasan Tidak Berlaku",IF(AND(SUM(AG256,AH256)&gt;0,OR(T256="",U256="",V256="",W256="")),"Isi kendala dan tindak lanjut",IF(AND(Y256&lt;&gt;"Draft",Y256&lt;&gt;"Dikirim"),"Isi status laporan yang valid",IF(AND(AA256&lt;&gt;"",AA256&lt;&gt;"Belum Diperiksa",AA256&lt;&gt;"Disetujui",AA256&lt;&gt;"Perlu Perbaikan"),"Hasil review tidak valid",IF(AND(Y256="Dikirim",OR(X256="",Z256="")),"Isi bukti dan waktu kirim",IF(AND(AA256="Disetujui",OR(Y256&lt;&gt;"Dikirim",AB256="",AC256="")),"Lengkapi pemeriksaan",IF(AND(AA256="Perlu Perbaikan",OR(AD256="",AB256="",AC256="")),"Isi pemeriksa dan catatan perbaikan","OK")))))))))))))))),"")</f>
        <v/>
      </c>
    </row>
    <row r="257" spans="1:38" ht="24.95" customHeight="1">
      <c r="A257" s="8"/>
      <c r="B257" s="6"/>
      <c r="C257" s="15" t="str">
        <f>IF(COUNTIFS(Master_PIC!$A$8:$A$73,$B257)=1,IF(VLOOKUP($B257,Master_PIC!$A$8:$G$73,2,FALSE)="","",VLOOKUP($B257,Master_PIC!$A$8:$G$73,2,FALSE)),"")</f>
        <v/>
      </c>
      <c r="D257" s="15" t="str">
        <f>IF(COUNTIFS(Master_PIC!$A$8:$A$73,$B257)=1,IF(VLOOKUP($B257,Master_PIC!$A$8:$G$73,4,FALSE)="","",VLOOKUP($B257,Master_PIC!$A$8:$G$73,4,FALSE)),"")</f>
        <v/>
      </c>
      <c r="E257" s="15" t="str">
        <f>IF(COUNTIFS(Master_PIC!$A$8:$A$73,$B257)=1,IF(VLOOKUP($B257,Master_PIC!$A$8:$G$73,5,FALSE)="","",VLOOKUP($B257,Master_PIC!$A$8:$G$73,5,FALSE)),"")</f>
        <v/>
      </c>
      <c r="F257" s="15" t="str">
        <f>IF(COUNTIFS(Master_PIC!$A$8:$A$73,$B257)=1,IF(VLOOKUP($B257,Master_PIC!$A$8:$G$73,6,FALSE)="","",VLOOKUP($B257,Master_PIC!$A$8:$G$73,6,FALSE)),"")</f>
        <v/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8"/>
      <c r="X257" s="5"/>
      <c r="Y257" s="5"/>
      <c r="Z257" s="9"/>
      <c r="AA257" s="5"/>
      <c r="AB257" s="5"/>
      <c r="AC257" s="9"/>
      <c r="AD257" s="5"/>
      <c r="AE257" s="7" t="str">
        <f t="shared" si="21"/>
        <v/>
      </c>
      <c r="AF257" s="7" t="str">
        <f t="shared" si="22"/>
        <v/>
      </c>
      <c r="AG257" s="7" t="str">
        <f t="shared" si="23"/>
        <v/>
      </c>
      <c r="AH257" s="7" t="str">
        <f t="shared" si="24"/>
        <v/>
      </c>
      <c r="AI257" s="7" t="str">
        <f t="shared" si="25"/>
        <v/>
      </c>
      <c r="AJ257" s="7" t="str">
        <f t="shared" si="26"/>
        <v/>
      </c>
      <c r="AK257" s="10" t="str">
        <f t="shared" si="27"/>
        <v/>
      </c>
      <c r="AL257" s="15" t="str">
        <f>IF(OR($A257&lt;&gt;"",$B257&lt;&gt;""),IF(OR($A257="",$B257=""),"Isi tanggal dan ID PIC",IF(NOT(ISNUMBER($A257)),"Tanggal harus berupa tanggal Excel",IF(COUNTIFS(Master_PIC!$A$8:$A$73,$B257)&lt;&gt;1,"ID PIC tidak unik/terdaftar",IF(VLOOKUP($B257,Master_PIC!$A$8:$G$73,3,FALSE)&lt;&gt;"SPV","Jabatan tidak sesuai sheet",IF(OR($C257="",$D257="",$E257="",$F257=""),"Lengkapi master PIC",IF(COUNTIFS($A$8:$A$507,$A257,$B$8:$B$507,$B257)&gt;1,"Laporan ganda",IF(COUNTIFS(G257:O257,"Tidak Berlaku")&gt;0,"N/A hanya untuk kegiatan bersyarat",IF(SUM(AF257,AG257,AH257,AI257,AJ257)&lt;&gt;13,"Status kegiatan tidak valid",IF(AJ257&gt;0,"Lengkapi status kegiatan",IF(AND(AI257&gt;0,T257=""),"Isi alasan Tidak Berlaku",IF(AND(SUM(AG257,AH257)&gt;0,OR(T257="",U257="",V257="",W257="")),"Isi kendala dan tindak lanjut",IF(AND(Y257&lt;&gt;"Draft",Y257&lt;&gt;"Dikirim"),"Isi status laporan yang valid",IF(AND(AA257&lt;&gt;"",AA257&lt;&gt;"Belum Diperiksa",AA257&lt;&gt;"Disetujui",AA257&lt;&gt;"Perlu Perbaikan"),"Hasil review tidak valid",IF(AND(Y257="Dikirim",OR(X257="",Z257="")),"Isi bukti dan waktu kirim",IF(AND(AA257="Disetujui",OR(Y257&lt;&gt;"Dikirim",AB257="",AC257="")),"Lengkapi pemeriksaan",IF(AND(AA257="Perlu Perbaikan",OR(AD257="",AB257="",AC257="")),"Isi pemeriksa dan catatan perbaikan","OK")))))))))))))))),"")</f>
        <v/>
      </c>
    </row>
    <row r="258" spans="1:38" ht="24.95" customHeight="1">
      <c r="A258" s="8"/>
      <c r="B258" s="6"/>
      <c r="C258" s="15" t="str">
        <f>IF(COUNTIFS(Master_PIC!$A$8:$A$73,$B258)=1,IF(VLOOKUP($B258,Master_PIC!$A$8:$G$73,2,FALSE)="","",VLOOKUP($B258,Master_PIC!$A$8:$G$73,2,FALSE)),"")</f>
        <v/>
      </c>
      <c r="D258" s="15" t="str">
        <f>IF(COUNTIFS(Master_PIC!$A$8:$A$73,$B258)=1,IF(VLOOKUP($B258,Master_PIC!$A$8:$G$73,4,FALSE)="","",VLOOKUP($B258,Master_PIC!$A$8:$G$73,4,FALSE)),"")</f>
        <v/>
      </c>
      <c r="E258" s="15" t="str">
        <f>IF(COUNTIFS(Master_PIC!$A$8:$A$73,$B258)=1,IF(VLOOKUP($B258,Master_PIC!$A$8:$G$73,5,FALSE)="","",VLOOKUP($B258,Master_PIC!$A$8:$G$73,5,FALSE)),"")</f>
        <v/>
      </c>
      <c r="F258" s="15" t="str">
        <f>IF(COUNTIFS(Master_PIC!$A$8:$A$73,$B258)=1,IF(VLOOKUP($B258,Master_PIC!$A$8:$G$73,6,FALSE)="","",VLOOKUP($B258,Master_PIC!$A$8:$G$73,6,FALSE)),"")</f>
        <v/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8"/>
      <c r="X258" s="5"/>
      <c r="Y258" s="5"/>
      <c r="Z258" s="9"/>
      <c r="AA258" s="5"/>
      <c r="AB258" s="5"/>
      <c r="AC258" s="9"/>
      <c r="AD258" s="5"/>
      <c r="AE258" s="7" t="str">
        <f t="shared" si="21"/>
        <v/>
      </c>
      <c r="AF258" s="7" t="str">
        <f t="shared" si="22"/>
        <v/>
      </c>
      <c r="AG258" s="7" t="str">
        <f t="shared" si="23"/>
        <v/>
      </c>
      <c r="AH258" s="7" t="str">
        <f t="shared" si="24"/>
        <v/>
      </c>
      <c r="AI258" s="7" t="str">
        <f t="shared" si="25"/>
        <v/>
      </c>
      <c r="AJ258" s="7" t="str">
        <f t="shared" si="26"/>
        <v/>
      </c>
      <c r="AK258" s="10" t="str">
        <f t="shared" si="27"/>
        <v/>
      </c>
      <c r="AL258" s="15" t="str">
        <f>IF(OR($A258&lt;&gt;"",$B258&lt;&gt;""),IF(OR($A258="",$B258=""),"Isi tanggal dan ID PIC",IF(NOT(ISNUMBER($A258)),"Tanggal harus berupa tanggal Excel",IF(COUNTIFS(Master_PIC!$A$8:$A$73,$B258)&lt;&gt;1,"ID PIC tidak unik/terdaftar",IF(VLOOKUP($B258,Master_PIC!$A$8:$G$73,3,FALSE)&lt;&gt;"SPV","Jabatan tidak sesuai sheet",IF(OR($C258="",$D258="",$E258="",$F258=""),"Lengkapi master PIC",IF(COUNTIFS($A$8:$A$507,$A258,$B$8:$B$507,$B258)&gt;1,"Laporan ganda",IF(COUNTIFS(G258:O258,"Tidak Berlaku")&gt;0,"N/A hanya untuk kegiatan bersyarat",IF(SUM(AF258,AG258,AH258,AI258,AJ258)&lt;&gt;13,"Status kegiatan tidak valid",IF(AJ258&gt;0,"Lengkapi status kegiatan",IF(AND(AI258&gt;0,T258=""),"Isi alasan Tidak Berlaku",IF(AND(SUM(AG258,AH258)&gt;0,OR(T258="",U258="",V258="",W258="")),"Isi kendala dan tindak lanjut",IF(AND(Y258&lt;&gt;"Draft",Y258&lt;&gt;"Dikirim"),"Isi status laporan yang valid",IF(AND(AA258&lt;&gt;"",AA258&lt;&gt;"Belum Diperiksa",AA258&lt;&gt;"Disetujui",AA258&lt;&gt;"Perlu Perbaikan"),"Hasil review tidak valid",IF(AND(Y258="Dikirim",OR(X258="",Z258="")),"Isi bukti dan waktu kirim",IF(AND(AA258="Disetujui",OR(Y258&lt;&gt;"Dikirim",AB258="",AC258="")),"Lengkapi pemeriksaan",IF(AND(AA258="Perlu Perbaikan",OR(AD258="",AB258="",AC258="")),"Isi pemeriksa dan catatan perbaikan","OK")))))))))))))))),"")</f>
        <v/>
      </c>
    </row>
    <row r="259" spans="1:38" ht="24.95" customHeight="1">
      <c r="A259" s="8"/>
      <c r="B259" s="6"/>
      <c r="C259" s="15" t="str">
        <f>IF(COUNTIFS(Master_PIC!$A$8:$A$73,$B259)=1,IF(VLOOKUP($B259,Master_PIC!$A$8:$G$73,2,FALSE)="","",VLOOKUP($B259,Master_PIC!$A$8:$G$73,2,FALSE)),"")</f>
        <v/>
      </c>
      <c r="D259" s="15" t="str">
        <f>IF(COUNTIFS(Master_PIC!$A$8:$A$73,$B259)=1,IF(VLOOKUP($B259,Master_PIC!$A$8:$G$73,4,FALSE)="","",VLOOKUP($B259,Master_PIC!$A$8:$G$73,4,FALSE)),"")</f>
        <v/>
      </c>
      <c r="E259" s="15" t="str">
        <f>IF(COUNTIFS(Master_PIC!$A$8:$A$73,$B259)=1,IF(VLOOKUP($B259,Master_PIC!$A$8:$G$73,5,FALSE)="","",VLOOKUP($B259,Master_PIC!$A$8:$G$73,5,FALSE)),"")</f>
        <v/>
      </c>
      <c r="F259" s="15" t="str">
        <f>IF(COUNTIFS(Master_PIC!$A$8:$A$73,$B259)=1,IF(VLOOKUP($B259,Master_PIC!$A$8:$G$73,6,FALSE)="","",VLOOKUP($B259,Master_PIC!$A$8:$G$73,6,FALSE)),"")</f>
        <v/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8"/>
      <c r="X259" s="5"/>
      <c r="Y259" s="5"/>
      <c r="Z259" s="9"/>
      <c r="AA259" s="5"/>
      <c r="AB259" s="5"/>
      <c r="AC259" s="9"/>
      <c r="AD259" s="5"/>
      <c r="AE259" s="7" t="str">
        <f t="shared" si="21"/>
        <v/>
      </c>
      <c r="AF259" s="7" t="str">
        <f t="shared" si="22"/>
        <v/>
      </c>
      <c r="AG259" s="7" t="str">
        <f t="shared" si="23"/>
        <v/>
      </c>
      <c r="AH259" s="7" t="str">
        <f t="shared" si="24"/>
        <v/>
      </c>
      <c r="AI259" s="7" t="str">
        <f t="shared" si="25"/>
        <v/>
      </c>
      <c r="AJ259" s="7" t="str">
        <f t="shared" si="26"/>
        <v/>
      </c>
      <c r="AK259" s="10" t="str">
        <f t="shared" si="27"/>
        <v/>
      </c>
      <c r="AL259" s="15" t="str">
        <f>IF(OR($A259&lt;&gt;"",$B259&lt;&gt;""),IF(OR($A259="",$B259=""),"Isi tanggal dan ID PIC",IF(NOT(ISNUMBER($A259)),"Tanggal harus berupa tanggal Excel",IF(COUNTIFS(Master_PIC!$A$8:$A$73,$B259)&lt;&gt;1,"ID PIC tidak unik/terdaftar",IF(VLOOKUP($B259,Master_PIC!$A$8:$G$73,3,FALSE)&lt;&gt;"SPV","Jabatan tidak sesuai sheet",IF(OR($C259="",$D259="",$E259="",$F259=""),"Lengkapi master PIC",IF(COUNTIFS($A$8:$A$507,$A259,$B$8:$B$507,$B259)&gt;1,"Laporan ganda",IF(COUNTIFS(G259:O259,"Tidak Berlaku")&gt;0,"N/A hanya untuk kegiatan bersyarat",IF(SUM(AF259,AG259,AH259,AI259,AJ259)&lt;&gt;13,"Status kegiatan tidak valid",IF(AJ259&gt;0,"Lengkapi status kegiatan",IF(AND(AI259&gt;0,T259=""),"Isi alasan Tidak Berlaku",IF(AND(SUM(AG259,AH259)&gt;0,OR(T259="",U259="",V259="",W259="")),"Isi kendala dan tindak lanjut",IF(AND(Y259&lt;&gt;"Draft",Y259&lt;&gt;"Dikirim"),"Isi status laporan yang valid",IF(AND(AA259&lt;&gt;"",AA259&lt;&gt;"Belum Diperiksa",AA259&lt;&gt;"Disetujui",AA259&lt;&gt;"Perlu Perbaikan"),"Hasil review tidak valid",IF(AND(Y259="Dikirim",OR(X259="",Z259="")),"Isi bukti dan waktu kirim",IF(AND(AA259="Disetujui",OR(Y259&lt;&gt;"Dikirim",AB259="",AC259="")),"Lengkapi pemeriksaan",IF(AND(AA259="Perlu Perbaikan",OR(AD259="",AB259="",AC259="")),"Isi pemeriksa dan catatan perbaikan","OK")))))))))))))))),"")</f>
        <v/>
      </c>
    </row>
    <row r="260" spans="1:38" ht="24.95" customHeight="1">
      <c r="A260" s="8"/>
      <c r="B260" s="6"/>
      <c r="C260" s="15" t="str">
        <f>IF(COUNTIFS(Master_PIC!$A$8:$A$73,$B260)=1,IF(VLOOKUP($B260,Master_PIC!$A$8:$G$73,2,FALSE)="","",VLOOKUP($B260,Master_PIC!$A$8:$G$73,2,FALSE)),"")</f>
        <v/>
      </c>
      <c r="D260" s="15" t="str">
        <f>IF(COUNTIFS(Master_PIC!$A$8:$A$73,$B260)=1,IF(VLOOKUP($B260,Master_PIC!$A$8:$G$73,4,FALSE)="","",VLOOKUP($B260,Master_PIC!$A$8:$G$73,4,FALSE)),"")</f>
        <v/>
      </c>
      <c r="E260" s="15" t="str">
        <f>IF(COUNTIFS(Master_PIC!$A$8:$A$73,$B260)=1,IF(VLOOKUP($B260,Master_PIC!$A$8:$G$73,5,FALSE)="","",VLOOKUP($B260,Master_PIC!$A$8:$G$73,5,FALSE)),"")</f>
        <v/>
      </c>
      <c r="F260" s="15" t="str">
        <f>IF(COUNTIFS(Master_PIC!$A$8:$A$73,$B260)=1,IF(VLOOKUP($B260,Master_PIC!$A$8:$G$73,6,FALSE)="","",VLOOKUP($B260,Master_PIC!$A$8:$G$73,6,FALSE)),"")</f>
        <v/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9"/>
      <c r="AA260" s="5"/>
      <c r="AB260" s="5"/>
      <c r="AC260" s="9"/>
      <c r="AD260" s="5"/>
      <c r="AE260" s="7" t="str">
        <f t="shared" si="21"/>
        <v/>
      </c>
      <c r="AF260" s="7" t="str">
        <f t="shared" si="22"/>
        <v/>
      </c>
      <c r="AG260" s="7" t="str">
        <f t="shared" si="23"/>
        <v/>
      </c>
      <c r="AH260" s="7" t="str">
        <f t="shared" si="24"/>
        <v/>
      </c>
      <c r="AI260" s="7" t="str">
        <f t="shared" si="25"/>
        <v/>
      </c>
      <c r="AJ260" s="7" t="str">
        <f t="shared" si="26"/>
        <v/>
      </c>
      <c r="AK260" s="10" t="str">
        <f t="shared" si="27"/>
        <v/>
      </c>
      <c r="AL260" s="15" t="str">
        <f>IF(OR($A260&lt;&gt;"",$B260&lt;&gt;""),IF(OR($A260="",$B260=""),"Isi tanggal dan ID PIC",IF(NOT(ISNUMBER($A260)),"Tanggal harus berupa tanggal Excel",IF(COUNTIFS(Master_PIC!$A$8:$A$73,$B260)&lt;&gt;1,"ID PIC tidak unik/terdaftar",IF(VLOOKUP($B260,Master_PIC!$A$8:$G$73,3,FALSE)&lt;&gt;"SPV","Jabatan tidak sesuai sheet",IF(OR($C260="",$D260="",$E260="",$F260=""),"Lengkapi master PIC",IF(COUNTIFS($A$8:$A$507,$A260,$B$8:$B$507,$B260)&gt;1,"Laporan ganda",IF(COUNTIFS(G260:O260,"Tidak Berlaku")&gt;0,"N/A hanya untuk kegiatan bersyarat",IF(SUM(AF260,AG260,AH260,AI260,AJ260)&lt;&gt;13,"Status kegiatan tidak valid",IF(AJ260&gt;0,"Lengkapi status kegiatan",IF(AND(AI260&gt;0,T260=""),"Isi alasan Tidak Berlaku",IF(AND(SUM(AG260,AH260)&gt;0,OR(T260="",U260="",V260="",W260="")),"Isi kendala dan tindak lanjut",IF(AND(Y260&lt;&gt;"Draft",Y260&lt;&gt;"Dikirim"),"Isi status laporan yang valid",IF(AND(AA260&lt;&gt;"",AA260&lt;&gt;"Belum Diperiksa",AA260&lt;&gt;"Disetujui",AA260&lt;&gt;"Perlu Perbaikan"),"Hasil review tidak valid",IF(AND(Y260="Dikirim",OR(X260="",Z260="")),"Isi bukti dan waktu kirim",IF(AND(AA260="Disetujui",OR(Y260&lt;&gt;"Dikirim",AB260="",AC260="")),"Lengkapi pemeriksaan",IF(AND(AA260="Perlu Perbaikan",OR(AD260="",AB260="",AC260="")),"Isi pemeriksa dan catatan perbaikan","OK")))))))))))))))),"")</f>
        <v/>
      </c>
    </row>
    <row r="261" spans="1:38" ht="24.95" customHeight="1">
      <c r="A261" s="8"/>
      <c r="B261" s="6"/>
      <c r="C261" s="15" t="str">
        <f>IF(COUNTIFS(Master_PIC!$A$8:$A$73,$B261)=1,IF(VLOOKUP($B261,Master_PIC!$A$8:$G$73,2,FALSE)="","",VLOOKUP($B261,Master_PIC!$A$8:$G$73,2,FALSE)),"")</f>
        <v/>
      </c>
      <c r="D261" s="15" t="str">
        <f>IF(COUNTIFS(Master_PIC!$A$8:$A$73,$B261)=1,IF(VLOOKUP($B261,Master_PIC!$A$8:$G$73,4,FALSE)="","",VLOOKUP($B261,Master_PIC!$A$8:$G$73,4,FALSE)),"")</f>
        <v/>
      </c>
      <c r="E261" s="15" t="str">
        <f>IF(COUNTIFS(Master_PIC!$A$8:$A$73,$B261)=1,IF(VLOOKUP($B261,Master_PIC!$A$8:$G$73,5,FALSE)="","",VLOOKUP($B261,Master_PIC!$A$8:$G$73,5,FALSE)),"")</f>
        <v/>
      </c>
      <c r="F261" s="15" t="str">
        <f>IF(COUNTIFS(Master_PIC!$A$8:$A$73,$B261)=1,IF(VLOOKUP($B261,Master_PIC!$A$8:$G$73,6,FALSE)="","",VLOOKUP($B261,Master_PIC!$A$8:$G$73,6,FALSE)),"")</f>
        <v/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8"/>
      <c r="X261" s="5"/>
      <c r="Y261" s="5"/>
      <c r="Z261" s="9"/>
      <c r="AA261" s="5"/>
      <c r="AB261" s="5"/>
      <c r="AC261" s="9"/>
      <c r="AD261" s="5"/>
      <c r="AE261" s="7" t="str">
        <f t="shared" si="21"/>
        <v/>
      </c>
      <c r="AF261" s="7" t="str">
        <f t="shared" si="22"/>
        <v/>
      </c>
      <c r="AG261" s="7" t="str">
        <f t="shared" si="23"/>
        <v/>
      </c>
      <c r="AH261" s="7" t="str">
        <f t="shared" si="24"/>
        <v/>
      </c>
      <c r="AI261" s="7" t="str">
        <f t="shared" si="25"/>
        <v/>
      </c>
      <c r="AJ261" s="7" t="str">
        <f t="shared" si="26"/>
        <v/>
      </c>
      <c r="AK261" s="10" t="str">
        <f t="shared" si="27"/>
        <v/>
      </c>
      <c r="AL261" s="15" t="str">
        <f>IF(OR($A261&lt;&gt;"",$B261&lt;&gt;""),IF(OR($A261="",$B261=""),"Isi tanggal dan ID PIC",IF(NOT(ISNUMBER($A261)),"Tanggal harus berupa tanggal Excel",IF(COUNTIFS(Master_PIC!$A$8:$A$73,$B261)&lt;&gt;1,"ID PIC tidak unik/terdaftar",IF(VLOOKUP($B261,Master_PIC!$A$8:$G$73,3,FALSE)&lt;&gt;"SPV","Jabatan tidak sesuai sheet",IF(OR($C261="",$D261="",$E261="",$F261=""),"Lengkapi master PIC",IF(COUNTIFS($A$8:$A$507,$A261,$B$8:$B$507,$B261)&gt;1,"Laporan ganda",IF(COUNTIFS(G261:O261,"Tidak Berlaku")&gt;0,"N/A hanya untuk kegiatan bersyarat",IF(SUM(AF261,AG261,AH261,AI261,AJ261)&lt;&gt;13,"Status kegiatan tidak valid",IF(AJ261&gt;0,"Lengkapi status kegiatan",IF(AND(AI261&gt;0,T261=""),"Isi alasan Tidak Berlaku",IF(AND(SUM(AG261,AH261)&gt;0,OR(T261="",U261="",V261="",W261="")),"Isi kendala dan tindak lanjut",IF(AND(Y261&lt;&gt;"Draft",Y261&lt;&gt;"Dikirim"),"Isi status laporan yang valid",IF(AND(AA261&lt;&gt;"",AA261&lt;&gt;"Belum Diperiksa",AA261&lt;&gt;"Disetujui",AA261&lt;&gt;"Perlu Perbaikan"),"Hasil review tidak valid",IF(AND(Y261="Dikirim",OR(X261="",Z261="")),"Isi bukti dan waktu kirim",IF(AND(AA261="Disetujui",OR(Y261&lt;&gt;"Dikirim",AB261="",AC261="")),"Lengkapi pemeriksaan",IF(AND(AA261="Perlu Perbaikan",OR(AD261="",AB261="",AC261="")),"Isi pemeriksa dan catatan perbaikan","OK")))))))))))))))),"")</f>
        <v/>
      </c>
    </row>
    <row r="262" spans="1:38" ht="24.95" customHeight="1">
      <c r="A262" s="8"/>
      <c r="B262" s="6"/>
      <c r="C262" s="15" t="str">
        <f>IF(COUNTIFS(Master_PIC!$A$8:$A$73,$B262)=1,IF(VLOOKUP($B262,Master_PIC!$A$8:$G$73,2,FALSE)="","",VLOOKUP($B262,Master_PIC!$A$8:$G$73,2,FALSE)),"")</f>
        <v/>
      </c>
      <c r="D262" s="15" t="str">
        <f>IF(COUNTIFS(Master_PIC!$A$8:$A$73,$B262)=1,IF(VLOOKUP($B262,Master_PIC!$A$8:$G$73,4,FALSE)="","",VLOOKUP($B262,Master_PIC!$A$8:$G$73,4,FALSE)),"")</f>
        <v/>
      </c>
      <c r="E262" s="15" t="str">
        <f>IF(COUNTIFS(Master_PIC!$A$8:$A$73,$B262)=1,IF(VLOOKUP($B262,Master_PIC!$A$8:$G$73,5,FALSE)="","",VLOOKUP($B262,Master_PIC!$A$8:$G$73,5,FALSE)),"")</f>
        <v/>
      </c>
      <c r="F262" s="15" t="str">
        <f>IF(COUNTIFS(Master_PIC!$A$8:$A$73,$B262)=1,IF(VLOOKUP($B262,Master_PIC!$A$8:$G$73,6,FALSE)="","",VLOOKUP($B262,Master_PIC!$A$8:$G$73,6,FALSE)),"")</f>
        <v/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8"/>
      <c r="X262" s="5"/>
      <c r="Y262" s="5"/>
      <c r="Z262" s="9"/>
      <c r="AA262" s="5"/>
      <c r="AB262" s="5"/>
      <c r="AC262" s="9"/>
      <c r="AD262" s="5"/>
      <c r="AE262" s="7" t="str">
        <f t="shared" si="21"/>
        <v/>
      </c>
      <c r="AF262" s="7" t="str">
        <f t="shared" si="22"/>
        <v/>
      </c>
      <c r="AG262" s="7" t="str">
        <f t="shared" si="23"/>
        <v/>
      </c>
      <c r="AH262" s="7" t="str">
        <f t="shared" si="24"/>
        <v/>
      </c>
      <c r="AI262" s="7" t="str">
        <f t="shared" si="25"/>
        <v/>
      </c>
      <c r="AJ262" s="7" t="str">
        <f t="shared" si="26"/>
        <v/>
      </c>
      <c r="AK262" s="10" t="str">
        <f t="shared" si="27"/>
        <v/>
      </c>
      <c r="AL262" s="15" t="str">
        <f>IF(OR($A262&lt;&gt;"",$B262&lt;&gt;""),IF(OR($A262="",$B262=""),"Isi tanggal dan ID PIC",IF(NOT(ISNUMBER($A262)),"Tanggal harus berupa tanggal Excel",IF(COUNTIFS(Master_PIC!$A$8:$A$73,$B262)&lt;&gt;1,"ID PIC tidak unik/terdaftar",IF(VLOOKUP($B262,Master_PIC!$A$8:$G$73,3,FALSE)&lt;&gt;"SPV","Jabatan tidak sesuai sheet",IF(OR($C262="",$D262="",$E262="",$F262=""),"Lengkapi master PIC",IF(COUNTIFS($A$8:$A$507,$A262,$B$8:$B$507,$B262)&gt;1,"Laporan ganda",IF(COUNTIFS(G262:O262,"Tidak Berlaku")&gt;0,"N/A hanya untuk kegiatan bersyarat",IF(SUM(AF262,AG262,AH262,AI262,AJ262)&lt;&gt;13,"Status kegiatan tidak valid",IF(AJ262&gt;0,"Lengkapi status kegiatan",IF(AND(AI262&gt;0,T262=""),"Isi alasan Tidak Berlaku",IF(AND(SUM(AG262,AH262)&gt;0,OR(T262="",U262="",V262="",W262="")),"Isi kendala dan tindak lanjut",IF(AND(Y262&lt;&gt;"Draft",Y262&lt;&gt;"Dikirim"),"Isi status laporan yang valid",IF(AND(AA262&lt;&gt;"",AA262&lt;&gt;"Belum Diperiksa",AA262&lt;&gt;"Disetujui",AA262&lt;&gt;"Perlu Perbaikan"),"Hasil review tidak valid",IF(AND(Y262="Dikirim",OR(X262="",Z262="")),"Isi bukti dan waktu kirim",IF(AND(AA262="Disetujui",OR(Y262&lt;&gt;"Dikirim",AB262="",AC262="")),"Lengkapi pemeriksaan",IF(AND(AA262="Perlu Perbaikan",OR(AD262="",AB262="",AC262="")),"Isi pemeriksa dan catatan perbaikan","OK")))))))))))))))),"")</f>
        <v/>
      </c>
    </row>
    <row r="263" spans="1:38" ht="24.95" customHeight="1">
      <c r="A263" s="8"/>
      <c r="B263" s="6"/>
      <c r="C263" s="15" t="str">
        <f>IF(COUNTIFS(Master_PIC!$A$8:$A$73,$B263)=1,IF(VLOOKUP($B263,Master_PIC!$A$8:$G$73,2,FALSE)="","",VLOOKUP($B263,Master_PIC!$A$8:$G$73,2,FALSE)),"")</f>
        <v/>
      </c>
      <c r="D263" s="15" t="str">
        <f>IF(COUNTIFS(Master_PIC!$A$8:$A$73,$B263)=1,IF(VLOOKUP($B263,Master_PIC!$A$8:$G$73,4,FALSE)="","",VLOOKUP($B263,Master_PIC!$A$8:$G$73,4,FALSE)),"")</f>
        <v/>
      </c>
      <c r="E263" s="15" t="str">
        <f>IF(COUNTIFS(Master_PIC!$A$8:$A$73,$B263)=1,IF(VLOOKUP($B263,Master_PIC!$A$8:$G$73,5,FALSE)="","",VLOOKUP($B263,Master_PIC!$A$8:$G$73,5,FALSE)),"")</f>
        <v/>
      </c>
      <c r="F263" s="15" t="str">
        <f>IF(COUNTIFS(Master_PIC!$A$8:$A$73,$B263)=1,IF(VLOOKUP($B263,Master_PIC!$A$8:$G$73,6,FALSE)="","",VLOOKUP($B263,Master_PIC!$A$8:$G$73,6,FALSE)),"")</f>
        <v/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9"/>
      <c r="AA263" s="5"/>
      <c r="AB263" s="5"/>
      <c r="AC263" s="9"/>
      <c r="AD263" s="5"/>
      <c r="AE263" s="7" t="str">
        <f t="shared" si="21"/>
        <v/>
      </c>
      <c r="AF263" s="7" t="str">
        <f t="shared" si="22"/>
        <v/>
      </c>
      <c r="AG263" s="7" t="str">
        <f t="shared" si="23"/>
        <v/>
      </c>
      <c r="AH263" s="7" t="str">
        <f t="shared" si="24"/>
        <v/>
      </c>
      <c r="AI263" s="7" t="str">
        <f t="shared" si="25"/>
        <v/>
      </c>
      <c r="AJ263" s="7" t="str">
        <f t="shared" si="26"/>
        <v/>
      </c>
      <c r="AK263" s="10" t="str">
        <f t="shared" si="27"/>
        <v/>
      </c>
      <c r="AL263" s="15" t="str">
        <f>IF(OR($A263&lt;&gt;"",$B263&lt;&gt;""),IF(OR($A263="",$B263=""),"Isi tanggal dan ID PIC",IF(NOT(ISNUMBER($A263)),"Tanggal harus berupa tanggal Excel",IF(COUNTIFS(Master_PIC!$A$8:$A$73,$B263)&lt;&gt;1,"ID PIC tidak unik/terdaftar",IF(VLOOKUP($B263,Master_PIC!$A$8:$G$73,3,FALSE)&lt;&gt;"SPV","Jabatan tidak sesuai sheet",IF(OR($C263="",$D263="",$E263="",$F263=""),"Lengkapi master PIC",IF(COUNTIFS($A$8:$A$507,$A263,$B$8:$B$507,$B263)&gt;1,"Laporan ganda",IF(COUNTIFS(G263:O263,"Tidak Berlaku")&gt;0,"N/A hanya untuk kegiatan bersyarat",IF(SUM(AF263,AG263,AH263,AI263,AJ263)&lt;&gt;13,"Status kegiatan tidak valid",IF(AJ263&gt;0,"Lengkapi status kegiatan",IF(AND(AI263&gt;0,T263=""),"Isi alasan Tidak Berlaku",IF(AND(SUM(AG263,AH263)&gt;0,OR(T263="",U263="",V263="",W263="")),"Isi kendala dan tindak lanjut",IF(AND(Y263&lt;&gt;"Draft",Y263&lt;&gt;"Dikirim"),"Isi status laporan yang valid",IF(AND(AA263&lt;&gt;"",AA263&lt;&gt;"Belum Diperiksa",AA263&lt;&gt;"Disetujui",AA263&lt;&gt;"Perlu Perbaikan"),"Hasil review tidak valid",IF(AND(Y263="Dikirim",OR(X263="",Z263="")),"Isi bukti dan waktu kirim",IF(AND(AA263="Disetujui",OR(Y263&lt;&gt;"Dikirim",AB263="",AC263="")),"Lengkapi pemeriksaan",IF(AND(AA263="Perlu Perbaikan",OR(AD263="",AB263="",AC263="")),"Isi pemeriksa dan catatan perbaikan","OK")))))))))))))))),"")</f>
        <v/>
      </c>
    </row>
    <row r="264" spans="1:38" ht="24.95" customHeight="1">
      <c r="A264" s="8"/>
      <c r="B264" s="6"/>
      <c r="C264" s="15" t="str">
        <f>IF(COUNTIFS(Master_PIC!$A$8:$A$73,$B264)=1,IF(VLOOKUP($B264,Master_PIC!$A$8:$G$73,2,FALSE)="","",VLOOKUP($B264,Master_PIC!$A$8:$G$73,2,FALSE)),"")</f>
        <v/>
      </c>
      <c r="D264" s="15" t="str">
        <f>IF(COUNTIFS(Master_PIC!$A$8:$A$73,$B264)=1,IF(VLOOKUP($B264,Master_PIC!$A$8:$G$73,4,FALSE)="","",VLOOKUP($B264,Master_PIC!$A$8:$G$73,4,FALSE)),"")</f>
        <v/>
      </c>
      <c r="E264" s="15" t="str">
        <f>IF(COUNTIFS(Master_PIC!$A$8:$A$73,$B264)=1,IF(VLOOKUP($B264,Master_PIC!$A$8:$G$73,5,FALSE)="","",VLOOKUP($B264,Master_PIC!$A$8:$G$73,5,FALSE)),"")</f>
        <v/>
      </c>
      <c r="F264" s="15" t="str">
        <f>IF(COUNTIFS(Master_PIC!$A$8:$A$73,$B264)=1,IF(VLOOKUP($B264,Master_PIC!$A$8:$G$73,6,FALSE)="","",VLOOKUP($B264,Master_PIC!$A$8:$G$73,6,FALSE)),"")</f>
        <v/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8"/>
      <c r="X264" s="5"/>
      <c r="Y264" s="5"/>
      <c r="Z264" s="9"/>
      <c r="AA264" s="5"/>
      <c r="AB264" s="5"/>
      <c r="AC264" s="9"/>
      <c r="AD264" s="5"/>
      <c r="AE264" s="7" t="str">
        <f t="shared" ref="AE264:AE327" si="28">IF(OR($A264&lt;&gt;"",$B264&lt;&gt;""),13-AI264,"")</f>
        <v/>
      </c>
      <c r="AF264" s="7" t="str">
        <f t="shared" ref="AF264:AF327" si="29">IF(OR($A264&lt;&gt;"",$B264&lt;&gt;""),COUNTIFS(G264:S264,"Selesai"),"")</f>
        <v/>
      </c>
      <c r="AG264" s="7" t="str">
        <f t="shared" ref="AG264:AG327" si="30">IF(OR($A264&lt;&gt;"",$B264&lt;&gt;""),COUNTIFS(G264:S264,"Proses"),"")</f>
        <v/>
      </c>
      <c r="AH264" s="7" t="str">
        <f t="shared" ref="AH264:AH327" si="31">IF(OR($A264&lt;&gt;"",$B264&lt;&gt;""),COUNTIFS(G264:S264,"Belum"),"")</f>
        <v/>
      </c>
      <c r="AI264" s="7" t="str">
        <f t="shared" ref="AI264:AI327" si="32">IF(OR($A264&lt;&gt;"",$B264&lt;&gt;""),COUNTIFS(G264:S264,"Tidak Berlaku"),"")</f>
        <v/>
      </c>
      <c r="AJ264" s="7" t="str">
        <f t="shared" ref="AJ264:AJ327" si="33">IF(OR($A264&lt;&gt;"",$B264&lt;&gt;""),COUNTBLANK(G264:S264),"")</f>
        <v/>
      </c>
      <c r="AK264" s="10" t="str">
        <f t="shared" ref="AK264:AK327" si="34">IF(OR($A264&lt;&gt;"",$B264&lt;&gt;""),IF(AE264=0,"n.a.",AF264/AE264),"")</f>
        <v/>
      </c>
      <c r="AL264" s="15" t="str">
        <f>IF(OR($A264&lt;&gt;"",$B264&lt;&gt;""),IF(OR($A264="",$B264=""),"Isi tanggal dan ID PIC",IF(NOT(ISNUMBER($A264)),"Tanggal harus berupa tanggal Excel",IF(COUNTIFS(Master_PIC!$A$8:$A$73,$B264)&lt;&gt;1,"ID PIC tidak unik/terdaftar",IF(VLOOKUP($B264,Master_PIC!$A$8:$G$73,3,FALSE)&lt;&gt;"SPV","Jabatan tidak sesuai sheet",IF(OR($C264="",$D264="",$E264="",$F264=""),"Lengkapi master PIC",IF(COUNTIFS($A$8:$A$507,$A264,$B$8:$B$507,$B264)&gt;1,"Laporan ganda",IF(COUNTIFS(G264:O264,"Tidak Berlaku")&gt;0,"N/A hanya untuk kegiatan bersyarat",IF(SUM(AF264,AG264,AH264,AI264,AJ264)&lt;&gt;13,"Status kegiatan tidak valid",IF(AJ264&gt;0,"Lengkapi status kegiatan",IF(AND(AI264&gt;0,T264=""),"Isi alasan Tidak Berlaku",IF(AND(SUM(AG264,AH264)&gt;0,OR(T264="",U264="",V264="",W264="")),"Isi kendala dan tindak lanjut",IF(AND(Y264&lt;&gt;"Draft",Y264&lt;&gt;"Dikirim"),"Isi status laporan yang valid",IF(AND(AA264&lt;&gt;"",AA264&lt;&gt;"Belum Diperiksa",AA264&lt;&gt;"Disetujui",AA264&lt;&gt;"Perlu Perbaikan"),"Hasil review tidak valid",IF(AND(Y264="Dikirim",OR(X264="",Z264="")),"Isi bukti dan waktu kirim",IF(AND(AA264="Disetujui",OR(Y264&lt;&gt;"Dikirim",AB264="",AC264="")),"Lengkapi pemeriksaan",IF(AND(AA264="Perlu Perbaikan",OR(AD264="",AB264="",AC264="")),"Isi pemeriksa dan catatan perbaikan","OK")))))))))))))))),"")</f>
        <v/>
      </c>
    </row>
    <row r="265" spans="1:38" ht="24.95" customHeight="1">
      <c r="A265" s="8"/>
      <c r="B265" s="6"/>
      <c r="C265" s="15" t="str">
        <f>IF(COUNTIFS(Master_PIC!$A$8:$A$73,$B265)=1,IF(VLOOKUP($B265,Master_PIC!$A$8:$G$73,2,FALSE)="","",VLOOKUP($B265,Master_PIC!$A$8:$G$73,2,FALSE)),"")</f>
        <v/>
      </c>
      <c r="D265" s="15" t="str">
        <f>IF(COUNTIFS(Master_PIC!$A$8:$A$73,$B265)=1,IF(VLOOKUP($B265,Master_PIC!$A$8:$G$73,4,FALSE)="","",VLOOKUP($B265,Master_PIC!$A$8:$G$73,4,FALSE)),"")</f>
        <v/>
      </c>
      <c r="E265" s="15" t="str">
        <f>IF(COUNTIFS(Master_PIC!$A$8:$A$73,$B265)=1,IF(VLOOKUP($B265,Master_PIC!$A$8:$G$73,5,FALSE)="","",VLOOKUP($B265,Master_PIC!$A$8:$G$73,5,FALSE)),"")</f>
        <v/>
      </c>
      <c r="F265" s="15" t="str">
        <f>IF(COUNTIFS(Master_PIC!$A$8:$A$73,$B265)=1,IF(VLOOKUP($B265,Master_PIC!$A$8:$G$73,6,FALSE)="","",VLOOKUP($B265,Master_PIC!$A$8:$G$73,6,FALSE)),"")</f>
        <v/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8"/>
      <c r="X265" s="5"/>
      <c r="Y265" s="5"/>
      <c r="Z265" s="9"/>
      <c r="AA265" s="5"/>
      <c r="AB265" s="5"/>
      <c r="AC265" s="9"/>
      <c r="AD265" s="5"/>
      <c r="AE265" s="7" t="str">
        <f t="shared" si="28"/>
        <v/>
      </c>
      <c r="AF265" s="7" t="str">
        <f t="shared" si="29"/>
        <v/>
      </c>
      <c r="AG265" s="7" t="str">
        <f t="shared" si="30"/>
        <v/>
      </c>
      <c r="AH265" s="7" t="str">
        <f t="shared" si="31"/>
        <v/>
      </c>
      <c r="AI265" s="7" t="str">
        <f t="shared" si="32"/>
        <v/>
      </c>
      <c r="AJ265" s="7" t="str">
        <f t="shared" si="33"/>
        <v/>
      </c>
      <c r="AK265" s="10" t="str">
        <f t="shared" si="34"/>
        <v/>
      </c>
      <c r="AL265" s="15" t="str">
        <f>IF(OR($A265&lt;&gt;"",$B265&lt;&gt;""),IF(OR($A265="",$B265=""),"Isi tanggal dan ID PIC",IF(NOT(ISNUMBER($A265)),"Tanggal harus berupa tanggal Excel",IF(COUNTIFS(Master_PIC!$A$8:$A$73,$B265)&lt;&gt;1,"ID PIC tidak unik/terdaftar",IF(VLOOKUP($B265,Master_PIC!$A$8:$G$73,3,FALSE)&lt;&gt;"SPV","Jabatan tidak sesuai sheet",IF(OR($C265="",$D265="",$E265="",$F265=""),"Lengkapi master PIC",IF(COUNTIFS($A$8:$A$507,$A265,$B$8:$B$507,$B265)&gt;1,"Laporan ganda",IF(COUNTIFS(G265:O265,"Tidak Berlaku")&gt;0,"N/A hanya untuk kegiatan bersyarat",IF(SUM(AF265,AG265,AH265,AI265,AJ265)&lt;&gt;13,"Status kegiatan tidak valid",IF(AJ265&gt;0,"Lengkapi status kegiatan",IF(AND(AI265&gt;0,T265=""),"Isi alasan Tidak Berlaku",IF(AND(SUM(AG265,AH265)&gt;0,OR(T265="",U265="",V265="",W265="")),"Isi kendala dan tindak lanjut",IF(AND(Y265&lt;&gt;"Draft",Y265&lt;&gt;"Dikirim"),"Isi status laporan yang valid",IF(AND(AA265&lt;&gt;"",AA265&lt;&gt;"Belum Diperiksa",AA265&lt;&gt;"Disetujui",AA265&lt;&gt;"Perlu Perbaikan"),"Hasil review tidak valid",IF(AND(Y265="Dikirim",OR(X265="",Z265="")),"Isi bukti dan waktu kirim",IF(AND(AA265="Disetujui",OR(Y265&lt;&gt;"Dikirim",AB265="",AC265="")),"Lengkapi pemeriksaan",IF(AND(AA265="Perlu Perbaikan",OR(AD265="",AB265="",AC265="")),"Isi pemeriksa dan catatan perbaikan","OK")))))))))))))))),"")</f>
        <v/>
      </c>
    </row>
    <row r="266" spans="1:38" ht="24.95" customHeight="1">
      <c r="A266" s="8"/>
      <c r="B266" s="6"/>
      <c r="C266" s="15" t="str">
        <f>IF(COUNTIFS(Master_PIC!$A$8:$A$73,$B266)=1,IF(VLOOKUP($B266,Master_PIC!$A$8:$G$73,2,FALSE)="","",VLOOKUP($B266,Master_PIC!$A$8:$G$73,2,FALSE)),"")</f>
        <v/>
      </c>
      <c r="D266" s="15" t="str">
        <f>IF(COUNTIFS(Master_PIC!$A$8:$A$73,$B266)=1,IF(VLOOKUP($B266,Master_PIC!$A$8:$G$73,4,FALSE)="","",VLOOKUP($B266,Master_PIC!$A$8:$G$73,4,FALSE)),"")</f>
        <v/>
      </c>
      <c r="E266" s="15" t="str">
        <f>IF(COUNTIFS(Master_PIC!$A$8:$A$73,$B266)=1,IF(VLOOKUP($B266,Master_PIC!$A$8:$G$73,5,FALSE)="","",VLOOKUP($B266,Master_PIC!$A$8:$G$73,5,FALSE)),"")</f>
        <v/>
      </c>
      <c r="F266" s="15" t="str">
        <f>IF(COUNTIFS(Master_PIC!$A$8:$A$73,$B266)=1,IF(VLOOKUP($B266,Master_PIC!$A$8:$G$73,6,FALSE)="","",VLOOKUP($B266,Master_PIC!$A$8:$G$73,6,FALSE)),"")</f>
        <v/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8"/>
      <c r="X266" s="5"/>
      <c r="Y266" s="5"/>
      <c r="Z266" s="9"/>
      <c r="AA266" s="5"/>
      <c r="AB266" s="5"/>
      <c r="AC266" s="9"/>
      <c r="AD266" s="5"/>
      <c r="AE266" s="7" t="str">
        <f t="shared" si="28"/>
        <v/>
      </c>
      <c r="AF266" s="7" t="str">
        <f t="shared" si="29"/>
        <v/>
      </c>
      <c r="AG266" s="7" t="str">
        <f t="shared" si="30"/>
        <v/>
      </c>
      <c r="AH266" s="7" t="str">
        <f t="shared" si="31"/>
        <v/>
      </c>
      <c r="AI266" s="7" t="str">
        <f t="shared" si="32"/>
        <v/>
      </c>
      <c r="AJ266" s="7" t="str">
        <f t="shared" si="33"/>
        <v/>
      </c>
      <c r="AK266" s="10" t="str">
        <f t="shared" si="34"/>
        <v/>
      </c>
      <c r="AL266" s="15" t="str">
        <f>IF(OR($A266&lt;&gt;"",$B266&lt;&gt;""),IF(OR($A266="",$B266=""),"Isi tanggal dan ID PIC",IF(NOT(ISNUMBER($A266)),"Tanggal harus berupa tanggal Excel",IF(COUNTIFS(Master_PIC!$A$8:$A$73,$B266)&lt;&gt;1,"ID PIC tidak unik/terdaftar",IF(VLOOKUP($B266,Master_PIC!$A$8:$G$73,3,FALSE)&lt;&gt;"SPV","Jabatan tidak sesuai sheet",IF(OR($C266="",$D266="",$E266="",$F266=""),"Lengkapi master PIC",IF(COUNTIFS($A$8:$A$507,$A266,$B$8:$B$507,$B266)&gt;1,"Laporan ganda",IF(COUNTIFS(G266:O266,"Tidak Berlaku")&gt;0,"N/A hanya untuk kegiatan bersyarat",IF(SUM(AF266,AG266,AH266,AI266,AJ266)&lt;&gt;13,"Status kegiatan tidak valid",IF(AJ266&gt;0,"Lengkapi status kegiatan",IF(AND(AI266&gt;0,T266=""),"Isi alasan Tidak Berlaku",IF(AND(SUM(AG266,AH266)&gt;0,OR(T266="",U266="",V266="",W266="")),"Isi kendala dan tindak lanjut",IF(AND(Y266&lt;&gt;"Draft",Y266&lt;&gt;"Dikirim"),"Isi status laporan yang valid",IF(AND(AA266&lt;&gt;"",AA266&lt;&gt;"Belum Diperiksa",AA266&lt;&gt;"Disetujui",AA266&lt;&gt;"Perlu Perbaikan"),"Hasil review tidak valid",IF(AND(Y266="Dikirim",OR(X266="",Z266="")),"Isi bukti dan waktu kirim",IF(AND(AA266="Disetujui",OR(Y266&lt;&gt;"Dikirim",AB266="",AC266="")),"Lengkapi pemeriksaan",IF(AND(AA266="Perlu Perbaikan",OR(AD266="",AB266="",AC266="")),"Isi pemeriksa dan catatan perbaikan","OK")))))))))))))))),"")</f>
        <v/>
      </c>
    </row>
    <row r="267" spans="1:38" ht="24.95" customHeight="1">
      <c r="A267" s="8"/>
      <c r="B267" s="6"/>
      <c r="C267" s="15" t="str">
        <f>IF(COUNTIFS(Master_PIC!$A$8:$A$73,$B267)=1,IF(VLOOKUP($B267,Master_PIC!$A$8:$G$73,2,FALSE)="","",VLOOKUP($B267,Master_PIC!$A$8:$G$73,2,FALSE)),"")</f>
        <v/>
      </c>
      <c r="D267" s="15" t="str">
        <f>IF(COUNTIFS(Master_PIC!$A$8:$A$73,$B267)=1,IF(VLOOKUP($B267,Master_PIC!$A$8:$G$73,4,FALSE)="","",VLOOKUP($B267,Master_PIC!$A$8:$G$73,4,FALSE)),"")</f>
        <v/>
      </c>
      <c r="E267" s="15" t="str">
        <f>IF(COUNTIFS(Master_PIC!$A$8:$A$73,$B267)=1,IF(VLOOKUP($B267,Master_PIC!$A$8:$G$73,5,FALSE)="","",VLOOKUP($B267,Master_PIC!$A$8:$G$73,5,FALSE)),"")</f>
        <v/>
      </c>
      <c r="F267" s="15" t="str">
        <f>IF(COUNTIFS(Master_PIC!$A$8:$A$73,$B267)=1,IF(VLOOKUP($B267,Master_PIC!$A$8:$G$73,6,FALSE)="","",VLOOKUP($B267,Master_PIC!$A$8:$G$73,6,FALSE)),"")</f>
        <v/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8"/>
      <c r="X267" s="5"/>
      <c r="Y267" s="5"/>
      <c r="Z267" s="9"/>
      <c r="AA267" s="5"/>
      <c r="AB267" s="5"/>
      <c r="AC267" s="9"/>
      <c r="AD267" s="5"/>
      <c r="AE267" s="7" t="str">
        <f t="shared" si="28"/>
        <v/>
      </c>
      <c r="AF267" s="7" t="str">
        <f t="shared" si="29"/>
        <v/>
      </c>
      <c r="AG267" s="7" t="str">
        <f t="shared" si="30"/>
        <v/>
      </c>
      <c r="AH267" s="7" t="str">
        <f t="shared" si="31"/>
        <v/>
      </c>
      <c r="AI267" s="7" t="str">
        <f t="shared" si="32"/>
        <v/>
      </c>
      <c r="AJ267" s="7" t="str">
        <f t="shared" si="33"/>
        <v/>
      </c>
      <c r="AK267" s="10" t="str">
        <f t="shared" si="34"/>
        <v/>
      </c>
      <c r="AL267" s="15" t="str">
        <f>IF(OR($A267&lt;&gt;"",$B267&lt;&gt;""),IF(OR($A267="",$B267=""),"Isi tanggal dan ID PIC",IF(NOT(ISNUMBER($A267)),"Tanggal harus berupa tanggal Excel",IF(COUNTIFS(Master_PIC!$A$8:$A$73,$B267)&lt;&gt;1,"ID PIC tidak unik/terdaftar",IF(VLOOKUP($B267,Master_PIC!$A$8:$G$73,3,FALSE)&lt;&gt;"SPV","Jabatan tidak sesuai sheet",IF(OR($C267="",$D267="",$E267="",$F267=""),"Lengkapi master PIC",IF(COUNTIFS($A$8:$A$507,$A267,$B$8:$B$507,$B267)&gt;1,"Laporan ganda",IF(COUNTIFS(G267:O267,"Tidak Berlaku")&gt;0,"N/A hanya untuk kegiatan bersyarat",IF(SUM(AF267,AG267,AH267,AI267,AJ267)&lt;&gt;13,"Status kegiatan tidak valid",IF(AJ267&gt;0,"Lengkapi status kegiatan",IF(AND(AI267&gt;0,T267=""),"Isi alasan Tidak Berlaku",IF(AND(SUM(AG267,AH267)&gt;0,OR(T267="",U267="",V267="",W267="")),"Isi kendala dan tindak lanjut",IF(AND(Y267&lt;&gt;"Draft",Y267&lt;&gt;"Dikirim"),"Isi status laporan yang valid",IF(AND(AA267&lt;&gt;"",AA267&lt;&gt;"Belum Diperiksa",AA267&lt;&gt;"Disetujui",AA267&lt;&gt;"Perlu Perbaikan"),"Hasil review tidak valid",IF(AND(Y267="Dikirim",OR(X267="",Z267="")),"Isi bukti dan waktu kirim",IF(AND(AA267="Disetujui",OR(Y267&lt;&gt;"Dikirim",AB267="",AC267="")),"Lengkapi pemeriksaan",IF(AND(AA267="Perlu Perbaikan",OR(AD267="",AB267="",AC267="")),"Isi pemeriksa dan catatan perbaikan","OK")))))))))))))))),"")</f>
        <v/>
      </c>
    </row>
    <row r="268" spans="1:38" ht="24.95" customHeight="1">
      <c r="A268" s="8"/>
      <c r="B268" s="6"/>
      <c r="C268" s="15" t="str">
        <f>IF(COUNTIFS(Master_PIC!$A$8:$A$73,$B268)=1,IF(VLOOKUP($B268,Master_PIC!$A$8:$G$73,2,FALSE)="","",VLOOKUP($B268,Master_PIC!$A$8:$G$73,2,FALSE)),"")</f>
        <v/>
      </c>
      <c r="D268" s="15" t="str">
        <f>IF(COUNTIFS(Master_PIC!$A$8:$A$73,$B268)=1,IF(VLOOKUP($B268,Master_PIC!$A$8:$G$73,4,FALSE)="","",VLOOKUP($B268,Master_PIC!$A$8:$G$73,4,FALSE)),"")</f>
        <v/>
      </c>
      <c r="E268" s="15" t="str">
        <f>IF(COUNTIFS(Master_PIC!$A$8:$A$73,$B268)=1,IF(VLOOKUP($B268,Master_PIC!$A$8:$G$73,5,FALSE)="","",VLOOKUP($B268,Master_PIC!$A$8:$G$73,5,FALSE)),"")</f>
        <v/>
      </c>
      <c r="F268" s="15" t="str">
        <f>IF(COUNTIFS(Master_PIC!$A$8:$A$73,$B268)=1,IF(VLOOKUP($B268,Master_PIC!$A$8:$G$73,6,FALSE)="","",VLOOKUP($B268,Master_PIC!$A$8:$G$73,6,FALSE)),"")</f>
        <v/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8"/>
      <c r="X268" s="5"/>
      <c r="Y268" s="5"/>
      <c r="Z268" s="9"/>
      <c r="AA268" s="5"/>
      <c r="AB268" s="5"/>
      <c r="AC268" s="9"/>
      <c r="AD268" s="5"/>
      <c r="AE268" s="7" t="str">
        <f t="shared" si="28"/>
        <v/>
      </c>
      <c r="AF268" s="7" t="str">
        <f t="shared" si="29"/>
        <v/>
      </c>
      <c r="AG268" s="7" t="str">
        <f t="shared" si="30"/>
        <v/>
      </c>
      <c r="AH268" s="7" t="str">
        <f t="shared" si="31"/>
        <v/>
      </c>
      <c r="AI268" s="7" t="str">
        <f t="shared" si="32"/>
        <v/>
      </c>
      <c r="AJ268" s="7" t="str">
        <f t="shared" si="33"/>
        <v/>
      </c>
      <c r="AK268" s="10" t="str">
        <f t="shared" si="34"/>
        <v/>
      </c>
      <c r="AL268" s="15" t="str">
        <f>IF(OR($A268&lt;&gt;"",$B268&lt;&gt;""),IF(OR($A268="",$B268=""),"Isi tanggal dan ID PIC",IF(NOT(ISNUMBER($A268)),"Tanggal harus berupa tanggal Excel",IF(COUNTIFS(Master_PIC!$A$8:$A$73,$B268)&lt;&gt;1,"ID PIC tidak unik/terdaftar",IF(VLOOKUP($B268,Master_PIC!$A$8:$G$73,3,FALSE)&lt;&gt;"SPV","Jabatan tidak sesuai sheet",IF(OR($C268="",$D268="",$E268="",$F268=""),"Lengkapi master PIC",IF(COUNTIFS($A$8:$A$507,$A268,$B$8:$B$507,$B268)&gt;1,"Laporan ganda",IF(COUNTIFS(G268:O268,"Tidak Berlaku")&gt;0,"N/A hanya untuk kegiatan bersyarat",IF(SUM(AF268,AG268,AH268,AI268,AJ268)&lt;&gt;13,"Status kegiatan tidak valid",IF(AJ268&gt;0,"Lengkapi status kegiatan",IF(AND(AI268&gt;0,T268=""),"Isi alasan Tidak Berlaku",IF(AND(SUM(AG268,AH268)&gt;0,OR(T268="",U268="",V268="",W268="")),"Isi kendala dan tindak lanjut",IF(AND(Y268&lt;&gt;"Draft",Y268&lt;&gt;"Dikirim"),"Isi status laporan yang valid",IF(AND(AA268&lt;&gt;"",AA268&lt;&gt;"Belum Diperiksa",AA268&lt;&gt;"Disetujui",AA268&lt;&gt;"Perlu Perbaikan"),"Hasil review tidak valid",IF(AND(Y268="Dikirim",OR(X268="",Z268="")),"Isi bukti dan waktu kirim",IF(AND(AA268="Disetujui",OR(Y268&lt;&gt;"Dikirim",AB268="",AC268="")),"Lengkapi pemeriksaan",IF(AND(AA268="Perlu Perbaikan",OR(AD268="",AB268="",AC268="")),"Isi pemeriksa dan catatan perbaikan","OK")))))))))))))))),"")</f>
        <v/>
      </c>
    </row>
    <row r="269" spans="1:38" ht="24.95" customHeight="1">
      <c r="A269" s="8"/>
      <c r="B269" s="6"/>
      <c r="C269" s="15" t="str">
        <f>IF(COUNTIFS(Master_PIC!$A$8:$A$73,$B269)=1,IF(VLOOKUP($B269,Master_PIC!$A$8:$G$73,2,FALSE)="","",VLOOKUP($B269,Master_PIC!$A$8:$G$73,2,FALSE)),"")</f>
        <v/>
      </c>
      <c r="D269" s="15" t="str">
        <f>IF(COUNTIFS(Master_PIC!$A$8:$A$73,$B269)=1,IF(VLOOKUP($B269,Master_PIC!$A$8:$G$73,4,FALSE)="","",VLOOKUP($B269,Master_PIC!$A$8:$G$73,4,FALSE)),"")</f>
        <v/>
      </c>
      <c r="E269" s="15" t="str">
        <f>IF(COUNTIFS(Master_PIC!$A$8:$A$73,$B269)=1,IF(VLOOKUP($B269,Master_PIC!$A$8:$G$73,5,FALSE)="","",VLOOKUP($B269,Master_PIC!$A$8:$G$73,5,FALSE)),"")</f>
        <v/>
      </c>
      <c r="F269" s="15" t="str">
        <f>IF(COUNTIFS(Master_PIC!$A$8:$A$73,$B269)=1,IF(VLOOKUP($B269,Master_PIC!$A$8:$G$73,6,FALSE)="","",VLOOKUP($B269,Master_PIC!$A$8:$G$73,6,FALSE)),"")</f>
        <v/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8"/>
      <c r="X269" s="5"/>
      <c r="Y269" s="5"/>
      <c r="Z269" s="9"/>
      <c r="AA269" s="5"/>
      <c r="AB269" s="5"/>
      <c r="AC269" s="9"/>
      <c r="AD269" s="5"/>
      <c r="AE269" s="7" t="str">
        <f t="shared" si="28"/>
        <v/>
      </c>
      <c r="AF269" s="7" t="str">
        <f t="shared" si="29"/>
        <v/>
      </c>
      <c r="AG269" s="7" t="str">
        <f t="shared" si="30"/>
        <v/>
      </c>
      <c r="AH269" s="7" t="str">
        <f t="shared" si="31"/>
        <v/>
      </c>
      <c r="AI269" s="7" t="str">
        <f t="shared" si="32"/>
        <v/>
      </c>
      <c r="AJ269" s="7" t="str">
        <f t="shared" si="33"/>
        <v/>
      </c>
      <c r="AK269" s="10" t="str">
        <f t="shared" si="34"/>
        <v/>
      </c>
      <c r="AL269" s="15" t="str">
        <f>IF(OR($A269&lt;&gt;"",$B269&lt;&gt;""),IF(OR($A269="",$B269=""),"Isi tanggal dan ID PIC",IF(NOT(ISNUMBER($A269)),"Tanggal harus berupa tanggal Excel",IF(COUNTIFS(Master_PIC!$A$8:$A$73,$B269)&lt;&gt;1,"ID PIC tidak unik/terdaftar",IF(VLOOKUP($B269,Master_PIC!$A$8:$G$73,3,FALSE)&lt;&gt;"SPV","Jabatan tidak sesuai sheet",IF(OR($C269="",$D269="",$E269="",$F269=""),"Lengkapi master PIC",IF(COUNTIFS($A$8:$A$507,$A269,$B$8:$B$507,$B269)&gt;1,"Laporan ganda",IF(COUNTIFS(G269:O269,"Tidak Berlaku")&gt;0,"N/A hanya untuk kegiatan bersyarat",IF(SUM(AF269,AG269,AH269,AI269,AJ269)&lt;&gt;13,"Status kegiatan tidak valid",IF(AJ269&gt;0,"Lengkapi status kegiatan",IF(AND(AI269&gt;0,T269=""),"Isi alasan Tidak Berlaku",IF(AND(SUM(AG269,AH269)&gt;0,OR(T269="",U269="",V269="",W269="")),"Isi kendala dan tindak lanjut",IF(AND(Y269&lt;&gt;"Draft",Y269&lt;&gt;"Dikirim"),"Isi status laporan yang valid",IF(AND(AA269&lt;&gt;"",AA269&lt;&gt;"Belum Diperiksa",AA269&lt;&gt;"Disetujui",AA269&lt;&gt;"Perlu Perbaikan"),"Hasil review tidak valid",IF(AND(Y269="Dikirim",OR(X269="",Z269="")),"Isi bukti dan waktu kirim",IF(AND(AA269="Disetujui",OR(Y269&lt;&gt;"Dikirim",AB269="",AC269="")),"Lengkapi pemeriksaan",IF(AND(AA269="Perlu Perbaikan",OR(AD269="",AB269="",AC269="")),"Isi pemeriksa dan catatan perbaikan","OK")))))))))))))))),"")</f>
        <v/>
      </c>
    </row>
    <row r="270" spans="1:38" ht="24.95" customHeight="1">
      <c r="A270" s="8"/>
      <c r="B270" s="6"/>
      <c r="C270" s="15" t="str">
        <f>IF(COUNTIFS(Master_PIC!$A$8:$A$73,$B270)=1,IF(VLOOKUP($B270,Master_PIC!$A$8:$G$73,2,FALSE)="","",VLOOKUP($B270,Master_PIC!$A$8:$G$73,2,FALSE)),"")</f>
        <v/>
      </c>
      <c r="D270" s="15" t="str">
        <f>IF(COUNTIFS(Master_PIC!$A$8:$A$73,$B270)=1,IF(VLOOKUP($B270,Master_PIC!$A$8:$G$73,4,FALSE)="","",VLOOKUP($B270,Master_PIC!$A$8:$G$73,4,FALSE)),"")</f>
        <v/>
      </c>
      <c r="E270" s="15" t="str">
        <f>IF(COUNTIFS(Master_PIC!$A$8:$A$73,$B270)=1,IF(VLOOKUP($B270,Master_PIC!$A$8:$G$73,5,FALSE)="","",VLOOKUP($B270,Master_PIC!$A$8:$G$73,5,FALSE)),"")</f>
        <v/>
      </c>
      <c r="F270" s="15" t="str">
        <f>IF(COUNTIFS(Master_PIC!$A$8:$A$73,$B270)=1,IF(VLOOKUP($B270,Master_PIC!$A$8:$G$73,6,FALSE)="","",VLOOKUP($B270,Master_PIC!$A$8:$G$73,6,FALSE)),"")</f>
        <v/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8"/>
      <c r="X270" s="5"/>
      <c r="Y270" s="5"/>
      <c r="Z270" s="9"/>
      <c r="AA270" s="5"/>
      <c r="AB270" s="5"/>
      <c r="AC270" s="9"/>
      <c r="AD270" s="5"/>
      <c r="AE270" s="7" t="str">
        <f t="shared" si="28"/>
        <v/>
      </c>
      <c r="AF270" s="7" t="str">
        <f t="shared" si="29"/>
        <v/>
      </c>
      <c r="AG270" s="7" t="str">
        <f t="shared" si="30"/>
        <v/>
      </c>
      <c r="AH270" s="7" t="str">
        <f t="shared" si="31"/>
        <v/>
      </c>
      <c r="AI270" s="7" t="str">
        <f t="shared" si="32"/>
        <v/>
      </c>
      <c r="AJ270" s="7" t="str">
        <f t="shared" si="33"/>
        <v/>
      </c>
      <c r="AK270" s="10" t="str">
        <f t="shared" si="34"/>
        <v/>
      </c>
      <c r="AL270" s="15" t="str">
        <f>IF(OR($A270&lt;&gt;"",$B270&lt;&gt;""),IF(OR($A270="",$B270=""),"Isi tanggal dan ID PIC",IF(NOT(ISNUMBER($A270)),"Tanggal harus berupa tanggal Excel",IF(COUNTIFS(Master_PIC!$A$8:$A$73,$B270)&lt;&gt;1,"ID PIC tidak unik/terdaftar",IF(VLOOKUP($B270,Master_PIC!$A$8:$G$73,3,FALSE)&lt;&gt;"SPV","Jabatan tidak sesuai sheet",IF(OR($C270="",$D270="",$E270="",$F270=""),"Lengkapi master PIC",IF(COUNTIFS($A$8:$A$507,$A270,$B$8:$B$507,$B270)&gt;1,"Laporan ganda",IF(COUNTIFS(G270:O270,"Tidak Berlaku")&gt;0,"N/A hanya untuk kegiatan bersyarat",IF(SUM(AF270,AG270,AH270,AI270,AJ270)&lt;&gt;13,"Status kegiatan tidak valid",IF(AJ270&gt;0,"Lengkapi status kegiatan",IF(AND(AI270&gt;0,T270=""),"Isi alasan Tidak Berlaku",IF(AND(SUM(AG270,AH270)&gt;0,OR(T270="",U270="",V270="",W270="")),"Isi kendala dan tindak lanjut",IF(AND(Y270&lt;&gt;"Draft",Y270&lt;&gt;"Dikirim"),"Isi status laporan yang valid",IF(AND(AA270&lt;&gt;"",AA270&lt;&gt;"Belum Diperiksa",AA270&lt;&gt;"Disetujui",AA270&lt;&gt;"Perlu Perbaikan"),"Hasil review tidak valid",IF(AND(Y270="Dikirim",OR(X270="",Z270="")),"Isi bukti dan waktu kirim",IF(AND(AA270="Disetujui",OR(Y270&lt;&gt;"Dikirim",AB270="",AC270="")),"Lengkapi pemeriksaan",IF(AND(AA270="Perlu Perbaikan",OR(AD270="",AB270="",AC270="")),"Isi pemeriksa dan catatan perbaikan","OK")))))))))))))))),"")</f>
        <v/>
      </c>
    </row>
    <row r="271" spans="1:38" ht="24.95" customHeight="1">
      <c r="A271" s="8"/>
      <c r="B271" s="6"/>
      <c r="C271" s="15" t="str">
        <f>IF(COUNTIFS(Master_PIC!$A$8:$A$73,$B271)=1,IF(VLOOKUP($B271,Master_PIC!$A$8:$G$73,2,FALSE)="","",VLOOKUP($B271,Master_PIC!$A$8:$G$73,2,FALSE)),"")</f>
        <v/>
      </c>
      <c r="D271" s="15" t="str">
        <f>IF(COUNTIFS(Master_PIC!$A$8:$A$73,$B271)=1,IF(VLOOKUP($B271,Master_PIC!$A$8:$G$73,4,FALSE)="","",VLOOKUP($B271,Master_PIC!$A$8:$G$73,4,FALSE)),"")</f>
        <v/>
      </c>
      <c r="E271" s="15" t="str">
        <f>IF(COUNTIFS(Master_PIC!$A$8:$A$73,$B271)=1,IF(VLOOKUP($B271,Master_PIC!$A$8:$G$73,5,FALSE)="","",VLOOKUP($B271,Master_PIC!$A$8:$G$73,5,FALSE)),"")</f>
        <v/>
      </c>
      <c r="F271" s="15" t="str">
        <f>IF(COUNTIFS(Master_PIC!$A$8:$A$73,$B271)=1,IF(VLOOKUP($B271,Master_PIC!$A$8:$G$73,6,FALSE)="","",VLOOKUP($B271,Master_PIC!$A$8:$G$73,6,FALSE)),"")</f>
        <v/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9"/>
      <c r="AA271" s="5"/>
      <c r="AB271" s="5"/>
      <c r="AC271" s="9"/>
      <c r="AD271" s="5"/>
      <c r="AE271" s="7" t="str">
        <f t="shared" si="28"/>
        <v/>
      </c>
      <c r="AF271" s="7" t="str">
        <f t="shared" si="29"/>
        <v/>
      </c>
      <c r="AG271" s="7" t="str">
        <f t="shared" si="30"/>
        <v/>
      </c>
      <c r="AH271" s="7" t="str">
        <f t="shared" si="31"/>
        <v/>
      </c>
      <c r="AI271" s="7" t="str">
        <f t="shared" si="32"/>
        <v/>
      </c>
      <c r="AJ271" s="7" t="str">
        <f t="shared" si="33"/>
        <v/>
      </c>
      <c r="AK271" s="10" t="str">
        <f t="shared" si="34"/>
        <v/>
      </c>
      <c r="AL271" s="15" t="str">
        <f>IF(OR($A271&lt;&gt;"",$B271&lt;&gt;""),IF(OR($A271="",$B271=""),"Isi tanggal dan ID PIC",IF(NOT(ISNUMBER($A271)),"Tanggal harus berupa tanggal Excel",IF(COUNTIFS(Master_PIC!$A$8:$A$73,$B271)&lt;&gt;1,"ID PIC tidak unik/terdaftar",IF(VLOOKUP($B271,Master_PIC!$A$8:$G$73,3,FALSE)&lt;&gt;"SPV","Jabatan tidak sesuai sheet",IF(OR($C271="",$D271="",$E271="",$F271=""),"Lengkapi master PIC",IF(COUNTIFS($A$8:$A$507,$A271,$B$8:$B$507,$B271)&gt;1,"Laporan ganda",IF(COUNTIFS(G271:O271,"Tidak Berlaku")&gt;0,"N/A hanya untuk kegiatan bersyarat",IF(SUM(AF271,AG271,AH271,AI271,AJ271)&lt;&gt;13,"Status kegiatan tidak valid",IF(AJ271&gt;0,"Lengkapi status kegiatan",IF(AND(AI271&gt;0,T271=""),"Isi alasan Tidak Berlaku",IF(AND(SUM(AG271,AH271)&gt;0,OR(T271="",U271="",V271="",W271="")),"Isi kendala dan tindak lanjut",IF(AND(Y271&lt;&gt;"Draft",Y271&lt;&gt;"Dikirim"),"Isi status laporan yang valid",IF(AND(AA271&lt;&gt;"",AA271&lt;&gt;"Belum Diperiksa",AA271&lt;&gt;"Disetujui",AA271&lt;&gt;"Perlu Perbaikan"),"Hasil review tidak valid",IF(AND(Y271="Dikirim",OR(X271="",Z271="")),"Isi bukti dan waktu kirim",IF(AND(AA271="Disetujui",OR(Y271&lt;&gt;"Dikirim",AB271="",AC271="")),"Lengkapi pemeriksaan",IF(AND(AA271="Perlu Perbaikan",OR(AD271="",AB271="",AC271="")),"Isi pemeriksa dan catatan perbaikan","OK")))))))))))))))),"")</f>
        <v/>
      </c>
    </row>
    <row r="272" spans="1:38" ht="24.95" customHeight="1">
      <c r="A272" s="8"/>
      <c r="B272" s="6"/>
      <c r="C272" s="15" t="str">
        <f>IF(COUNTIFS(Master_PIC!$A$8:$A$73,$B272)=1,IF(VLOOKUP($B272,Master_PIC!$A$8:$G$73,2,FALSE)="","",VLOOKUP($B272,Master_PIC!$A$8:$G$73,2,FALSE)),"")</f>
        <v/>
      </c>
      <c r="D272" s="15" t="str">
        <f>IF(COUNTIFS(Master_PIC!$A$8:$A$73,$B272)=1,IF(VLOOKUP($B272,Master_PIC!$A$8:$G$73,4,FALSE)="","",VLOOKUP($B272,Master_PIC!$A$8:$G$73,4,FALSE)),"")</f>
        <v/>
      </c>
      <c r="E272" s="15" t="str">
        <f>IF(COUNTIFS(Master_PIC!$A$8:$A$73,$B272)=1,IF(VLOOKUP($B272,Master_PIC!$A$8:$G$73,5,FALSE)="","",VLOOKUP($B272,Master_PIC!$A$8:$G$73,5,FALSE)),"")</f>
        <v/>
      </c>
      <c r="F272" s="15" t="str">
        <f>IF(COUNTIFS(Master_PIC!$A$8:$A$73,$B272)=1,IF(VLOOKUP($B272,Master_PIC!$A$8:$G$73,6,FALSE)="","",VLOOKUP($B272,Master_PIC!$A$8:$G$73,6,FALSE)),"")</f>
        <v/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9"/>
      <c r="AA272" s="5"/>
      <c r="AB272" s="5"/>
      <c r="AC272" s="9"/>
      <c r="AD272" s="5"/>
      <c r="AE272" s="7" t="str">
        <f t="shared" si="28"/>
        <v/>
      </c>
      <c r="AF272" s="7" t="str">
        <f t="shared" si="29"/>
        <v/>
      </c>
      <c r="AG272" s="7" t="str">
        <f t="shared" si="30"/>
        <v/>
      </c>
      <c r="AH272" s="7" t="str">
        <f t="shared" si="31"/>
        <v/>
      </c>
      <c r="AI272" s="7" t="str">
        <f t="shared" si="32"/>
        <v/>
      </c>
      <c r="AJ272" s="7" t="str">
        <f t="shared" si="33"/>
        <v/>
      </c>
      <c r="AK272" s="10" t="str">
        <f t="shared" si="34"/>
        <v/>
      </c>
      <c r="AL272" s="15" t="str">
        <f>IF(OR($A272&lt;&gt;"",$B272&lt;&gt;""),IF(OR($A272="",$B272=""),"Isi tanggal dan ID PIC",IF(NOT(ISNUMBER($A272)),"Tanggal harus berupa tanggal Excel",IF(COUNTIFS(Master_PIC!$A$8:$A$73,$B272)&lt;&gt;1,"ID PIC tidak unik/terdaftar",IF(VLOOKUP($B272,Master_PIC!$A$8:$G$73,3,FALSE)&lt;&gt;"SPV","Jabatan tidak sesuai sheet",IF(OR($C272="",$D272="",$E272="",$F272=""),"Lengkapi master PIC",IF(COUNTIFS($A$8:$A$507,$A272,$B$8:$B$507,$B272)&gt;1,"Laporan ganda",IF(COUNTIFS(G272:O272,"Tidak Berlaku")&gt;0,"N/A hanya untuk kegiatan bersyarat",IF(SUM(AF272,AG272,AH272,AI272,AJ272)&lt;&gt;13,"Status kegiatan tidak valid",IF(AJ272&gt;0,"Lengkapi status kegiatan",IF(AND(AI272&gt;0,T272=""),"Isi alasan Tidak Berlaku",IF(AND(SUM(AG272,AH272)&gt;0,OR(T272="",U272="",V272="",W272="")),"Isi kendala dan tindak lanjut",IF(AND(Y272&lt;&gt;"Draft",Y272&lt;&gt;"Dikirim"),"Isi status laporan yang valid",IF(AND(AA272&lt;&gt;"",AA272&lt;&gt;"Belum Diperiksa",AA272&lt;&gt;"Disetujui",AA272&lt;&gt;"Perlu Perbaikan"),"Hasil review tidak valid",IF(AND(Y272="Dikirim",OR(X272="",Z272="")),"Isi bukti dan waktu kirim",IF(AND(AA272="Disetujui",OR(Y272&lt;&gt;"Dikirim",AB272="",AC272="")),"Lengkapi pemeriksaan",IF(AND(AA272="Perlu Perbaikan",OR(AD272="",AB272="",AC272="")),"Isi pemeriksa dan catatan perbaikan","OK")))))))))))))))),"")</f>
        <v/>
      </c>
    </row>
    <row r="273" spans="1:38" ht="24.95" customHeight="1">
      <c r="A273" s="8"/>
      <c r="B273" s="6"/>
      <c r="C273" s="15" t="str">
        <f>IF(COUNTIFS(Master_PIC!$A$8:$A$73,$B273)=1,IF(VLOOKUP($B273,Master_PIC!$A$8:$G$73,2,FALSE)="","",VLOOKUP($B273,Master_PIC!$A$8:$G$73,2,FALSE)),"")</f>
        <v/>
      </c>
      <c r="D273" s="15" t="str">
        <f>IF(COUNTIFS(Master_PIC!$A$8:$A$73,$B273)=1,IF(VLOOKUP($B273,Master_PIC!$A$8:$G$73,4,FALSE)="","",VLOOKUP($B273,Master_PIC!$A$8:$G$73,4,FALSE)),"")</f>
        <v/>
      </c>
      <c r="E273" s="15" t="str">
        <f>IF(COUNTIFS(Master_PIC!$A$8:$A$73,$B273)=1,IF(VLOOKUP($B273,Master_PIC!$A$8:$G$73,5,FALSE)="","",VLOOKUP($B273,Master_PIC!$A$8:$G$73,5,FALSE)),"")</f>
        <v/>
      </c>
      <c r="F273" s="15" t="str">
        <f>IF(COUNTIFS(Master_PIC!$A$8:$A$73,$B273)=1,IF(VLOOKUP($B273,Master_PIC!$A$8:$G$73,6,FALSE)="","",VLOOKUP($B273,Master_PIC!$A$8:$G$73,6,FALSE)),"")</f>
        <v/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8"/>
      <c r="X273" s="5"/>
      <c r="Y273" s="5"/>
      <c r="Z273" s="9"/>
      <c r="AA273" s="5"/>
      <c r="AB273" s="5"/>
      <c r="AC273" s="9"/>
      <c r="AD273" s="5"/>
      <c r="AE273" s="7" t="str">
        <f t="shared" si="28"/>
        <v/>
      </c>
      <c r="AF273" s="7" t="str">
        <f t="shared" si="29"/>
        <v/>
      </c>
      <c r="AG273" s="7" t="str">
        <f t="shared" si="30"/>
        <v/>
      </c>
      <c r="AH273" s="7" t="str">
        <f t="shared" si="31"/>
        <v/>
      </c>
      <c r="AI273" s="7" t="str">
        <f t="shared" si="32"/>
        <v/>
      </c>
      <c r="AJ273" s="7" t="str">
        <f t="shared" si="33"/>
        <v/>
      </c>
      <c r="AK273" s="10" t="str">
        <f t="shared" si="34"/>
        <v/>
      </c>
      <c r="AL273" s="15" t="str">
        <f>IF(OR($A273&lt;&gt;"",$B273&lt;&gt;""),IF(OR($A273="",$B273=""),"Isi tanggal dan ID PIC",IF(NOT(ISNUMBER($A273)),"Tanggal harus berupa tanggal Excel",IF(COUNTIFS(Master_PIC!$A$8:$A$73,$B273)&lt;&gt;1,"ID PIC tidak unik/terdaftar",IF(VLOOKUP($B273,Master_PIC!$A$8:$G$73,3,FALSE)&lt;&gt;"SPV","Jabatan tidak sesuai sheet",IF(OR($C273="",$D273="",$E273="",$F273=""),"Lengkapi master PIC",IF(COUNTIFS($A$8:$A$507,$A273,$B$8:$B$507,$B273)&gt;1,"Laporan ganda",IF(COUNTIFS(G273:O273,"Tidak Berlaku")&gt;0,"N/A hanya untuk kegiatan bersyarat",IF(SUM(AF273,AG273,AH273,AI273,AJ273)&lt;&gt;13,"Status kegiatan tidak valid",IF(AJ273&gt;0,"Lengkapi status kegiatan",IF(AND(AI273&gt;0,T273=""),"Isi alasan Tidak Berlaku",IF(AND(SUM(AG273,AH273)&gt;0,OR(T273="",U273="",V273="",W273="")),"Isi kendala dan tindak lanjut",IF(AND(Y273&lt;&gt;"Draft",Y273&lt;&gt;"Dikirim"),"Isi status laporan yang valid",IF(AND(AA273&lt;&gt;"",AA273&lt;&gt;"Belum Diperiksa",AA273&lt;&gt;"Disetujui",AA273&lt;&gt;"Perlu Perbaikan"),"Hasil review tidak valid",IF(AND(Y273="Dikirim",OR(X273="",Z273="")),"Isi bukti dan waktu kirim",IF(AND(AA273="Disetujui",OR(Y273&lt;&gt;"Dikirim",AB273="",AC273="")),"Lengkapi pemeriksaan",IF(AND(AA273="Perlu Perbaikan",OR(AD273="",AB273="",AC273="")),"Isi pemeriksa dan catatan perbaikan","OK")))))))))))))))),"")</f>
        <v/>
      </c>
    </row>
    <row r="274" spans="1:38" ht="24.95" customHeight="1">
      <c r="A274" s="8"/>
      <c r="B274" s="6"/>
      <c r="C274" s="15" t="str">
        <f>IF(COUNTIFS(Master_PIC!$A$8:$A$73,$B274)=1,IF(VLOOKUP($B274,Master_PIC!$A$8:$G$73,2,FALSE)="","",VLOOKUP($B274,Master_PIC!$A$8:$G$73,2,FALSE)),"")</f>
        <v/>
      </c>
      <c r="D274" s="15" t="str">
        <f>IF(COUNTIFS(Master_PIC!$A$8:$A$73,$B274)=1,IF(VLOOKUP($B274,Master_PIC!$A$8:$G$73,4,FALSE)="","",VLOOKUP($B274,Master_PIC!$A$8:$G$73,4,FALSE)),"")</f>
        <v/>
      </c>
      <c r="E274" s="15" t="str">
        <f>IF(COUNTIFS(Master_PIC!$A$8:$A$73,$B274)=1,IF(VLOOKUP($B274,Master_PIC!$A$8:$G$73,5,FALSE)="","",VLOOKUP($B274,Master_PIC!$A$8:$G$73,5,FALSE)),"")</f>
        <v/>
      </c>
      <c r="F274" s="15" t="str">
        <f>IF(COUNTIFS(Master_PIC!$A$8:$A$73,$B274)=1,IF(VLOOKUP($B274,Master_PIC!$A$8:$G$73,6,FALSE)="","",VLOOKUP($B274,Master_PIC!$A$8:$G$73,6,FALSE)),"")</f>
        <v/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8"/>
      <c r="X274" s="5"/>
      <c r="Y274" s="5"/>
      <c r="Z274" s="9"/>
      <c r="AA274" s="5"/>
      <c r="AB274" s="5"/>
      <c r="AC274" s="9"/>
      <c r="AD274" s="5"/>
      <c r="AE274" s="7" t="str">
        <f t="shared" si="28"/>
        <v/>
      </c>
      <c r="AF274" s="7" t="str">
        <f t="shared" si="29"/>
        <v/>
      </c>
      <c r="AG274" s="7" t="str">
        <f t="shared" si="30"/>
        <v/>
      </c>
      <c r="AH274" s="7" t="str">
        <f t="shared" si="31"/>
        <v/>
      </c>
      <c r="AI274" s="7" t="str">
        <f t="shared" si="32"/>
        <v/>
      </c>
      <c r="AJ274" s="7" t="str">
        <f t="shared" si="33"/>
        <v/>
      </c>
      <c r="AK274" s="10" t="str">
        <f t="shared" si="34"/>
        <v/>
      </c>
      <c r="AL274" s="15" t="str">
        <f>IF(OR($A274&lt;&gt;"",$B274&lt;&gt;""),IF(OR($A274="",$B274=""),"Isi tanggal dan ID PIC",IF(NOT(ISNUMBER($A274)),"Tanggal harus berupa tanggal Excel",IF(COUNTIFS(Master_PIC!$A$8:$A$73,$B274)&lt;&gt;1,"ID PIC tidak unik/terdaftar",IF(VLOOKUP($B274,Master_PIC!$A$8:$G$73,3,FALSE)&lt;&gt;"SPV","Jabatan tidak sesuai sheet",IF(OR($C274="",$D274="",$E274="",$F274=""),"Lengkapi master PIC",IF(COUNTIFS($A$8:$A$507,$A274,$B$8:$B$507,$B274)&gt;1,"Laporan ganda",IF(COUNTIFS(G274:O274,"Tidak Berlaku")&gt;0,"N/A hanya untuk kegiatan bersyarat",IF(SUM(AF274,AG274,AH274,AI274,AJ274)&lt;&gt;13,"Status kegiatan tidak valid",IF(AJ274&gt;0,"Lengkapi status kegiatan",IF(AND(AI274&gt;0,T274=""),"Isi alasan Tidak Berlaku",IF(AND(SUM(AG274,AH274)&gt;0,OR(T274="",U274="",V274="",W274="")),"Isi kendala dan tindak lanjut",IF(AND(Y274&lt;&gt;"Draft",Y274&lt;&gt;"Dikirim"),"Isi status laporan yang valid",IF(AND(AA274&lt;&gt;"",AA274&lt;&gt;"Belum Diperiksa",AA274&lt;&gt;"Disetujui",AA274&lt;&gt;"Perlu Perbaikan"),"Hasil review tidak valid",IF(AND(Y274="Dikirim",OR(X274="",Z274="")),"Isi bukti dan waktu kirim",IF(AND(AA274="Disetujui",OR(Y274&lt;&gt;"Dikirim",AB274="",AC274="")),"Lengkapi pemeriksaan",IF(AND(AA274="Perlu Perbaikan",OR(AD274="",AB274="",AC274="")),"Isi pemeriksa dan catatan perbaikan","OK")))))))))))))))),"")</f>
        <v/>
      </c>
    </row>
    <row r="275" spans="1:38" ht="24.95" customHeight="1">
      <c r="A275" s="8"/>
      <c r="B275" s="6"/>
      <c r="C275" s="15" t="str">
        <f>IF(COUNTIFS(Master_PIC!$A$8:$A$73,$B275)=1,IF(VLOOKUP($B275,Master_PIC!$A$8:$G$73,2,FALSE)="","",VLOOKUP($B275,Master_PIC!$A$8:$G$73,2,FALSE)),"")</f>
        <v/>
      </c>
      <c r="D275" s="15" t="str">
        <f>IF(COUNTIFS(Master_PIC!$A$8:$A$73,$B275)=1,IF(VLOOKUP($B275,Master_PIC!$A$8:$G$73,4,FALSE)="","",VLOOKUP($B275,Master_PIC!$A$8:$G$73,4,FALSE)),"")</f>
        <v/>
      </c>
      <c r="E275" s="15" t="str">
        <f>IF(COUNTIFS(Master_PIC!$A$8:$A$73,$B275)=1,IF(VLOOKUP($B275,Master_PIC!$A$8:$G$73,5,FALSE)="","",VLOOKUP($B275,Master_PIC!$A$8:$G$73,5,FALSE)),"")</f>
        <v/>
      </c>
      <c r="F275" s="15" t="str">
        <f>IF(COUNTIFS(Master_PIC!$A$8:$A$73,$B275)=1,IF(VLOOKUP($B275,Master_PIC!$A$8:$G$73,6,FALSE)="","",VLOOKUP($B275,Master_PIC!$A$8:$G$73,6,FALSE)),"")</f>
        <v/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8"/>
      <c r="X275" s="5"/>
      <c r="Y275" s="5"/>
      <c r="Z275" s="9"/>
      <c r="AA275" s="5"/>
      <c r="AB275" s="5"/>
      <c r="AC275" s="9"/>
      <c r="AD275" s="5"/>
      <c r="AE275" s="7" t="str">
        <f t="shared" si="28"/>
        <v/>
      </c>
      <c r="AF275" s="7" t="str">
        <f t="shared" si="29"/>
        <v/>
      </c>
      <c r="AG275" s="7" t="str">
        <f t="shared" si="30"/>
        <v/>
      </c>
      <c r="AH275" s="7" t="str">
        <f t="shared" si="31"/>
        <v/>
      </c>
      <c r="AI275" s="7" t="str">
        <f t="shared" si="32"/>
        <v/>
      </c>
      <c r="AJ275" s="7" t="str">
        <f t="shared" si="33"/>
        <v/>
      </c>
      <c r="AK275" s="10" t="str">
        <f t="shared" si="34"/>
        <v/>
      </c>
      <c r="AL275" s="15" t="str">
        <f>IF(OR($A275&lt;&gt;"",$B275&lt;&gt;""),IF(OR($A275="",$B275=""),"Isi tanggal dan ID PIC",IF(NOT(ISNUMBER($A275)),"Tanggal harus berupa tanggal Excel",IF(COUNTIFS(Master_PIC!$A$8:$A$73,$B275)&lt;&gt;1,"ID PIC tidak unik/terdaftar",IF(VLOOKUP($B275,Master_PIC!$A$8:$G$73,3,FALSE)&lt;&gt;"SPV","Jabatan tidak sesuai sheet",IF(OR($C275="",$D275="",$E275="",$F275=""),"Lengkapi master PIC",IF(COUNTIFS($A$8:$A$507,$A275,$B$8:$B$507,$B275)&gt;1,"Laporan ganda",IF(COUNTIFS(G275:O275,"Tidak Berlaku")&gt;0,"N/A hanya untuk kegiatan bersyarat",IF(SUM(AF275,AG275,AH275,AI275,AJ275)&lt;&gt;13,"Status kegiatan tidak valid",IF(AJ275&gt;0,"Lengkapi status kegiatan",IF(AND(AI275&gt;0,T275=""),"Isi alasan Tidak Berlaku",IF(AND(SUM(AG275,AH275)&gt;0,OR(T275="",U275="",V275="",W275="")),"Isi kendala dan tindak lanjut",IF(AND(Y275&lt;&gt;"Draft",Y275&lt;&gt;"Dikirim"),"Isi status laporan yang valid",IF(AND(AA275&lt;&gt;"",AA275&lt;&gt;"Belum Diperiksa",AA275&lt;&gt;"Disetujui",AA275&lt;&gt;"Perlu Perbaikan"),"Hasil review tidak valid",IF(AND(Y275="Dikirim",OR(X275="",Z275="")),"Isi bukti dan waktu kirim",IF(AND(AA275="Disetujui",OR(Y275&lt;&gt;"Dikirim",AB275="",AC275="")),"Lengkapi pemeriksaan",IF(AND(AA275="Perlu Perbaikan",OR(AD275="",AB275="",AC275="")),"Isi pemeriksa dan catatan perbaikan","OK")))))))))))))))),"")</f>
        <v/>
      </c>
    </row>
    <row r="276" spans="1:38" ht="24.95" customHeight="1">
      <c r="A276" s="8"/>
      <c r="B276" s="6"/>
      <c r="C276" s="15" t="str">
        <f>IF(COUNTIFS(Master_PIC!$A$8:$A$73,$B276)=1,IF(VLOOKUP($B276,Master_PIC!$A$8:$G$73,2,FALSE)="","",VLOOKUP($B276,Master_PIC!$A$8:$G$73,2,FALSE)),"")</f>
        <v/>
      </c>
      <c r="D276" s="15" t="str">
        <f>IF(COUNTIFS(Master_PIC!$A$8:$A$73,$B276)=1,IF(VLOOKUP($B276,Master_PIC!$A$8:$G$73,4,FALSE)="","",VLOOKUP($B276,Master_PIC!$A$8:$G$73,4,FALSE)),"")</f>
        <v/>
      </c>
      <c r="E276" s="15" t="str">
        <f>IF(COUNTIFS(Master_PIC!$A$8:$A$73,$B276)=1,IF(VLOOKUP($B276,Master_PIC!$A$8:$G$73,5,FALSE)="","",VLOOKUP($B276,Master_PIC!$A$8:$G$73,5,FALSE)),"")</f>
        <v/>
      </c>
      <c r="F276" s="15" t="str">
        <f>IF(COUNTIFS(Master_PIC!$A$8:$A$73,$B276)=1,IF(VLOOKUP($B276,Master_PIC!$A$8:$G$73,6,FALSE)="","",VLOOKUP($B276,Master_PIC!$A$8:$G$73,6,FALSE)),"")</f>
        <v/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8"/>
      <c r="X276" s="5"/>
      <c r="Y276" s="5"/>
      <c r="Z276" s="9"/>
      <c r="AA276" s="5"/>
      <c r="AB276" s="5"/>
      <c r="AC276" s="9"/>
      <c r="AD276" s="5"/>
      <c r="AE276" s="7" t="str">
        <f t="shared" si="28"/>
        <v/>
      </c>
      <c r="AF276" s="7" t="str">
        <f t="shared" si="29"/>
        <v/>
      </c>
      <c r="AG276" s="7" t="str">
        <f t="shared" si="30"/>
        <v/>
      </c>
      <c r="AH276" s="7" t="str">
        <f t="shared" si="31"/>
        <v/>
      </c>
      <c r="AI276" s="7" t="str">
        <f t="shared" si="32"/>
        <v/>
      </c>
      <c r="AJ276" s="7" t="str">
        <f t="shared" si="33"/>
        <v/>
      </c>
      <c r="AK276" s="10" t="str">
        <f t="shared" si="34"/>
        <v/>
      </c>
      <c r="AL276" s="15" t="str">
        <f>IF(OR($A276&lt;&gt;"",$B276&lt;&gt;""),IF(OR($A276="",$B276=""),"Isi tanggal dan ID PIC",IF(NOT(ISNUMBER($A276)),"Tanggal harus berupa tanggal Excel",IF(COUNTIFS(Master_PIC!$A$8:$A$73,$B276)&lt;&gt;1,"ID PIC tidak unik/terdaftar",IF(VLOOKUP($B276,Master_PIC!$A$8:$G$73,3,FALSE)&lt;&gt;"SPV","Jabatan tidak sesuai sheet",IF(OR($C276="",$D276="",$E276="",$F276=""),"Lengkapi master PIC",IF(COUNTIFS($A$8:$A$507,$A276,$B$8:$B$507,$B276)&gt;1,"Laporan ganda",IF(COUNTIFS(G276:O276,"Tidak Berlaku")&gt;0,"N/A hanya untuk kegiatan bersyarat",IF(SUM(AF276,AG276,AH276,AI276,AJ276)&lt;&gt;13,"Status kegiatan tidak valid",IF(AJ276&gt;0,"Lengkapi status kegiatan",IF(AND(AI276&gt;0,T276=""),"Isi alasan Tidak Berlaku",IF(AND(SUM(AG276,AH276)&gt;0,OR(T276="",U276="",V276="",W276="")),"Isi kendala dan tindak lanjut",IF(AND(Y276&lt;&gt;"Draft",Y276&lt;&gt;"Dikirim"),"Isi status laporan yang valid",IF(AND(AA276&lt;&gt;"",AA276&lt;&gt;"Belum Diperiksa",AA276&lt;&gt;"Disetujui",AA276&lt;&gt;"Perlu Perbaikan"),"Hasil review tidak valid",IF(AND(Y276="Dikirim",OR(X276="",Z276="")),"Isi bukti dan waktu kirim",IF(AND(AA276="Disetujui",OR(Y276&lt;&gt;"Dikirim",AB276="",AC276="")),"Lengkapi pemeriksaan",IF(AND(AA276="Perlu Perbaikan",OR(AD276="",AB276="",AC276="")),"Isi pemeriksa dan catatan perbaikan","OK")))))))))))))))),"")</f>
        <v/>
      </c>
    </row>
    <row r="277" spans="1:38" ht="24.95" customHeight="1">
      <c r="A277" s="8"/>
      <c r="B277" s="6"/>
      <c r="C277" s="15" t="str">
        <f>IF(COUNTIFS(Master_PIC!$A$8:$A$73,$B277)=1,IF(VLOOKUP($B277,Master_PIC!$A$8:$G$73,2,FALSE)="","",VLOOKUP($B277,Master_PIC!$A$8:$G$73,2,FALSE)),"")</f>
        <v/>
      </c>
      <c r="D277" s="15" t="str">
        <f>IF(COUNTIFS(Master_PIC!$A$8:$A$73,$B277)=1,IF(VLOOKUP($B277,Master_PIC!$A$8:$G$73,4,FALSE)="","",VLOOKUP($B277,Master_PIC!$A$8:$G$73,4,FALSE)),"")</f>
        <v/>
      </c>
      <c r="E277" s="15" t="str">
        <f>IF(COUNTIFS(Master_PIC!$A$8:$A$73,$B277)=1,IF(VLOOKUP($B277,Master_PIC!$A$8:$G$73,5,FALSE)="","",VLOOKUP($B277,Master_PIC!$A$8:$G$73,5,FALSE)),"")</f>
        <v/>
      </c>
      <c r="F277" s="15" t="str">
        <f>IF(COUNTIFS(Master_PIC!$A$8:$A$73,$B277)=1,IF(VLOOKUP($B277,Master_PIC!$A$8:$G$73,6,FALSE)="","",VLOOKUP($B277,Master_PIC!$A$8:$G$73,6,FALSE)),"")</f>
        <v/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8"/>
      <c r="X277" s="5"/>
      <c r="Y277" s="5"/>
      <c r="Z277" s="9"/>
      <c r="AA277" s="5"/>
      <c r="AB277" s="5"/>
      <c r="AC277" s="9"/>
      <c r="AD277" s="5"/>
      <c r="AE277" s="7" t="str">
        <f t="shared" si="28"/>
        <v/>
      </c>
      <c r="AF277" s="7" t="str">
        <f t="shared" si="29"/>
        <v/>
      </c>
      <c r="AG277" s="7" t="str">
        <f t="shared" si="30"/>
        <v/>
      </c>
      <c r="AH277" s="7" t="str">
        <f t="shared" si="31"/>
        <v/>
      </c>
      <c r="AI277" s="7" t="str">
        <f t="shared" si="32"/>
        <v/>
      </c>
      <c r="AJ277" s="7" t="str">
        <f t="shared" si="33"/>
        <v/>
      </c>
      <c r="AK277" s="10" t="str">
        <f t="shared" si="34"/>
        <v/>
      </c>
      <c r="AL277" s="15" t="str">
        <f>IF(OR($A277&lt;&gt;"",$B277&lt;&gt;""),IF(OR($A277="",$B277=""),"Isi tanggal dan ID PIC",IF(NOT(ISNUMBER($A277)),"Tanggal harus berupa tanggal Excel",IF(COUNTIFS(Master_PIC!$A$8:$A$73,$B277)&lt;&gt;1,"ID PIC tidak unik/terdaftar",IF(VLOOKUP($B277,Master_PIC!$A$8:$G$73,3,FALSE)&lt;&gt;"SPV","Jabatan tidak sesuai sheet",IF(OR($C277="",$D277="",$E277="",$F277=""),"Lengkapi master PIC",IF(COUNTIFS($A$8:$A$507,$A277,$B$8:$B$507,$B277)&gt;1,"Laporan ganda",IF(COUNTIFS(G277:O277,"Tidak Berlaku")&gt;0,"N/A hanya untuk kegiatan bersyarat",IF(SUM(AF277,AG277,AH277,AI277,AJ277)&lt;&gt;13,"Status kegiatan tidak valid",IF(AJ277&gt;0,"Lengkapi status kegiatan",IF(AND(AI277&gt;0,T277=""),"Isi alasan Tidak Berlaku",IF(AND(SUM(AG277,AH277)&gt;0,OR(T277="",U277="",V277="",W277="")),"Isi kendala dan tindak lanjut",IF(AND(Y277&lt;&gt;"Draft",Y277&lt;&gt;"Dikirim"),"Isi status laporan yang valid",IF(AND(AA277&lt;&gt;"",AA277&lt;&gt;"Belum Diperiksa",AA277&lt;&gt;"Disetujui",AA277&lt;&gt;"Perlu Perbaikan"),"Hasil review tidak valid",IF(AND(Y277="Dikirim",OR(X277="",Z277="")),"Isi bukti dan waktu kirim",IF(AND(AA277="Disetujui",OR(Y277&lt;&gt;"Dikirim",AB277="",AC277="")),"Lengkapi pemeriksaan",IF(AND(AA277="Perlu Perbaikan",OR(AD277="",AB277="",AC277="")),"Isi pemeriksa dan catatan perbaikan","OK")))))))))))))))),"")</f>
        <v/>
      </c>
    </row>
    <row r="278" spans="1:38" ht="24.95" customHeight="1">
      <c r="A278" s="8"/>
      <c r="B278" s="6"/>
      <c r="C278" s="15" t="str">
        <f>IF(COUNTIFS(Master_PIC!$A$8:$A$73,$B278)=1,IF(VLOOKUP($B278,Master_PIC!$A$8:$G$73,2,FALSE)="","",VLOOKUP($B278,Master_PIC!$A$8:$G$73,2,FALSE)),"")</f>
        <v/>
      </c>
      <c r="D278" s="15" t="str">
        <f>IF(COUNTIFS(Master_PIC!$A$8:$A$73,$B278)=1,IF(VLOOKUP($B278,Master_PIC!$A$8:$G$73,4,FALSE)="","",VLOOKUP($B278,Master_PIC!$A$8:$G$73,4,FALSE)),"")</f>
        <v/>
      </c>
      <c r="E278" s="15" t="str">
        <f>IF(COUNTIFS(Master_PIC!$A$8:$A$73,$B278)=1,IF(VLOOKUP($B278,Master_PIC!$A$8:$G$73,5,FALSE)="","",VLOOKUP($B278,Master_PIC!$A$8:$G$73,5,FALSE)),"")</f>
        <v/>
      </c>
      <c r="F278" s="15" t="str">
        <f>IF(COUNTIFS(Master_PIC!$A$8:$A$73,$B278)=1,IF(VLOOKUP($B278,Master_PIC!$A$8:$G$73,6,FALSE)="","",VLOOKUP($B278,Master_PIC!$A$8:$G$73,6,FALSE)),"")</f>
        <v/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8"/>
      <c r="X278" s="5"/>
      <c r="Y278" s="5"/>
      <c r="Z278" s="9"/>
      <c r="AA278" s="5"/>
      <c r="AB278" s="5"/>
      <c r="AC278" s="9"/>
      <c r="AD278" s="5"/>
      <c r="AE278" s="7" t="str">
        <f t="shared" si="28"/>
        <v/>
      </c>
      <c r="AF278" s="7" t="str">
        <f t="shared" si="29"/>
        <v/>
      </c>
      <c r="AG278" s="7" t="str">
        <f t="shared" si="30"/>
        <v/>
      </c>
      <c r="AH278" s="7" t="str">
        <f t="shared" si="31"/>
        <v/>
      </c>
      <c r="AI278" s="7" t="str">
        <f t="shared" si="32"/>
        <v/>
      </c>
      <c r="AJ278" s="7" t="str">
        <f t="shared" si="33"/>
        <v/>
      </c>
      <c r="AK278" s="10" t="str">
        <f t="shared" si="34"/>
        <v/>
      </c>
      <c r="AL278" s="15" t="str">
        <f>IF(OR($A278&lt;&gt;"",$B278&lt;&gt;""),IF(OR($A278="",$B278=""),"Isi tanggal dan ID PIC",IF(NOT(ISNUMBER($A278)),"Tanggal harus berupa tanggal Excel",IF(COUNTIFS(Master_PIC!$A$8:$A$73,$B278)&lt;&gt;1,"ID PIC tidak unik/terdaftar",IF(VLOOKUP($B278,Master_PIC!$A$8:$G$73,3,FALSE)&lt;&gt;"SPV","Jabatan tidak sesuai sheet",IF(OR($C278="",$D278="",$E278="",$F278=""),"Lengkapi master PIC",IF(COUNTIFS($A$8:$A$507,$A278,$B$8:$B$507,$B278)&gt;1,"Laporan ganda",IF(COUNTIFS(G278:O278,"Tidak Berlaku")&gt;0,"N/A hanya untuk kegiatan bersyarat",IF(SUM(AF278,AG278,AH278,AI278,AJ278)&lt;&gt;13,"Status kegiatan tidak valid",IF(AJ278&gt;0,"Lengkapi status kegiatan",IF(AND(AI278&gt;0,T278=""),"Isi alasan Tidak Berlaku",IF(AND(SUM(AG278,AH278)&gt;0,OR(T278="",U278="",V278="",W278="")),"Isi kendala dan tindak lanjut",IF(AND(Y278&lt;&gt;"Draft",Y278&lt;&gt;"Dikirim"),"Isi status laporan yang valid",IF(AND(AA278&lt;&gt;"",AA278&lt;&gt;"Belum Diperiksa",AA278&lt;&gt;"Disetujui",AA278&lt;&gt;"Perlu Perbaikan"),"Hasil review tidak valid",IF(AND(Y278="Dikirim",OR(X278="",Z278="")),"Isi bukti dan waktu kirim",IF(AND(AA278="Disetujui",OR(Y278&lt;&gt;"Dikirim",AB278="",AC278="")),"Lengkapi pemeriksaan",IF(AND(AA278="Perlu Perbaikan",OR(AD278="",AB278="",AC278="")),"Isi pemeriksa dan catatan perbaikan","OK")))))))))))))))),"")</f>
        <v/>
      </c>
    </row>
    <row r="279" spans="1:38" ht="24.95" customHeight="1">
      <c r="A279" s="8"/>
      <c r="B279" s="6"/>
      <c r="C279" s="15" t="str">
        <f>IF(COUNTIFS(Master_PIC!$A$8:$A$73,$B279)=1,IF(VLOOKUP($B279,Master_PIC!$A$8:$G$73,2,FALSE)="","",VLOOKUP($B279,Master_PIC!$A$8:$G$73,2,FALSE)),"")</f>
        <v/>
      </c>
      <c r="D279" s="15" t="str">
        <f>IF(COUNTIFS(Master_PIC!$A$8:$A$73,$B279)=1,IF(VLOOKUP($B279,Master_PIC!$A$8:$G$73,4,FALSE)="","",VLOOKUP($B279,Master_PIC!$A$8:$G$73,4,FALSE)),"")</f>
        <v/>
      </c>
      <c r="E279" s="15" t="str">
        <f>IF(COUNTIFS(Master_PIC!$A$8:$A$73,$B279)=1,IF(VLOOKUP($B279,Master_PIC!$A$8:$G$73,5,FALSE)="","",VLOOKUP($B279,Master_PIC!$A$8:$G$73,5,FALSE)),"")</f>
        <v/>
      </c>
      <c r="F279" s="15" t="str">
        <f>IF(COUNTIFS(Master_PIC!$A$8:$A$73,$B279)=1,IF(VLOOKUP($B279,Master_PIC!$A$8:$G$73,6,FALSE)="","",VLOOKUP($B279,Master_PIC!$A$8:$G$73,6,FALSE)),"")</f>
        <v/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8"/>
      <c r="X279" s="5"/>
      <c r="Y279" s="5"/>
      <c r="Z279" s="9"/>
      <c r="AA279" s="5"/>
      <c r="AB279" s="5"/>
      <c r="AC279" s="9"/>
      <c r="AD279" s="5"/>
      <c r="AE279" s="7" t="str">
        <f t="shared" si="28"/>
        <v/>
      </c>
      <c r="AF279" s="7" t="str">
        <f t="shared" si="29"/>
        <v/>
      </c>
      <c r="AG279" s="7" t="str">
        <f t="shared" si="30"/>
        <v/>
      </c>
      <c r="AH279" s="7" t="str">
        <f t="shared" si="31"/>
        <v/>
      </c>
      <c r="AI279" s="7" t="str">
        <f t="shared" si="32"/>
        <v/>
      </c>
      <c r="AJ279" s="7" t="str">
        <f t="shared" si="33"/>
        <v/>
      </c>
      <c r="AK279" s="10" t="str">
        <f t="shared" si="34"/>
        <v/>
      </c>
      <c r="AL279" s="15" t="str">
        <f>IF(OR($A279&lt;&gt;"",$B279&lt;&gt;""),IF(OR($A279="",$B279=""),"Isi tanggal dan ID PIC",IF(NOT(ISNUMBER($A279)),"Tanggal harus berupa tanggal Excel",IF(COUNTIFS(Master_PIC!$A$8:$A$73,$B279)&lt;&gt;1,"ID PIC tidak unik/terdaftar",IF(VLOOKUP($B279,Master_PIC!$A$8:$G$73,3,FALSE)&lt;&gt;"SPV","Jabatan tidak sesuai sheet",IF(OR($C279="",$D279="",$E279="",$F279=""),"Lengkapi master PIC",IF(COUNTIFS($A$8:$A$507,$A279,$B$8:$B$507,$B279)&gt;1,"Laporan ganda",IF(COUNTIFS(G279:O279,"Tidak Berlaku")&gt;0,"N/A hanya untuk kegiatan bersyarat",IF(SUM(AF279,AG279,AH279,AI279,AJ279)&lt;&gt;13,"Status kegiatan tidak valid",IF(AJ279&gt;0,"Lengkapi status kegiatan",IF(AND(AI279&gt;0,T279=""),"Isi alasan Tidak Berlaku",IF(AND(SUM(AG279,AH279)&gt;0,OR(T279="",U279="",V279="",W279="")),"Isi kendala dan tindak lanjut",IF(AND(Y279&lt;&gt;"Draft",Y279&lt;&gt;"Dikirim"),"Isi status laporan yang valid",IF(AND(AA279&lt;&gt;"",AA279&lt;&gt;"Belum Diperiksa",AA279&lt;&gt;"Disetujui",AA279&lt;&gt;"Perlu Perbaikan"),"Hasil review tidak valid",IF(AND(Y279="Dikirim",OR(X279="",Z279="")),"Isi bukti dan waktu kirim",IF(AND(AA279="Disetujui",OR(Y279&lt;&gt;"Dikirim",AB279="",AC279="")),"Lengkapi pemeriksaan",IF(AND(AA279="Perlu Perbaikan",OR(AD279="",AB279="",AC279="")),"Isi pemeriksa dan catatan perbaikan","OK")))))))))))))))),"")</f>
        <v/>
      </c>
    </row>
    <row r="280" spans="1:38" ht="24.95" customHeight="1">
      <c r="A280" s="8"/>
      <c r="B280" s="6"/>
      <c r="C280" s="15" t="str">
        <f>IF(COUNTIFS(Master_PIC!$A$8:$A$73,$B280)=1,IF(VLOOKUP($B280,Master_PIC!$A$8:$G$73,2,FALSE)="","",VLOOKUP($B280,Master_PIC!$A$8:$G$73,2,FALSE)),"")</f>
        <v/>
      </c>
      <c r="D280" s="15" t="str">
        <f>IF(COUNTIFS(Master_PIC!$A$8:$A$73,$B280)=1,IF(VLOOKUP($B280,Master_PIC!$A$8:$G$73,4,FALSE)="","",VLOOKUP($B280,Master_PIC!$A$8:$G$73,4,FALSE)),"")</f>
        <v/>
      </c>
      <c r="E280" s="15" t="str">
        <f>IF(COUNTIFS(Master_PIC!$A$8:$A$73,$B280)=1,IF(VLOOKUP($B280,Master_PIC!$A$8:$G$73,5,FALSE)="","",VLOOKUP($B280,Master_PIC!$A$8:$G$73,5,FALSE)),"")</f>
        <v/>
      </c>
      <c r="F280" s="15" t="str">
        <f>IF(COUNTIFS(Master_PIC!$A$8:$A$73,$B280)=1,IF(VLOOKUP($B280,Master_PIC!$A$8:$G$73,6,FALSE)="","",VLOOKUP($B280,Master_PIC!$A$8:$G$73,6,FALSE)),"")</f>
        <v/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8"/>
      <c r="X280" s="5"/>
      <c r="Y280" s="5"/>
      <c r="Z280" s="9"/>
      <c r="AA280" s="5"/>
      <c r="AB280" s="5"/>
      <c r="AC280" s="9"/>
      <c r="AD280" s="5"/>
      <c r="AE280" s="7" t="str">
        <f t="shared" si="28"/>
        <v/>
      </c>
      <c r="AF280" s="7" t="str">
        <f t="shared" si="29"/>
        <v/>
      </c>
      <c r="AG280" s="7" t="str">
        <f t="shared" si="30"/>
        <v/>
      </c>
      <c r="AH280" s="7" t="str">
        <f t="shared" si="31"/>
        <v/>
      </c>
      <c r="AI280" s="7" t="str">
        <f t="shared" si="32"/>
        <v/>
      </c>
      <c r="AJ280" s="7" t="str">
        <f t="shared" si="33"/>
        <v/>
      </c>
      <c r="AK280" s="10" t="str">
        <f t="shared" si="34"/>
        <v/>
      </c>
      <c r="AL280" s="15" t="str">
        <f>IF(OR($A280&lt;&gt;"",$B280&lt;&gt;""),IF(OR($A280="",$B280=""),"Isi tanggal dan ID PIC",IF(NOT(ISNUMBER($A280)),"Tanggal harus berupa tanggal Excel",IF(COUNTIFS(Master_PIC!$A$8:$A$73,$B280)&lt;&gt;1,"ID PIC tidak unik/terdaftar",IF(VLOOKUP($B280,Master_PIC!$A$8:$G$73,3,FALSE)&lt;&gt;"SPV","Jabatan tidak sesuai sheet",IF(OR($C280="",$D280="",$E280="",$F280=""),"Lengkapi master PIC",IF(COUNTIFS($A$8:$A$507,$A280,$B$8:$B$507,$B280)&gt;1,"Laporan ganda",IF(COUNTIFS(G280:O280,"Tidak Berlaku")&gt;0,"N/A hanya untuk kegiatan bersyarat",IF(SUM(AF280,AG280,AH280,AI280,AJ280)&lt;&gt;13,"Status kegiatan tidak valid",IF(AJ280&gt;0,"Lengkapi status kegiatan",IF(AND(AI280&gt;0,T280=""),"Isi alasan Tidak Berlaku",IF(AND(SUM(AG280,AH280)&gt;0,OR(T280="",U280="",V280="",W280="")),"Isi kendala dan tindak lanjut",IF(AND(Y280&lt;&gt;"Draft",Y280&lt;&gt;"Dikirim"),"Isi status laporan yang valid",IF(AND(AA280&lt;&gt;"",AA280&lt;&gt;"Belum Diperiksa",AA280&lt;&gt;"Disetujui",AA280&lt;&gt;"Perlu Perbaikan"),"Hasil review tidak valid",IF(AND(Y280="Dikirim",OR(X280="",Z280="")),"Isi bukti dan waktu kirim",IF(AND(AA280="Disetujui",OR(Y280&lt;&gt;"Dikirim",AB280="",AC280="")),"Lengkapi pemeriksaan",IF(AND(AA280="Perlu Perbaikan",OR(AD280="",AB280="",AC280="")),"Isi pemeriksa dan catatan perbaikan","OK")))))))))))))))),"")</f>
        <v/>
      </c>
    </row>
    <row r="281" spans="1:38" ht="24.95" customHeight="1">
      <c r="A281" s="8"/>
      <c r="B281" s="6"/>
      <c r="C281" s="15" t="str">
        <f>IF(COUNTIFS(Master_PIC!$A$8:$A$73,$B281)=1,IF(VLOOKUP($B281,Master_PIC!$A$8:$G$73,2,FALSE)="","",VLOOKUP($B281,Master_PIC!$A$8:$G$73,2,FALSE)),"")</f>
        <v/>
      </c>
      <c r="D281" s="15" t="str">
        <f>IF(COUNTIFS(Master_PIC!$A$8:$A$73,$B281)=1,IF(VLOOKUP($B281,Master_PIC!$A$8:$G$73,4,FALSE)="","",VLOOKUP($B281,Master_PIC!$A$8:$G$73,4,FALSE)),"")</f>
        <v/>
      </c>
      <c r="E281" s="15" t="str">
        <f>IF(COUNTIFS(Master_PIC!$A$8:$A$73,$B281)=1,IF(VLOOKUP($B281,Master_PIC!$A$8:$G$73,5,FALSE)="","",VLOOKUP($B281,Master_PIC!$A$8:$G$73,5,FALSE)),"")</f>
        <v/>
      </c>
      <c r="F281" s="15" t="str">
        <f>IF(COUNTIFS(Master_PIC!$A$8:$A$73,$B281)=1,IF(VLOOKUP($B281,Master_PIC!$A$8:$G$73,6,FALSE)="","",VLOOKUP($B281,Master_PIC!$A$8:$G$73,6,FALSE)),"")</f>
        <v/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8"/>
      <c r="X281" s="5"/>
      <c r="Y281" s="5"/>
      <c r="Z281" s="9"/>
      <c r="AA281" s="5"/>
      <c r="AB281" s="5"/>
      <c r="AC281" s="9"/>
      <c r="AD281" s="5"/>
      <c r="AE281" s="7" t="str">
        <f t="shared" si="28"/>
        <v/>
      </c>
      <c r="AF281" s="7" t="str">
        <f t="shared" si="29"/>
        <v/>
      </c>
      <c r="AG281" s="7" t="str">
        <f t="shared" si="30"/>
        <v/>
      </c>
      <c r="AH281" s="7" t="str">
        <f t="shared" si="31"/>
        <v/>
      </c>
      <c r="AI281" s="7" t="str">
        <f t="shared" si="32"/>
        <v/>
      </c>
      <c r="AJ281" s="7" t="str">
        <f t="shared" si="33"/>
        <v/>
      </c>
      <c r="AK281" s="10" t="str">
        <f t="shared" si="34"/>
        <v/>
      </c>
      <c r="AL281" s="15" t="str">
        <f>IF(OR($A281&lt;&gt;"",$B281&lt;&gt;""),IF(OR($A281="",$B281=""),"Isi tanggal dan ID PIC",IF(NOT(ISNUMBER($A281)),"Tanggal harus berupa tanggal Excel",IF(COUNTIFS(Master_PIC!$A$8:$A$73,$B281)&lt;&gt;1,"ID PIC tidak unik/terdaftar",IF(VLOOKUP($B281,Master_PIC!$A$8:$G$73,3,FALSE)&lt;&gt;"SPV","Jabatan tidak sesuai sheet",IF(OR($C281="",$D281="",$E281="",$F281=""),"Lengkapi master PIC",IF(COUNTIFS($A$8:$A$507,$A281,$B$8:$B$507,$B281)&gt;1,"Laporan ganda",IF(COUNTIFS(G281:O281,"Tidak Berlaku")&gt;0,"N/A hanya untuk kegiatan bersyarat",IF(SUM(AF281,AG281,AH281,AI281,AJ281)&lt;&gt;13,"Status kegiatan tidak valid",IF(AJ281&gt;0,"Lengkapi status kegiatan",IF(AND(AI281&gt;0,T281=""),"Isi alasan Tidak Berlaku",IF(AND(SUM(AG281,AH281)&gt;0,OR(T281="",U281="",V281="",W281="")),"Isi kendala dan tindak lanjut",IF(AND(Y281&lt;&gt;"Draft",Y281&lt;&gt;"Dikirim"),"Isi status laporan yang valid",IF(AND(AA281&lt;&gt;"",AA281&lt;&gt;"Belum Diperiksa",AA281&lt;&gt;"Disetujui",AA281&lt;&gt;"Perlu Perbaikan"),"Hasil review tidak valid",IF(AND(Y281="Dikirim",OR(X281="",Z281="")),"Isi bukti dan waktu kirim",IF(AND(AA281="Disetujui",OR(Y281&lt;&gt;"Dikirim",AB281="",AC281="")),"Lengkapi pemeriksaan",IF(AND(AA281="Perlu Perbaikan",OR(AD281="",AB281="",AC281="")),"Isi pemeriksa dan catatan perbaikan","OK")))))))))))))))),"")</f>
        <v/>
      </c>
    </row>
    <row r="282" spans="1:38" ht="24.95" customHeight="1">
      <c r="A282" s="8"/>
      <c r="B282" s="6"/>
      <c r="C282" s="15" t="str">
        <f>IF(COUNTIFS(Master_PIC!$A$8:$A$73,$B282)=1,IF(VLOOKUP($B282,Master_PIC!$A$8:$G$73,2,FALSE)="","",VLOOKUP($B282,Master_PIC!$A$8:$G$73,2,FALSE)),"")</f>
        <v/>
      </c>
      <c r="D282" s="15" t="str">
        <f>IF(COUNTIFS(Master_PIC!$A$8:$A$73,$B282)=1,IF(VLOOKUP($B282,Master_PIC!$A$8:$G$73,4,FALSE)="","",VLOOKUP($B282,Master_PIC!$A$8:$G$73,4,FALSE)),"")</f>
        <v/>
      </c>
      <c r="E282" s="15" t="str">
        <f>IF(COUNTIFS(Master_PIC!$A$8:$A$73,$B282)=1,IF(VLOOKUP($B282,Master_PIC!$A$8:$G$73,5,FALSE)="","",VLOOKUP($B282,Master_PIC!$A$8:$G$73,5,FALSE)),"")</f>
        <v/>
      </c>
      <c r="F282" s="15" t="str">
        <f>IF(COUNTIFS(Master_PIC!$A$8:$A$73,$B282)=1,IF(VLOOKUP($B282,Master_PIC!$A$8:$G$73,6,FALSE)="","",VLOOKUP($B282,Master_PIC!$A$8:$G$73,6,FALSE)),"")</f>
        <v/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8"/>
      <c r="X282" s="5"/>
      <c r="Y282" s="5"/>
      <c r="Z282" s="9"/>
      <c r="AA282" s="5"/>
      <c r="AB282" s="5"/>
      <c r="AC282" s="9"/>
      <c r="AD282" s="5"/>
      <c r="AE282" s="7" t="str">
        <f t="shared" si="28"/>
        <v/>
      </c>
      <c r="AF282" s="7" t="str">
        <f t="shared" si="29"/>
        <v/>
      </c>
      <c r="AG282" s="7" t="str">
        <f t="shared" si="30"/>
        <v/>
      </c>
      <c r="AH282" s="7" t="str">
        <f t="shared" si="31"/>
        <v/>
      </c>
      <c r="AI282" s="7" t="str">
        <f t="shared" si="32"/>
        <v/>
      </c>
      <c r="AJ282" s="7" t="str">
        <f t="shared" si="33"/>
        <v/>
      </c>
      <c r="AK282" s="10" t="str">
        <f t="shared" si="34"/>
        <v/>
      </c>
      <c r="AL282" s="15" t="str">
        <f>IF(OR($A282&lt;&gt;"",$B282&lt;&gt;""),IF(OR($A282="",$B282=""),"Isi tanggal dan ID PIC",IF(NOT(ISNUMBER($A282)),"Tanggal harus berupa tanggal Excel",IF(COUNTIFS(Master_PIC!$A$8:$A$73,$B282)&lt;&gt;1,"ID PIC tidak unik/terdaftar",IF(VLOOKUP($B282,Master_PIC!$A$8:$G$73,3,FALSE)&lt;&gt;"SPV","Jabatan tidak sesuai sheet",IF(OR($C282="",$D282="",$E282="",$F282=""),"Lengkapi master PIC",IF(COUNTIFS($A$8:$A$507,$A282,$B$8:$B$507,$B282)&gt;1,"Laporan ganda",IF(COUNTIFS(G282:O282,"Tidak Berlaku")&gt;0,"N/A hanya untuk kegiatan bersyarat",IF(SUM(AF282,AG282,AH282,AI282,AJ282)&lt;&gt;13,"Status kegiatan tidak valid",IF(AJ282&gt;0,"Lengkapi status kegiatan",IF(AND(AI282&gt;0,T282=""),"Isi alasan Tidak Berlaku",IF(AND(SUM(AG282,AH282)&gt;0,OR(T282="",U282="",V282="",W282="")),"Isi kendala dan tindak lanjut",IF(AND(Y282&lt;&gt;"Draft",Y282&lt;&gt;"Dikirim"),"Isi status laporan yang valid",IF(AND(AA282&lt;&gt;"",AA282&lt;&gt;"Belum Diperiksa",AA282&lt;&gt;"Disetujui",AA282&lt;&gt;"Perlu Perbaikan"),"Hasil review tidak valid",IF(AND(Y282="Dikirim",OR(X282="",Z282="")),"Isi bukti dan waktu kirim",IF(AND(AA282="Disetujui",OR(Y282&lt;&gt;"Dikirim",AB282="",AC282="")),"Lengkapi pemeriksaan",IF(AND(AA282="Perlu Perbaikan",OR(AD282="",AB282="",AC282="")),"Isi pemeriksa dan catatan perbaikan","OK")))))))))))))))),"")</f>
        <v/>
      </c>
    </row>
    <row r="283" spans="1:38" ht="24.95" customHeight="1">
      <c r="A283" s="8"/>
      <c r="B283" s="6"/>
      <c r="C283" s="15" t="str">
        <f>IF(COUNTIFS(Master_PIC!$A$8:$A$73,$B283)=1,IF(VLOOKUP($B283,Master_PIC!$A$8:$G$73,2,FALSE)="","",VLOOKUP($B283,Master_PIC!$A$8:$G$73,2,FALSE)),"")</f>
        <v/>
      </c>
      <c r="D283" s="15" t="str">
        <f>IF(COUNTIFS(Master_PIC!$A$8:$A$73,$B283)=1,IF(VLOOKUP($B283,Master_PIC!$A$8:$G$73,4,FALSE)="","",VLOOKUP($B283,Master_PIC!$A$8:$G$73,4,FALSE)),"")</f>
        <v/>
      </c>
      <c r="E283" s="15" t="str">
        <f>IF(COUNTIFS(Master_PIC!$A$8:$A$73,$B283)=1,IF(VLOOKUP($B283,Master_PIC!$A$8:$G$73,5,FALSE)="","",VLOOKUP($B283,Master_PIC!$A$8:$G$73,5,FALSE)),"")</f>
        <v/>
      </c>
      <c r="F283" s="15" t="str">
        <f>IF(COUNTIFS(Master_PIC!$A$8:$A$73,$B283)=1,IF(VLOOKUP($B283,Master_PIC!$A$8:$G$73,6,FALSE)="","",VLOOKUP($B283,Master_PIC!$A$8:$G$73,6,FALSE)),"")</f>
        <v/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8"/>
      <c r="X283" s="5"/>
      <c r="Y283" s="5"/>
      <c r="Z283" s="9"/>
      <c r="AA283" s="5"/>
      <c r="AB283" s="5"/>
      <c r="AC283" s="9"/>
      <c r="AD283" s="5"/>
      <c r="AE283" s="7" t="str">
        <f t="shared" si="28"/>
        <v/>
      </c>
      <c r="AF283" s="7" t="str">
        <f t="shared" si="29"/>
        <v/>
      </c>
      <c r="AG283" s="7" t="str">
        <f t="shared" si="30"/>
        <v/>
      </c>
      <c r="AH283" s="7" t="str">
        <f t="shared" si="31"/>
        <v/>
      </c>
      <c r="AI283" s="7" t="str">
        <f t="shared" si="32"/>
        <v/>
      </c>
      <c r="AJ283" s="7" t="str">
        <f t="shared" si="33"/>
        <v/>
      </c>
      <c r="AK283" s="10" t="str">
        <f t="shared" si="34"/>
        <v/>
      </c>
      <c r="AL283" s="15" t="str">
        <f>IF(OR($A283&lt;&gt;"",$B283&lt;&gt;""),IF(OR($A283="",$B283=""),"Isi tanggal dan ID PIC",IF(NOT(ISNUMBER($A283)),"Tanggal harus berupa tanggal Excel",IF(COUNTIFS(Master_PIC!$A$8:$A$73,$B283)&lt;&gt;1,"ID PIC tidak unik/terdaftar",IF(VLOOKUP($B283,Master_PIC!$A$8:$G$73,3,FALSE)&lt;&gt;"SPV","Jabatan tidak sesuai sheet",IF(OR($C283="",$D283="",$E283="",$F283=""),"Lengkapi master PIC",IF(COUNTIFS($A$8:$A$507,$A283,$B$8:$B$507,$B283)&gt;1,"Laporan ganda",IF(COUNTIFS(G283:O283,"Tidak Berlaku")&gt;0,"N/A hanya untuk kegiatan bersyarat",IF(SUM(AF283,AG283,AH283,AI283,AJ283)&lt;&gt;13,"Status kegiatan tidak valid",IF(AJ283&gt;0,"Lengkapi status kegiatan",IF(AND(AI283&gt;0,T283=""),"Isi alasan Tidak Berlaku",IF(AND(SUM(AG283,AH283)&gt;0,OR(T283="",U283="",V283="",W283="")),"Isi kendala dan tindak lanjut",IF(AND(Y283&lt;&gt;"Draft",Y283&lt;&gt;"Dikirim"),"Isi status laporan yang valid",IF(AND(AA283&lt;&gt;"",AA283&lt;&gt;"Belum Diperiksa",AA283&lt;&gt;"Disetujui",AA283&lt;&gt;"Perlu Perbaikan"),"Hasil review tidak valid",IF(AND(Y283="Dikirim",OR(X283="",Z283="")),"Isi bukti dan waktu kirim",IF(AND(AA283="Disetujui",OR(Y283&lt;&gt;"Dikirim",AB283="",AC283="")),"Lengkapi pemeriksaan",IF(AND(AA283="Perlu Perbaikan",OR(AD283="",AB283="",AC283="")),"Isi pemeriksa dan catatan perbaikan","OK")))))))))))))))),"")</f>
        <v/>
      </c>
    </row>
    <row r="284" spans="1:38" ht="24.95" customHeight="1">
      <c r="A284" s="8"/>
      <c r="B284" s="6"/>
      <c r="C284" s="15" t="str">
        <f>IF(COUNTIFS(Master_PIC!$A$8:$A$73,$B284)=1,IF(VLOOKUP($B284,Master_PIC!$A$8:$G$73,2,FALSE)="","",VLOOKUP($B284,Master_PIC!$A$8:$G$73,2,FALSE)),"")</f>
        <v/>
      </c>
      <c r="D284" s="15" t="str">
        <f>IF(COUNTIFS(Master_PIC!$A$8:$A$73,$B284)=1,IF(VLOOKUP($B284,Master_PIC!$A$8:$G$73,4,FALSE)="","",VLOOKUP($B284,Master_PIC!$A$8:$G$73,4,FALSE)),"")</f>
        <v/>
      </c>
      <c r="E284" s="15" t="str">
        <f>IF(COUNTIFS(Master_PIC!$A$8:$A$73,$B284)=1,IF(VLOOKUP($B284,Master_PIC!$A$8:$G$73,5,FALSE)="","",VLOOKUP($B284,Master_PIC!$A$8:$G$73,5,FALSE)),"")</f>
        <v/>
      </c>
      <c r="F284" s="15" t="str">
        <f>IF(COUNTIFS(Master_PIC!$A$8:$A$73,$B284)=1,IF(VLOOKUP($B284,Master_PIC!$A$8:$G$73,6,FALSE)="","",VLOOKUP($B284,Master_PIC!$A$8:$G$73,6,FALSE)),"")</f>
        <v/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8"/>
      <c r="X284" s="5"/>
      <c r="Y284" s="5"/>
      <c r="Z284" s="9"/>
      <c r="AA284" s="5"/>
      <c r="AB284" s="5"/>
      <c r="AC284" s="9"/>
      <c r="AD284" s="5"/>
      <c r="AE284" s="7" t="str">
        <f t="shared" si="28"/>
        <v/>
      </c>
      <c r="AF284" s="7" t="str">
        <f t="shared" si="29"/>
        <v/>
      </c>
      <c r="AG284" s="7" t="str">
        <f t="shared" si="30"/>
        <v/>
      </c>
      <c r="AH284" s="7" t="str">
        <f t="shared" si="31"/>
        <v/>
      </c>
      <c r="AI284" s="7" t="str">
        <f t="shared" si="32"/>
        <v/>
      </c>
      <c r="AJ284" s="7" t="str">
        <f t="shared" si="33"/>
        <v/>
      </c>
      <c r="AK284" s="10" t="str">
        <f t="shared" si="34"/>
        <v/>
      </c>
      <c r="AL284" s="15" t="str">
        <f>IF(OR($A284&lt;&gt;"",$B284&lt;&gt;""),IF(OR($A284="",$B284=""),"Isi tanggal dan ID PIC",IF(NOT(ISNUMBER($A284)),"Tanggal harus berupa tanggal Excel",IF(COUNTIFS(Master_PIC!$A$8:$A$73,$B284)&lt;&gt;1,"ID PIC tidak unik/terdaftar",IF(VLOOKUP($B284,Master_PIC!$A$8:$G$73,3,FALSE)&lt;&gt;"SPV","Jabatan tidak sesuai sheet",IF(OR($C284="",$D284="",$E284="",$F284=""),"Lengkapi master PIC",IF(COUNTIFS($A$8:$A$507,$A284,$B$8:$B$507,$B284)&gt;1,"Laporan ganda",IF(COUNTIFS(G284:O284,"Tidak Berlaku")&gt;0,"N/A hanya untuk kegiatan bersyarat",IF(SUM(AF284,AG284,AH284,AI284,AJ284)&lt;&gt;13,"Status kegiatan tidak valid",IF(AJ284&gt;0,"Lengkapi status kegiatan",IF(AND(AI284&gt;0,T284=""),"Isi alasan Tidak Berlaku",IF(AND(SUM(AG284,AH284)&gt;0,OR(T284="",U284="",V284="",W284="")),"Isi kendala dan tindak lanjut",IF(AND(Y284&lt;&gt;"Draft",Y284&lt;&gt;"Dikirim"),"Isi status laporan yang valid",IF(AND(AA284&lt;&gt;"",AA284&lt;&gt;"Belum Diperiksa",AA284&lt;&gt;"Disetujui",AA284&lt;&gt;"Perlu Perbaikan"),"Hasil review tidak valid",IF(AND(Y284="Dikirim",OR(X284="",Z284="")),"Isi bukti dan waktu kirim",IF(AND(AA284="Disetujui",OR(Y284&lt;&gt;"Dikirim",AB284="",AC284="")),"Lengkapi pemeriksaan",IF(AND(AA284="Perlu Perbaikan",OR(AD284="",AB284="",AC284="")),"Isi pemeriksa dan catatan perbaikan","OK")))))))))))))))),"")</f>
        <v/>
      </c>
    </row>
    <row r="285" spans="1:38" ht="24.95" customHeight="1">
      <c r="A285" s="8"/>
      <c r="B285" s="6"/>
      <c r="C285" s="15" t="str">
        <f>IF(COUNTIFS(Master_PIC!$A$8:$A$73,$B285)=1,IF(VLOOKUP($B285,Master_PIC!$A$8:$G$73,2,FALSE)="","",VLOOKUP($B285,Master_PIC!$A$8:$G$73,2,FALSE)),"")</f>
        <v/>
      </c>
      <c r="D285" s="15" t="str">
        <f>IF(COUNTIFS(Master_PIC!$A$8:$A$73,$B285)=1,IF(VLOOKUP($B285,Master_PIC!$A$8:$G$73,4,FALSE)="","",VLOOKUP($B285,Master_PIC!$A$8:$G$73,4,FALSE)),"")</f>
        <v/>
      </c>
      <c r="E285" s="15" t="str">
        <f>IF(COUNTIFS(Master_PIC!$A$8:$A$73,$B285)=1,IF(VLOOKUP($B285,Master_PIC!$A$8:$G$73,5,FALSE)="","",VLOOKUP($B285,Master_PIC!$A$8:$G$73,5,FALSE)),"")</f>
        <v/>
      </c>
      <c r="F285" s="15" t="str">
        <f>IF(COUNTIFS(Master_PIC!$A$8:$A$73,$B285)=1,IF(VLOOKUP($B285,Master_PIC!$A$8:$G$73,6,FALSE)="","",VLOOKUP($B285,Master_PIC!$A$8:$G$73,6,FALSE)),"")</f>
        <v/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8"/>
      <c r="X285" s="5"/>
      <c r="Y285" s="5"/>
      <c r="Z285" s="9"/>
      <c r="AA285" s="5"/>
      <c r="AB285" s="5"/>
      <c r="AC285" s="9"/>
      <c r="AD285" s="5"/>
      <c r="AE285" s="7" t="str">
        <f t="shared" si="28"/>
        <v/>
      </c>
      <c r="AF285" s="7" t="str">
        <f t="shared" si="29"/>
        <v/>
      </c>
      <c r="AG285" s="7" t="str">
        <f t="shared" si="30"/>
        <v/>
      </c>
      <c r="AH285" s="7" t="str">
        <f t="shared" si="31"/>
        <v/>
      </c>
      <c r="AI285" s="7" t="str">
        <f t="shared" si="32"/>
        <v/>
      </c>
      <c r="AJ285" s="7" t="str">
        <f t="shared" si="33"/>
        <v/>
      </c>
      <c r="AK285" s="10" t="str">
        <f t="shared" si="34"/>
        <v/>
      </c>
      <c r="AL285" s="15" t="str">
        <f>IF(OR($A285&lt;&gt;"",$B285&lt;&gt;""),IF(OR($A285="",$B285=""),"Isi tanggal dan ID PIC",IF(NOT(ISNUMBER($A285)),"Tanggal harus berupa tanggal Excel",IF(COUNTIFS(Master_PIC!$A$8:$A$73,$B285)&lt;&gt;1,"ID PIC tidak unik/terdaftar",IF(VLOOKUP($B285,Master_PIC!$A$8:$G$73,3,FALSE)&lt;&gt;"SPV","Jabatan tidak sesuai sheet",IF(OR($C285="",$D285="",$E285="",$F285=""),"Lengkapi master PIC",IF(COUNTIFS($A$8:$A$507,$A285,$B$8:$B$507,$B285)&gt;1,"Laporan ganda",IF(COUNTIFS(G285:O285,"Tidak Berlaku")&gt;0,"N/A hanya untuk kegiatan bersyarat",IF(SUM(AF285,AG285,AH285,AI285,AJ285)&lt;&gt;13,"Status kegiatan tidak valid",IF(AJ285&gt;0,"Lengkapi status kegiatan",IF(AND(AI285&gt;0,T285=""),"Isi alasan Tidak Berlaku",IF(AND(SUM(AG285,AH285)&gt;0,OR(T285="",U285="",V285="",W285="")),"Isi kendala dan tindak lanjut",IF(AND(Y285&lt;&gt;"Draft",Y285&lt;&gt;"Dikirim"),"Isi status laporan yang valid",IF(AND(AA285&lt;&gt;"",AA285&lt;&gt;"Belum Diperiksa",AA285&lt;&gt;"Disetujui",AA285&lt;&gt;"Perlu Perbaikan"),"Hasil review tidak valid",IF(AND(Y285="Dikirim",OR(X285="",Z285="")),"Isi bukti dan waktu kirim",IF(AND(AA285="Disetujui",OR(Y285&lt;&gt;"Dikirim",AB285="",AC285="")),"Lengkapi pemeriksaan",IF(AND(AA285="Perlu Perbaikan",OR(AD285="",AB285="",AC285="")),"Isi pemeriksa dan catatan perbaikan","OK")))))))))))))))),"")</f>
        <v/>
      </c>
    </row>
    <row r="286" spans="1:38" ht="24.95" customHeight="1">
      <c r="A286" s="8"/>
      <c r="B286" s="6"/>
      <c r="C286" s="15" t="str">
        <f>IF(COUNTIFS(Master_PIC!$A$8:$A$73,$B286)=1,IF(VLOOKUP($B286,Master_PIC!$A$8:$G$73,2,FALSE)="","",VLOOKUP($B286,Master_PIC!$A$8:$G$73,2,FALSE)),"")</f>
        <v/>
      </c>
      <c r="D286" s="15" t="str">
        <f>IF(COUNTIFS(Master_PIC!$A$8:$A$73,$B286)=1,IF(VLOOKUP($B286,Master_PIC!$A$8:$G$73,4,FALSE)="","",VLOOKUP($B286,Master_PIC!$A$8:$G$73,4,FALSE)),"")</f>
        <v/>
      </c>
      <c r="E286" s="15" t="str">
        <f>IF(COUNTIFS(Master_PIC!$A$8:$A$73,$B286)=1,IF(VLOOKUP($B286,Master_PIC!$A$8:$G$73,5,FALSE)="","",VLOOKUP($B286,Master_PIC!$A$8:$G$73,5,FALSE)),"")</f>
        <v/>
      </c>
      <c r="F286" s="15" t="str">
        <f>IF(COUNTIFS(Master_PIC!$A$8:$A$73,$B286)=1,IF(VLOOKUP($B286,Master_PIC!$A$8:$G$73,6,FALSE)="","",VLOOKUP($B286,Master_PIC!$A$8:$G$73,6,FALSE)),"")</f>
        <v/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9"/>
      <c r="AA286" s="5"/>
      <c r="AB286" s="5"/>
      <c r="AC286" s="9"/>
      <c r="AD286" s="5"/>
      <c r="AE286" s="7" t="str">
        <f t="shared" si="28"/>
        <v/>
      </c>
      <c r="AF286" s="7" t="str">
        <f t="shared" si="29"/>
        <v/>
      </c>
      <c r="AG286" s="7" t="str">
        <f t="shared" si="30"/>
        <v/>
      </c>
      <c r="AH286" s="7" t="str">
        <f t="shared" si="31"/>
        <v/>
      </c>
      <c r="AI286" s="7" t="str">
        <f t="shared" si="32"/>
        <v/>
      </c>
      <c r="AJ286" s="7" t="str">
        <f t="shared" si="33"/>
        <v/>
      </c>
      <c r="AK286" s="10" t="str">
        <f t="shared" si="34"/>
        <v/>
      </c>
      <c r="AL286" s="15" t="str">
        <f>IF(OR($A286&lt;&gt;"",$B286&lt;&gt;""),IF(OR($A286="",$B286=""),"Isi tanggal dan ID PIC",IF(NOT(ISNUMBER($A286)),"Tanggal harus berupa tanggal Excel",IF(COUNTIFS(Master_PIC!$A$8:$A$73,$B286)&lt;&gt;1,"ID PIC tidak unik/terdaftar",IF(VLOOKUP($B286,Master_PIC!$A$8:$G$73,3,FALSE)&lt;&gt;"SPV","Jabatan tidak sesuai sheet",IF(OR($C286="",$D286="",$E286="",$F286=""),"Lengkapi master PIC",IF(COUNTIFS($A$8:$A$507,$A286,$B$8:$B$507,$B286)&gt;1,"Laporan ganda",IF(COUNTIFS(G286:O286,"Tidak Berlaku")&gt;0,"N/A hanya untuk kegiatan bersyarat",IF(SUM(AF286,AG286,AH286,AI286,AJ286)&lt;&gt;13,"Status kegiatan tidak valid",IF(AJ286&gt;0,"Lengkapi status kegiatan",IF(AND(AI286&gt;0,T286=""),"Isi alasan Tidak Berlaku",IF(AND(SUM(AG286,AH286)&gt;0,OR(T286="",U286="",V286="",W286="")),"Isi kendala dan tindak lanjut",IF(AND(Y286&lt;&gt;"Draft",Y286&lt;&gt;"Dikirim"),"Isi status laporan yang valid",IF(AND(AA286&lt;&gt;"",AA286&lt;&gt;"Belum Diperiksa",AA286&lt;&gt;"Disetujui",AA286&lt;&gt;"Perlu Perbaikan"),"Hasil review tidak valid",IF(AND(Y286="Dikirim",OR(X286="",Z286="")),"Isi bukti dan waktu kirim",IF(AND(AA286="Disetujui",OR(Y286&lt;&gt;"Dikirim",AB286="",AC286="")),"Lengkapi pemeriksaan",IF(AND(AA286="Perlu Perbaikan",OR(AD286="",AB286="",AC286="")),"Isi pemeriksa dan catatan perbaikan","OK")))))))))))))))),"")</f>
        <v/>
      </c>
    </row>
    <row r="287" spans="1:38" ht="24.95" customHeight="1">
      <c r="A287" s="8"/>
      <c r="B287" s="6"/>
      <c r="C287" s="15" t="str">
        <f>IF(COUNTIFS(Master_PIC!$A$8:$A$73,$B287)=1,IF(VLOOKUP($B287,Master_PIC!$A$8:$G$73,2,FALSE)="","",VLOOKUP($B287,Master_PIC!$A$8:$G$73,2,FALSE)),"")</f>
        <v/>
      </c>
      <c r="D287" s="15" t="str">
        <f>IF(COUNTIFS(Master_PIC!$A$8:$A$73,$B287)=1,IF(VLOOKUP($B287,Master_PIC!$A$8:$G$73,4,FALSE)="","",VLOOKUP($B287,Master_PIC!$A$8:$G$73,4,FALSE)),"")</f>
        <v/>
      </c>
      <c r="E287" s="15" t="str">
        <f>IF(COUNTIFS(Master_PIC!$A$8:$A$73,$B287)=1,IF(VLOOKUP($B287,Master_PIC!$A$8:$G$73,5,FALSE)="","",VLOOKUP($B287,Master_PIC!$A$8:$G$73,5,FALSE)),"")</f>
        <v/>
      </c>
      <c r="F287" s="15" t="str">
        <f>IF(COUNTIFS(Master_PIC!$A$8:$A$73,$B287)=1,IF(VLOOKUP($B287,Master_PIC!$A$8:$G$73,6,FALSE)="","",VLOOKUP($B287,Master_PIC!$A$8:$G$73,6,FALSE)),"")</f>
        <v/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8"/>
      <c r="X287" s="5"/>
      <c r="Y287" s="5"/>
      <c r="Z287" s="9"/>
      <c r="AA287" s="5"/>
      <c r="AB287" s="5"/>
      <c r="AC287" s="9"/>
      <c r="AD287" s="5"/>
      <c r="AE287" s="7" t="str">
        <f t="shared" si="28"/>
        <v/>
      </c>
      <c r="AF287" s="7" t="str">
        <f t="shared" si="29"/>
        <v/>
      </c>
      <c r="AG287" s="7" t="str">
        <f t="shared" si="30"/>
        <v/>
      </c>
      <c r="AH287" s="7" t="str">
        <f t="shared" si="31"/>
        <v/>
      </c>
      <c r="AI287" s="7" t="str">
        <f t="shared" si="32"/>
        <v/>
      </c>
      <c r="AJ287" s="7" t="str">
        <f t="shared" si="33"/>
        <v/>
      </c>
      <c r="AK287" s="10" t="str">
        <f t="shared" si="34"/>
        <v/>
      </c>
      <c r="AL287" s="15" t="str">
        <f>IF(OR($A287&lt;&gt;"",$B287&lt;&gt;""),IF(OR($A287="",$B287=""),"Isi tanggal dan ID PIC",IF(NOT(ISNUMBER($A287)),"Tanggal harus berupa tanggal Excel",IF(COUNTIFS(Master_PIC!$A$8:$A$73,$B287)&lt;&gt;1,"ID PIC tidak unik/terdaftar",IF(VLOOKUP($B287,Master_PIC!$A$8:$G$73,3,FALSE)&lt;&gt;"SPV","Jabatan tidak sesuai sheet",IF(OR($C287="",$D287="",$E287="",$F287=""),"Lengkapi master PIC",IF(COUNTIFS($A$8:$A$507,$A287,$B$8:$B$507,$B287)&gt;1,"Laporan ganda",IF(COUNTIFS(G287:O287,"Tidak Berlaku")&gt;0,"N/A hanya untuk kegiatan bersyarat",IF(SUM(AF287,AG287,AH287,AI287,AJ287)&lt;&gt;13,"Status kegiatan tidak valid",IF(AJ287&gt;0,"Lengkapi status kegiatan",IF(AND(AI287&gt;0,T287=""),"Isi alasan Tidak Berlaku",IF(AND(SUM(AG287,AH287)&gt;0,OR(T287="",U287="",V287="",W287="")),"Isi kendala dan tindak lanjut",IF(AND(Y287&lt;&gt;"Draft",Y287&lt;&gt;"Dikirim"),"Isi status laporan yang valid",IF(AND(AA287&lt;&gt;"",AA287&lt;&gt;"Belum Diperiksa",AA287&lt;&gt;"Disetujui",AA287&lt;&gt;"Perlu Perbaikan"),"Hasil review tidak valid",IF(AND(Y287="Dikirim",OR(X287="",Z287="")),"Isi bukti dan waktu kirim",IF(AND(AA287="Disetujui",OR(Y287&lt;&gt;"Dikirim",AB287="",AC287="")),"Lengkapi pemeriksaan",IF(AND(AA287="Perlu Perbaikan",OR(AD287="",AB287="",AC287="")),"Isi pemeriksa dan catatan perbaikan","OK")))))))))))))))),"")</f>
        <v/>
      </c>
    </row>
    <row r="288" spans="1:38" ht="24.95" customHeight="1">
      <c r="A288" s="8"/>
      <c r="B288" s="6"/>
      <c r="C288" s="15" t="str">
        <f>IF(COUNTIFS(Master_PIC!$A$8:$A$73,$B288)=1,IF(VLOOKUP($B288,Master_PIC!$A$8:$G$73,2,FALSE)="","",VLOOKUP($B288,Master_PIC!$A$8:$G$73,2,FALSE)),"")</f>
        <v/>
      </c>
      <c r="D288" s="15" t="str">
        <f>IF(COUNTIFS(Master_PIC!$A$8:$A$73,$B288)=1,IF(VLOOKUP($B288,Master_PIC!$A$8:$G$73,4,FALSE)="","",VLOOKUP($B288,Master_PIC!$A$8:$G$73,4,FALSE)),"")</f>
        <v/>
      </c>
      <c r="E288" s="15" t="str">
        <f>IF(COUNTIFS(Master_PIC!$A$8:$A$73,$B288)=1,IF(VLOOKUP($B288,Master_PIC!$A$8:$G$73,5,FALSE)="","",VLOOKUP($B288,Master_PIC!$A$8:$G$73,5,FALSE)),"")</f>
        <v/>
      </c>
      <c r="F288" s="15" t="str">
        <f>IF(COUNTIFS(Master_PIC!$A$8:$A$73,$B288)=1,IF(VLOOKUP($B288,Master_PIC!$A$8:$G$73,6,FALSE)="","",VLOOKUP($B288,Master_PIC!$A$8:$G$73,6,FALSE)),"")</f>
        <v/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8"/>
      <c r="X288" s="5"/>
      <c r="Y288" s="5"/>
      <c r="Z288" s="9"/>
      <c r="AA288" s="5"/>
      <c r="AB288" s="5"/>
      <c r="AC288" s="9"/>
      <c r="AD288" s="5"/>
      <c r="AE288" s="7" t="str">
        <f t="shared" si="28"/>
        <v/>
      </c>
      <c r="AF288" s="7" t="str">
        <f t="shared" si="29"/>
        <v/>
      </c>
      <c r="AG288" s="7" t="str">
        <f t="shared" si="30"/>
        <v/>
      </c>
      <c r="AH288" s="7" t="str">
        <f t="shared" si="31"/>
        <v/>
      </c>
      <c r="AI288" s="7" t="str">
        <f t="shared" si="32"/>
        <v/>
      </c>
      <c r="AJ288" s="7" t="str">
        <f t="shared" si="33"/>
        <v/>
      </c>
      <c r="AK288" s="10" t="str">
        <f t="shared" si="34"/>
        <v/>
      </c>
      <c r="AL288" s="15" t="str">
        <f>IF(OR($A288&lt;&gt;"",$B288&lt;&gt;""),IF(OR($A288="",$B288=""),"Isi tanggal dan ID PIC",IF(NOT(ISNUMBER($A288)),"Tanggal harus berupa tanggal Excel",IF(COUNTIFS(Master_PIC!$A$8:$A$73,$B288)&lt;&gt;1,"ID PIC tidak unik/terdaftar",IF(VLOOKUP($B288,Master_PIC!$A$8:$G$73,3,FALSE)&lt;&gt;"SPV","Jabatan tidak sesuai sheet",IF(OR($C288="",$D288="",$E288="",$F288=""),"Lengkapi master PIC",IF(COUNTIFS($A$8:$A$507,$A288,$B$8:$B$507,$B288)&gt;1,"Laporan ganda",IF(COUNTIFS(G288:O288,"Tidak Berlaku")&gt;0,"N/A hanya untuk kegiatan bersyarat",IF(SUM(AF288,AG288,AH288,AI288,AJ288)&lt;&gt;13,"Status kegiatan tidak valid",IF(AJ288&gt;0,"Lengkapi status kegiatan",IF(AND(AI288&gt;0,T288=""),"Isi alasan Tidak Berlaku",IF(AND(SUM(AG288,AH288)&gt;0,OR(T288="",U288="",V288="",W288="")),"Isi kendala dan tindak lanjut",IF(AND(Y288&lt;&gt;"Draft",Y288&lt;&gt;"Dikirim"),"Isi status laporan yang valid",IF(AND(AA288&lt;&gt;"",AA288&lt;&gt;"Belum Diperiksa",AA288&lt;&gt;"Disetujui",AA288&lt;&gt;"Perlu Perbaikan"),"Hasil review tidak valid",IF(AND(Y288="Dikirim",OR(X288="",Z288="")),"Isi bukti dan waktu kirim",IF(AND(AA288="Disetujui",OR(Y288&lt;&gt;"Dikirim",AB288="",AC288="")),"Lengkapi pemeriksaan",IF(AND(AA288="Perlu Perbaikan",OR(AD288="",AB288="",AC288="")),"Isi pemeriksa dan catatan perbaikan","OK")))))))))))))))),"")</f>
        <v/>
      </c>
    </row>
    <row r="289" spans="1:38" ht="24.95" customHeight="1">
      <c r="A289" s="8"/>
      <c r="B289" s="6"/>
      <c r="C289" s="15" t="str">
        <f>IF(COUNTIFS(Master_PIC!$A$8:$A$73,$B289)=1,IF(VLOOKUP($B289,Master_PIC!$A$8:$G$73,2,FALSE)="","",VLOOKUP($B289,Master_PIC!$A$8:$G$73,2,FALSE)),"")</f>
        <v/>
      </c>
      <c r="D289" s="15" t="str">
        <f>IF(COUNTIFS(Master_PIC!$A$8:$A$73,$B289)=1,IF(VLOOKUP($B289,Master_PIC!$A$8:$G$73,4,FALSE)="","",VLOOKUP($B289,Master_PIC!$A$8:$G$73,4,FALSE)),"")</f>
        <v/>
      </c>
      <c r="E289" s="15" t="str">
        <f>IF(COUNTIFS(Master_PIC!$A$8:$A$73,$B289)=1,IF(VLOOKUP($B289,Master_PIC!$A$8:$G$73,5,FALSE)="","",VLOOKUP($B289,Master_PIC!$A$8:$G$73,5,FALSE)),"")</f>
        <v/>
      </c>
      <c r="F289" s="15" t="str">
        <f>IF(COUNTIFS(Master_PIC!$A$8:$A$73,$B289)=1,IF(VLOOKUP($B289,Master_PIC!$A$8:$G$73,6,FALSE)="","",VLOOKUP($B289,Master_PIC!$A$8:$G$73,6,FALSE)),"")</f>
        <v/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8"/>
      <c r="X289" s="5"/>
      <c r="Y289" s="5"/>
      <c r="Z289" s="9"/>
      <c r="AA289" s="5"/>
      <c r="AB289" s="5"/>
      <c r="AC289" s="9"/>
      <c r="AD289" s="5"/>
      <c r="AE289" s="7" t="str">
        <f t="shared" si="28"/>
        <v/>
      </c>
      <c r="AF289" s="7" t="str">
        <f t="shared" si="29"/>
        <v/>
      </c>
      <c r="AG289" s="7" t="str">
        <f t="shared" si="30"/>
        <v/>
      </c>
      <c r="AH289" s="7" t="str">
        <f t="shared" si="31"/>
        <v/>
      </c>
      <c r="AI289" s="7" t="str">
        <f t="shared" si="32"/>
        <v/>
      </c>
      <c r="AJ289" s="7" t="str">
        <f t="shared" si="33"/>
        <v/>
      </c>
      <c r="AK289" s="10" t="str">
        <f t="shared" si="34"/>
        <v/>
      </c>
      <c r="AL289" s="15" t="str">
        <f>IF(OR($A289&lt;&gt;"",$B289&lt;&gt;""),IF(OR($A289="",$B289=""),"Isi tanggal dan ID PIC",IF(NOT(ISNUMBER($A289)),"Tanggal harus berupa tanggal Excel",IF(COUNTIFS(Master_PIC!$A$8:$A$73,$B289)&lt;&gt;1,"ID PIC tidak unik/terdaftar",IF(VLOOKUP($B289,Master_PIC!$A$8:$G$73,3,FALSE)&lt;&gt;"SPV","Jabatan tidak sesuai sheet",IF(OR($C289="",$D289="",$E289="",$F289=""),"Lengkapi master PIC",IF(COUNTIFS($A$8:$A$507,$A289,$B$8:$B$507,$B289)&gt;1,"Laporan ganda",IF(COUNTIFS(G289:O289,"Tidak Berlaku")&gt;0,"N/A hanya untuk kegiatan bersyarat",IF(SUM(AF289,AG289,AH289,AI289,AJ289)&lt;&gt;13,"Status kegiatan tidak valid",IF(AJ289&gt;0,"Lengkapi status kegiatan",IF(AND(AI289&gt;0,T289=""),"Isi alasan Tidak Berlaku",IF(AND(SUM(AG289,AH289)&gt;0,OR(T289="",U289="",V289="",W289="")),"Isi kendala dan tindak lanjut",IF(AND(Y289&lt;&gt;"Draft",Y289&lt;&gt;"Dikirim"),"Isi status laporan yang valid",IF(AND(AA289&lt;&gt;"",AA289&lt;&gt;"Belum Diperiksa",AA289&lt;&gt;"Disetujui",AA289&lt;&gt;"Perlu Perbaikan"),"Hasil review tidak valid",IF(AND(Y289="Dikirim",OR(X289="",Z289="")),"Isi bukti dan waktu kirim",IF(AND(AA289="Disetujui",OR(Y289&lt;&gt;"Dikirim",AB289="",AC289="")),"Lengkapi pemeriksaan",IF(AND(AA289="Perlu Perbaikan",OR(AD289="",AB289="",AC289="")),"Isi pemeriksa dan catatan perbaikan","OK")))))))))))))))),"")</f>
        <v/>
      </c>
    </row>
    <row r="290" spans="1:38" ht="24.95" customHeight="1">
      <c r="A290" s="8"/>
      <c r="B290" s="6"/>
      <c r="C290" s="15" t="str">
        <f>IF(COUNTIFS(Master_PIC!$A$8:$A$73,$B290)=1,IF(VLOOKUP($B290,Master_PIC!$A$8:$G$73,2,FALSE)="","",VLOOKUP($B290,Master_PIC!$A$8:$G$73,2,FALSE)),"")</f>
        <v/>
      </c>
      <c r="D290" s="15" t="str">
        <f>IF(COUNTIFS(Master_PIC!$A$8:$A$73,$B290)=1,IF(VLOOKUP($B290,Master_PIC!$A$8:$G$73,4,FALSE)="","",VLOOKUP($B290,Master_PIC!$A$8:$G$73,4,FALSE)),"")</f>
        <v/>
      </c>
      <c r="E290" s="15" t="str">
        <f>IF(COUNTIFS(Master_PIC!$A$8:$A$73,$B290)=1,IF(VLOOKUP($B290,Master_PIC!$A$8:$G$73,5,FALSE)="","",VLOOKUP($B290,Master_PIC!$A$8:$G$73,5,FALSE)),"")</f>
        <v/>
      </c>
      <c r="F290" s="15" t="str">
        <f>IF(COUNTIFS(Master_PIC!$A$8:$A$73,$B290)=1,IF(VLOOKUP($B290,Master_PIC!$A$8:$G$73,6,FALSE)="","",VLOOKUP($B290,Master_PIC!$A$8:$G$73,6,FALSE)),"")</f>
        <v/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8"/>
      <c r="X290" s="5"/>
      <c r="Y290" s="5"/>
      <c r="Z290" s="9"/>
      <c r="AA290" s="5"/>
      <c r="AB290" s="5"/>
      <c r="AC290" s="9"/>
      <c r="AD290" s="5"/>
      <c r="AE290" s="7" t="str">
        <f t="shared" si="28"/>
        <v/>
      </c>
      <c r="AF290" s="7" t="str">
        <f t="shared" si="29"/>
        <v/>
      </c>
      <c r="AG290" s="7" t="str">
        <f t="shared" si="30"/>
        <v/>
      </c>
      <c r="AH290" s="7" t="str">
        <f t="shared" si="31"/>
        <v/>
      </c>
      <c r="AI290" s="7" t="str">
        <f t="shared" si="32"/>
        <v/>
      </c>
      <c r="AJ290" s="7" t="str">
        <f t="shared" si="33"/>
        <v/>
      </c>
      <c r="AK290" s="10" t="str">
        <f t="shared" si="34"/>
        <v/>
      </c>
      <c r="AL290" s="15" t="str">
        <f>IF(OR($A290&lt;&gt;"",$B290&lt;&gt;""),IF(OR($A290="",$B290=""),"Isi tanggal dan ID PIC",IF(NOT(ISNUMBER($A290)),"Tanggal harus berupa tanggal Excel",IF(COUNTIFS(Master_PIC!$A$8:$A$73,$B290)&lt;&gt;1,"ID PIC tidak unik/terdaftar",IF(VLOOKUP($B290,Master_PIC!$A$8:$G$73,3,FALSE)&lt;&gt;"SPV","Jabatan tidak sesuai sheet",IF(OR($C290="",$D290="",$E290="",$F290=""),"Lengkapi master PIC",IF(COUNTIFS($A$8:$A$507,$A290,$B$8:$B$507,$B290)&gt;1,"Laporan ganda",IF(COUNTIFS(G290:O290,"Tidak Berlaku")&gt;0,"N/A hanya untuk kegiatan bersyarat",IF(SUM(AF290,AG290,AH290,AI290,AJ290)&lt;&gt;13,"Status kegiatan tidak valid",IF(AJ290&gt;0,"Lengkapi status kegiatan",IF(AND(AI290&gt;0,T290=""),"Isi alasan Tidak Berlaku",IF(AND(SUM(AG290,AH290)&gt;0,OR(T290="",U290="",V290="",W290="")),"Isi kendala dan tindak lanjut",IF(AND(Y290&lt;&gt;"Draft",Y290&lt;&gt;"Dikirim"),"Isi status laporan yang valid",IF(AND(AA290&lt;&gt;"",AA290&lt;&gt;"Belum Diperiksa",AA290&lt;&gt;"Disetujui",AA290&lt;&gt;"Perlu Perbaikan"),"Hasil review tidak valid",IF(AND(Y290="Dikirim",OR(X290="",Z290="")),"Isi bukti dan waktu kirim",IF(AND(AA290="Disetujui",OR(Y290&lt;&gt;"Dikirim",AB290="",AC290="")),"Lengkapi pemeriksaan",IF(AND(AA290="Perlu Perbaikan",OR(AD290="",AB290="",AC290="")),"Isi pemeriksa dan catatan perbaikan","OK")))))))))))))))),"")</f>
        <v/>
      </c>
    </row>
    <row r="291" spans="1:38" ht="24.95" customHeight="1">
      <c r="A291" s="8"/>
      <c r="B291" s="6"/>
      <c r="C291" s="15" t="str">
        <f>IF(COUNTIFS(Master_PIC!$A$8:$A$73,$B291)=1,IF(VLOOKUP($B291,Master_PIC!$A$8:$G$73,2,FALSE)="","",VLOOKUP($B291,Master_PIC!$A$8:$G$73,2,FALSE)),"")</f>
        <v/>
      </c>
      <c r="D291" s="15" t="str">
        <f>IF(COUNTIFS(Master_PIC!$A$8:$A$73,$B291)=1,IF(VLOOKUP($B291,Master_PIC!$A$8:$G$73,4,FALSE)="","",VLOOKUP($B291,Master_PIC!$A$8:$G$73,4,FALSE)),"")</f>
        <v/>
      </c>
      <c r="E291" s="15" t="str">
        <f>IF(COUNTIFS(Master_PIC!$A$8:$A$73,$B291)=1,IF(VLOOKUP($B291,Master_PIC!$A$8:$G$73,5,FALSE)="","",VLOOKUP($B291,Master_PIC!$A$8:$G$73,5,FALSE)),"")</f>
        <v/>
      </c>
      <c r="F291" s="15" t="str">
        <f>IF(COUNTIFS(Master_PIC!$A$8:$A$73,$B291)=1,IF(VLOOKUP($B291,Master_PIC!$A$8:$G$73,6,FALSE)="","",VLOOKUP($B291,Master_PIC!$A$8:$G$73,6,FALSE)),"")</f>
        <v/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8"/>
      <c r="X291" s="5"/>
      <c r="Y291" s="5"/>
      <c r="Z291" s="9"/>
      <c r="AA291" s="5"/>
      <c r="AB291" s="5"/>
      <c r="AC291" s="9"/>
      <c r="AD291" s="5"/>
      <c r="AE291" s="7" t="str">
        <f t="shared" si="28"/>
        <v/>
      </c>
      <c r="AF291" s="7" t="str">
        <f t="shared" si="29"/>
        <v/>
      </c>
      <c r="AG291" s="7" t="str">
        <f t="shared" si="30"/>
        <v/>
      </c>
      <c r="AH291" s="7" t="str">
        <f t="shared" si="31"/>
        <v/>
      </c>
      <c r="AI291" s="7" t="str">
        <f t="shared" si="32"/>
        <v/>
      </c>
      <c r="AJ291" s="7" t="str">
        <f t="shared" si="33"/>
        <v/>
      </c>
      <c r="AK291" s="10" t="str">
        <f t="shared" si="34"/>
        <v/>
      </c>
      <c r="AL291" s="15" t="str">
        <f>IF(OR($A291&lt;&gt;"",$B291&lt;&gt;""),IF(OR($A291="",$B291=""),"Isi tanggal dan ID PIC",IF(NOT(ISNUMBER($A291)),"Tanggal harus berupa tanggal Excel",IF(COUNTIFS(Master_PIC!$A$8:$A$73,$B291)&lt;&gt;1,"ID PIC tidak unik/terdaftar",IF(VLOOKUP($B291,Master_PIC!$A$8:$G$73,3,FALSE)&lt;&gt;"SPV","Jabatan tidak sesuai sheet",IF(OR($C291="",$D291="",$E291="",$F291=""),"Lengkapi master PIC",IF(COUNTIFS($A$8:$A$507,$A291,$B$8:$B$507,$B291)&gt;1,"Laporan ganda",IF(COUNTIFS(G291:O291,"Tidak Berlaku")&gt;0,"N/A hanya untuk kegiatan bersyarat",IF(SUM(AF291,AG291,AH291,AI291,AJ291)&lt;&gt;13,"Status kegiatan tidak valid",IF(AJ291&gt;0,"Lengkapi status kegiatan",IF(AND(AI291&gt;0,T291=""),"Isi alasan Tidak Berlaku",IF(AND(SUM(AG291,AH291)&gt;0,OR(T291="",U291="",V291="",W291="")),"Isi kendala dan tindak lanjut",IF(AND(Y291&lt;&gt;"Draft",Y291&lt;&gt;"Dikirim"),"Isi status laporan yang valid",IF(AND(AA291&lt;&gt;"",AA291&lt;&gt;"Belum Diperiksa",AA291&lt;&gt;"Disetujui",AA291&lt;&gt;"Perlu Perbaikan"),"Hasil review tidak valid",IF(AND(Y291="Dikirim",OR(X291="",Z291="")),"Isi bukti dan waktu kirim",IF(AND(AA291="Disetujui",OR(Y291&lt;&gt;"Dikirim",AB291="",AC291="")),"Lengkapi pemeriksaan",IF(AND(AA291="Perlu Perbaikan",OR(AD291="",AB291="",AC291="")),"Isi pemeriksa dan catatan perbaikan","OK")))))))))))))))),"")</f>
        <v/>
      </c>
    </row>
    <row r="292" spans="1:38" ht="24.95" customHeight="1">
      <c r="A292" s="8"/>
      <c r="B292" s="6"/>
      <c r="C292" s="15" t="str">
        <f>IF(COUNTIFS(Master_PIC!$A$8:$A$73,$B292)=1,IF(VLOOKUP($B292,Master_PIC!$A$8:$G$73,2,FALSE)="","",VLOOKUP($B292,Master_PIC!$A$8:$G$73,2,FALSE)),"")</f>
        <v/>
      </c>
      <c r="D292" s="15" t="str">
        <f>IF(COUNTIFS(Master_PIC!$A$8:$A$73,$B292)=1,IF(VLOOKUP($B292,Master_PIC!$A$8:$G$73,4,FALSE)="","",VLOOKUP($B292,Master_PIC!$A$8:$G$73,4,FALSE)),"")</f>
        <v/>
      </c>
      <c r="E292" s="15" t="str">
        <f>IF(COUNTIFS(Master_PIC!$A$8:$A$73,$B292)=1,IF(VLOOKUP($B292,Master_PIC!$A$8:$G$73,5,FALSE)="","",VLOOKUP($B292,Master_PIC!$A$8:$G$73,5,FALSE)),"")</f>
        <v/>
      </c>
      <c r="F292" s="15" t="str">
        <f>IF(COUNTIFS(Master_PIC!$A$8:$A$73,$B292)=1,IF(VLOOKUP($B292,Master_PIC!$A$8:$G$73,6,FALSE)="","",VLOOKUP($B292,Master_PIC!$A$8:$G$73,6,FALSE)),"")</f>
        <v/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8"/>
      <c r="X292" s="5"/>
      <c r="Y292" s="5"/>
      <c r="Z292" s="9"/>
      <c r="AA292" s="5"/>
      <c r="AB292" s="5"/>
      <c r="AC292" s="9"/>
      <c r="AD292" s="5"/>
      <c r="AE292" s="7" t="str">
        <f t="shared" si="28"/>
        <v/>
      </c>
      <c r="AF292" s="7" t="str">
        <f t="shared" si="29"/>
        <v/>
      </c>
      <c r="AG292" s="7" t="str">
        <f t="shared" si="30"/>
        <v/>
      </c>
      <c r="AH292" s="7" t="str">
        <f t="shared" si="31"/>
        <v/>
      </c>
      <c r="AI292" s="7" t="str">
        <f t="shared" si="32"/>
        <v/>
      </c>
      <c r="AJ292" s="7" t="str">
        <f t="shared" si="33"/>
        <v/>
      </c>
      <c r="AK292" s="10" t="str">
        <f t="shared" si="34"/>
        <v/>
      </c>
      <c r="AL292" s="15" t="str">
        <f>IF(OR($A292&lt;&gt;"",$B292&lt;&gt;""),IF(OR($A292="",$B292=""),"Isi tanggal dan ID PIC",IF(NOT(ISNUMBER($A292)),"Tanggal harus berupa tanggal Excel",IF(COUNTIFS(Master_PIC!$A$8:$A$73,$B292)&lt;&gt;1,"ID PIC tidak unik/terdaftar",IF(VLOOKUP($B292,Master_PIC!$A$8:$G$73,3,FALSE)&lt;&gt;"SPV","Jabatan tidak sesuai sheet",IF(OR($C292="",$D292="",$E292="",$F292=""),"Lengkapi master PIC",IF(COUNTIFS($A$8:$A$507,$A292,$B$8:$B$507,$B292)&gt;1,"Laporan ganda",IF(COUNTIFS(G292:O292,"Tidak Berlaku")&gt;0,"N/A hanya untuk kegiatan bersyarat",IF(SUM(AF292,AG292,AH292,AI292,AJ292)&lt;&gt;13,"Status kegiatan tidak valid",IF(AJ292&gt;0,"Lengkapi status kegiatan",IF(AND(AI292&gt;0,T292=""),"Isi alasan Tidak Berlaku",IF(AND(SUM(AG292,AH292)&gt;0,OR(T292="",U292="",V292="",W292="")),"Isi kendala dan tindak lanjut",IF(AND(Y292&lt;&gt;"Draft",Y292&lt;&gt;"Dikirim"),"Isi status laporan yang valid",IF(AND(AA292&lt;&gt;"",AA292&lt;&gt;"Belum Diperiksa",AA292&lt;&gt;"Disetujui",AA292&lt;&gt;"Perlu Perbaikan"),"Hasil review tidak valid",IF(AND(Y292="Dikirim",OR(X292="",Z292="")),"Isi bukti dan waktu kirim",IF(AND(AA292="Disetujui",OR(Y292&lt;&gt;"Dikirim",AB292="",AC292="")),"Lengkapi pemeriksaan",IF(AND(AA292="Perlu Perbaikan",OR(AD292="",AB292="",AC292="")),"Isi pemeriksa dan catatan perbaikan","OK")))))))))))))))),"")</f>
        <v/>
      </c>
    </row>
    <row r="293" spans="1:38" ht="24.95" customHeight="1">
      <c r="A293" s="8"/>
      <c r="B293" s="6"/>
      <c r="C293" s="15" t="str">
        <f>IF(COUNTIFS(Master_PIC!$A$8:$A$73,$B293)=1,IF(VLOOKUP($B293,Master_PIC!$A$8:$G$73,2,FALSE)="","",VLOOKUP($B293,Master_PIC!$A$8:$G$73,2,FALSE)),"")</f>
        <v/>
      </c>
      <c r="D293" s="15" t="str">
        <f>IF(COUNTIFS(Master_PIC!$A$8:$A$73,$B293)=1,IF(VLOOKUP($B293,Master_PIC!$A$8:$G$73,4,FALSE)="","",VLOOKUP($B293,Master_PIC!$A$8:$G$73,4,FALSE)),"")</f>
        <v/>
      </c>
      <c r="E293" s="15" t="str">
        <f>IF(COUNTIFS(Master_PIC!$A$8:$A$73,$B293)=1,IF(VLOOKUP($B293,Master_PIC!$A$8:$G$73,5,FALSE)="","",VLOOKUP($B293,Master_PIC!$A$8:$G$73,5,FALSE)),"")</f>
        <v/>
      </c>
      <c r="F293" s="15" t="str">
        <f>IF(COUNTIFS(Master_PIC!$A$8:$A$73,$B293)=1,IF(VLOOKUP($B293,Master_PIC!$A$8:$G$73,6,FALSE)="","",VLOOKUP($B293,Master_PIC!$A$8:$G$73,6,FALSE)),"")</f>
        <v/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9"/>
      <c r="AA293" s="5"/>
      <c r="AB293" s="5"/>
      <c r="AC293" s="9"/>
      <c r="AD293" s="5"/>
      <c r="AE293" s="7" t="str">
        <f t="shared" si="28"/>
        <v/>
      </c>
      <c r="AF293" s="7" t="str">
        <f t="shared" si="29"/>
        <v/>
      </c>
      <c r="AG293" s="7" t="str">
        <f t="shared" si="30"/>
        <v/>
      </c>
      <c r="AH293" s="7" t="str">
        <f t="shared" si="31"/>
        <v/>
      </c>
      <c r="AI293" s="7" t="str">
        <f t="shared" si="32"/>
        <v/>
      </c>
      <c r="AJ293" s="7" t="str">
        <f t="shared" si="33"/>
        <v/>
      </c>
      <c r="AK293" s="10" t="str">
        <f t="shared" si="34"/>
        <v/>
      </c>
      <c r="AL293" s="15" t="str">
        <f>IF(OR($A293&lt;&gt;"",$B293&lt;&gt;""),IF(OR($A293="",$B293=""),"Isi tanggal dan ID PIC",IF(NOT(ISNUMBER($A293)),"Tanggal harus berupa tanggal Excel",IF(COUNTIFS(Master_PIC!$A$8:$A$73,$B293)&lt;&gt;1,"ID PIC tidak unik/terdaftar",IF(VLOOKUP($B293,Master_PIC!$A$8:$G$73,3,FALSE)&lt;&gt;"SPV","Jabatan tidak sesuai sheet",IF(OR($C293="",$D293="",$E293="",$F293=""),"Lengkapi master PIC",IF(COUNTIFS($A$8:$A$507,$A293,$B$8:$B$507,$B293)&gt;1,"Laporan ganda",IF(COUNTIFS(G293:O293,"Tidak Berlaku")&gt;0,"N/A hanya untuk kegiatan bersyarat",IF(SUM(AF293,AG293,AH293,AI293,AJ293)&lt;&gt;13,"Status kegiatan tidak valid",IF(AJ293&gt;0,"Lengkapi status kegiatan",IF(AND(AI293&gt;0,T293=""),"Isi alasan Tidak Berlaku",IF(AND(SUM(AG293,AH293)&gt;0,OR(T293="",U293="",V293="",W293="")),"Isi kendala dan tindak lanjut",IF(AND(Y293&lt;&gt;"Draft",Y293&lt;&gt;"Dikirim"),"Isi status laporan yang valid",IF(AND(AA293&lt;&gt;"",AA293&lt;&gt;"Belum Diperiksa",AA293&lt;&gt;"Disetujui",AA293&lt;&gt;"Perlu Perbaikan"),"Hasil review tidak valid",IF(AND(Y293="Dikirim",OR(X293="",Z293="")),"Isi bukti dan waktu kirim",IF(AND(AA293="Disetujui",OR(Y293&lt;&gt;"Dikirim",AB293="",AC293="")),"Lengkapi pemeriksaan",IF(AND(AA293="Perlu Perbaikan",OR(AD293="",AB293="",AC293="")),"Isi pemeriksa dan catatan perbaikan","OK")))))))))))))))),"")</f>
        <v/>
      </c>
    </row>
    <row r="294" spans="1:38" ht="24.95" customHeight="1">
      <c r="A294" s="8"/>
      <c r="B294" s="6"/>
      <c r="C294" s="15" t="str">
        <f>IF(COUNTIFS(Master_PIC!$A$8:$A$73,$B294)=1,IF(VLOOKUP($B294,Master_PIC!$A$8:$G$73,2,FALSE)="","",VLOOKUP($B294,Master_PIC!$A$8:$G$73,2,FALSE)),"")</f>
        <v/>
      </c>
      <c r="D294" s="15" t="str">
        <f>IF(COUNTIFS(Master_PIC!$A$8:$A$73,$B294)=1,IF(VLOOKUP($B294,Master_PIC!$A$8:$G$73,4,FALSE)="","",VLOOKUP($B294,Master_PIC!$A$8:$G$73,4,FALSE)),"")</f>
        <v/>
      </c>
      <c r="E294" s="15" t="str">
        <f>IF(COUNTIFS(Master_PIC!$A$8:$A$73,$B294)=1,IF(VLOOKUP($B294,Master_PIC!$A$8:$G$73,5,FALSE)="","",VLOOKUP($B294,Master_PIC!$A$8:$G$73,5,FALSE)),"")</f>
        <v/>
      </c>
      <c r="F294" s="15" t="str">
        <f>IF(COUNTIFS(Master_PIC!$A$8:$A$73,$B294)=1,IF(VLOOKUP($B294,Master_PIC!$A$8:$G$73,6,FALSE)="","",VLOOKUP($B294,Master_PIC!$A$8:$G$73,6,FALSE)),"")</f>
        <v/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8"/>
      <c r="X294" s="5"/>
      <c r="Y294" s="5"/>
      <c r="Z294" s="9"/>
      <c r="AA294" s="5"/>
      <c r="AB294" s="5"/>
      <c r="AC294" s="9"/>
      <c r="AD294" s="5"/>
      <c r="AE294" s="7" t="str">
        <f t="shared" si="28"/>
        <v/>
      </c>
      <c r="AF294" s="7" t="str">
        <f t="shared" si="29"/>
        <v/>
      </c>
      <c r="AG294" s="7" t="str">
        <f t="shared" si="30"/>
        <v/>
      </c>
      <c r="AH294" s="7" t="str">
        <f t="shared" si="31"/>
        <v/>
      </c>
      <c r="AI294" s="7" t="str">
        <f t="shared" si="32"/>
        <v/>
      </c>
      <c r="AJ294" s="7" t="str">
        <f t="shared" si="33"/>
        <v/>
      </c>
      <c r="AK294" s="10" t="str">
        <f t="shared" si="34"/>
        <v/>
      </c>
      <c r="AL294" s="15" t="str">
        <f>IF(OR($A294&lt;&gt;"",$B294&lt;&gt;""),IF(OR($A294="",$B294=""),"Isi tanggal dan ID PIC",IF(NOT(ISNUMBER($A294)),"Tanggal harus berupa tanggal Excel",IF(COUNTIFS(Master_PIC!$A$8:$A$73,$B294)&lt;&gt;1,"ID PIC tidak unik/terdaftar",IF(VLOOKUP($B294,Master_PIC!$A$8:$G$73,3,FALSE)&lt;&gt;"SPV","Jabatan tidak sesuai sheet",IF(OR($C294="",$D294="",$E294="",$F294=""),"Lengkapi master PIC",IF(COUNTIFS($A$8:$A$507,$A294,$B$8:$B$507,$B294)&gt;1,"Laporan ganda",IF(COUNTIFS(G294:O294,"Tidak Berlaku")&gt;0,"N/A hanya untuk kegiatan bersyarat",IF(SUM(AF294,AG294,AH294,AI294,AJ294)&lt;&gt;13,"Status kegiatan tidak valid",IF(AJ294&gt;0,"Lengkapi status kegiatan",IF(AND(AI294&gt;0,T294=""),"Isi alasan Tidak Berlaku",IF(AND(SUM(AG294,AH294)&gt;0,OR(T294="",U294="",V294="",W294="")),"Isi kendala dan tindak lanjut",IF(AND(Y294&lt;&gt;"Draft",Y294&lt;&gt;"Dikirim"),"Isi status laporan yang valid",IF(AND(AA294&lt;&gt;"",AA294&lt;&gt;"Belum Diperiksa",AA294&lt;&gt;"Disetujui",AA294&lt;&gt;"Perlu Perbaikan"),"Hasil review tidak valid",IF(AND(Y294="Dikirim",OR(X294="",Z294="")),"Isi bukti dan waktu kirim",IF(AND(AA294="Disetujui",OR(Y294&lt;&gt;"Dikirim",AB294="",AC294="")),"Lengkapi pemeriksaan",IF(AND(AA294="Perlu Perbaikan",OR(AD294="",AB294="",AC294="")),"Isi pemeriksa dan catatan perbaikan","OK")))))))))))))))),"")</f>
        <v/>
      </c>
    </row>
    <row r="295" spans="1:38" ht="24.95" customHeight="1">
      <c r="A295" s="8"/>
      <c r="B295" s="6"/>
      <c r="C295" s="15" t="str">
        <f>IF(COUNTIFS(Master_PIC!$A$8:$A$73,$B295)=1,IF(VLOOKUP($B295,Master_PIC!$A$8:$G$73,2,FALSE)="","",VLOOKUP($B295,Master_PIC!$A$8:$G$73,2,FALSE)),"")</f>
        <v/>
      </c>
      <c r="D295" s="15" t="str">
        <f>IF(COUNTIFS(Master_PIC!$A$8:$A$73,$B295)=1,IF(VLOOKUP($B295,Master_PIC!$A$8:$G$73,4,FALSE)="","",VLOOKUP($B295,Master_PIC!$A$8:$G$73,4,FALSE)),"")</f>
        <v/>
      </c>
      <c r="E295" s="15" t="str">
        <f>IF(COUNTIFS(Master_PIC!$A$8:$A$73,$B295)=1,IF(VLOOKUP($B295,Master_PIC!$A$8:$G$73,5,FALSE)="","",VLOOKUP($B295,Master_PIC!$A$8:$G$73,5,FALSE)),"")</f>
        <v/>
      </c>
      <c r="F295" s="15" t="str">
        <f>IF(COUNTIFS(Master_PIC!$A$8:$A$73,$B295)=1,IF(VLOOKUP($B295,Master_PIC!$A$8:$G$73,6,FALSE)="","",VLOOKUP($B295,Master_PIC!$A$8:$G$73,6,FALSE)),"")</f>
        <v/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8"/>
      <c r="X295" s="5"/>
      <c r="Y295" s="5"/>
      <c r="Z295" s="9"/>
      <c r="AA295" s="5"/>
      <c r="AB295" s="5"/>
      <c r="AC295" s="9"/>
      <c r="AD295" s="5"/>
      <c r="AE295" s="7" t="str">
        <f t="shared" si="28"/>
        <v/>
      </c>
      <c r="AF295" s="7" t="str">
        <f t="shared" si="29"/>
        <v/>
      </c>
      <c r="AG295" s="7" t="str">
        <f t="shared" si="30"/>
        <v/>
      </c>
      <c r="AH295" s="7" t="str">
        <f t="shared" si="31"/>
        <v/>
      </c>
      <c r="AI295" s="7" t="str">
        <f t="shared" si="32"/>
        <v/>
      </c>
      <c r="AJ295" s="7" t="str">
        <f t="shared" si="33"/>
        <v/>
      </c>
      <c r="AK295" s="10" t="str">
        <f t="shared" si="34"/>
        <v/>
      </c>
      <c r="AL295" s="15" t="str">
        <f>IF(OR($A295&lt;&gt;"",$B295&lt;&gt;""),IF(OR($A295="",$B295=""),"Isi tanggal dan ID PIC",IF(NOT(ISNUMBER($A295)),"Tanggal harus berupa tanggal Excel",IF(COUNTIFS(Master_PIC!$A$8:$A$73,$B295)&lt;&gt;1,"ID PIC tidak unik/terdaftar",IF(VLOOKUP($B295,Master_PIC!$A$8:$G$73,3,FALSE)&lt;&gt;"SPV","Jabatan tidak sesuai sheet",IF(OR($C295="",$D295="",$E295="",$F295=""),"Lengkapi master PIC",IF(COUNTIFS($A$8:$A$507,$A295,$B$8:$B$507,$B295)&gt;1,"Laporan ganda",IF(COUNTIFS(G295:O295,"Tidak Berlaku")&gt;0,"N/A hanya untuk kegiatan bersyarat",IF(SUM(AF295,AG295,AH295,AI295,AJ295)&lt;&gt;13,"Status kegiatan tidak valid",IF(AJ295&gt;0,"Lengkapi status kegiatan",IF(AND(AI295&gt;0,T295=""),"Isi alasan Tidak Berlaku",IF(AND(SUM(AG295,AH295)&gt;0,OR(T295="",U295="",V295="",W295="")),"Isi kendala dan tindak lanjut",IF(AND(Y295&lt;&gt;"Draft",Y295&lt;&gt;"Dikirim"),"Isi status laporan yang valid",IF(AND(AA295&lt;&gt;"",AA295&lt;&gt;"Belum Diperiksa",AA295&lt;&gt;"Disetujui",AA295&lt;&gt;"Perlu Perbaikan"),"Hasil review tidak valid",IF(AND(Y295="Dikirim",OR(X295="",Z295="")),"Isi bukti dan waktu kirim",IF(AND(AA295="Disetujui",OR(Y295&lt;&gt;"Dikirim",AB295="",AC295="")),"Lengkapi pemeriksaan",IF(AND(AA295="Perlu Perbaikan",OR(AD295="",AB295="",AC295="")),"Isi pemeriksa dan catatan perbaikan","OK")))))))))))))))),"")</f>
        <v/>
      </c>
    </row>
    <row r="296" spans="1:38" ht="24.95" customHeight="1">
      <c r="A296" s="8"/>
      <c r="B296" s="6"/>
      <c r="C296" s="15" t="str">
        <f>IF(COUNTIFS(Master_PIC!$A$8:$A$73,$B296)=1,IF(VLOOKUP($B296,Master_PIC!$A$8:$G$73,2,FALSE)="","",VLOOKUP($B296,Master_PIC!$A$8:$G$73,2,FALSE)),"")</f>
        <v/>
      </c>
      <c r="D296" s="15" t="str">
        <f>IF(COUNTIFS(Master_PIC!$A$8:$A$73,$B296)=1,IF(VLOOKUP($B296,Master_PIC!$A$8:$G$73,4,FALSE)="","",VLOOKUP($B296,Master_PIC!$A$8:$G$73,4,FALSE)),"")</f>
        <v/>
      </c>
      <c r="E296" s="15" t="str">
        <f>IF(COUNTIFS(Master_PIC!$A$8:$A$73,$B296)=1,IF(VLOOKUP($B296,Master_PIC!$A$8:$G$73,5,FALSE)="","",VLOOKUP($B296,Master_PIC!$A$8:$G$73,5,FALSE)),"")</f>
        <v/>
      </c>
      <c r="F296" s="15" t="str">
        <f>IF(COUNTIFS(Master_PIC!$A$8:$A$73,$B296)=1,IF(VLOOKUP($B296,Master_PIC!$A$8:$G$73,6,FALSE)="","",VLOOKUP($B296,Master_PIC!$A$8:$G$73,6,FALSE)),"")</f>
        <v/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8"/>
      <c r="X296" s="5"/>
      <c r="Y296" s="5"/>
      <c r="Z296" s="9"/>
      <c r="AA296" s="5"/>
      <c r="AB296" s="5"/>
      <c r="AC296" s="9"/>
      <c r="AD296" s="5"/>
      <c r="AE296" s="7" t="str">
        <f t="shared" si="28"/>
        <v/>
      </c>
      <c r="AF296" s="7" t="str">
        <f t="shared" si="29"/>
        <v/>
      </c>
      <c r="AG296" s="7" t="str">
        <f t="shared" si="30"/>
        <v/>
      </c>
      <c r="AH296" s="7" t="str">
        <f t="shared" si="31"/>
        <v/>
      </c>
      <c r="AI296" s="7" t="str">
        <f t="shared" si="32"/>
        <v/>
      </c>
      <c r="AJ296" s="7" t="str">
        <f t="shared" si="33"/>
        <v/>
      </c>
      <c r="AK296" s="10" t="str">
        <f t="shared" si="34"/>
        <v/>
      </c>
      <c r="AL296" s="15" t="str">
        <f>IF(OR($A296&lt;&gt;"",$B296&lt;&gt;""),IF(OR($A296="",$B296=""),"Isi tanggal dan ID PIC",IF(NOT(ISNUMBER($A296)),"Tanggal harus berupa tanggal Excel",IF(COUNTIFS(Master_PIC!$A$8:$A$73,$B296)&lt;&gt;1,"ID PIC tidak unik/terdaftar",IF(VLOOKUP($B296,Master_PIC!$A$8:$G$73,3,FALSE)&lt;&gt;"SPV","Jabatan tidak sesuai sheet",IF(OR($C296="",$D296="",$E296="",$F296=""),"Lengkapi master PIC",IF(COUNTIFS($A$8:$A$507,$A296,$B$8:$B$507,$B296)&gt;1,"Laporan ganda",IF(COUNTIFS(G296:O296,"Tidak Berlaku")&gt;0,"N/A hanya untuk kegiatan bersyarat",IF(SUM(AF296,AG296,AH296,AI296,AJ296)&lt;&gt;13,"Status kegiatan tidak valid",IF(AJ296&gt;0,"Lengkapi status kegiatan",IF(AND(AI296&gt;0,T296=""),"Isi alasan Tidak Berlaku",IF(AND(SUM(AG296,AH296)&gt;0,OR(T296="",U296="",V296="",W296="")),"Isi kendala dan tindak lanjut",IF(AND(Y296&lt;&gt;"Draft",Y296&lt;&gt;"Dikirim"),"Isi status laporan yang valid",IF(AND(AA296&lt;&gt;"",AA296&lt;&gt;"Belum Diperiksa",AA296&lt;&gt;"Disetujui",AA296&lt;&gt;"Perlu Perbaikan"),"Hasil review tidak valid",IF(AND(Y296="Dikirim",OR(X296="",Z296="")),"Isi bukti dan waktu kirim",IF(AND(AA296="Disetujui",OR(Y296&lt;&gt;"Dikirim",AB296="",AC296="")),"Lengkapi pemeriksaan",IF(AND(AA296="Perlu Perbaikan",OR(AD296="",AB296="",AC296="")),"Isi pemeriksa dan catatan perbaikan","OK")))))))))))))))),"")</f>
        <v/>
      </c>
    </row>
    <row r="297" spans="1:38" ht="24.95" customHeight="1">
      <c r="A297" s="8"/>
      <c r="B297" s="6"/>
      <c r="C297" s="15" t="str">
        <f>IF(COUNTIFS(Master_PIC!$A$8:$A$73,$B297)=1,IF(VLOOKUP($B297,Master_PIC!$A$8:$G$73,2,FALSE)="","",VLOOKUP($B297,Master_PIC!$A$8:$G$73,2,FALSE)),"")</f>
        <v/>
      </c>
      <c r="D297" s="15" t="str">
        <f>IF(COUNTIFS(Master_PIC!$A$8:$A$73,$B297)=1,IF(VLOOKUP($B297,Master_PIC!$A$8:$G$73,4,FALSE)="","",VLOOKUP($B297,Master_PIC!$A$8:$G$73,4,FALSE)),"")</f>
        <v/>
      </c>
      <c r="E297" s="15" t="str">
        <f>IF(COUNTIFS(Master_PIC!$A$8:$A$73,$B297)=1,IF(VLOOKUP($B297,Master_PIC!$A$8:$G$73,5,FALSE)="","",VLOOKUP($B297,Master_PIC!$A$8:$G$73,5,FALSE)),"")</f>
        <v/>
      </c>
      <c r="F297" s="15" t="str">
        <f>IF(COUNTIFS(Master_PIC!$A$8:$A$73,$B297)=1,IF(VLOOKUP($B297,Master_PIC!$A$8:$G$73,6,FALSE)="","",VLOOKUP($B297,Master_PIC!$A$8:$G$73,6,FALSE)),"")</f>
        <v/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8"/>
      <c r="X297" s="5"/>
      <c r="Y297" s="5"/>
      <c r="Z297" s="9"/>
      <c r="AA297" s="5"/>
      <c r="AB297" s="5"/>
      <c r="AC297" s="9"/>
      <c r="AD297" s="5"/>
      <c r="AE297" s="7" t="str">
        <f t="shared" si="28"/>
        <v/>
      </c>
      <c r="AF297" s="7" t="str">
        <f t="shared" si="29"/>
        <v/>
      </c>
      <c r="AG297" s="7" t="str">
        <f t="shared" si="30"/>
        <v/>
      </c>
      <c r="AH297" s="7" t="str">
        <f t="shared" si="31"/>
        <v/>
      </c>
      <c r="AI297" s="7" t="str">
        <f t="shared" si="32"/>
        <v/>
      </c>
      <c r="AJ297" s="7" t="str">
        <f t="shared" si="33"/>
        <v/>
      </c>
      <c r="AK297" s="10" t="str">
        <f t="shared" si="34"/>
        <v/>
      </c>
      <c r="AL297" s="15" t="str">
        <f>IF(OR($A297&lt;&gt;"",$B297&lt;&gt;""),IF(OR($A297="",$B297=""),"Isi tanggal dan ID PIC",IF(NOT(ISNUMBER($A297)),"Tanggal harus berupa tanggal Excel",IF(COUNTIFS(Master_PIC!$A$8:$A$73,$B297)&lt;&gt;1,"ID PIC tidak unik/terdaftar",IF(VLOOKUP($B297,Master_PIC!$A$8:$G$73,3,FALSE)&lt;&gt;"SPV","Jabatan tidak sesuai sheet",IF(OR($C297="",$D297="",$E297="",$F297=""),"Lengkapi master PIC",IF(COUNTIFS($A$8:$A$507,$A297,$B$8:$B$507,$B297)&gt;1,"Laporan ganda",IF(COUNTIFS(G297:O297,"Tidak Berlaku")&gt;0,"N/A hanya untuk kegiatan bersyarat",IF(SUM(AF297,AG297,AH297,AI297,AJ297)&lt;&gt;13,"Status kegiatan tidak valid",IF(AJ297&gt;0,"Lengkapi status kegiatan",IF(AND(AI297&gt;0,T297=""),"Isi alasan Tidak Berlaku",IF(AND(SUM(AG297,AH297)&gt;0,OR(T297="",U297="",V297="",W297="")),"Isi kendala dan tindak lanjut",IF(AND(Y297&lt;&gt;"Draft",Y297&lt;&gt;"Dikirim"),"Isi status laporan yang valid",IF(AND(AA297&lt;&gt;"",AA297&lt;&gt;"Belum Diperiksa",AA297&lt;&gt;"Disetujui",AA297&lt;&gt;"Perlu Perbaikan"),"Hasil review tidak valid",IF(AND(Y297="Dikirim",OR(X297="",Z297="")),"Isi bukti dan waktu kirim",IF(AND(AA297="Disetujui",OR(Y297&lt;&gt;"Dikirim",AB297="",AC297="")),"Lengkapi pemeriksaan",IF(AND(AA297="Perlu Perbaikan",OR(AD297="",AB297="",AC297="")),"Isi pemeriksa dan catatan perbaikan","OK")))))))))))))))),"")</f>
        <v/>
      </c>
    </row>
    <row r="298" spans="1:38" ht="24.95" customHeight="1">
      <c r="A298" s="8"/>
      <c r="B298" s="6"/>
      <c r="C298" s="15" t="str">
        <f>IF(COUNTIFS(Master_PIC!$A$8:$A$73,$B298)=1,IF(VLOOKUP($B298,Master_PIC!$A$8:$G$73,2,FALSE)="","",VLOOKUP($B298,Master_PIC!$A$8:$G$73,2,FALSE)),"")</f>
        <v/>
      </c>
      <c r="D298" s="15" t="str">
        <f>IF(COUNTIFS(Master_PIC!$A$8:$A$73,$B298)=1,IF(VLOOKUP($B298,Master_PIC!$A$8:$G$73,4,FALSE)="","",VLOOKUP($B298,Master_PIC!$A$8:$G$73,4,FALSE)),"")</f>
        <v/>
      </c>
      <c r="E298" s="15" t="str">
        <f>IF(COUNTIFS(Master_PIC!$A$8:$A$73,$B298)=1,IF(VLOOKUP($B298,Master_PIC!$A$8:$G$73,5,FALSE)="","",VLOOKUP($B298,Master_PIC!$A$8:$G$73,5,FALSE)),"")</f>
        <v/>
      </c>
      <c r="F298" s="15" t="str">
        <f>IF(COUNTIFS(Master_PIC!$A$8:$A$73,$B298)=1,IF(VLOOKUP($B298,Master_PIC!$A$8:$G$73,6,FALSE)="","",VLOOKUP($B298,Master_PIC!$A$8:$G$73,6,FALSE)),"")</f>
        <v/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8"/>
      <c r="X298" s="5"/>
      <c r="Y298" s="5"/>
      <c r="Z298" s="9"/>
      <c r="AA298" s="5"/>
      <c r="AB298" s="5"/>
      <c r="AC298" s="9"/>
      <c r="AD298" s="5"/>
      <c r="AE298" s="7" t="str">
        <f t="shared" si="28"/>
        <v/>
      </c>
      <c r="AF298" s="7" t="str">
        <f t="shared" si="29"/>
        <v/>
      </c>
      <c r="AG298" s="7" t="str">
        <f t="shared" si="30"/>
        <v/>
      </c>
      <c r="AH298" s="7" t="str">
        <f t="shared" si="31"/>
        <v/>
      </c>
      <c r="AI298" s="7" t="str">
        <f t="shared" si="32"/>
        <v/>
      </c>
      <c r="AJ298" s="7" t="str">
        <f t="shared" si="33"/>
        <v/>
      </c>
      <c r="AK298" s="10" t="str">
        <f t="shared" si="34"/>
        <v/>
      </c>
      <c r="AL298" s="15" t="str">
        <f>IF(OR($A298&lt;&gt;"",$B298&lt;&gt;""),IF(OR($A298="",$B298=""),"Isi tanggal dan ID PIC",IF(NOT(ISNUMBER($A298)),"Tanggal harus berupa tanggal Excel",IF(COUNTIFS(Master_PIC!$A$8:$A$73,$B298)&lt;&gt;1,"ID PIC tidak unik/terdaftar",IF(VLOOKUP($B298,Master_PIC!$A$8:$G$73,3,FALSE)&lt;&gt;"SPV","Jabatan tidak sesuai sheet",IF(OR($C298="",$D298="",$E298="",$F298=""),"Lengkapi master PIC",IF(COUNTIFS($A$8:$A$507,$A298,$B$8:$B$507,$B298)&gt;1,"Laporan ganda",IF(COUNTIFS(G298:O298,"Tidak Berlaku")&gt;0,"N/A hanya untuk kegiatan bersyarat",IF(SUM(AF298,AG298,AH298,AI298,AJ298)&lt;&gt;13,"Status kegiatan tidak valid",IF(AJ298&gt;0,"Lengkapi status kegiatan",IF(AND(AI298&gt;0,T298=""),"Isi alasan Tidak Berlaku",IF(AND(SUM(AG298,AH298)&gt;0,OR(T298="",U298="",V298="",W298="")),"Isi kendala dan tindak lanjut",IF(AND(Y298&lt;&gt;"Draft",Y298&lt;&gt;"Dikirim"),"Isi status laporan yang valid",IF(AND(AA298&lt;&gt;"",AA298&lt;&gt;"Belum Diperiksa",AA298&lt;&gt;"Disetujui",AA298&lt;&gt;"Perlu Perbaikan"),"Hasil review tidak valid",IF(AND(Y298="Dikirim",OR(X298="",Z298="")),"Isi bukti dan waktu kirim",IF(AND(AA298="Disetujui",OR(Y298&lt;&gt;"Dikirim",AB298="",AC298="")),"Lengkapi pemeriksaan",IF(AND(AA298="Perlu Perbaikan",OR(AD298="",AB298="",AC298="")),"Isi pemeriksa dan catatan perbaikan","OK")))))))))))))))),"")</f>
        <v/>
      </c>
    </row>
    <row r="299" spans="1:38" ht="24.95" customHeight="1">
      <c r="A299" s="8"/>
      <c r="B299" s="6"/>
      <c r="C299" s="15" t="str">
        <f>IF(COUNTIFS(Master_PIC!$A$8:$A$73,$B299)=1,IF(VLOOKUP($B299,Master_PIC!$A$8:$G$73,2,FALSE)="","",VLOOKUP($B299,Master_PIC!$A$8:$G$73,2,FALSE)),"")</f>
        <v/>
      </c>
      <c r="D299" s="15" t="str">
        <f>IF(COUNTIFS(Master_PIC!$A$8:$A$73,$B299)=1,IF(VLOOKUP($B299,Master_PIC!$A$8:$G$73,4,FALSE)="","",VLOOKUP($B299,Master_PIC!$A$8:$G$73,4,FALSE)),"")</f>
        <v/>
      </c>
      <c r="E299" s="15" t="str">
        <f>IF(COUNTIFS(Master_PIC!$A$8:$A$73,$B299)=1,IF(VLOOKUP($B299,Master_PIC!$A$8:$G$73,5,FALSE)="","",VLOOKUP($B299,Master_PIC!$A$8:$G$73,5,FALSE)),"")</f>
        <v/>
      </c>
      <c r="F299" s="15" t="str">
        <f>IF(COUNTIFS(Master_PIC!$A$8:$A$73,$B299)=1,IF(VLOOKUP($B299,Master_PIC!$A$8:$G$73,6,FALSE)="","",VLOOKUP($B299,Master_PIC!$A$8:$G$73,6,FALSE)),"")</f>
        <v/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8"/>
      <c r="X299" s="5"/>
      <c r="Y299" s="5"/>
      <c r="Z299" s="9"/>
      <c r="AA299" s="5"/>
      <c r="AB299" s="5"/>
      <c r="AC299" s="9"/>
      <c r="AD299" s="5"/>
      <c r="AE299" s="7" t="str">
        <f t="shared" si="28"/>
        <v/>
      </c>
      <c r="AF299" s="7" t="str">
        <f t="shared" si="29"/>
        <v/>
      </c>
      <c r="AG299" s="7" t="str">
        <f t="shared" si="30"/>
        <v/>
      </c>
      <c r="AH299" s="7" t="str">
        <f t="shared" si="31"/>
        <v/>
      </c>
      <c r="AI299" s="7" t="str">
        <f t="shared" si="32"/>
        <v/>
      </c>
      <c r="AJ299" s="7" t="str">
        <f t="shared" si="33"/>
        <v/>
      </c>
      <c r="AK299" s="10" t="str">
        <f t="shared" si="34"/>
        <v/>
      </c>
      <c r="AL299" s="15" t="str">
        <f>IF(OR($A299&lt;&gt;"",$B299&lt;&gt;""),IF(OR($A299="",$B299=""),"Isi tanggal dan ID PIC",IF(NOT(ISNUMBER($A299)),"Tanggal harus berupa tanggal Excel",IF(COUNTIFS(Master_PIC!$A$8:$A$73,$B299)&lt;&gt;1,"ID PIC tidak unik/terdaftar",IF(VLOOKUP($B299,Master_PIC!$A$8:$G$73,3,FALSE)&lt;&gt;"SPV","Jabatan tidak sesuai sheet",IF(OR($C299="",$D299="",$E299="",$F299=""),"Lengkapi master PIC",IF(COUNTIFS($A$8:$A$507,$A299,$B$8:$B$507,$B299)&gt;1,"Laporan ganda",IF(COUNTIFS(G299:O299,"Tidak Berlaku")&gt;0,"N/A hanya untuk kegiatan bersyarat",IF(SUM(AF299,AG299,AH299,AI299,AJ299)&lt;&gt;13,"Status kegiatan tidak valid",IF(AJ299&gt;0,"Lengkapi status kegiatan",IF(AND(AI299&gt;0,T299=""),"Isi alasan Tidak Berlaku",IF(AND(SUM(AG299,AH299)&gt;0,OR(T299="",U299="",V299="",W299="")),"Isi kendala dan tindak lanjut",IF(AND(Y299&lt;&gt;"Draft",Y299&lt;&gt;"Dikirim"),"Isi status laporan yang valid",IF(AND(AA299&lt;&gt;"",AA299&lt;&gt;"Belum Diperiksa",AA299&lt;&gt;"Disetujui",AA299&lt;&gt;"Perlu Perbaikan"),"Hasil review tidak valid",IF(AND(Y299="Dikirim",OR(X299="",Z299="")),"Isi bukti dan waktu kirim",IF(AND(AA299="Disetujui",OR(Y299&lt;&gt;"Dikirim",AB299="",AC299="")),"Lengkapi pemeriksaan",IF(AND(AA299="Perlu Perbaikan",OR(AD299="",AB299="",AC299="")),"Isi pemeriksa dan catatan perbaikan","OK")))))))))))))))),"")</f>
        <v/>
      </c>
    </row>
    <row r="300" spans="1:38" ht="24.95" customHeight="1">
      <c r="A300" s="8"/>
      <c r="B300" s="6"/>
      <c r="C300" s="15" t="str">
        <f>IF(COUNTIFS(Master_PIC!$A$8:$A$73,$B300)=1,IF(VLOOKUP($B300,Master_PIC!$A$8:$G$73,2,FALSE)="","",VLOOKUP($B300,Master_PIC!$A$8:$G$73,2,FALSE)),"")</f>
        <v/>
      </c>
      <c r="D300" s="15" t="str">
        <f>IF(COUNTIFS(Master_PIC!$A$8:$A$73,$B300)=1,IF(VLOOKUP($B300,Master_PIC!$A$8:$G$73,4,FALSE)="","",VLOOKUP($B300,Master_PIC!$A$8:$G$73,4,FALSE)),"")</f>
        <v/>
      </c>
      <c r="E300" s="15" t="str">
        <f>IF(COUNTIFS(Master_PIC!$A$8:$A$73,$B300)=1,IF(VLOOKUP($B300,Master_PIC!$A$8:$G$73,5,FALSE)="","",VLOOKUP($B300,Master_PIC!$A$8:$G$73,5,FALSE)),"")</f>
        <v/>
      </c>
      <c r="F300" s="15" t="str">
        <f>IF(COUNTIFS(Master_PIC!$A$8:$A$73,$B300)=1,IF(VLOOKUP($B300,Master_PIC!$A$8:$G$73,6,FALSE)="","",VLOOKUP($B300,Master_PIC!$A$8:$G$73,6,FALSE)),"")</f>
        <v/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9"/>
      <c r="AA300" s="5"/>
      <c r="AB300" s="5"/>
      <c r="AC300" s="9"/>
      <c r="AD300" s="5"/>
      <c r="AE300" s="7" t="str">
        <f t="shared" si="28"/>
        <v/>
      </c>
      <c r="AF300" s="7" t="str">
        <f t="shared" si="29"/>
        <v/>
      </c>
      <c r="AG300" s="7" t="str">
        <f t="shared" si="30"/>
        <v/>
      </c>
      <c r="AH300" s="7" t="str">
        <f t="shared" si="31"/>
        <v/>
      </c>
      <c r="AI300" s="7" t="str">
        <f t="shared" si="32"/>
        <v/>
      </c>
      <c r="AJ300" s="7" t="str">
        <f t="shared" si="33"/>
        <v/>
      </c>
      <c r="AK300" s="10" t="str">
        <f t="shared" si="34"/>
        <v/>
      </c>
      <c r="AL300" s="15" t="str">
        <f>IF(OR($A300&lt;&gt;"",$B300&lt;&gt;""),IF(OR($A300="",$B300=""),"Isi tanggal dan ID PIC",IF(NOT(ISNUMBER($A300)),"Tanggal harus berupa tanggal Excel",IF(COUNTIFS(Master_PIC!$A$8:$A$73,$B300)&lt;&gt;1,"ID PIC tidak unik/terdaftar",IF(VLOOKUP($B300,Master_PIC!$A$8:$G$73,3,FALSE)&lt;&gt;"SPV","Jabatan tidak sesuai sheet",IF(OR($C300="",$D300="",$E300="",$F300=""),"Lengkapi master PIC",IF(COUNTIFS($A$8:$A$507,$A300,$B$8:$B$507,$B300)&gt;1,"Laporan ganda",IF(COUNTIFS(G300:O300,"Tidak Berlaku")&gt;0,"N/A hanya untuk kegiatan bersyarat",IF(SUM(AF300,AG300,AH300,AI300,AJ300)&lt;&gt;13,"Status kegiatan tidak valid",IF(AJ300&gt;0,"Lengkapi status kegiatan",IF(AND(AI300&gt;0,T300=""),"Isi alasan Tidak Berlaku",IF(AND(SUM(AG300,AH300)&gt;0,OR(T300="",U300="",V300="",W300="")),"Isi kendala dan tindak lanjut",IF(AND(Y300&lt;&gt;"Draft",Y300&lt;&gt;"Dikirim"),"Isi status laporan yang valid",IF(AND(AA300&lt;&gt;"",AA300&lt;&gt;"Belum Diperiksa",AA300&lt;&gt;"Disetujui",AA300&lt;&gt;"Perlu Perbaikan"),"Hasil review tidak valid",IF(AND(Y300="Dikirim",OR(X300="",Z300="")),"Isi bukti dan waktu kirim",IF(AND(AA300="Disetujui",OR(Y300&lt;&gt;"Dikirim",AB300="",AC300="")),"Lengkapi pemeriksaan",IF(AND(AA300="Perlu Perbaikan",OR(AD300="",AB300="",AC300="")),"Isi pemeriksa dan catatan perbaikan","OK")))))))))))))))),"")</f>
        <v/>
      </c>
    </row>
    <row r="301" spans="1:38" ht="24.95" customHeight="1">
      <c r="A301" s="8"/>
      <c r="B301" s="6"/>
      <c r="C301" s="15" t="str">
        <f>IF(COUNTIFS(Master_PIC!$A$8:$A$73,$B301)=1,IF(VLOOKUP($B301,Master_PIC!$A$8:$G$73,2,FALSE)="","",VLOOKUP($B301,Master_PIC!$A$8:$G$73,2,FALSE)),"")</f>
        <v/>
      </c>
      <c r="D301" s="15" t="str">
        <f>IF(COUNTIFS(Master_PIC!$A$8:$A$73,$B301)=1,IF(VLOOKUP($B301,Master_PIC!$A$8:$G$73,4,FALSE)="","",VLOOKUP($B301,Master_PIC!$A$8:$G$73,4,FALSE)),"")</f>
        <v/>
      </c>
      <c r="E301" s="15" t="str">
        <f>IF(COUNTIFS(Master_PIC!$A$8:$A$73,$B301)=1,IF(VLOOKUP($B301,Master_PIC!$A$8:$G$73,5,FALSE)="","",VLOOKUP($B301,Master_PIC!$A$8:$G$73,5,FALSE)),"")</f>
        <v/>
      </c>
      <c r="F301" s="15" t="str">
        <f>IF(COUNTIFS(Master_PIC!$A$8:$A$73,$B301)=1,IF(VLOOKUP($B301,Master_PIC!$A$8:$G$73,6,FALSE)="","",VLOOKUP($B301,Master_PIC!$A$8:$G$73,6,FALSE)),"")</f>
        <v/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8"/>
      <c r="X301" s="5"/>
      <c r="Y301" s="5"/>
      <c r="Z301" s="9"/>
      <c r="AA301" s="5"/>
      <c r="AB301" s="5"/>
      <c r="AC301" s="9"/>
      <c r="AD301" s="5"/>
      <c r="AE301" s="7" t="str">
        <f t="shared" si="28"/>
        <v/>
      </c>
      <c r="AF301" s="7" t="str">
        <f t="shared" si="29"/>
        <v/>
      </c>
      <c r="AG301" s="7" t="str">
        <f t="shared" si="30"/>
        <v/>
      </c>
      <c r="AH301" s="7" t="str">
        <f t="shared" si="31"/>
        <v/>
      </c>
      <c r="AI301" s="7" t="str">
        <f t="shared" si="32"/>
        <v/>
      </c>
      <c r="AJ301" s="7" t="str">
        <f t="shared" si="33"/>
        <v/>
      </c>
      <c r="AK301" s="10" t="str">
        <f t="shared" si="34"/>
        <v/>
      </c>
      <c r="AL301" s="15" t="str">
        <f>IF(OR($A301&lt;&gt;"",$B301&lt;&gt;""),IF(OR($A301="",$B301=""),"Isi tanggal dan ID PIC",IF(NOT(ISNUMBER($A301)),"Tanggal harus berupa tanggal Excel",IF(COUNTIFS(Master_PIC!$A$8:$A$73,$B301)&lt;&gt;1,"ID PIC tidak unik/terdaftar",IF(VLOOKUP($B301,Master_PIC!$A$8:$G$73,3,FALSE)&lt;&gt;"SPV","Jabatan tidak sesuai sheet",IF(OR($C301="",$D301="",$E301="",$F301=""),"Lengkapi master PIC",IF(COUNTIFS($A$8:$A$507,$A301,$B$8:$B$507,$B301)&gt;1,"Laporan ganda",IF(COUNTIFS(G301:O301,"Tidak Berlaku")&gt;0,"N/A hanya untuk kegiatan bersyarat",IF(SUM(AF301,AG301,AH301,AI301,AJ301)&lt;&gt;13,"Status kegiatan tidak valid",IF(AJ301&gt;0,"Lengkapi status kegiatan",IF(AND(AI301&gt;0,T301=""),"Isi alasan Tidak Berlaku",IF(AND(SUM(AG301,AH301)&gt;0,OR(T301="",U301="",V301="",W301="")),"Isi kendala dan tindak lanjut",IF(AND(Y301&lt;&gt;"Draft",Y301&lt;&gt;"Dikirim"),"Isi status laporan yang valid",IF(AND(AA301&lt;&gt;"",AA301&lt;&gt;"Belum Diperiksa",AA301&lt;&gt;"Disetujui",AA301&lt;&gt;"Perlu Perbaikan"),"Hasil review tidak valid",IF(AND(Y301="Dikirim",OR(X301="",Z301="")),"Isi bukti dan waktu kirim",IF(AND(AA301="Disetujui",OR(Y301&lt;&gt;"Dikirim",AB301="",AC301="")),"Lengkapi pemeriksaan",IF(AND(AA301="Perlu Perbaikan",OR(AD301="",AB301="",AC301="")),"Isi pemeriksa dan catatan perbaikan","OK")))))))))))))))),"")</f>
        <v/>
      </c>
    </row>
    <row r="302" spans="1:38" ht="24.95" customHeight="1">
      <c r="A302" s="8"/>
      <c r="B302" s="6"/>
      <c r="C302" s="15" t="str">
        <f>IF(COUNTIFS(Master_PIC!$A$8:$A$73,$B302)=1,IF(VLOOKUP($B302,Master_PIC!$A$8:$G$73,2,FALSE)="","",VLOOKUP($B302,Master_PIC!$A$8:$G$73,2,FALSE)),"")</f>
        <v/>
      </c>
      <c r="D302" s="15" t="str">
        <f>IF(COUNTIFS(Master_PIC!$A$8:$A$73,$B302)=1,IF(VLOOKUP($B302,Master_PIC!$A$8:$G$73,4,FALSE)="","",VLOOKUP($B302,Master_PIC!$A$8:$G$73,4,FALSE)),"")</f>
        <v/>
      </c>
      <c r="E302" s="15" t="str">
        <f>IF(COUNTIFS(Master_PIC!$A$8:$A$73,$B302)=1,IF(VLOOKUP($B302,Master_PIC!$A$8:$G$73,5,FALSE)="","",VLOOKUP($B302,Master_PIC!$A$8:$G$73,5,FALSE)),"")</f>
        <v/>
      </c>
      <c r="F302" s="15" t="str">
        <f>IF(COUNTIFS(Master_PIC!$A$8:$A$73,$B302)=1,IF(VLOOKUP($B302,Master_PIC!$A$8:$G$73,6,FALSE)="","",VLOOKUP($B302,Master_PIC!$A$8:$G$73,6,FALSE)),"")</f>
        <v/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8"/>
      <c r="X302" s="5"/>
      <c r="Y302" s="5"/>
      <c r="Z302" s="9"/>
      <c r="AA302" s="5"/>
      <c r="AB302" s="5"/>
      <c r="AC302" s="9"/>
      <c r="AD302" s="5"/>
      <c r="AE302" s="7" t="str">
        <f t="shared" si="28"/>
        <v/>
      </c>
      <c r="AF302" s="7" t="str">
        <f t="shared" si="29"/>
        <v/>
      </c>
      <c r="AG302" s="7" t="str">
        <f t="shared" si="30"/>
        <v/>
      </c>
      <c r="AH302" s="7" t="str">
        <f t="shared" si="31"/>
        <v/>
      </c>
      <c r="AI302" s="7" t="str">
        <f t="shared" si="32"/>
        <v/>
      </c>
      <c r="AJ302" s="7" t="str">
        <f t="shared" si="33"/>
        <v/>
      </c>
      <c r="AK302" s="10" t="str">
        <f t="shared" si="34"/>
        <v/>
      </c>
      <c r="AL302" s="15" t="str">
        <f>IF(OR($A302&lt;&gt;"",$B302&lt;&gt;""),IF(OR($A302="",$B302=""),"Isi tanggal dan ID PIC",IF(NOT(ISNUMBER($A302)),"Tanggal harus berupa tanggal Excel",IF(COUNTIFS(Master_PIC!$A$8:$A$73,$B302)&lt;&gt;1,"ID PIC tidak unik/terdaftar",IF(VLOOKUP($B302,Master_PIC!$A$8:$G$73,3,FALSE)&lt;&gt;"SPV","Jabatan tidak sesuai sheet",IF(OR($C302="",$D302="",$E302="",$F302=""),"Lengkapi master PIC",IF(COUNTIFS($A$8:$A$507,$A302,$B$8:$B$507,$B302)&gt;1,"Laporan ganda",IF(COUNTIFS(G302:O302,"Tidak Berlaku")&gt;0,"N/A hanya untuk kegiatan bersyarat",IF(SUM(AF302,AG302,AH302,AI302,AJ302)&lt;&gt;13,"Status kegiatan tidak valid",IF(AJ302&gt;0,"Lengkapi status kegiatan",IF(AND(AI302&gt;0,T302=""),"Isi alasan Tidak Berlaku",IF(AND(SUM(AG302,AH302)&gt;0,OR(T302="",U302="",V302="",W302="")),"Isi kendala dan tindak lanjut",IF(AND(Y302&lt;&gt;"Draft",Y302&lt;&gt;"Dikirim"),"Isi status laporan yang valid",IF(AND(AA302&lt;&gt;"",AA302&lt;&gt;"Belum Diperiksa",AA302&lt;&gt;"Disetujui",AA302&lt;&gt;"Perlu Perbaikan"),"Hasil review tidak valid",IF(AND(Y302="Dikirim",OR(X302="",Z302="")),"Isi bukti dan waktu kirim",IF(AND(AA302="Disetujui",OR(Y302&lt;&gt;"Dikirim",AB302="",AC302="")),"Lengkapi pemeriksaan",IF(AND(AA302="Perlu Perbaikan",OR(AD302="",AB302="",AC302="")),"Isi pemeriksa dan catatan perbaikan","OK")))))))))))))))),"")</f>
        <v/>
      </c>
    </row>
    <row r="303" spans="1:38" ht="24.95" customHeight="1">
      <c r="A303" s="8"/>
      <c r="B303" s="6"/>
      <c r="C303" s="15" t="str">
        <f>IF(COUNTIFS(Master_PIC!$A$8:$A$73,$B303)=1,IF(VLOOKUP($B303,Master_PIC!$A$8:$G$73,2,FALSE)="","",VLOOKUP($B303,Master_PIC!$A$8:$G$73,2,FALSE)),"")</f>
        <v/>
      </c>
      <c r="D303" s="15" t="str">
        <f>IF(COUNTIFS(Master_PIC!$A$8:$A$73,$B303)=1,IF(VLOOKUP($B303,Master_PIC!$A$8:$G$73,4,FALSE)="","",VLOOKUP($B303,Master_PIC!$A$8:$G$73,4,FALSE)),"")</f>
        <v/>
      </c>
      <c r="E303" s="15" t="str">
        <f>IF(COUNTIFS(Master_PIC!$A$8:$A$73,$B303)=1,IF(VLOOKUP($B303,Master_PIC!$A$8:$G$73,5,FALSE)="","",VLOOKUP($B303,Master_PIC!$A$8:$G$73,5,FALSE)),"")</f>
        <v/>
      </c>
      <c r="F303" s="15" t="str">
        <f>IF(COUNTIFS(Master_PIC!$A$8:$A$73,$B303)=1,IF(VLOOKUP($B303,Master_PIC!$A$8:$G$73,6,FALSE)="","",VLOOKUP($B303,Master_PIC!$A$8:$G$73,6,FALSE)),"")</f>
        <v/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9"/>
      <c r="AA303" s="5"/>
      <c r="AB303" s="5"/>
      <c r="AC303" s="9"/>
      <c r="AD303" s="5"/>
      <c r="AE303" s="7" t="str">
        <f t="shared" si="28"/>
        <v/>
      </c>
      <c r="AF303" s="7" t="str">
        <f t="shared" si="29"/>
        <v/>
      </c>
      <c r="AG303" s="7" t="str">
        <f t="shared" si="30"/>
        <v/>
      </c>
      <c r="AH303" s="7" t="str">
        <f t="shared" si="31"/>
        <v/>
      </c>
      <c r="AI303" s="7" t="str">
        <f t="shared" si="32"/>
        <v/>
      </c>
      <c r="AJ303" s="7" t="str">
        <f t="shared" si="33"/>
        <v/>
      </c>
      <c r="AK303" s="10" t="str">
        <f t="shared" si="34"/>
        <v/>
      </c>
      <c r="AL303" s="15" t="str">
        <f>IF(OR($A303&lt;&gt;"",$B303&lt;&gt;""),IF(OR($A303="",$B303=""),"Isi tanggal dan ID PIC",IF(NOT(ISNUMBER($A303)),"Tanggal harus berupa tanggal Excel",IF(COUNTIFS(Master_PIC!$A$8:$A$73,$B303)&lt;&gt;1,"ID PIC tidak unik/terdaftar",IF(VLOOKUP($B303,Master_PIC!$A$8:$G$73,3,FALSE)&lt;&gt;"SPV","Jabatan tidak sesuai sheet",IF(OR($C303="",$D303="",$E303="",$F303=""),"Lengkapi master PIC",IF(COUNTIFS($A$8:$A$507,$A303,$B$8:$B$507,$B303)&gt;1,"Laporan ganda",IF(COUNTIFS(G303:O303,"Tidak Berlaku")&gt;0,"N/A hanya untuk kegiatan bersyarat",IF(SUM(AF303,AG303,AH303,AI303,AJ303)&lt;&gt;13,"Status kegiatan tidak valid",IF(AJ303&gt;0,"Lengkapi status kegiatan",IF(AND(AI303&gt;0,T303=""),"Isi alasan Tidak Berlaku",IF(AND(SUM(AG303,AH303)&gt;0,OR(T303="",U303="",V303="",W303="")),"Isi kendala dan tindak lanjut",IF(AND(Y303&lt;&gt;"Draft",Y303&lt;&gt;"Dikirim"),"Isi status laporan yang valid",IF(AND(AA303&lt;&gt;"",AA303&lt;&gt;"Belum Diperiksa",AA303&lt;&gt;"Disetujui",AA303&lt;&gt;"Perlu Perbaikan"),"Hasil review tidak valid",IF(AND(Y303="Dikirim",OR(X303="",Z303="")),"Isi bukti dan waktu kirim",IF(AND(AA303="Disetujui",OR(Y303&lt;&gt;"Dikirim",AB303="",AC303="")),"Lengkapi pemeriksaan",IF(AND(AA303="Perlu Perbaikan",OR(AD303="",AB303="",AC303="")),"Isi pemeriksa dan catatan perbaikan","OK")))))))))))))))),"")</f>
        <v/>
      </c>
    </row>
    <row r="304" spans="1:38" ht="24.95" customHeight="1">
      <c r="A304" s="8"/>
      <c r="B304" s="6"/>
      <c r="C304" s="15" t="str">
        <f>IF(COUNTIFS(Master_PIC!$A$8:$A$73,$B304)=1,IF(VLOOKUP($B304,Master_PIC!$A$8:$G$73,2,FALSE)="","",VLOOKUP($B304,Master_PIC!$A$8:$G$73,2,FALSE)),"")</f>
        <v/>
      </c>
      <c r="D304" s="15" t="str">
        <f>IF(COUNTIFS(Master_PIC!$A$8:$A$73,$B304)=1,IF(VLOOKUP($B304,Master_PIC!$A$8:$G$73,4,FALSE)="","",VLOOKUP($B304,Master_PIC!$A$8:$G$73,4,FALSE)),"")</f>
        <v/>
      </c>
      <c r="E304" s="15" t="str">
        <f>IF(COUNTIFS(Master_PIC!$A$8:$A$73,$B304)=1,IF(VLOOKUP($B304,Master_PIC!$A$8:$G$73,5,FALSE)="","",VLOOKUP($B304,Master_PIC!$A$8:$G$73,5,FALSE)),"")</f>
        <v/>
      </c>
      <c r="F304" s="15" t="str">
        <f>IF(COUNTIFS(Master_PIC!$A$8:$A$73,$B304)=1,IF(VLOOKUP($B304,Master_PIC!$A$8:$G$73,6,FALSE)="","",VLOOKUP($B304,Master_PIC!$A$8:$G$73,6,FALSE)),"")</f>
        <v/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8"/>
      <c r="X304" s="5"/>
      <c r="Y304" s="5"/>
      <c r="Z304" s="9"/>
      <c r="AA304" s="5"/>
      <c r="AB304" s="5"/>
      <c r="AC304" s="9"/>
      <c r="AD304" s="5"/>
      <c r="AE304" s="7" t="str">
        <f t="shared" si="28"/>
        <v/>
      </c>
      <c r="AF304" s="7" t="str">
        <f t="shared" si="29"/>
        <v/>
      </c>
      <c r="AG304" s="7" t="str">
        <f t="shared" si="30"/>
        <v/>
      </c>
      <c r="AH304" s="7" t="str">
        <f t="shared" si="31"/>
        <v/>
      </c>
      <c r="AI304" s="7" t="str">
        <f t="shared" si="32"/>
        <v/>
      </c>
      <c r="AJ304" s="7" t="str">
        <f t="shared" si="33"/>
        <v/>
      </c>
      <c r="AK304" s="10" t="str">
        <f t="shared" si="34"/>
        <v/>
      </c>
      <c r="AL304" s="15" t="str">
        <f>IF(OR($A304&lt;&gt;"",$B304&lt;&gt;""),IF(OR($A304="",$B304=""),"Isi tanggal dan ID PIC",IF(NOT(ISNUMBER($A304)),"Tanggal harus berupa tanggal Excel",IF(COUNTIFS(Master_PIC!$A$8:$A$73,$B304)&lt;&gt;1,"ID PIC tidak unik/terdaftar",IF(VLOOKUP($B304,Master_PIC!$A$8:$G$73,3,FALSE)&lt;&gt;"SPV","Jabatan tidak sesuai sheet",IF(OR($C304="",$D304="",$E304="",$F304=""),"Lengkapi master PIC",IF(COUNTIFS($A$8:$A$507,$A304,$B$8:$B$507,$B304)&gt;1,"Laporan ganda",IF(COUNTIFS(G304:O304,"Tidak Berlaku")&gt;0,"N/A hanya untuk kegiatan bersyarat",IF(SUM(AF304,AG304,AH304,AI304,AJ304)&lt;&gt;13,"Status kegiatan tidak valid",IF(AJ304&gt;0,"Lengkapi status kegiatan",IF(AND(AI304&gt;0,T304=""),"Isi alasan Tidak Berlaku",IF(AND(SUM(AG304,AH304)&gt;0,OR(T304="",U304="",V304="",W304="")),"Isi kendala dan tindak lanjut",IF(AND(Y304&lt;&gt;"Draft",Y304&lt;&gt;"Dikirim"),"Isi status laporan yang valid",IF(AND(AA304&lt;&gt;"",AA304&lt;&gt;"Belum Diperiksa",AA304&lt;&gt;"Disetujui",AA304&lt;&gt;"Perlu Perbaikan"),"Hasil review tidak valid",IF(AND(Y304="Dikirim",OR(X304="",Z304="")),"Isi bukti dan waktu kirim",IF(AND(AA304="Disetujui",OR(Y304&lt;&gt;"Dikirim",AB304="",AC304="")),"Lengkapi pemeriksaan",IF(AND(AA304="Perlu Perbaikan",OR(AD304="",AB304="",AC304="")),"Isi pemeriksa dan catatan perbaikan","OK")))))))))))))))),"")</f>
        <v/>
      </c>
    </row>
    <row r="305" spans="1:38" ht="24.95" customHeight="1">
      <c r="A305" s="8"/>
      <c r="B305" s="6"/>
      <c r="C305" s="15" t="str">
        <f>IF(COUNTIFS(Master_PIC!$A$8:$A$73,$B305)=1,IF(VLOOKUP($B305,Master_PIC!$A$8:$G$73,2,FALSE)="","",VLOOKUP($B305,Master_PIC!$A$8:$G$73,2,FALSE)),"")</f>
        <v/>
      </c>
      <c r="D305" s="15" t="str">
        <f>IF(COUNTIFS(Master_PIC!$A$8:$A$73,$B305)=1,IF(VLOOKUP($B305,Master_PIC!$A$8:$G$73,4,FALSE)="","",VLOOKUP($B305,Master_PIC!$A$8:$G$73,4,FALSE)),"")</f>
        <v/>
      </c>
      <c r="E305" s="15" t="str">
        <f>IF(COUNTIFS(Master_PIC!$A$8:$A$73,$B305)=1,IF(VLOOKUP($B305,Master_PIC!$A$8:$G$73,5,FALSE)="","",VLOOKUP($B305,Master_PIC!$A$8:$G$73,5,FALSE)),"")</f>
        <v/>
      </c>
      <c r="F305" s="15" t="str">
        <f>IF(COUNTIFS(Master_PIC!$A$8:$A$73,$B305)=1,IF(VLOOKUP($B305,Master_PIC!$A$8:$G$73,6,FALSE)="","",VLOOKUP($B305,Master_PIC!$A$8:$G$73,6,FALSE)),"")</f>
        <v/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8"/>
      <c r="X305" s="5"/>
      <c r="Y305" s="5"/>
      <c r="Z305" s="9"/>
      <c r="AA305" s="5"/>
      <c r="AB305" s="5"/>
      <c r="AC305" s="9"/>
      <c r="AD305" s="5"/>
      <c r="AE305" s="7" t="str">
        <f t="shared" si="28"/>
        <v/>
      </c>
      <c r="AF305" s="7" t="str">
        <f t="shared" si="29"/>
        <v/>
      </c>
      <c r="AG305" s="7" t="str">
        <f t="shared" si="30"/>
        <v/>
      </c>
      <c r="AH305" s="7" t="str">
        <f t="shared" si="31"/>
        <v/>
      </c>
      <c r="AI305" s="7" t="str">
        <f t="shared" si="32"/>
        <v/>
      </c>
      <c r="AJ305" s="7" t="str">
        <f t="shared" si="33"/>
        <v/>
      </c>
      <c r="AK305" s="10" t="str">
        <f t="shared" si="34"/>
        <v/>
      </c>
      <c r="AL305" s="15" t="str">
        <f>IF(OR($A305&lt;&gt;"",$B305&lt;&gt;""),IF(OR($A305="",$B305=""),"Isi tanggal dan ID PIC",IF(NOT(ISNUMBER($A305)),"Tanggal harus berupa tanggal Excel",IF(COUNTIFS(Master_PIC!$A$8:$A$73,$B305)&lt;&gt;1,"ID PIC tidak unik/terdaftar",IF(VLOOKUP($B305,Master_PIC!$A$8:$G$73,3,FALSE)&lt;&gt;"SPV","Jabatan tidak sesuai sheet",IF(OR($C305="",$D305="",$E305="",$F305=""),"Lengkapi master PIC",IF(COUNTIFS($A$8:$A$507,$A305,$B$8:$B$507,$B305)&gt;1,"Laporan ganda",IF(COUNTIFS(G305:O305,"Tidak Berlaku")&gt;0,"N/A hanya untuk kegiatan bersyarat",IF(SUM(AF305,AG305,AH305,AI305,AJ305)&lt;&gt;13,"Status kegiatan tidak valid",IF(AJ305&gt;0,"Lengkapi status kegiatan",IF(AND(AI305&gt;0,T305=""),"Isi alasan Tidak Berlaku",IF(AND(SUM(AG305,AH305)&gt;0,OR(T305="",U305="",V305="",W305="")),"Isi kendala dan tindak lanjut",IF(AND(Y305&lt;&gt;"Draft",Y305&lt;&gt;"Dikirim"),"Isi status laporan yang valid",IF(AND(AA305&lt;&gt;"",AA305&lt;&gt;"Belum Diperiksa",AA305&lt;&gt;"Disetujui",AA305&lt;&gt;"Perlu Perbaikan"),"Hasil review tidak valid",IF(AND(Y305="Dikirim",OR(X305="",Z305="")),"Isi bukti dan waktu kirim",IF(AND(AA305="Disetujui",OR(Y305&lt;&gt;"Dikirim",AB305="",AC305="")),"Lengkapi pemeriksaan",IF(AND(AA305="Perlu Perbaikan",OR(AD305="",AB305="",AC305="")),"Isi pemeriksa dan catatan perbaikan","OK")))))))))))))))),"")</f>
        <v/>
      </c>
    </row>
    <row r="306" spans="1:38" ht="24.95" customHeight="1">
      <c r="A306" s="8"/>
      <c r="B306" s="6"/>
      <c r="C306" s="15" t="str">
        <f>IF(COUNTIFS(Master_PIC!$A$8:$A$73,$B306)=1,IF(VLOOKUP($B306,Master_PIC!$A$8:$G$73,2,FALSE)="","",VLOOKUP($B306,Master_PIC!$A$8:$G$73,2,FALSE)),"")</f>
        <v/>
      </c>
      <c r="D306" s="15" t="str">
        <f>IF(COUNTIFS(Master_PIC!$A$8:$A$73,$B306)=1,IF(VLOOKUP($B306,Master_PIC!$A$8:$G$73,4,FALSE)="","",VLOOKUP($B306,Master_PIC!$A$8:$G$73,4,FALSE)),"")</f>
        <v/>
      </c>
      <c r="E306" s="15" t="str">
        <f>IF(COUNTIFS(Master_PIC!$A$8:$A$73,$B306)=1,IF(VLOOKUP($B306,Master_PIC!$A$8:$G$73,5,FALSE)="","",VLOOKUP($B306,Master_PIC!$A$8:$G$73,5,FALSE)),"")</f>
        <v/>
      </c>
      <c r="F306" s="15" t="str">
        <f>IF(COUNTIFS(Master_PIC!$A$8:$A$73,$B306)=1,IF(VLOOKUP($B306,Master_PIC!$A$8:$G$73,6,FALSE)="","",VLOOKUP($B306,Master_PIC!$A$8:$G$73,6,FALSE)),"")</f>
        <v/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8"/>
      <c r="X306" s="5"/>
      <c r="Y306" s="5"/>
      <c r="Z306" s="9"/>
      <c r="AA306" s="5"/>
      <c r="AB306" s="5"/>
      <c r="AC306" s="9"/>
      <c r="AD306" s="5"/>
      <c r="AE306" s="7" t="str">
        <f t="shared" si="28"/>
        <v/>
      </c>
      <c r="AF306" s="7" t="str">
        <f t="shared" si="29"/>
        <v/>
      </c>
      <c r="AG306" s="7" t="str">
        <f t="shared" si="30"/>
        <v/>
      </c>
      <c r="AH306" s="7" t="str">
        <f t="shared" si="31"/>
        <v/>
      </c>
      <c r="AI306" s="7" t="str">
        <f t="shared" si="32"/>
        <v/>
      </c>
      <c r="AJ306" s="7" t="str">
        <f t="shared" si="33"/>
        <v/>
      </c>
      <c r="AK306" s="10" t="str">
        <f t="shared" si="34"/>
        <v/>
      </c>
      <c r="AL306" s="15" t="str">
        <f>IF(OR($A306&lt;&gt;"",$B306&lt;&gt;""),IF(OR($A306="",$B306=""),"Isi tanggal dan ID PIC",IF(NOT(ISNUMBER($A306)),"Tanggal harus berupa tanggal Excel",IF(COUNTIFS(Master_PIC!$A$8:$A$73,$B306)&lt;&gt;1,"ID PIC tidak unik/terdaftar",IF(VLOOKUP($B306,Master_PIC!$A$8:$G$73,3,FALSE)&lt;&gt;"SPV","Jabatan tidak sesuai sheet",IF(OR($C306="",$D306="",$E306="",$F306=""),"Lengkapi master PIC",IF(COUNTIFS($A$8:$A$507,$A306,$B$8:$B$507,$B306)&gt;1,"Laporan ganda",IF(COUNTIFS(G306:O306,"Tidak Berlaku")&gt;0,"N/A hanya untuk kegiatan bersyarat",IF(SUM(AF306,AG306,AH306,AI306,AJ306)&lt;&gt;13,"Status kegiatan tidak valid",IF(AJ306&gt;0,"Lengkapi status kegiatan",IF(AND(AI306&gt;0,T306=""),"Isi alasan Tidak Berlaku",IF(AND(SUM(AG306,AH306)&gt;0,OR(T306="",U306="",V306="",W306="")),"Isi kendala dan tindak lanjut",IF(AND(Y306&lt;&gt;"Draft",Y306&lt;&gt;"Dikirim"),"Isi status laporan yang valid",IF(AND(AA306&lt;&gt;"",AA306&lt;&gt;"Belum Diperiksa",AA306&lt;&gt;"Disetujui",AA306&lt;&gt;"Perlu Perbaikan"),"Hasil review tidak valid",IF(AND(Y306="Dikirim",OR(X306="",Z306="")),"Isi bukti dan waktu kirim",IF(AND(AA306="Disetujui",OR(Y306&lt;&gt;"Dikirim",AB306="",AC306="")),"Lengkapi pemeriksaan",IF(AND(AA306="Perlu Perbaikan",OR(AD306="",AB306="",AC306="")),"Isi pemeriksa dan catatan perbaikan","OK")))))))))))))))),"")</f>
        <v/>
      </c>
    </row>
    <row r="307" spans="1:38" ht="24.95" customHeight="1">
      <c r="A307" s="8"/>
      <c r="B307" s="6"/>
      <c r="C307" s="15" t="str">
        <f>IF(COUNTIFS(Master_PIC!$A$8:$A$73,$B307)=1,IF(VLOOKUP($B307,Master_PIC!$A$8:$G$73,2,FALSE)="","",VLOOKUP($B307,Master_PIC!$A$8:$G$73,2,FALSE)),"")</f>
        <v/>
      </c>
      <c r="D307" s="15" t="str">
        <f>IF(COUNTIFS(Master_PIC!$A$8:$A$73,$B307)=1,IF(VLOOKUP($B307,Master_PIC!$A$8:$G$73,4,FALSE)="","",VLOOKUP($B307,Master_PIC!$A$8:$G$73,4,FALSE)),"")</f>
        <v/>
      </c>
      <c r="E307" s="15" t="str">
        <f>IF(COUNTIFS(Master_PIC!$A$8:$A$73,$B307)=1,IF(VLOOKUP($B307,Master_PIC!$A$8:$G$73,5,FALSE)="","",VLOOKUP($B307,Master_PIC!$A$8:$G$73,5,FALSE)),"")</f>
        <v/>
      </c>
      <c r="F307" s="15" t="str">
        <f>IF(COUNTIFS(Master_PIC!$A$8:$A$73,$B307)=1,IF(VLOOKUP($B307,Master_PIC!$A$8:$G$73,6,FALSE)="","",VLOOKUP($B307,Master_PIC!$A$8:$G$73,6,FALSE)),"")</f>
        <v/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8"/>
      <c r="X307" s="5"/>
      <c r="Y307" s="5"/>
      <c r="Z307" s="9"/>
      <c r="AA307" s="5"/>
      <c r="AB307" s="5"/>
      <c r="AC307" s="9"/>
      <c r="AD307" s="5"/>
      <c r="AE307" s="7" t="str">
        <f t="shared" si="28"/>
        <v/>
      </c>
      <c r="AF307" s="7" t="str">
        <f t="shared" si="29"/>
        <v/>
      </c>
      <c r="AG307" s="7" t="str">
        <f t="shared" si="30"/>
        <v/>
      </c>
      <c r="AH307" s="7" t="str">
        <f t="shared" si="31"/>
        <v/>
      </c>
      <c r="AI307" s="7" t="str">
        <f t="shared" si="32"/>
        <v/>
      </c>
      <c r="AJ307" s="7" t="str">
        <f t="shared" si="33"/>
        <v/>
      </c>
      <c r="AK307" s="10" t="str">
        <f t="shared" si="34"/>
        <v/>
      </c>
      <c r="AL307" s="15" t="str">
        <f>IF(OR($A307&lt;&gt;"",$B307&lt;&gt;""),IF(OR($A307="",$B307=""),"Isi tanggal dan ID PIC",IF(NOT(ISNUMBER($A307)),"Tanggal harus berupa tanggal Excel",IF(COUNTIFS(Master_PIC!$A$8:$A$73,$B307)&lt;&gt;1,"ID PIC tidak unik/terdaftar",IF(VLOOKUP($B307,Master_PIC!$A$8:$G$73,3,FALSE)&lt;&gt;"SPV","Jabatan tidak sesuai sheet",IF(OR($C307="",$D307="",$E307="",$F307=""),"Lengkapi master PIC",IF(COUNTIFS($A$8:$A$507,$A307,$B$8:$B$507,$B307)&gt;1,"Laporan ganda",IF(COUNTIFS(G307:O307,"Tidak Berlaku")&gt;0,"N/A hanya untuk kegiatan bersyarat",IF(SUM(AF307,AG307,AH307,AI307,AJ307)&lt;&gt;13,"Status kegiatan tidak valid",IF(AJ307&gt;0,"Lengkapi status kegiatan",IF(AND(AI307&gt;0,T307=""),"Isi alasan Tidak Berlaku",IF(AND(SUM(AG307,AH307)&gt;0,OR(T307="",U307="",V307="",W307="")),"Isi kendala dan tindak lanjut",IF(AND(Y307&lt;&gt;"Draft",Y307&lt;&gt;"Dikirim"),"Isi status laporan yang valid",IF(AND(AA307&lt;&gt;"",AA307&lt;&gt;"Belum Diperiksa",AA307&lt;&gt;"Disetujui",AA307&lt;&gt;"Perlu Perbaikan"),"Hasil review tidak valid",IF(AND(Y307="Dikirim",OR(X307="",Z307="")),"Isi bukti dan waktu kirim",IF(AND(AA307="Disetujui",OR(Y307&lt;&gt;"Dikirim",AB307="",AC307="")),"Lengkapi pemeriksaan",IF(AND(AA307="Perlu Perbaikan",OR(AD307="",AB307="",AC307="")),"Isi pemeriksa dan catatan perbaikan","OK")))))))))))))))),"")</f>
        <v/>
      </c>
    </row>
    <row r="308" spans="1:38" ht="24.95" customHeight="1">
      <c r="A308" s="8"/>
      <c r="B308" s="6"/>
      <c r="C308" s="15" t="str">
        <f>IF(COUNTIFS(Master_PIC!$A$8:$A$73,$B308)=1,IF(VLOOKUP($B308,Master_PIC!$A$8:$G$73,2,FALSE)="","",VLOOKUP($B308,Master_PIC!$A$8:$G$73,2,FALSE)),"")</f>
        <v/>
      </c>
      <c r="D308" s="15" t="str">
        <f>IF(COUNTIFS(Master_PIC!$A$8:$A$73,$B308)=1,IF(VLOOKUP($B308,Master_PIC!$A$8:$G$73,4,FALSE)="","",VLOOKUP($B308,Master_PIC!$A$8:$G$73,4,FALSE)),"")</f>
        <v/>
      </c>
      <c r="E308" s="15" t="str">
        <f>IF(COUNTIFS(Master_PIC!$A$8:$A$73,$B308)=1,IF(VLOOKUP($B308,Master_PIC!$A$8:$G$73,5,FALSE)="","",VLOOKUP($B308,Master_PIC!$A$8:$G$73,5,FALSE)),"")</f>
        <v/>
      </c>
      <c r="F308" s="15" t="str">
        <f>IF(COUNTIFS(Master_PIC!$A$8:$A$73,$B308)=1,IF(VLOOKUP($B308,Master_PIC!$A$8:$G$73,6,FALSE)="","",VLOOKUP($B308,Master_PIC!$A$8:$G$73,6,FALSE)),"")</f>
        <v/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8"/>
      <c r="X308" s="5"/>
      <c r="Y308" s="5"/>
      <c r="Z308" s="9"/>
      <c r="AA308" s="5"/>
      <c r="AB308" s="5"/>
      <c r="AC308" s="9"/>
      <c r="AD308" s="5"/>
      <c r="AE308" s="7" t="str">
        <f t="shared" si="28"/>
        <v/>
      </c>
      <c r="AF308" s="7" t="str">
        <f t="shared" si="29"/>
        <v/>
      </c>
      <c r="AG308" s="7" t="str">
        <f t="shared" si="30"/>
        <v/>
      </c>
      <c r="AH308" s="7" t="str">
        <f t="shared" si="31"/>
        <v/>
      </c>
      <c r="AI308" s="7" t="str">
        <f t="shared" si="32"/>
        <v/>
      </c>
      <c r="AJ308" s="7" t="str">
        <f t="shared" si="33"/>
        <v/>
      </c>
      <c r="AK308" s="10" t="str">
        <f t="shared" si="34"/>
        <v/>
      </c>
      <c r="AL308" s="15" t="str">
        <f>IF(OR($A308&lt;&gt;"",$B308&lt;&gt;""),IF(OR($A308="",$B308=""),"Isi tanggal dan ID PIC",IF(NOT(ISNUMBER($A308)),"Tanggal harus berupa tanggal Excel",IF(COUNTIFS(Master_PIC!$A$8:$A$73,$B308)&lt;&gt;1,"ID PIC tidak unik/terdaftar",IF(VLOOKUP($B308,Master_PIC!$A$8:$G$73,3,FALSE)&lt;&gt;"SPV","Jabatan tidak sesuai sheet",IF(OR($C308="",$D308="",$E308="",$F308=""),"Lengkapi master PIC",IF(COUNTIFS($A$8:$A$507,$A308,$B$8:$B$507,$B308)&gt;1,"Laporan ganda",IF(COUNTIFS(G308:O308,"Tidak Berlaku")&gt;0,"N/A hanya untuk kegiatan bersyarat",IF(SUM(AF308,AG308,AH308,AI308,AJ308)&lt;&gt;13,"Status kegiatan tidak valid",IF(AJ308&gt;0,"Lengkapi status kegiatan",IF(AND(AI308&gt;0,T308=""),"Isi alasan Tidak Berlaku",IF(AND(SUM(AG308,AH308)&gt;0,OR(T308="",U308="",V308="",W308="")),"Isi kendala dan tindak lanjut",IF(AND(Y308&lt;&gt;"Draft",Y308&lt;&gt;"Dikirim"),"Isi status laporan yang valid",IF(AND(AA308&lt;&gt;"",AA308&lt;&gt;"Belum Diperiksa",AA308&lt;&gt;"Disetujui",AA308&lt;&gt;"Perlu Perbaikan"),"Hasil review tidak valid",IF(AND(Y308="Dikirim",OR(X308="",Z308="")),"Isi bukti dan waktu kirim",IF(AND(AA308="Disetujui",OR(Y308&lt;&gt;"Dikirim",AB308="",AC308="")),"Lengkapi pemeriksaan",IF(AND(AA308="Perlu Perbaikan",OR(AD308="",AB308="",AC308="")),"Isi pemeriksa dan catatan perbaikan","OK")))))))))))))))),"")</f>
        <v/>
      </c>
    </row>
    <row r="309" spans="1:38" ht="24.95" customHeight="1">
      <c r="A309" s="8"/>
      <c r="B309" s="6"/>
      <c r="C309" s="15" t="str">
        <f>IF(COUNTIFS(Master_PIC!$A$8:$A$73,$B309)=1,IF(VLOOKUP($B309,Master_PIC!$A$8:$G$73,2,FALSE)="","",VLOOKUP($B309,Master_PIC!$A$8:$G$73,2,FALSE)),"")</f>
        <v/>
      </c>
      <c r="D309" s="15" t="str">
        <f>IF(COUNTIFS(Master_PIC!$A$8:$A$73,$B309)=1,IF(VLOOKUP($B309,Master_PIC!$A$8:$G$73,4,FALSE)="","",VLOOKUP($B309,Master_PIC!$A$8:$G$73,4,FALSE)),"")</f>
        <v/>
      </c>
      <c r="E309" s="15" t="str">
        <f>IF(COUNTIFS(Master_PIC!$A$8:$A$73,$B309)=1,IF(VLOOKUP($B309,Master_PIC!$A$8:$G$73,5,FALSE)="","",VLOOKUP($B309,Master_PIC!$A$8:$G$73,5,FALSE)),"")</f>
        <v/>
      </c>
      <c r="F309" s="15" t="str">
        <f>IF(COUNTIFS(Master_PIC!$A$8:$A$73,$B309)=1,IF(VLOOKUP($B309,Master_PIC!$A$8:$G$73,6,FALSE)="","",VLOOKUP($B309,Master_PIC!$A$8:$G$73,6,FALSE)),"")</f>
        <v/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8"/>
      <c r="X309" s="5"/>
      <c r="Y309" s="5"/>
      <c r="Z309" s="9"/>
      <c r="AA309" s="5"/>
      <c r="AB309" s="5"/>
      <c r="AC309" s="9"/>
      <c r="AD309" s="5"/>
      <c r="AE309" s="7" t="str">
        <f t="shared" si="28"/>
        <v/>
      </c>
      <c r="AF309" s="7" t="str">
        <f t="shared" si="29"/>
        <v/>
      </c>
      <c r="AG309" s="7" t="str">
        <f t="shared" si="30"/>
        <v/>
      </c>
      <c r="AH309" s="7" t="str">
        <f t="shared" si="31"/>
        <v/>
      </c>
      <c r="AI309" s="7" t="str">
        <f t="shared" si="32"/>
        <v/>
      </c>
      <c r="AJ309" s="7" t="str">
        <f t="shared" si="33"/>
        <v/>
      </c>
      <c r="AK309" s="10" t="str">
        <f t="shared" si="34"/>
        <v/>
      </c>
      <c r="AL309" s="15" t="str">
        <f>IF(OR($A309&lt;&gt;"",$B309&lt;&gt;""),IF(OR($A309="",$B309=""),"Isi tanggal dan ID PIC",IF(NOT(ISNUMBER($A309)),"Tanggal harus berupa tanggal Excel",IF(COUNTIFS(Master_PIC!$A$8:$A$73,$B309)&lt;&gt;1,"ID PIC tidak unik/terdaftar",IF(VLOOKUP($B309,Master_PIC!$A$8:$G$73,3,FALSE)&lt;&gt;"SPV","Jabatan tidak sesuai sheet",IF(OR($C309="",$D309="",$E309="",$F309=""),"Lengkapi master PIC",IF(COUNTIFS($A$8:$A$507,$A309,$B$8:$B$507,$B309)&gt;1,"Laporan ganda",IF(COUNTIFS(G309:O309,"Tidak Berlaku")&gt;0,"N/A hanya untuk kegiatan bersyarat",IF(SUM(AF309,AG309,AH309,AI309,AJ309)&lt;&gt;13,"Status kegiatan tidak valid",IF(AJ309&gt;0,"Lengkapi status kegiatan",IF(AND(AI309&gt;0,T309=""),"Isi alasan Tidak Berlaku",IF(AND(SUM(AG309,AH309)&gt;0,OR(T309="",U309="",V309="",W309="")),"Isi kendala dan tindak lanjut",IF(AND(Y309&lt;&gt;"Draft",Y309&lt;&gt;"Dikirim"),"Isi status laporan yang valid",IF(AND(AA309&lt;&gt;"",AA309&lt;&gt;"Belum Diperiksa",AA309&lt;&gt;"Disetujui",AA309&lt;&gt;"Perlu Perbaikan"),"Hasil review tidak valid",IF(AND(Y309="Dikirim",OR(X309="",Z309="")),"Isi bukti dan waktu kirim",IF(AND(AA309="Disetujui",OR(Y309&lt;&gt;"Dikirim",AB309="",AC309="")),"Lengkapi pemeriksaan",IF(AND(AA309="Perlu Perbaikan",OR(AD309="",AB309="",AC309="")),"Isi pemeriksa dan catatan perbaikan","OK")))))))))))))))),"")</f>
        <v/>
      </c>
    </row>
    <row r="310" spans="1:38" ht="24.95" customHeight="1">
      <c r="A310" s="8"/>
      <c r="B310" s="6"/>
      <c r="C310" s="15" t="str">
        <f>IF(COUNTIFS(Master_PIC!$A$8:$A$73,$B310)=1,IF(VLOOKUP($B310,Master_PIC!$A$8:$G$73,2,FALSE)="","",VLOOKUP($B310,Master_PIC!$A$8:$G$73,2,FALSE)),"")</f>
        <v/>
      </c>
      <c r="D310" s="15" t="str">
        <f>IF(COUNTIFS(Master_PIC!$A$8:$A$73,$B310)=1,IF(VLOOKUP($B310,Master_PIC!$A$8:$G$73,4,FALSE)="","",VLOOKUP($B310,Master_PIC!$A$8:$G$73,4,FALSE)),"")</f>
        <v/>
      </c>
      <c r="E310" s="15" t="str">
        <f>IF(COUNTIFS(Master_PIC!$A$8:$A$73,$B310)=1,IF(VLOOKUP($B310,Master_PIC!$A$8:$G$73,5,FALSE)="","",VLOOKUP($B310,Master_PIC!$A$8:$G$73,5,FALSE)),"")</f>
        <v/>
      </c>
      <c r="F310" s="15" t="str">
        <f>IF(COUNTIFS(Master_PIC!$A$8:$A$73,$B310)=1,IF(VLOOKUP($B310,Master_PIC!$A$8:$G$73,6,FALSE)="","",VLOOKUP($B310,Master_PIC!$A$8:$G$73,6,FALSE)),"")</f>
        <v/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8"/>
      <c r="X310" s="5"/>
      <c r="Y310" s="5"/>
      <c r="Z310" s="9"/>
      <c r="AA310" s="5"/>
      <c r="AB310" s="5"/>
      <c r="AC310" s="9"/>
      <c r="AD310" s="5"/>
      <c r="AE310" s="7" t="str">
        <f t="shared" si="28"/>
        <v/>
      </c>
      <c r="AF310" s="7" t="str">
        <f t="shared" si="29"/>
        <v/>
      </c>
      <c r="AG310" s="7" t="str">
        <f t="shared" si="30"/>
        <v/>
      </c>
      <c r="AH310" s="7" t="str">
        <f t="shared" si="31"/>
        <v/>
      </c>
      <c r="AI310" s="7" t="str">
        <f t="shared" si="32"/>
        <v/>
      </c>
      <c r="AJ310" s="7" t="str">
        <f t="shared" si="33"/>
        <v/>
      </c>
      <c r="AK310" s="10" t="str">
        <f t="shared" si="34"/>
        <v/>
      </c>
      <c r="AL310" s="15" t="str">
        <f>IF(OR($A310&lt;&gt;"",$B310&lt;&gt;""),IF(OR($A310="",$B310=""),"Isi tanggal dan ID PIC",IF(NOT(ISNUMBER($A310)),"Tanggal harus berupa tanggal Excel",IF(COUNTIFS(Master_PIC!$A$8:$A$73,$B310)&lt;&gt;1,"ID PIC tidak unik/terdaftar",IF(VLOOKUP($B310,Master_PIC!$A$8:$G$73,3,FALSE)&lt;&gt;"SPV","Jabatan tidak sesuai sheet",IF(OR($C310="",$D310="",$E310="",$F310=""),"Lengkapi master PIC",IF(COUNTIFS($A$8:$A$507,$A310,$B$8:$B$507,$B310)&gt;1,"Laporan ganda",IF(COUNTIFS(G310:O310,"Tidak Berlaku")&gt;0,"N/A hanya untuk kegiatan bersyarat",IF(SUM(AF310,AG310,AH310,AI310,AJ310)&lt;&gt;13,"Status kegiatan tidak valid",IF(AJ310&gt;0,"Lengkapi status kegiatan",IF(AND(AI310&gt;0,T310=""),"Isi alasan Tidak Berlaku",IF(AND(SUM(AG310,AH310)&gt;0,OR(T310="",U310="",V310="",W310="")),"Isi kendala dan tindak lanjut",IF(AND(Y310&lt;&gt;"Draft",Y310&lt;&gt;"Dikirim"),"Isi status laporan yang valid",IF(AND(AA310&lt;&gt;"",AA310&lt;&gt;"Belum Diperiksa",AA310&lt;&gt;"Disetujui",AA310&lt;&gt;"Perlu Perbaikan"),"Hasil review tidak valid",IF(AND(Y310="Dikirim",OR(X310="",Z310="")),"Isi bukti dan waktu kirim",IF(AND(AA310="Disetujui",OR(Y310&lt;&gt;"Dikirim",AB310="",AC310="")),"Lengkapi pemeriksaan",IF(AND(AA310="Perlu Perbaikan",OR(AD310="",AB310="",AC310="")),"Isi pemeriksa dan catatan perbaikan","OK")))))))))))))))),"")</f>
        <v/>
      </c>
    </row>
    <row r="311" spans="1:38" ht="24.95" customHeight="1">
      <c r="A311" s="8"/>
      <c r="B311" s="6"/>
      <c r="C311" s="15" t="str">
        <f>IF(COUNTIFS(Master_PIC!$A$8:$A$73,$B311)=1,IF(VLOOKUP($B311,Master_PIC!$A$8:$G$73,2,FALSE)="","",VLOOKUP($B311,Master_PIC!$A$8:$G$73,2,FALSE)),"")</f>
        <v/>
      </c>
      <c r="D311" s="15" t="str">
        <f>IF(COUNTIFS(Master_PIC!$A$8:$A$73,$B311)=1,IF(VLOOKUP($B311,Master_PIC!$A$8:$G$73,4,FALSE)="","",VLOOKUP($B311,Master_PIC!$A$8:$G$73,4,FALSE)),"")</f>
        <v/>
      </c>
      <c r="E311" s="15" t="str">
        <f>IF(COUNTIFS(Master_PIC!$A$8:$A$73,$B311)=1,IF(VLOOKUP($B311,Master_PIC!$A$8:$G$73,5,FALSE)="","",VLOOKUP($B311,Master_PIC!$A$8:$G$73,5,FALSE)),"")</f>
        <v/>
      </c>
      <c r="F311" s="15" t="str">
        <f>IF(COUNTIFS(Master_PIC!$A$8:$A$73,$B311)=1,IF(VLOOKUP($B311,Master_PIC!$A$8:$G$73,6,FALSE)="","",VLOOKUP($B311,Master_PIC!$A$8:$G$73,6,FALSE)),"")</f>
        <v/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9"/>
      <c r="AA311" s="5"/>
      <c r="AB311" s="5"/>
      <c r="AC311" s="9"/>
      <c r="AD311" s="5"/>
      <c r="AE311" s="7" t="str">
        <f t="shared" si="28"/>
        <v/>
      </c>
      <c r="AF311" s="7" t="str">
        <f t="shared" si="29"/>
        <v/>
      </c>
      <c r="AG311" s="7" t="str">
        <f t="shared" si="30"/>
        <v/>
      </c>
      <c r="AH311" s="7" t="str">
        <f t="shared" si="31"/>
        <v/>
      </c>
      <c r="AI311" s="7" t="str">
        <f t="shared" si="32"/>
        <v/>
      </c>
      <c r="AJ311" s="7" t="str">
        <f t="shared" si="33"/>
        <v/>
      </c>
      <c r="AK311" s="10" t="str">
        <f t="shared" si="34"/>
        <v/>
      </c>
      <c r="AL311" s="15" t="str">
        <f>IF(OR($A311&lt;&gt;"",$B311&lt;&gt;""),IF(OR($A311="",$B311=""),"Isi tanggal dan ID PIC",IF(NOT(ISNUMBER($A311)),"Tanggal harus berupa tanggal Excel",IF(COUNTIFS(Master_PIC!$A$8:$A$73,$B311)&lt;&gt;1,"ID PIC tidak unik/terdaftar",IF(VLOOKUP($B311,Master_PIC!$A$8:$G$73,3,FALSE)&lt;&gt;"SPV","Jabatan tidak sesuai sheet",IF(OR($C311="",$D311="",$E311="",$F311=""),"Lengkapi master PIC",IF(COUNTIFS($A$8:$A$507,$A311,$B$8:$B$507,$B311)&gt;1,"Laporan ganda",IF(COUNTIFS(G311:O311,"Tidak Berlaku")&gt;0,"N/A hanya untuk kegiatan bersyarat",IF(SUM(AF311,AG311,AH311,AI311,AJ311)&lt;&gt;13,"Status kegiatan tidak valid",IF(AJ311&gt;0,"Lengkapi status kegiatan",IF(AND(AI311&gt;0,T311=""),"Isi alasan Tidak Berlaku",IF(AND(SUM(AG311,AH311)&gt;0,OR(T311="",U311="",V311="",W311="")),"Isi kendala dan tindak lanjut",IF(AND(Y311&lt;&gt;"Draft",Y311&lt;&gt;"Dikirim"),"Isi status laporan yang valid",IF(AND(AA311&lt;&gt;"",AA311&lt;&gt;"Belum Diperiksa",AA311&lt;&gt;"Disetujui",AA311&lt;&gt;"Perlu Perbaikan"),"Hasil review tidak valid",IF(AND(Y311="Dikirim",OR(X311="",Z311="")),"Isi bukti dan waktu kirim",IF(AND(AA311="Disetujui",OR(Y311&lt;&gt;"Dikirim",AB311="",AC311="")),"Lengkapi pemeriksaan",IF(AND(AA311="Perlu Perbaikan",OR(AD311="",AB311="",AC311="")),"Isi pemeriksa dan catatan perbaikan","OK")))))))))))))))),"")</f>
        <v/>
      </c>
    </row>
    <row r="312" spans="1:38" ht="24.95" customHeight="1">
      <c r="A312" s="8"/>
      <c r="B312" s="6"/>
      <c r="C312" s="15" t="str">
        <f>IF(COUNTIFS(Master_PIC!$A$8:$A$73,$B312)=1,IF(VLOOKUP($B312,Master_PIC!$A$8:$G$73,2,FALSE)="","",VLOOKUP($B312,Master_PIC!$A$8:$G$73,2,FALSE)),"")</f>
        <v/>
      </c>
      <c r="D312" s="15" t="str">
        <f>IF(COUNTIFS(Master_PIC!$A$8:$A$73,$B312)=1,IF(VLOOKUP($B312,Master_PIC!$A$8:$G$73,4,FALSE)="","",VLOOKUP($B312,Master_PIC!$A$8:$G$73,4,FALSE)),"")</f>
        <v/>
      </c>
      <c r="E312" s="15" t="str">
        <f>IF(COUNTIFS(Master_PIC!$A$8:$A$73,$B312)=1,IF(VLOOKUP($B312,Master_PIC!$A$8:$G$73,5,FALSE)="","",VLOOKUP($B312,Master_PIC!$A$8:$G$73,5,FALSE)),"")</f>
        <v/>
      </c>
      <c r="F312" s="15" t="str">
        <f>IF(COUNTIFS(Master_PIC!$A$8:$A$73,$B312)=1,IF(VLOOKUP($B312,Master_PIC!$A$8:$G$73,6,FALSE)="","",VLOOKUP($B312,Master_PIC!$A$8:$G$73,6,FALSE)),"")</f>
        <v/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9"/>
      <c r="AA312" s="5"/>
      <c r="AB312" s="5"/>
      <c r="AC312" s="9"/>
      <c r="AD312" s="5"/>
      <c r="AE312" s="7" t="str">
        <f t="shared" si="28"/>
        <v/>
      </c>
      <c r="AF312" s="7" t="str">
        <f t="shared" si="29"/>
        <v/>
      </c>
      <c r="AG312" s="7" t="str">
        <f t="shared" si="30"/>
        <v/>
      </c>
      <c r="AH312" s="7" t="str">
        <f t="shared" si="31"/>
        <v/>
      </c>
      <c r="AI312" s="7" t="str">
        <f t="shared" si="32"/>
        <v/>
      </c>
      <c r="AJ312" s="7" t="str">
        <f t="shared" si="33"/>
        <v/>
      </c>
      <c r="AK312" s="10" t="str">
        <f t="shared" si="34"/>
        <v/>
      </c>
      <c r="AL312" s="15" t="str">
        <f>IF(OR($A312&lt;&gt;"",$B312&lt;&gt;""),IF(OR($A312="",$B312=""),"Isi tanggal dan ID PIC",IF(NOT(ISNUMBER($A312)),"Tanggal harus berupa tanggal Excel",IF(COUNTIFS(Master_PIC!$A$8:$A$73,$B312)&lt;&gt;1,"ID PIC tidak unik/terdaftar",IF(VLOOKUP($B312,Master_PIC!$A$8:$G$73,3,FALSE)&lt;&gt;"SPV","Jabatan tidak sesuai sheet",IF(OR($C312="",$D312="",$E312="",$F312=""),"Lengkapi master PIC",IF(COUNTIFS($A$8:$A$507,$A312,$B$8:$B$507,$B312)&gt;1,"Laporan ganda",IF(COUNTIFS(G312:O312,"Tidak Berlaku")&gt;0,"N/A hanya untuk kegiatan bersyarat",IF(SUM(AF312,AG312,AH312,AI312,AJ312)&lt;&gt;13,"Status kegiatan tidak valid",IF(AJ312&gt;0,"Lengkapi status kegiatan",IF(AND(AI312&gt;0,T312=""),"Isi alasan Tidak Berlaku",IF(AND(SUM(AG312,AH312)&gt;0,OR(T312="",U312="",V312="",W312="")),"Isi kendala dan tindak lanjut",IF(AND(Y312&lt;&gt;"Draft",Y312&lt;&gt;"Dikirim"),"Isi status laporan yang valid",IF(AND(AA312&lt;&gt;"",AA312&lt;&gt;"Belum Diperiksa",AA312&lt;&gt;"Disetujui",AA312&lt;&gt;"Perlu Perbaikan"),"Hasil review tidak valid",IF(AND(Y312="Dikirim",OR(X312="",Z312="")),"Isi bukti dan waktu kirim",IF(AND(AA312="Disetujui",OR(Y312&lt;&gt;"Dikirim",AB312="",AC312="")),"Lengkapi pemeriksaan",IF(AND(AA312="Perlu Perbaikan",OR(AD312="",AB312="",AC312="")),"Isi pemeriksa dan catatan perbaikan","OK")))))))))))))))),"")</f>
        <v/>
      </c>
    </row>
    <row r="313" spans="1:38" ht="24.95" customHeight="1">
      <c r="A313" s="8"/>
      <c r="B313" s="6"/>
      <c r="C313" s="15" t="str">
        <f>IF(COUNTIFS(Master_PIC!$A$8:$A$73,$B313)=1,IF(VLOOKUP($B313,Master_PIC!$A$8:$G$73,2,FALSE)="","",VLOOKUP($B313,Master_PIC!$A$8:$G$73,2,FALSE)),"")</f>
        <v/>
      </c>
      <c r="D313" s="15" t="str">
        <f>IF(COUNTIFS(Master_PIC!$A$8:$A$73,$B313)=1,IF(VLOOKUP($B313,Master_PIC!$A$8:$G$73,4,FALSE)="","",VLOOKUP($B313,Master_PIC!$A$8:$G$73,4,FALSE)),"")</f>
        <v/>
      </c>
      <c r="E313" s="15" t="str">
        <f>IF(COUNTIFS(Master_PIC!$A$8:$A$73,$B313)=1,IF(VLOOKUP($B313,Master_PIC!$A$8:$G$73,5,FALSE)="","",VLOOKUP($B313,Master_PIC!$A$8:$G$73,5,FALSE)),"")</f>
        <v/>
      </c>
      <c r="F313" s="15" t="str">
        <f>IF(COUNTIFS(Master_PIC!$A$8:$A$73,$B313)=1,IF(VLOOKUP($B313,Master_PIC!$A$8:$G$73,6,FALSE)="","",VLOOKUP($B313,Master_PIC!$A$8:$G$73,6,FALSE)),"")</f>
        <v/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8"/>
      <c r="X313" s="5"/>
      <c r="Y313" s="5"/>
      <c r="Z313" s="9"/>
      <c r="AA313" s="5"/>
      <c r="AB313" s="5"/>
      <c r="AC313" s="9"/>
      <c r="AD313" s="5"/>
      <c r="AE313" s="7" t="str">
        <f t="shared" si="28"/>
        <v/>
      </c>
      <c r="AF313" s="7" t="str">
        <f t="shared" si="29"/>
        <v/>
      </c>
      <c r="AG313" s="7" t="str">
        <f t="shared" si="30"/>
        <v/>
      </c>
      <c r="AH313" s="7" t="str">
        <f t="shared" si="31"/>
        <v/>
      </c>
      <c r="AI313" s="7" t="str">
        <f t="shared" si="32"/>
        <v/>
      </c>
      <c r="AJ313" s="7" t="str">
        <f t="shared" si="33"/>
        <v/>
      </c>
      <c r="AK313" s="10" t="str">
        <f t="shared" si="34"/>
        <v/>
      </c>
      <c r="AL313" s="15" t="str">
        <f>IF(OR($A313&lt;&gt;"",$B313&lt;&gt;""),IF(OR($A313="",$B313=""),"Isi tanggal dan ID PIC",IF(NOT(ISNUMBER($A313)),"Tanggal harus berupa tanggal Excel",IF(COUNTIFS(Master_PIC!$A$8:$A$73,$B313)&lt;&gt;1,"ID PIC tidak unik/terdaftar",IF(VLOOKUP($B313,Master_PIC!$A$8:$G$73,3,FALSE)&lt;&gt;"SPV","Jabatan tidak sesuai sheet",IF(OR($C313="",$D313="",$E313="",$F313=""),"Lengkapi master PIC",IF(COUNTIFS($A$8:$A$507,$A313,$B$8:$B$507,$B313)&gt;1,"Laporan ganda",IF(COUNTIFS(G313:O313,"Tidak Berlaku")&gt;0,"N/A hanya untuk kegiatan bersyarat",IF(SUM(AF313,AG313,AH313,AI313,AJ313)&lt;&gt;13,"Status kegiatan tidak valid",IF(AJ313&gt;0,"Lengkapi status kegiatan",IF(AND(AI313&gt;0,T313=""),"Isi alasan Tidak Berlaku",IF(AND(SUM(AG313,AH313)&gt;0,OR(T313="",U313="",V313="",W313="")),"Isi kendala dan tindak lanjut",IF(AND(Y313&lt;&gt;"Draft",Y313&lt;&gt;"Dikirim"),"Isi status laporan yang valid",IF(AND(AA313&lt;&gt;"",AA313&lt;&gt;"Belum Diperiksa",AA313&lt;&gt;"Disetujui",AA313&lt;&gt;"Perlu Perbaikan"),"Hasil review tidak valid",IF(AND(Y313="Dikirim",OR(X313="",Z313="")),"Isi bukti dan waktu kirim",IF(AND(AA313="Disetujui",OR(Y313&lt;&gt;"Dikirim",AB313="",AC313="")),"Lengkapi pemeriksaan",IF(AND(AA313="Perlu Perbaikan",OR(AD313="",AB313="",AC313="")),"Isi pemeriksa dan catatan perbaikan","OK")))))))))))))))),"")</f>
        <v/>
      </c>
    </row>
    <row r="314" spans="1:38" ht="24.95" customHeight="1">
      <c r="A314" s="8"/>
      <c r="B314" s="6"/>
      <c r="C314" s="15" t="str">
        <f>IF(COUNTIFS(Master_PIC!$A$8:$A$73,$B314)=1,IF(VLOOKUP($B314,Master_PIC!$A$8:$G$73,2,FALSE)="","",VLOOKUP($B314,Master_PIC!$A$8:$G$73,2,FALSE)),"")</f>
        <v/>
      </c>
      <c r="D314" s="15" t="str">
        <f>IF(COUNTIFS(Master_PIC!$A$8:$A$73,$B314)=1,IF(VLOOKUP($B314,Master_PIC!$A$8:$G$73,4,FALSE)="","",VLOOKUP($B314,Master_PIC!$A$8:$G$73,4,FALSE)),"")</f>
        <v/>
      </c>
      <c r="E314" s="15" t="str">
        <f>IF(COUNTIFS(Master_PIC!$A$8:$A$73,$B314)=1,IF(VLOOKUP($B314,Master_PIC!$A$8:$G$73,5,FALSE)="","",VLOOKUP($B314,Master_PIC!$A$8:$G$73,5,FALSE)),"")</f>
        <v/>
      </c>
      <c r="F314" s="15" t="str">
        <f>IF(COUNTIFS(Master_PIC!$A$8:$A$73,$B314)=1,IF(VLOOKUP($B314,Master_PIC!$A$8:$G$73,6,FALSE)="","",VLOOKUP($B314,Master_PIC!$A$8:$G$73,6,FALSE)),"")</f>
        <v/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8"/>
      <c r="X314" s="5"/>
      <c r="Y314" s="5"/>
      <c r="Z314" s="9"/>
      <c r="AA314" s="5"/>
      <c r="AB314" s="5"/>
      <c r="AC314" s="9"/>
      <c r="AD314" s="5"/>
      <c r="AE314" s="7" t="str">
        <f t="shared" si="28"/>
        <v/>
      </c>
      <c r="AF314" s="7" t="str">
        <f t="shared" si="29"/>
        <v/>
      </c>
      <c r="AG314" s="7" t="str">
        <f t="shared" si="30"/>
        <v/>
      </c>
      <c r="AH314" s="7" t="str">
        <f t="shared" si="31"/>
        <v/>
      </c>
      <c r="AI314" s="7" t="str">
        <f t="shared" si="32"/>
        <v/>
      </c>
      <c r="AJ314" s="7" t="str">
        <f t="shared" si="33"/>
        <v/>
      </c>
      <c r="AK314" s="10" t="str">
        <f t="shared" si="34"/>
        <v/>
      </c>
      <c r="AL314" s="15" t="str">
        <f>IF(OR($A314&lt;&gt;"",$B314&lt;&gt;""),IF(OR($A314="",$B314=""),"Isi tanggal dan ID PIC",IF(NOT(ISNUMBER($A314)),"Tanggal harus berupa tanggal Excel",IF(COUNTIFS(Master_PIC!$A$8:$A$73,$B314)&lt;&gt;1,"ID PIC tidak unik/terdaftar",IF(VLOOKUP($B314,Master_PIC!$A$8:$G$73,3,FALSE)&lt;&gt;"SPV","Jabatan tidak sesuai sheet",IF(OR($C314="",$D314="",$E314="",$F314=""),"Lengkapi master PIC",IF(COUNTIFS($A$8:$A$507,$A314,$B$8:$B$507,$B314)&gt;1,"Laporan ganda",IF(COUNTIFS(G314:O314,"Tidak Berlaku")&gt;0,"N/A hanya untuk kegiatan bersyarat",IF(SUM(AF314,AG314,AH314,AI314,AJ314)&lt;&gt;13,"Status kegiatan tidak valid",IF(AJ314&gt;0,"Lengkapi status kegiatan",IF(AND(AI314&gt;0,T314=""),"Isi alasan Tidak Berlaku",IF(AND(SUM(AG314,AH314)&gt;0,OR(T314="",U314="",V314="",W314="")),"Isi kendala dan tindak lanjut",IF(AND(Y314&lt;&gt;"Draft",Y314&lt;&gt;"Dikirim"),"Isi status laporan yang valid",IF(AND(AA314&lt;&gt;"",AA314&lt;&gt;"Belum Diperiksa",AA314&lt;&gt;"Disetujui",AA314&lt;&gt;"Perlu Perbaikan"),"Hasil review tidak valid",IF(AND(Y314="Dikirim",OR(X314="",Z314="")),"Isi bukti dan waktu kirim",IF(AND(AA314="Disetujui",OR(Y314&lt;&gt;"Dikirim",AB314="",AC314="")),"Lengkapi pemeriksaan",IF(AND(AA314="Perlu Perbaikan",OR(AD314="",AB314="",AC314="")),"Isi pemeriksa dan catatan perbaikan","OK")))))))))))))))),"")</f>
        <v/>
      </c>
    </row>
    <row r="315" spans="1:38" ht="24.95" customHeight="1">
      <c r="A315" s="8"/>
      <c r="B315" s="6"/>
      <c r="C315" s="15" t="str">
        <f>IF(COUNTIFS(Master_PIC!$A$8:$A$73,$B315)=1,IF(VLOOKUP($B315,Master_PIC!$A$8:$G$73,2,FALSE)="","",VLOOKUP($B315,Master_PIC!$A$8:$G$73,2,FALSE)),"")</f>
        <v/>
      </c>
      <c r="D315" s="15" t="str">
        <f>IF(COUNTIFS(Master_PIC!$A$8:$A$73,$B315)=1,IF(VLOOKUP($B315,Master_PIC!$A$8:$G$73,4,FALSE)="","",VLOOKUP($B315,Master_PIC!$A$8:$G$73,4,FALSE)),"")</f>
        <v/>
      </c>
      <c r="E315" s="15" t="str">
        <f>IF(COUNTIFS(Master_PIC!$A$8:$A$73,$B315)=1,IF(VLOOKUP($B315,Master_PIC!$A$8:$G$73,5,FALSE)="","",VLOOKUP($B315,Master_PIC!$A$8:$G$73,5,FALSE)),"")</f>
        <v/>
      </c>
      <c r="F315" s="15" t="str">
        <f>IF(COUNTIFS(Master_PIC!$A$8:$A$73,$B315)=1,IF(VLOOKUP($B315,Master_PIC!$A$8:$G$73,6,FALSE)="","",VLOOKUP($B315,Master_PIC!$A$8:$G$73,6,FALSE)),"")</f>
        <v/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8"/>
      <c r="X315" s="5"/>
      <c r="Y315" s="5"/>
      <c r="Z315" s="9"/>
      <c r="AA315" s="5"/>
      <c r="AB315" s="5"/>
      <c r="AC315" s="9"/>
      <c r="AD315" s="5"/>
      <c r="AE315" s="7" t="str">
        <f t="shared" si="28"/>
        <v/>
      </c>
      <c r="AF315" s="7" t="str">
        <f t="shared" si="29"/>
        <v/>
      </c>
      <c r="AG315" s="7" t="str">
        <f t="shared" si="30"/>
        <v/>
      </c>
      <c r="AH315" s="7" t="str">
        <f t="shared" si="31"/>
        <v/>
      </c>
      <c r="AI315" s="7" t="str">
        <f t="shared" si="32"/>
        <v/>
      </c>
      <c r="AJ315" s="7" t="str">
        <f t="shared" si="33"/>
        <v/>
      </c>
      <c r="AK315" s="10" t="str">
        <f t="shared" si="34"/>
        <v/>
      </c>
      <c r="AL315" s="15" t="str">
        <f>IF(OR($A315&lt;&gt;"",$B315&lt;&gt;""),IF(OR($A315="",$B315=""),"Isi tanggal dan ID PIC",IF(NOT(ISNUMBER($A315)),"Tanggal harus berupa tanggal Excel",IF(COUNTIFS(Master_PIC!$A$8:$A$73,$B315)&lt;&gt;1,"ID PIC tidak unik/terdaftar",IF(VLOOKUP($B315,Master_PIC!$A$8:$G$73,3,FALSE)&lt;&gt;"SPV","Jabatan tidak sesuai sheet",IF(OR($C315="",$D315="",$E315="",$F315=""),"Lengkapi master PIC",IF(COUNTIFS($A$8:$A$507,$A315,$B$8:$B$507,$B315)&gt;1,"Laporan ganda",IF(COUNTIFS(G315:O315,"Tidak Berlaku")&gt;0,"N/A hanya untuk kegiatan bersyarat",IF(SUM(AF315,AG315,AH315,AI315,AJ315)&lt;&gt;13,"Status kegiatan tidak valid",IF(AJ315&gt;0,"Lengkapi status kegiatan",IF(AND(AI315&gt;0,T315=""),"Isi alasan Tidak Berlaku",IF(AND(SUM(AG315,AH315)&gt;0,OR(T315="",U315="",V315="",W315="")),"Isi kendala dan tindak lanjut",IF(AND(Y315&lt;&gt;"Draft",Y315&lt;&gt;"Dikirim"),"Isi status laporan yang valid",IF(AND(AA315&lt;&gt;"",AA315&lt;&gt;"Belum Diperiksa",AA315&lt;&gt;"Disetujui",AA315&lt;&gt;"Perlu Perbaikan"),"Hasil review tidak valid",IF(AND(Y315="Dikirim",OR(X315="",Z315="")),"Isi bukti dan waktu kirim",IF(AND(AA315="Disetujui",OR(Y315&lt;&gt;"Dikirim",AB315="",AC315="")),"Lengkapi pemeriksaan",IF(AND(AA315="Perlu Perbaikan",OR(AD315="",AB315="",AC315="")),"Isi pemeriksa dan catatan perbaikan","OK")))))))))))))))),"")</f>
        <v/>
      </c>
    </row>
    <row r="316" spans="1:38" ht="24.95" customHeight="1">
      <c r="A316" s="8"/>
      <c r="B316" s="6"/>
      <c r="C316" s="15" t="str">
        <f>IF(COUNTIFS(Master_PIC!$A$8:$A$73,$B316)=1,IF(VLOOKUP($B316,Master_PIC!$A$8:$G$73,2,FALSE)="","",VLOOKUP($B316,Master_PIC!$A$8:$G$73,2,FALSE)),"")</f>
        <v/>
      </c>
      <c r="D316" s="15" t="str">
        <f>IF(COUNTIFS(Master_PIC!$A$8:$A$73,$B316)=1,IF(VLOOKUP($B316,Master_PIC!$A$8:$G$73,4,FALSE)="","",VLOOKUP($B316,Master_PIC!$A$8:$G$73,4,FALSE)),"")</f>
        <v/>
      </c>
      <c r="E316" s="15" t="str">
        <f>IF(COUNTIFS(Master_PIC!$A$8:$A$73,$B316)=1,IF(VLOOKUP($B316,Master_PIC!$A$8:$G$73,5,FALSE)="","",VLOOKUP($B316,Master_PIC!$A$8:$G$73,5,FALSE)),"")</f>
        <v/>
      </c>
      <c r="F316" s="15" t="str">
        <f>IF(COUNTIFS(Master_PIC!$A$8:$A$73,$B316)=1,IF(VLOOKUP($B316,Master_PIC!$A$8:$G$73,6,FALSE)="","",VLOOKUP($B316,Master_PIC!$A$8:$G$73,6,FALSE)),"")</f>
        <v/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8"/>
      <c r="X316" s="5"/>
      <c r="Y316" s="5"/>
      <c r="Z316" s="9"/>
      <c r="AA316" s="5"/>
      <c r="AB316" s="5"/>
      <c r="AC316" s="9"/>
      <c r="AD316" s="5"/>
      <c r="AE316" s="7" t="str">
        <f t="shared" si="28"/>
        <v/>
      </c>
      <c r="AF316" s="7" t="str">
        <f t="shared" si="29"/>
        <v/>
      </c>
      <c r="AG316" s="7" t="str">
        <f t="shared" si="30"/>
        <v/>
      </c>
      <c r="AH316" s="7" t="str">
        <f t="shared" si="31"/>
        <v/>
      </c>
      <c r="AI316" s="7" t="str">
        <f t="shared" si="32"/>
        <v/>
      </c>
      <c r="AJ316" s="7" t="str">
        <f t="shared" si="33"/>
        <v/>
      </c>
      <c r="AK316" s="10" t="str">
        <f t="shared" si="34"/>
        <v/>
      </c>
      <c r="AL316" s="15" t="str">
        <f>IF(OR($A316&lt;&gt;"",$B316&lt;&gt;""),IF(OR($A316="",$B316=""),"Isi tanggal dan ID PIC",IF(NOT(ISNUMBER($A316)),"Tanggal harus berupa tanggal Excel",IF(COUNTIFS(Master_PIC!$A$8:$A$73,$B316)&lt;&gt;1,"ID PIC tidak unik/terdaftar",IF(VLOOKUP($B316,Master_PIC!$A$8:$G$73,3,FALSE)&lt;&gt;"SPV","Jabatan tidak sesuai sheet",IF(OR($C316="",$D316="",$E316="",$F316=""),"Lengkapi master PIC",IF(COUNTIFS($A$8:$A$507,$A316,$B$8:$B$507,$B316)&gt;1,"Laporan ganda",IF(COUNTIFS(G316:O316,"Tidak Berlaku")&gt;0,"N/A hanya untuk kegiatan bersyarat",IF(SUM(AF316,AG316,AH316,AI316,AJ316)&lt;&gt;13,"Status kegiatan tidak valid",IF(AJ316&gt;0,"Lengkapi status kegiatan",IF(AND(AI316&gt;0,T316=""),"Isi alasan Tidak Berlaku",IF(AND(SUM(AG316,AH316)&gt;0,OR(T316="",U316="",V316="",W316="")),"Isi kendala dan tindak lanjut",IF(AND(Y316&lt;&gt;"Draft",Y316&lt;&gt;"Dikirim"),"Isi status laporan yang valid",IF(AND(AA316&lt;&gt;"",AA316&lt;&gt;"Belum Diperiksa",AA316&lt;&gt;"Disetujui",AA316&lt;&gt;"Perlu Perbaikan"),"Hasil review tidak valid",IF(AND(Y316="Dikirim",OR(X316="",Z316="")),"Isi bukti dan waktu kirim",IF(AND(AA316="Disetujui",OR(Y316&lt;&gt;"Dikirim",AB316="",AC316="")),"Lengkapi pemeriksaan",IF(AND(AA316="Perlu Perbaikan",OR(AD316="",AB316="",AC316="")),"Isi pemeriksa dan catatan perbaikan","OK")))))))))))))))),"")</f>
        <v/>
      </c>
    </row>
    <row r="317" spans="1:38" ht="24.95" customHeight="1">
      <c r="A317" s="8"/>
      <c r="B317" s="6"/>
      <c r="C317" s="15" t="str">
        <f>IF(COUNTIFS(Master_PIC!$A$8:$A$73,$B317)=1,IF(VLOOKUP($B317,Master_PIC!$A$8:$G$73,2,FALSE)="","",VLOOKUP($B317,Master_PIC!$A$8:$G$73,2,FALSE)),"")</f>
        <v/>
      </c>
      <c r="D317" s="15" t="str">
        <f>IF(COUNTIFS(Master_PIC!$A$8:$A$73,$B317)=1,IF(VLOOKUP($B317,Master_PIC!$A$8:$G$73,4,FALSE)="","",VLOOKUP($B317,Master_PIC!$A$8:$G$73,4,FALSE)),"")</f>
        <v/>
      </c>
      <c r="E317" s="15" t="str">
        <f>IF(COUNTIFS(Master_PIC!$A$8:$A$73,$B317)=1,IF(VLOOKUP($B317,Master_PIC!$A$8:$G$73,5,FALSE)="","",VLOOKUP($B317,Master_PIC!$A$8:$G$73,5,FALSE)),"")</f>
        <v/>
      </c>
      <c r="F317" s="15" t="str">
        <f>IF(COUNTIFS(Master_PIC!$A$8:$A$73,$B317)=1,IF(VLOOKUP($B317,Master_PIC!$A$8:$G$73,6,FALSE)="","",VLOOKUP($B317,Master_PIC!$A$8:$G$73,6,FALSE)),"")</f>
        <v/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8"/>
      <c r="X317" s="5"/>
      <c r="Y317" s="5"/>
      <c r="Z317" s="9"/>
      <c r="AA317" s="5"/>
      <c r="AB317" s="5"/>
      <c r="AC317" s="9"/>
      <c r="AD317" s="5"/>
      <c r="AE317" s="7" t="str">
        <f t="shared" si="28"/>
        <v/>
      </c>
      <c r="AF317" s="7" t="str">
        <f t="shared" si="29"/>
        <v/>
      </c>
      <c r="AG317" s="7" t="str">
        <f t="shared" si="30"/>
        <v/>
      </c>
      <c r="AH317" s="7" t="str">
        <f t="shared" si="31"/>
        <v/>
      </c>
      <c r="AI317" s="7" t="str">
        <f t="shared" si="32"/>
        <v/>
      </c>
      <c r="AJ317" s="7" t="str">
        <f t="shared" si="33"/>
        <v/>
      </c>
      <c r="AK317" s="10" t="str">
        <f t="shared" si="34"/>
        <v/>
      </c>
      <c r="AL317" s="15" t="str">
        <f>IF(OR($A317&lt;&gt;"",$B317&lt;&gt;""),IF(OR($A317="",$B317=""),"Isi tanggal dan ID PIC",IF(NOT(ISNUMBER($A317)),"Tanggal harus berupa tanggal Excel",IF(COUNTIFS(Master_PIC!$A$8:$A$73,$B317)&lt;&gt;1,"ID PIC tidak unik/terdaftar",IF(VLOOKUP($B317,Master_PIC!$A$8:$G$73,3,FALSE)&lt;&gt;"SPV","Jabatan tidak sesuai sheet",IF(OR($C317="",$D317="",$E317="",$F317=""),"Lengkapi master PIC",IF(COUNTIFS($A$8:$A$507,$A317,$B$8:$B$507,$B317)&gt;1,"Laporan ganda",IF(COUNTIFS(G317:O317,"Tidak Berlaku")&gt;0,"N/A hanya untuk kegiatan bersyarat",IF(SUM(AF317,AG317,AH317,AI317,AJ317)&lt;&gt;13,"Status kegiatan tidak valid",IF(AJ317&gt;0,"Lengkapi status kegiatan",IF(AND(AI317&gt;0,T317=""),"Isi alasan Tidak Berlaku",IF(AND(SUM(AG317,AH317)&gt;0,OR(T317="",U317="",V317="",W317="")),"Isi kendala dan tindak lanjut",IF(AND(Y317&lt;&gt;"Draft",Y317&lt;&gt;"Dikirim"),"Isi status laporan yang valid",IF(AND(AA317&lt;&gt;"",AA317&lt;&gt;"Belum Diperiksa",AA317&lt;&gt;"Disetujui",AA317&lt;&gt;"Perlu Perbaikan"),"Hasil review tidak valid",IF(AND(Y317="Dikirim",OR(X317="",Z317="")),"Isi bukti dan waktu kirim",IF(AND(AA317="Disetujui",OR(Y317&lt;&gt;"Dikirim",AB317="",AC317="")),"Lengkapi pemeriksaan",IF(AND(AA317="Perlu Perbaikan",OR(AD317="",AB317="",AC317="")),"Isi pemeriksa dan catatan perbaikan","OK")))))))))))))))),"")</f>
        <v/>
      </c>
    </row>
    <row r="318" spans="1:38" ht="24.95" customHeight="1">
      <c r="A318" s="8"/>
      <c r="B318" s="6"/>
      <c r="C318" s="15" t="str">
        <f>IF(COUNTIFS(Master_PIC!$A$8:$A$73,$B318)=1,IF(VLOOKUP($B318,Master_PIC!$A$8:$G$73,2,FALSE)="","",VLOOKUP($B318,Master_PIC!$A$8:$G$73,2,FALSE)),"")</f>
        <v/>
      </c>
      <c r="D318" s="15" t="str">
        <f>IF(COUNTIFS(Master_PIC!$A$8:$A$73,$B318)=1,IF(VLOOKUP($B318,Master_PIC!$A$8:$G$73,4,FALSE)="","",VLOOKUP($B318,Master_PIC!$A$8:$G$73,4,FALSE)),"")</f>
        <v/>
      </c>
      <c r="E318" s="15" t="str">
        <f>IF(COUNTIFS(Master_PIC!$A$8:$A$73,$B318)=1,IF(VLOOKUP($B318,Master_PIC!$A$8:$G$73,5,FALSE)="","",VLOOKUP($B318,Master_PIC!$A$8:$G$73,5,FALSE)),"")</f>
        <v/>
      </c>
      <c r="F318" s="15" t="str">
        <f>IF(COUNTIFS(Master_PIC!$A$8:$A$73,$B318)=1,IF(VLOOKUP($B318,Master_PIC!$A$8:$G$73,6,FALSE)="","",VLOOKUP($B318,Master_PIC!$A$8:$G$73,6,FALSE)),"")</f>
        <v/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8"/>
      <c r="X318" s="5"/>
      <c r="Y318" s="5"/>
      <c r="Z318" s="9"/>
      <c r="AA318" s="5"/>
      <c r="AB318" s="5"/>
      <c r="AC318" s="9"/>
      <c r="AD318" s="5"/>
      <c r="AE318" s="7" t="str">
        <f t="shared" si="28"/>
        <v/>
      </c>
      <c r="AF318" s="7" t="str">
        <f t="shared" si="29"/>
        <v/>
      </c>
      <c r="AG318" s="7" t="str">
        <f t="shared" si="30"/>
        <v/>
      </c>
      <c r="AH318" s="7" t="str">
        <f t="shared" si="31"/>
        <v/>
      </c>
      <c r="AI318" s="7" t="str">
        <f t="shared" si="32"/>
        <v/>
      </c>
      <c r="AJ318" s="7" t="str">
        <f t="shared" si="33"/>
        <v/>
      </c>
      <c r="AK318" s="10" t="str">
        <f t="shared" si="34"/>
        <v/>
      </c>
      <c r="AL318" s="15" t="str">
        <f>IF(OR($A318&lt;&gt;"",$B318&lt;&gt;""),IF(OR($A318="",$B318=""),"Isi tanggal dan ID PIC",IF(NOT(ISNUMBER($A318)),"Tanggal harus berupa tanggal Excel",IF(COUNTIFS(Master_PIC!$A$8:$A$73,$B318)&lt;&gt;1,"ID PIC tidak unik/terdaftar",IF(VLOOKUP($B318,Master_PIC!$A$8:$G$73,3,FALSE)&lt;&gt;"SPV","Jabatan tidak sesuai sheet",IF(OR($C318="",$D318="",$E318="",$F318=""),"Lengkapi master PIC",IF(COUNTIFS($A$8:$A$507,$A318,$B$8:$B$507,$B318)&gt;1,"Laporan ganda",IF(COUNTIFS(G318:O318,"Tidak Berlaku")&gt;0,"N/A hanya untuk kegiatan bersyarat",IF(SUM(AF318,AG318,AH318,AI318,AJ318)&lt;&gt;13,"Status kegiatan tidak valid",IF(AJ318&gt;0,"Lengkapi status kegiatan",IF(AND(AI318&gt;0,T318=""),"Isi alasan Tidak Berlaku",IF(AND(SUM(AG318,AH318)&gt;0,OR(T318="",U318="",V318="",W318="")),"Isi kendala dan tindak lanjut",IF(AND(Y318&lt;&gt;"Draft",Y318&lt;&gt;"Dikirim"),"Isi status laporan yang valid",IF(AND(AA318&lt;&gt;"",AA318&lt;&gt;"Belum Diperiksa",AA318&lt;&gt;"Disetujui",AA318&lt;&gt;"Perlu Perbaikan"),"Hasil review tidak valid",IF(AND(Y318="Dikirim",OR(X318="",Z318="")),"Isi bukti dan waktu kirim",IF(AND(AA318="Disetujui",OR(Y318&lt;&gt;"Dikirim",AB318="",AC318="")),"Lengkapi pemeriksaan",IF(AND(AA318="Perlu Perbaikan",OR(AD318="",AB318="",AC318="")),"Isi pemeriksa dan catatan perbaikan","OK")))))))))))))))),"")</f>
        <v/>
      </c>
    </row>
    <row r="319" spans="1:38" ht="24.95" customHeight="1">
      <c r="A319" s="8"/>
      <c r="B319" s="6"/>
      <c r="C319" s="15" t="str">
        <f>IF(COUNTIFS(Master_PIC!$A$8:$A$73,$B319)=1,IF(VLOOKUP($B319,Master_PIC!$A$8:$G$73,2,FALSE)="","",VLOOKUP($B319,Master_PIC!$A$8:$G$73,2,FALSE)),"")</f>
        <v/>
      </c>
      <c r="D319" s="15" t="str">
        <f>IF(COUNTIFS(Master_PIC!$A$8:$A$73,$B319)=1,IF(VLOOKUP($B319,Master_PIC!$A$8:$G$73,4,FALSE)="","",VLOOKUP($B319,Master_PIC!$A$8:$G$73,4,FALSE)),"")</f>
        <v/>
      </c>
      <c r="E319" s="15" t="str">
        <f>IF(COUNTIFS(Master_PIC!$A$8:$A$73,$B319)=1,IF(VLOOKUP($B319,Master_PIC!$A$8:$G$73,5,FALSE)="","",VLOOKUP($B319,Master_PIC!$A$8:$G$73,5,FALSE)),"")</f>
        <v/>
      </c>
      <c r="F319" s="15" t="str">
        <f>IF(COUNTIFS(Master_PIC!$A$8:$A$73,$B319)=1,IF(VLOOKUP($B319,Master_PIC!$A$8:$G$73,6,FALSE)="","",VLOOKUP($B319,Master_PIC!$A$8:$G$73,6,FALSE)),"")</f>
        <v/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8"/>
      <c r="X319" s="5"/>
      <c r="Y319" s="5"/>
      <c r="Z319" s="9"/>
      <c r="AA319" s="5"/>
      <c r="AB319" s="5"/>
      <c r="AC319" s="9"/>
      <c r="AD319" s="5"/>
      <c r="AE319" s="7" t="str">
        <f t="shared" si="28"/>
        <v/>
      </c>
      <c r="AF319" s="7" t="str">
        <f t="shared" si="29"/>
        <v/>
      </c>
      <c r="AG319" s="7" t="str">
        <f t="shared" si="30"/>
        <v/>
      </c>
      <c r="AH319" s="7" t="str">
        <f t="shared" si="31"/>
        <v/>
      </c>
      <c r="AI319" s="7" t="str">
        <f t="shared" si="32"/>
        <v/>
      </c>
      <c r="AJ319" s="7" t="str">
        <f t="shared" si="33"/>
        <v/>
      </c>
      <c r="AK319" s="10" t="str">
        <f t="shared" si="34"/>
        <v/>
      </c>
      <c r="AL319" s="15" t="str">
        <f>IF(OR($A319&lt;&gt;"",$B319&lt;&gt;""),IF(OR($A319="",$B319=""),"Isi tanggal dan ID PIC",IF(NOT(ISNUMBER($A319)),"Tanggal harus berupa tanggal Excel",IF(COUNTIFS(Master_PIC!$A$8:$A$73,$B319)&lt;&gt;1,"ID PIC tidak unik/terdaftar",IF(VLOOKUP($B319,Master_PIC!$A$8:$G$73,3,FALSE)&lt;&gt;"SPV","Jabatan tidak sesuai sheet",IF(OR($C319="",$D319="",$E319="",$F319=""),"Lengkapi master PIC",IF(COUNTIFS($A$8:$A$507,$A319,$B$8:$B$507,$B319)&gt;1,"Laporan ganda",IF(COUNTIFS(G319:O319,"Tidak Berlaku")&gt;0,"N/A hanya untuk kegiatan bersyarat",IF(SUM(AF319,AG319,AH319,AI319,AJ319)&lt;&gt;13,"Status kegiatan tidak valid",IF(AJ319&gt;0,"Lengkapi status kegiatan",IF(AND(AI319&gt;0,T319=""),"Isi alasan Tidak Berlaku",IF(AND(SUM(AG319,AH319)&gt;0,OR(T319="",U319="",V319="",W319="")),"Isi kendala dan tindak lanjut",IF(AND(Y319&lt;&gt;"Draft",Y319&lt;&gt;"Dikirim"),"Isi status laporan yang valid",IF(AND(AA319&lt;&gt;"",AA319&lt;&gt;"Belum Diperiksa",AA319&lt;&gt;"Disetujui",AA319&lt;&gt;"Perlu Perbaikan"),"Hasil review tidak valid",IF(AND(Y319="Dikirim",OR(X319="",Z319="")),"Isi bukti dan waktu kirim",IF(AND(AA319="Disetujui",OR(Y319&lt;&gt;"Dikirim",AB319="",AC319="")),"Lengkapi pemeriksaan",IF(AND(AA319="Perlu Perbaikan",OR(AD319="",AB319="",AC319="")),"Isi pemeriksa dan catatan perbaikan","OK")))))))))))))))),"")</f>
        <v/>
      </c>
    </row>
    <row r="320" spans="1:38" ht="24.95" customHeight="1">
      <c r="A320" s="8"/>
      <c r="B320" s="6"/>
      <c r="C320" s="15" t="str">
        <f>IF(COUNTIFS(Master_PIC!$A$8:$A$73,$B320)=1,IF(VLOOKUP($B320,Master_PIC!$A$8:$G$73,2,FALSE)="","",VLOOKUP($B320,Master_PIC!$A$8:$G$73,2,FALSE)),"")</f>
        <v/>
      </c>
      <c r="D320" s="15" t="str">
        <f>IF(COUNTIFS(Master_PIC!$A$8:$A$73,$B320)=1,IF(VLOOKUP($B320,Master_PIC!$A$8:$G$73,4,FALSE)="","",VLOOKUP($B320,Master_PIC!$A$8:$G$73,4,FALSE)),"")</f>
        <v/>
      </c>
      <c r="E320" s="15" t="str">
        <f>IF(COUNTIFS(Master_PIC!$A$8:$A$73,$B320)=1,IF(VLOOKUP($B320,Master_PIC!$A$8:$G$73,5,FALSE)="","",VLOOKUP($B320,Master_PIC!$A$8:$G$73,5,FALSE)),"")</f>
        <v/>
      </c>
      <c r="F320" s="15" t="str">
        <f>IF(COUNTIFS(Master_PIC!$A$8:$A$73,$B320)=1,IF(VLOOKUP($B320,Master_PIC!$A$8:$G$73,6,FALSE)="","",VLOOKUP($B320,Master_PIC!$A$8:$G$73,6,FALSE)),"")</f>
        <v/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8"/>
      <c r="X320" s="5"/>
      <c r="Y320" s="5"/>
      <c r="Z320" s="9"/>
      <c r="AA320" s="5"/>
      <c r="AB320" s="5"/>
      <c r="AC320" s="9"/>
      <c r="AD320" s="5"/>
      <c r="AE320" s="7" t="str">
        <f t="shared" si="28"/>
        <v/>
      </c>
      <c r="AF320" s="7" t="str">
        <f t="shared" si="29"/>
        <v/>
      </c>
      <c r="AG320" s="7" t="str">
        <f t="shared" si="30"/>
        <v/>
      </c>
      <c r="AH320" s="7" t="str">
        <f t="shared" si="31"/>
        <v/>
      </c>
      <c r="AI320" s="7" t="str">
        <f t="shared" si="32"/>
        <v/>
      </c>
      <c r="AJ320" s="7" t="str">
        <f t="shared" si="33"/>
        <v/>
      </c>
      <c r="AK320" s="10" t="str">
        <f t="shared" si="34"/>
        <v/>
      </c>
      <c r="AL320" s="15" t="str">
        <f>IF(OR($A320&lt;&gt;"",$B320&lt;&gt;""),IF(OR($A320="",$B320=""),"Isi tanggal dan ID PIC",IF(NOT(ISNUMBER($A320)),"Tanggal harus berupa tanggal Excel",IF(COUNTIFS(Master_PIC!$A$8:$A$73,$B320)&lt;&gt;1,"ID PIC tidak unik/terdaftar",IF(VLOOKUP($B320,Master_PIC!$A$8:$G$73,3,FALSE)&lt;&gt;"SPV","Jabatan tidak sesuai sheet",IF(OR($C320="",$D320="",$E320="",$F320=""),"Lengkapi master PIC",IF(COUNTIFS($A$8:$A$507,$A320,$B$8:$B$507,$B320)&gt;1,"Laporan ganda",IF(COUNTIFS(G320:O320,"Tidak Berlaku")&gt;0,"N/A hanya untuk kegiatan bersyarat",IF(SUM(AF320,AG320,AH320,AI320,AJ320)&lt;&gt;13,"Status kegiatan tidak valid",IF(AJ320&gt;0,"Lengkapi status kegiatan",IF(AND(AI320&gt;0,T320=""),"Isi alasan Tidak Berlaku",IF(AND(SUM(AG320,AH320)&gt;0,OR(T320="",U320="",V320="",W320="")),"Isi kendala dan tindak lanjut",IF(AND(Y320&lt;&gt;"Draft",Y320&lt;&gt;"Dikirim"),"Isi status laporan yang valid",IF(AND(AA320&lt;&gt;"",AA320&lt;&gt;"Belum Diperiksa",AA320&lt;&gt;"Disetujui",AA320&lt;&gt;"Perlu Perbaikan"),"Hasil review tidak valid",IF(AND(Y320="Dikirim",OR(X320="",Z320="")),"Isi bukti dan waktu kirim",IF(AND(AA320="Disetujui",OR(Y320&lt;&gt;"Dikirim",AB320="",AC320="")),"Lengkapi pemeriksaan",IF(AND(AA320="Perlu Perbaikan",OR(AD320="",AB320="",AC320="")),"Isi pemeriksa dan catatan perbaikan","OK")))))))))))))))),"")</f>
        <v/>
      </c>
    </row>
    <row r="321" spans="1:38" ht="24.95" customHeight="1">
      <c r="A321" s="8"/>
      <c r="B321" s="6"/>
      <c r="C321" s="15" t="str">
        <f>IF(COUNTIFS(Master_PIC!$A$8:$A$73,$B321)=1,IF(VLOOKUP($B321,Master_PIC!$A$8:$G$73,2,FALSE)="","",VLOOKUP($B321,Master_PIC!$A$8:$G$73,2,FALSE)),"")</f>
        <v/>
      </c>
      <c r="D321" s="15" t="str">
        <f>IF(COUNTIFS(Master_PIC!$A$8:$A$73,$B321)=1,IF(VLOOKUP($B321,Master_PIC!$A$8:$G$73,4,FALSE)="","",VLOOKUP($B321,Master_PIC!$A$8:$G$73,4,FALSE)),"")</f>
        <v/>
      </c>
      <c r="E321" s="15" t="str">
        <f>IF(COUNTIFS(Master_PIC!$A$8:$A$73,$B321)=1,IF(VLOOKUP($B321,Master_PIC!$A$8:$G$73,5,FALSE)="","",VLOOKUP($B321,Master_PIC!$A$8:$G$73,5,FALSE)),"")</f>
        <v/>
      </c>
      <c r="F321" s="15" t="str">
        <f>IF(COUNTIFS(Master_PIC!$A$8:$A$73,$B321)=1,IF(VLOOKUP($B321,Master_PIC!$A$8:$G$73,6,FALSE)="","",VLOOKUP($B321,Master_PIC!$A$8:$G$73,6,FALSE)),"")</f>
        <v/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8"/>
      <c r="X321" s="5"/>
      <c r="Y321" s="5"/>
      <c r="Z321" s="9"/>
      <c r="AA321" s="5"/>
      <c r="AB321" s="5"/>
      <c r="AC321" s="9"/>
      <c r="AD321" s="5"/>
      <c r="AE321" s="7" t="str">
        <f t="shared" si="28"/>
        <v/>
      </c>
      <c r="AF321" s="7" t="str">
        <f t="shared" si="29"/>
        <v/>
      </c>
      <c r="AG321" s="7" t="str">
        <f t="shared" si="30"/>
        <v/>
      </c>
      <c r="AH321" s="7" t="str">
        <f t="shared" si="31"/>
        <v/>
      </c>
      <c r="AI321" s="7" t="str">
        <f t="shared" si="32"/>
        <v/>
      </c>
      <c r="AJ321" s="7" t="str">
        <f t="shared" si="33"/>
        <v/>
      </c>
      <c r="AK321" s="10" t="str">
        <f t="shared" si="34"/>
        <v/>
      </c>
      <c r="AL321" s="15" t="str">
        <f>IF(OR($A321&lt;&gt;"",$B321&lt;&gt;""),IF(OR($A321="",$B321=""),"Isi tanggal dan ID PIC",IF(NOT(ISNUMBER($A321)),"Tanggal harus berupa tanggal Excel",IF(COUNTIFS(Master_PIC!$A$8:$A$73,$B321)&lt;&gt;1,"ID PIC tidak unik/terdaftar",IF(VLOOKUP($B321,Master_PIC!$A$8:$G$73,3,FALSE)&lt;&gt;"SPV","Jabatan tidak sesuai sheet",IF(OR($C321="",$D321="",$E321="",$F321=""),"Lengkapi master PIC",IF(COUNTIFS($A$8:$A$507,$A321,$B$8:$B$507,$B321)&gt;1,"Laporan ganda",IF(COUNTIFS(G321:O321,"Tidak Berlaku")&gt;0,"N/A hanya untuk kegiatan bersyarat",IF(SUM(AF321,AG321,AH321,AI321,AJ321)&lt;&gt;13,"Status kegiatan tidak valid",IF(AJ321&gt;0,"Lengkapi status kegiatan",IF(AND(AI321&gt;0,T321=""),"Isi alasan Tidak Berlaku",IF(AND(SUM(AG321,AH321)&gt;0,OR(T321="",U321="",V321="",W321="")),"Isi kendala dan tindak lanjut",IF(AND(Y321&lt;&gt;"Draft",Y321&lt;&gt;"Dikirim"),"Isi status laporan yang valid",IF(AND(AA321&lt;&gt;"",AA321&lt;&gt;"Belum Diperiksa",AA321&lt;&gt;"Disetujui",AA321&lt;&gt;"Perlu Perbaikan"),"Hasil review tidak valid",IF(AND(Y321="Dikirim",OR(X321="",Z321="")),"Isi bukti dan waktu kirim",IF(AND(AA321="Disetujui",OR(Y321&lt;&gt;"Dikirim",AB321="",AC321="")),"Lengkapi pemeriksaan",IF(AND(AA321="Perlu Perbaikan",OR(AD321="",AB321="",AC321="")),"Isi pemeriksa dan catatan perbaikan","OK")))))))))))))))),"")</f>
        <v/>
      </c>
    </row>
    <row r="322" spans="1:38" ht="24.95" customHeight="1">
      <c r="A322" s="8"/>
      <c r="B322" s="6"/>
      <c r="C322" s="15" t="str">
        <f>IF(COUNTIFS(Master_PIC!$A$8:$A$73,$B322)=1,IF(VLOOKUP($B322,Master_PIC!$A$8:$G$73,2,FALSE)="","",VLOOKUP($B322,Master_PIC!$A$8:$G$73,2,FALSE)),"")</f>
        <v/>
      </c>
      <c r="D322" s="15" t="str">
        <f>IF(COUNTIFS(Master_PIC!$A$8:$A$73,$B322)=1,IF(VLOOKUP($B322,Master_PIC!$A$8:$G$73,4,FALSE)="","",VLOOKUP($B322,Master_PIC!$A$8:$G$73,4,FALSE)),"")</f>
        <v/>
      </c>
      <c r="E322" s="15" t="str">
        <f>IF(COUNTIFS(Master_PIC!$A$8:$A$73,$B322)=1,IF(VLOOKUP($B322,Master_PIC!$A$8:$G$73,5,FALSE)="","",VLOOKUP($B322,Master_PIC!$A$8:$G$73,5,FALSE)),"")</f>
        <v/>
      </c>
      <c r="F322" s="15" t="str">
        <f>IF(COUNTIFS(Master_PIC!$A$8:$A$73,$B322)=1,IF(VLOOKUP($B322,Master_PIC!$A$8:$G$73,6,FALSE)="","",VLOOKUP($B322,Master_PIC!$A$8:$G$73,6,FALSE)),"")</f>
        <v/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8"/>
      <c r="X322" s="5"/>
      <c r="Y322" s="5"/>
      <c r="Z322" s="9"/>
      <c r="AA322" s="5"/>
      <c r="AB322" s="5"/>
      <c r="AC322" s="9"/>
      <c r="AD322" s="5"/>
      <c r="AE322" s="7" t="str">
        <f t="shared" si="28"/>
        <v/>
      </c>
      <c r="AF322" s="7" t="str">
        <f t="shared" si="29"/>
        <v/>
      </c>
      <c r="AG322" s="7" t="str">
        <f t="shared" si="30"/>
        <v/>
      </c>
      <c r="AH322" s="7" t="str">
        <f t="shared" si="31"/>
        <v/>
      </c>
      <c r="AI322" s="7" t="str">
        <f t="shared" si="32"/>
        <v/>
      </c>
      <c r="AJ322" s="7" t="str">
        <f t="shared" si="33"/>
        <v/>
      </c>
      <c r="AK322" s="10" t="str">
        <f t="shared" si="34"/>
        <v/>
      </c>
      <c r="AL322" s="15" t="str">
        <f>IF(OR($A322&lt;&gt;"",$B322&lt;&gt;""),IF(OR($A322="",$B322=""),"Isi tanggal dan ID PIC",IF(NOT(ISNUMBER($A322)),"Tanggal harus berupa tanggal Excel",IF(COUNTIFS(Master_PIC!$A$8:$A$73,$B322)&lt;&gt;1,"ID PIC tidak unik/terdaftar",IF(VLOOKUP($B322,Master_PIC!$A$8:$G$73,3,FALSE)&lt;&gt;"SPV","Jabatan tidak sesuai sheet",IF(OR($C322="",$D322="",$E322="",$F322=""),"Lengkapi master PIC",IF(COUNTIFS($A$8:$A$507,$A322,$B$8:$B$507,$B322)&gt;1,"Laporan ganda",IF(COUNTIFS(G322:O322,"Tidak Berlaku")&gt;0,"N/A hanya untuk kegiatan bersyarat",IF(SUM(AF322,AG322,AH322,AI322,AJ322)&lt;&gt;13,"Status kegiatan tidak valid",IF(AJ322&gt;0,"Lengkapi status kegiatan",IF(AND(AI322&gt;0,T322=""),"Isi alasan Tidak Berlaku",IF(AND(SUM(AG322,AH322)&gt;0,OR(T322="",U322="",V322="",W322="")),"Isi kendala dan tindak lanjut",IF(AND(Y322&lt;&gt;"Draft",Y322&lt;&gt;"Dikirim"),"Isi status laporan yang valid",IF(AND(AA322&lt;&gt;"",AA322&lt;&gt;"Belum Diperiksa",AA322&lt;&gt;"Disetujui",AA322&lt;&gt;"Perlu Perbaikan"),"Hasil review tidak valid",IF(AND(Y322="Dikirim",OR(X322="",Z322="")),"Isi bukti dan waktu kirim",IF(AND(AA322="Disetujui",OR(Y322&lt;&gt;"Dikirim",AB322="",AC322="")),"Lengkapi pemeriksaan",IF(AND(AA322="Perlu Perbaikan",OR(AD322="",AB322="",AC322="")),"Isi pemeriksa dan catatan perbaikan","OK")))))))))))))))),"")</f>
        <v/>
      </c>
    </row>
    <row r="323" spans="1:38" ht="24.95" customHeight="1">
      <c r="A323" s="8"/>
      <c r="B323" s="6"/>
      <c r="C323" s="15" t="str">
        <f>IF(COUNTIFS(Master_PIC!$A$8:$A$73,$B323)=1,IF(VLOOKUP($B323,Master_PIC!$A$8:$G$73,2,FALSE)="","",VLOOKUP($B323,Master_PIC!$A$8:$G$73,2,FALSE)),"")</f>
        <v/>
      </c>
      <c r="D323" s="15" t="str">
        <f>IF(COUNTIFS(Master_PIC!$A$8:$A$73,$B323)=1,IF(VLOOKUP($B323,Master_PIC!$A$8:$G$73,4,FALSE)="","",VLOOKUP($B323,Master_PIC!$A$8:$G$73,4,FALSE)),"")</f>
        <v/>
      </c>
      <c r="E323" s="15" t="str">
        <f>IF(COUNTIFS(Master_PIC!$A$8:$A$73,$B323)=1,IF(VLOOKUP($B323,Master_PIC!$A$8:$G$73,5,FALSE)="","",VLOOKUP($B323,Master_PIC!$A$8:$G$73,5,FALSE)),"")</f>
        <v/>
      </c>
      <c r="F323" s="15" t="str">
        <f>IF(COUNTIFS(Master_PIC!$A$8:$A$73,$B323)=1,IF(VLOOKUP($B323,Master_PIC!$A$8:$G$73,6,FALSE)="","",VLOOKUP($B323,Master_PIC!$A$8:$G$73,6,FALSE)),"")</f>
        <v/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8"/>
      <c r="X323" s="5"/>
      <c r="Y323" s="5"/>
      <c r="Z323" s="9"/>
      <c r="AA323" s="5"/>
      <c r="AB323" s="5"/>
      <c r="AC323" s="9"/>
      <c r="AD323" s="5"/>
      <c r="AE323" s="7" t="str">
        <f t="shared" si="28"/>
        <v/>
      </c>
      <c r="AF323" s="7" t="str">
        <f t="shared" si="29"/>
        <v/>
      </c>
      <c r="AG323" s="7" t="str">
        <f t="shared" si="30"/>
        <v/>
      </c>
      <c r="AH323" s="7" t="str">
        <f t="shared" si="31"/>
        <v/>
      </c>
      <c r="AI323" s="7" t="str">
        <f t="shared" si="32"/>
        <v/>
      </c>
      <c r="AJ323" s="7" t="str">
        <f t="shared" si="33"/>
        <v/>
      </c>
      <c r="AK323" s="10" t="str">
        <f t="shared" si="34"/>
        <v/>
      </c>
      <c r="AL323" s="15" t="str">
        <f>IF(OR($A323&lt;&gt;"",$B323&lt;&gt;""),IF(OR($A323="",$B323=""),"Isi tanggal dan ID PIC",IF(NOT(ISNUMBER($A323)),"Tanggal harus berupa tanggal Excel",IF(COUNTIFS(Master_PIC!$A$8:$A$73,$B323)&lt;&gt;1,"ID PIC tidak unik/terdaftar",IF(VLOOKUP($B323,Master_PIC!$A$8:$G$73,3,FALSE)&lt;&gt;"SPV","Jabatan tidak sesuai sheet",IF(OR($C323="",$D323="",$E323="",$F323=""),"Lengkapi master PIC",IF(COUNTIFS($A$8:$A$507,$A323,$B$8:$B$507,$B323)&gt;1,"Laporan ganda",IF(COUNTIFS(G323:O323,"Tidak Berlaku")&gt;0,"N/A hanya untuk kegiatan bersyarat",IF(SUM(AF323,AG323,AH323,AI323,AJ323)&lt;&gt;13,"Status kegiatan tidak valid",IF(AJ323&gt;0,"Lengkapi status kegiatan",IF(AND(AI323&gt;0,T323=""),"Isi alasan Tidak Berlaku",IF(AND(SUM(AG323,AH323)&gt;0,OR(T323="",U323="",V323="",W323="")),"Isi kendala dan tindak lanjut",IF(AND(Y323&lt;&gt;"Draft",Y323&lt;&gt;"Dikirim"),"Isi status laporan yang valid",IF(AND(AA323&lt;&gt;"",AA323&lt;&gt;"Belum Diperiksa",AA323&lt;&gt;"Disetujui",AA323&lt;&gt;"Perlu Perbaikan"),"Hasil review tidak valid",IF(AND(Y323="Dikirim",OR(X323="",Z323="")),"Isi bukti dan waktu kirim",IF(AND(AA323="Disetujui",OR(Y323&lt;&gt;"Dikirim",AB323="",AC323="")),"Lengkapi pemeriksaan",IF(AND(AA323="Perlu Perbaikan",OR(AD323="",AB323="",AC323="")),"Isi pemeriksa dan catatan perbaikan","OK")))))))))))))))),"")</f>
        <v/>
      </c>
    </row>
    <row r="324" spans="1:38" ht="24.95" customHeight="1">
      <c r="A324" s="8"/>
      <c r="B324" s="6"/>
      <c r="C324" s="15" t="str">
        <f>IF(COUNTIFS(Master_PIC!$A$8:$A$73,$B324)=1,IF(VLOOKUP($B324,Master_PIC!$A$8:$G$73,2,FALSE)="","",VLOOKUP($B324,Master_PIC!$A$8:$G$73,2,FALSE)),"")</f>
        <v/>
      </c>
      <c r="D324" s="15" t="str">
        <f>IF(COUNTIFS(Master_PIC!$A$8:$A$73,$B324)=1,IF(VLOOKUP($B324,Master_PIC!$A$8:$G$73,4,FALSE)="","",VLOOKUP($B324,Master_PIC!$A$8:$G$73,4,FALSE)),"")</f>
        <v/>
      </c>
      <c r="E324" s="15" t="str">
        <f>IF(COUNTIFS(Master_PIC!$A$8:$A$73,$B324)=1,IF(VLOOKUP($B324,Master_PIC!$A$8:$G$73,5,FALSE)="","",VLOOKUP($B324,Master_PIC!$A$8:$G$73,5,FALSE)),"")</f>
        <v/>
      </c>
      <c r="F324" s="15" t="str">
        <f>IF(COUNTIFS(Master_PIC!$A$8:$A$73,$B324)=1,IF(VLOOKUP($B324,Master_PIC!$A$8:$G$73,6,FALSE)="","",VLOOKUP($B324,Master_PIC!$A$8:$G$73,6,FALSE)),"")</f>
        <v/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8"/>
      <c r="X324" s="5"/>
      <c r="Y324" s="5"/>
      <c r="Z324" s="9"/>
      <c r="AA324" s="5"/>
      <c r="AB324" s="5"/>
      <c r="AC324" s="9"/>
      <c r="AD324" s="5"/>
      <c r="AE324" s="7" t="str">
        <f t="shared" si="28"/>
        <v/>
      </c>
      <c r="AF324" s="7" t="str">
        <f t="shared" si="29"/>
        <v/>
      </c>
      <c r="AG324" s="7" t="str">
        <f t="shared" si="30"/>
        <v/>
      </c>
      <c r="AH324" s="7" t="str">
        <f t="shared" si="31"/>
        <v/>
      </c>
      <c r="AI324" s="7" t="str">
        <f t="shared" si="32"/>
        <v/>
      </c>
      <c r="AJ324" s="7" t="str">
        <f t="shared" si="33"/>
        <v/>
      </c>
      <c r="AK324" s="10" t="str">
        <f t="shared" si="34"/>
        <v/>
      </c>
      <c r="AL324" s="15" t="str">
        <f>IF(OR($A324&lt;&gt;"",$B324&lt;&gt;""),IF(OR($A324="",$B324=""),"Isi tanggal dan ID PIC",IF(NOT(ISNUMBER($A324)),"Tanggal harus berupa tanggal Excel",IF(COUNTIFS(Master_PIC!$A$8:$A$73,$B324)&lt;&gt;1,"ID PIC tidak unik/terdaftar",IF(VLOOKUP($B324,Master_PIC!$A$8:$G$73,3,FALSE)&lt;&gt;"SPV","Jabatan tidak sesuai sheet",IF(OR($C324="",$D324="",$E324="",$F324=""),"Lengkapi master PIC",IF(COUNTIFS($A$8:$A$507,$A324,$B$8:$B$507,$B324)&gt;1,"Laporan ganda",IF(COUNTIFS(G324:O324,"Tidak Berlaku")&gt;0,"N/A hanya untuk kegiatan bersyarat",IF(SUM(AF324,AG324,AH324,AI324,AJ324)&lt;&gt;13,"Status kegiatan tidak valid",IF(AJ324&gt;0,"Lengkapi status kegiatan",IF(AND(AI324&gt;0,T324=""),"Isi alasan Tidak Berlaku",IF(AND(SUM(AG324,AH324)&gt;0,OR(T324="",U324="",V324="",W324="")),"Isi kendala dan tindak lanjut",IF(AND(Y324&lt;&gt;"Draft",Y324&lt;&gt;"Dikirim"),"Isi status laporan yang valid",IF(AND(AA324&lt;&gt;"",AA324&lt;&gt;"Belum Diperiksa",AA324&lt;&gt;"Disetujui",AA324&lt;&gt;"Perlu Perbaikan"),"Hasil review tidak valid",IF(AND(Y324="Dikirim",OR(X324="",Z324="")),"Isi bukti dan waktu kirim",IF(AND(AA324="Disetujui",OR(Y324&lt;&gt;"Dikirim",AB324="",AC324="")),"Lengkapi pemeriksaan",IF(AND(AA324="Perlu Perbaikan",OR(AD324="",AB324="",AC324="")),"Isi pemeriksa dan catatan perbaikan","OK")))))))))))))))),"")</f>
        <v/>
      </c>
    </row>
    <row r="325" spans="1:38" ht="24.95" customHeight="1">
      <c r="A325" s="8"/>
      <c r="B325" s="6"/>
      <c r="C325" s="15" t="str">
        <f>IF(COUNTIFS(Master_PIC!$A$8:$A$73,$B325)=1,IF(VLOOKUP($B325,Master_PIC!$A$8:$G$73,2,FALSE)="","",VLOOKUP($B325,Master_PIC!$A$8:$G$73,2,FALSE)),"")</f>
        <v/>
      </c>
      <c r="D325" s="15" t="str">
        <f>IF(COUNTIFS(Master_PIC!$A$8:$A$73,$B325)=1,IF(VLOOKUP($B325,Master_PIC!$A$8:$G$73,4,FALSE)="","",VLOOKUP($B325,Master_PIC!$A$8:$G$73,4,FALSE)),"")</f>
        <v/>
      </c>
      <c r="E325" s="15" t="str">
        <f>IF(COUNTIFS(Master_PIC!$A$8:$A$73,$B325)=1,IF(VLOOKUP($B325,Master_PIC!$A$8:$G$73,5,FALSE)="","",VLOOKUP($B325,Master_PIC!$A$8:$G$73,5,FALSE)),"")</f>
        <v/>
      </c>
      <c r="F325" s="15" t="str">
        <f>IF(COUNTIFS(Master_PIC!$A$8:$A$73,$B325)=1,IF(VLOOKUP($B325,Master_PIC!$A$8:$G$73,6,FALSE)="","",VLOOKUP($B325,Master_PIC!$A$8:$G$73,6,FALSE)),"")</f>
        <v/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8"/>
      <c r="X325" s="5"/>
      <c r="Y325" s="5"/>
      <c r="Z325" s="9"/>
      <c r="AA325" s="5"/>
      <c r="AB325" s="5"/>
      <c r="AC325" s="9"/>
      <c r="AD325" s="5"/>
      <c r="AE325" s="7" t="str">
        <f t="shared" si="28"/>
        <v/>
      </c>
      <c r="AF325" s="7" t="str">
        <f t="shared" si="29"/>
        <v/>
      </c>
      <c r="AG325" s="7" t="str">
        <f t="shared" si="30"/>
        <v/>
      </c>
      <c r="AH325" s="7" t="str">
        <f t="shared" si="31"/>
        <v/>
      </c>
      <c r="AI325" s="7" t="str">
        <f t="shared" si="32"/>
        <v/>
      </c>
      <c r="AJ325" s="7" t="str">
        <f t="shared" si="33"/>
        <v/>
      </c>
      <c r="AK325" s="10" t="str">
        <f t="shared" si="34"/>
        <v/>
      </c>
      <c r="AL325" s="15" t="str">
        <f>IF(OR($A325&lt;&gt;"",$B325&lt;&gt;""),IF(OR($A325="",$B325=""),"Isi tanggal dan ID PIC",IF(NOT(ISNUMBER($A325)),"Tanggal harus berupa tanggal Excel",IF(COUNTIFS(Master_PIC!$A$8:$A$73,$B325)&lt;&gt;1,"ID PIC tidak unik/terdaftar",IF(VLOOKUP($B325,Master_PIC!$A$8:$G$73,3,FALSE)&lt;&gt;"SPV","Jabatan tidak sesuai sheet",IF(OR($C325="",$D325="",$E325="",$F325=""),"Lengkapi master PIC",IF(COUNTIFS($A$8:$A$507,$A325,$B$8:$B$507,$B325)&gt;1,"Laporan ganda",IF(COUNTIFS(G325:O325,"Tidak Berlaku")&gt;0,"N/A hanya untuk kegiatan bersyarat",IF(SUM(AF325,AG325,AH325,AI325,AJ325)&lt;&gt;13,"Status kegiatan tidak valid",IF(AJ325&gt;0,"Lengkapi status kegiatan",IF(AND(AI325&gt;0,T325=""),"Isi alasan Tidak Berlaku",IF(AND(SUM(AG325,AH325)&gt;0,OR(T325="",U325="",V325="",W325="")),"Isi kendala dan tindak lanjut",IF(AND(Y325&lt;&gt;"Draft",Y325&lt;&gt;"Dikirim"),"Isi status laporan yang valid",IF(AND(AA325&lt;&gt;"",AA325&lt;&gt;"Belum Diperiksa",AA325&lt;&gt;"Disetujui",AA325&lt;&gt;"Perlu Perbaikan"),"Hasil review tidak valid",IF(AND(Y325="Dikirim",OR(X325="",Z325="")),"Isi bukti dan waktu kirim",IF(AND(AA325="Disetujui",OR(Y325&lt;&gt;"Dikirim",AB325="",AC325="")),"Lengkapi pemeriksaan",IF(AND(AA325="Perlu Perbaikan",OR(AD325="",AB325="",AC325="")),"Isi pemeriksa dan catatan perbaikan","OK")))))))))))))))),"")</f>
        <v/>
      </c>
    </row>
    <row r="326" spans="1:38" ht="24.95" customHeight="1">
      <c r="A326" s="8"/>
      <c r="B326" s="6"/>
      <c r="C326" s="15" t="str">
        <f>IF(COUNTIFS(Master_PIC!$A$8:$A$73,$B326)=1,IF(VLOOKUP($B326,Master_PIC!$A$8:$G$73,2,FALSE)="","",VLOOKUP($B326,Master_PIC!$A$8:$G$73,2,FALSE)),"")</f>
        <v/>
      </c>
      <c r="D326" s="15" t="str">
        <f>IF(COUNTIFS(Master_PIC!$A$8:$A$73,$B326)=1,IF(VLOOKUP($B326,Master_PIC!$A$8:$G$73,4,FALSE)="","",VLOOKUP($B326,Master_PIC!$A$8:$G$73,4,FALSE)),"")</f>
        <v/>
      </c>
      <c r="E326" s="15" t="str">
        <f>IF(COUNTIFS(Master_PIC!$A$8:$A$73,$B326)=1,IF(VLOOKUP($B326,Master_PIC!$A$8:$G$73,5,FALSE)="","",VLOOKUP($B326,Master_PIC!$A$8:$G$73,5,FALSE)),"")</f>
        <v/>
      </c>
      <c r="F326" s="15" t="str">
        <f>IF(COUNTIFS(Master_PIC!$A$8:$A$73,$B326)=1,IF(VLOOKUP($B326,Master_PIC!$A$8:$G$73,6,FALSE)="","",VLOOKUP($B326,Master_PIC!$A$8:$G$73,6,FALSE)),"")</f>
        <v/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9"/>
      <c r="AA326" s="5"/>
      <c r="AB326" s="5"/>
      <c r="AC326" s="9"/>
      <c r="AD326" s="5"/>
      <c r="AE326" s="7" t="str">
        <f t="shared" si="28"/>
        <v/>
      </c>
      <c r="AF326" s="7" t="str">
        <f t="shared" si="29"/>
        <v/>
      </c>
      <c r="AG326" s="7" t="str">
        <f t="shared" si="30"/>
        <v/>
      </c>
      <c r="AH326" s="7" t="str">
        <f t="shared" si="31"/>
        <v/>
      </c>
      <c r="AI326" s="7" t="str">
        <f t="shared" si="32"/>
        <v/>
      </c>
      <c r="AJ326" s="7" t="str">
        <f t="shared" si="33"/>
        <v/>
      </c>
      <c r="AK326" s="10" t="str">
        <f t="shared" si="34"/>
        <v/>
      </c>
      <c r="AL326" s="15" t="str">
        <f>IF(OR($A326&lt;&gt;"",$B326&lt;&gt;""),IF(OR($A326="",$B326=""),"Isi tanggal dan ID PIC",IF(NOT(ISNUMBER($A326)),"Tanggal harus berupa tanggal Excel",IF(COUNTIFS(Master_PIC!$A$8:$A$73,$B326)&lt;&gt;1,"ID PIC tidak unik/terdaftar",IF(VLOOKUP($B326,Master_PIC!$A$8:$G$73,3,FALSE)&lt;&gt;"SPV","Jabatan tidak sesuai sheet",IF(OR($C326="",$D326="",$E326="",$F326=""),"Lengkapi master PIC",IF(COUNTIFS($A$8:$A$507,$A326,$B$8:$B$507,$B326)&gt;1,"Laporan ganda",IF(COUNTIFS(G326:O326,"Tidak Berlaku")&gt;0,"N/A hanya untuk kegiatan bersyarat",IF(SUM(AF326,AG326,AH326,AI326,AJ326)&lt;&gt;13,"Status kegiatan tidak valid",IF(AJ326&gt;0,"Lengkapi status kegiatan",IF(AND(AI326&gt;0,T326=""),"Isi alasan Tidak Berlaku",IF(AND(SUM(AG326,AH326)&gt;0,OR(T326="",U326="",V326="",W326="")),"Isi kendala dan tindak lanjut",IF(AND(Y326&lt;&gt;"Draft",Y326&lt;&gt;"Dikirim"),"Isi status laporan yang valid",IF(AND(AA326&lt;&gt;"",AA326&lt;&gt;"Belum Diperiksa",AA326&lt;&gt;"Disetujui",AA326&lt;&gt;"Perlu Perbaikan"),"Hasil review tidak valid",IF(AND(Y326="Dikirim",OR(X326="",Z326="")),"Isi bukti dan waktu kirim",IF(AND(AA326="Disetujui",OR(Y326&lt;&gt;"Dikirim",AB326="",AC326="")),"Lengkapi pemeriksaan",IF(AND(AA326="Perlu Perbaikan",OR(AD326="",AB326="",AC326="")),"Isi pemeriksa dan catatan perbaikan","OK")))))))))))))))),"")</f>
        <v/>
      </c>
    </row>
    <row r="327" spans="1:38" ht="24.95" customHeight="1">
      <c r="A327" s="8"/>
      <c r="B327" s="6"/>
      <c r="C327" s="15" t="str">
        <f>IF(COUNTIFS(Master_PIC!$A$8:$A$73,$B327)=1,IF(VLOOKUP($B327,Master_PIC!$A$8:$G$73,2,FALSE)="","",VLOOKUP($B327,Master_PIC!$A$8:$G$73,2,FALSE)),"")</f>
        <v/>
      </c>
      <c r="D327" s="15" t="str">
        <f>IF(COUNTIFS(Master_PIC!$A$8:$A$73,$B327)=1,IF(VLOOKUP($B327,Master_PIC!$A$8:$G$73,4,FALSE)="","",VLOOKUP($B327,Master_PIC!$A$8:$G$73,4,FALSE)),"")</f>
        <v/>
      </c>
      <c r="E327" s="15" t="str">
        <f>IF(COUNTIFS(Master_PIC!$A$8:$A$73,$B327)=1,IF(VLOOKUP($B327,Master_PIC!$A$8:$G$73,5,FALSE)="","",VLOOKUP($B327,Master_PIC!$A$8:$G$73,5,FALSE)),"")</f>
        <v/>
      </c>
      <c r="F327" s="15" t="str">
        <f>IF(COUNTIFS(Master_PIC!$A$8:$A$73,$B327)=1,IF(VLOOKUP($B327,Master_PIC!$A$8:$G$73,6,FALSE)="","",VLOOKUP($B327,Master_PIC!$A$8:$G$73,6,FALSE)),"")</f>
        <v/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8"/>
      <c r="X327" s="5"/>
      <c r="Y327" s="5"/>
      <c r="Z327" s="9"/>
      <c r="AA327" s="5"/>
      <c r="AB327" s="5"/>
      <c r="AC327" s="9"/>
      <c r="AD327" s="5"/>
      <c r="AE327" s="7" t="str">
        <f t="shared" si="28"/>
        <v/>
      </c>
      <c r="AF327" s="7" t="str">
        <f t="shared" si="29"/>
        <v/>
      </c>
      <c r="AG327" s="7" t="str">
        <f t="shared" si="30"/>
        <v/>
      </c>
      <c r="AH327" s="7" t="str">
        <f t="shared" si="31"/>
        <v/>
      </c>
      <c r="AI327" s="7" t="str">
        <f t="shared" si="32"/>
        <v/>
      </c>
      <c r="AJ327" s="7" t="str">
        <f t="shared" si="33"/>
        <v/>
      </c>
      <c r="AK327" s="10" t="str">
        <f t="shared" si="34"/>
        <v/>
      </c>
      <c r="AL327" s="15" t="str">
        <f>IF(OR($A327&lt;&gt;"",$B327&lt;&gt;""),IF(OR($A327="",$B327=""),"Isi tanggal dan ID PIC",IF(NOT(ISNUMBER($A327)),"Tanggal harus berupa tanggal Excel",IF(COUNTIFS(Master_PIC!$A$8:$A$73,$B327)&lt;&gt;1,"ID PIC tidak unik/terdaftar",IF(VLOOKUP($B327,Master_PIC!$A$8:$G$73,3,FALSE)&lt;&gt;"SPV","Jabatan tidak sesuai sheet",IF(OR($C327="",$D327="",$E327="",$F327=""),"Lengkapi master PIC",IF(COUNTIFS($A$8:$A$507,$A327,$B$8:$B$507,$B327)&gt;1,"Laporan ganda",IF(COUNTIFS(G327:O327,"Tidak Berlaku")&gt;0,"N/A hanya untuk kegiatan bersyarat",IF(SUM(AF327,AG327,AH327,AI327,AJ327)&lt;&gt;13,"Status kegiatan tidak valid",IF(AJ327&gt;0,"Lengkapi status kegiatan",IF(AND(AI327&gt;0,T327=""),"Isi alasan Tidak Berlaku",IF(AND(SUM(AG327,AH327)&gt;0,OR(T327="",U327="",V327="",W327="")),"Isi kendala dan tindak lanjut",IF(AND(Y327&lt;&gt;"Draft",Y327&lt;&gt;"Dikirim"),"Isi status laporan yang valid",IF(AND(AA327&lt;&gt;"",AA327&lt;&gt;"Belum Diperiksa",AA327&lt;&gt;"Disetujui",AA327&lt;&gt;"Perlu Perbaikan"),"Hasil review tidak valid",IF(AND(Y327="Dikirim",OR(X327="",Z327="")),"Isi bukti dan waktu kirim",IF(AND(AA327="Disetujui",OR(Y327&lt;&gt;"Dikirim",AB327="",AC327="")),"Lengkapi pemeriksaan",IF(AND(AA327="Perlu Perbaikan",OR(AD327="",AB327="",AC327="")),"Isi pemeriksa dan catatan perbaikan","OK")))))))))))))))),"")</f>
        <v/>
      </c>
    </row>
    <row r="328" spans="1:38" ht="24.95" customHeight="1">
      <c r="A328" s="8"/>
      <c r="B328" s="6"/>
      <c r="C328" s="15" t="str">
        <f>IF(COUNTIFS(Master_PIC!$A$8:$A$73,$B328)=1,IF(VLOOKUP($B328,Master_PIC!$A$8:$G$73,2,FALSE)="","",VLOOKUP($B328,Master_PIC!$A$8:$G$73,2,FALSE)),"")</f>
        <v/>
      </c>
      <c r="D328" s="15" t="str">
        <f>IF(COUNTIFS(Master_PIC!$A$8:$A$73,$B328)=1,IF(VLOOKUP($B328,Master_PIC!$A$8:$G$73,4,FALSE)="","",VLOOKUP($B328,Master_PIC!$A$8:$G$73,4,FALSE)),"")</f>
        <v/>
      </c>
      <c r="E328" s="15" t="str">
        <f>IF(COUNTIFS(Master_PIC!$A$8:$A$73,$B328)=1,IF(VLOOKUP($B328,Master_PIC!$A$8:$G$73,5,FALSE)="","",VLOOKUP($B328,Master_PIC!$A$8:$G$73,5,FALSE)),"")</f>
        <v/>
      </c>
      <c r="F328" s="15" t="str">
        <f>IF(COUNTIFS(Master_PIC!$A$8:$A$73,$B328)=1,IF(VLOOKUP($B328,Master_PIC!$A$8:$G$73,6,FALSE)="","",VLOOKUP($B328,Master_PIC!$A$8:$G$73,6,FALSE)),"")</f>
        <v/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8"/>
      <c r="X328" s="5"/>
      <c r="Y328" s="5"/>
      <c r="Z328" s="9"/>
      <c r="AA328" s="5"/>
      <c r="AB328" s="5"/>
      <c r="AC328" s="9"/>
      <c r="AD328" s="5"/>
      <c r="AE328" s="7" t="str">
        <f t="shared" ref="AE328:AE391" si="35">IF(OR($A328&lt;&gt;"",$B328&lt;&gt;""),13-AI328,"")</f>
        <v/>
      </c>
      <c r="AF328" s="7" t="str">
        <f t="shared" ref="AF328:AF391" si="36">IF(OR($A328&lt;&gt;"",$B328&lt;&gt;""),COUNTIFS(G328:S328,"Selesai"),"")</f>
        <v/>
      </c>
      <c r="AG328" s="7" t="str">
        <f t="shared" ref="AG328:AG391" si="37">IF(OR($A328&lt;&gt;"",$B328&lt;&gt;""),COUNTIFS(G328:S328,"Proses"),"")</f>
        <v/>
      </c>
      <c r="AH328" s="7" t="str">
        <f t="shared" ref="AH328:AH391" si="38">IF(OR($A328&lt;&gt;"",$B328&lt;&gt;""),COUNTIFS(G328:S328,"Belum"),"")</f>
        <v/>
      </c>
      <c r="AI328" s="7" t="str">
        <f t="shared" ref="AI328:AI391" si="39">IF(OR($A328&lt;&gt;"",$B328&lt;&gt;""),COUNTIFS(G328:S328,"Tidak Berlaku"),"")</f>
        <v/>
      </c>
      <c r="AJ328" s="7" t="str">
        <f t="shared" ref="AJ328:AJ391" si="40">IF(OR($A328&lt;&gt;"",$B328&lt;&gt;""),COUNTBLANK(G328:S328),"")</f>
        <v/>
      </c>
      <c r="AK328" s="10" t="str">
        <f t="shared" ref="AK328:AK391" si="41">IF(OR($A328&lt;&gt;"",$B328&lt;&gt;""),IF(AE328=0,"n.a.",AF328/AE328),"")</f>
        <v/>
      </c>
      <c r="AL328" s="15" t="str">
        <f>IF(OR($A328&lt;&gt;"",$B328&lt;&gt;""),IF(OR($A328="",$B328=""),"Isi tanggal dan ID PIC",IF(NOT(ISNUMBER($A328)),"Tanggal harus berupa tanggal Excel",IF(COUNTIFS(Master_PIC!$A$8:$A$73,$B328)&lt;&gt;1,"ID PIC tidak unik/terdaftar",IF(VLOOKUP($B328,Master_PIC!$A$8:$G$73,3,FALSE)&lt;&gt;"SPV","Jabatan tidak sesuai sheet",IF(OR($C328="",$D328="",$E328="",$F328=""),"Lengkapi master PIC",IF(COUNTIFS($A$8:$A$507,$A328,$B$8:$B$507,$B328)&gt;1,"Laporan ganda",IF(COUNTIFS(G328:O328,"Tidak Berlaku")&gt;0,"N/A hanya untuk kegiatan bersyarat",IF(SUM(AF328,AG328,AH328,AI328,AJ328)&lt;&gt;13,"Status kegiatan tidak valid",IF(AJ328&gt;0,"Lengkapi status kegiatan",IF(AND(AI328&gt;0,T328=""),"Isi alasan Tidak Berlaku",IF(AND(SUM(AG328,AH328)&gt;0,OR(T328="",U328="",V328="",W328="")),"Isi kendala dan tindak lanjut",IF(AND(Y328&lt;&gt;"Draft",Y328&lt;&gt;"Dikirim"),"Isi status laporan yang valid",IF(AND(AA328&lt;&gt;"",AA328&lt;&gt;"Belum Diperiksa",AA328&lt;&gt;"Disetujui",AA328&lt;&gt;"Perlu Perbaikan"),"Hasil review tidak valid",IF(AND(Y328="Dikirim",OR(X328="",Z328="")),"Isi bukti dan waktu kirim",IF(AND(AA328="Disetujui",OR(Y328&lt;&gt;"Dikirim",AB328="",AC328="")),"Lengkapi pemeriksaan",IF(AND(AA328="Perlu Perbaikan",OR(AD328="",AB328="",AC328="")),"Isi pemeriksa dan catatan perbaikan","OK")))))))))))))))),"")</f>
        <v/>
      </c>
    </row>
    <row r="329" spans="1:38" ht="24.95" customHeight="1">
      <c r="A329" s="8"/>
      <c r="B329" s="6"/>
      <c r="C329" s="15" t="str">
        <f>IF(COUNTIFS(Master_PIC!$A$8:$A$73,$B329)=1,IF(VLOOKUP($B329,Master_PIC!$A$8:$G$73,2,FALSE)="","",VLOOKUP($B329,Master_PIC!$A$8:$G$73,2,FALSE)),"")</f>
        <v/>
      </c>
      <c r="D329" s="15" t="str">
        <f>IF(COUNTIFS(Master_PIC!$A$8:$A$73,$B329)=1,IF(VLOOKUP($B329,Master_PIC!$A$8:$G$73,4,FALSE)="","",VLOOKUP($B329,Master_PIC!$A$8:$G$73,4,FALSE)),"")</f>
        <v/>
      </c>
      <c r="E329" s="15" t="str">
        <f>IF(COUNTIFS(Master_PIC!$A$8:$A$73,$B329)=1,IF(VLOOKUP($B329,Master_PIC!$A$8:$G$73,5,FALSE)="","",VLOOKUP($B329,Master_PIC!$A$8:$G$73,5,FALSE)),"")</f>
        <v/>
      </c>
      <c r="F329" s="15" t="str">
        <f>IF(COUNTIFS(Master_PIC!$A$8:$A$73,$B329)=1,IF(VLOOKUP($B329,Master_PIC!$A$8:$G$73,6,FALSE)="","",VLOOKUP($B329,Master_PIC!$A$8:$G$73,6,FALSE)),"")</f>
        <v/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8"/>
      <c r="X329" s="5"/>
      <c r="Y329" s="5"/>
      <c r="Z329" s="9"/>
      <c r="AA329" s="5"/>
      <c r="AB329" s="5"/>
      <c r="AC329" s="9"/>
      <c r="AD329" s="5"/>
      <c r="AE329" s="7" t="str">
        <f t="shared" si="35"/>
        <v/>
      </c>
      <c r="AF329" s="7" t="str">
        <f t="shared" si="36"/>
        <v/>
      </c>
      <c r="AG329" s="7" t="str">
        <f t="shared" si="37"/>
        <v/>
      </c>
      <c r="AH329" s="7" t="str">
        <f t="shared" si="38"/>
        <v/>
      </c>
      <c r="AI329" s="7" t="str">
        <f t="shared" si="39"/>
        <v/>
      </c>
      <c r="AJ329" s="7" t="str">
        <f t="shared" si="40"/>
        <v/>
      </c>
      <c r="AK329" s="10" t="str">
        <f t="shared" si="41"/>
        <v/>
      </c>
      <c r="AL329" s="15" t="str">
        <f>IF(OR($A329&lt;&gt;"",$B329&lt;&gt;""),IF(OR($A329="",$B329=""),"Isi tanggal dan ID PIC",IF(NOT(ISNUMBER($A329)),"Tanggal harus berupa tanggal Excel",IF(COUNTIFS(Master_PIC!$A$8:$A$73,$B329)&lt;&gt;1,"ID PIC tidak unik/terdaftar",IF(VLOOKUP($B329,Master_PIC!$A$8:$G$73,3,FALSE)&lt;&gt;"SPV","Jabatan tidak sesuai sheet",IF(OR($C329="",$D329="",$E329="",$F329=""),"Lengkapi master PIC",IF(COUNTIFS($A$8:$A$507,$A329,$B$8:$B$507,$B329)&gt;1,"Laporan ganda",IF(COUNTIFS(G329:O329,"Tidak Berlaku")&gt;0,"N/A hanya untuk kegiatan bersyarat",IF(SUM(AF329,AG329,AH329,AI329,AJ329)&lt;&gt;13,"Status kegiatan tidak valid",IF(AJ329&gt;0,"Lengkapi status kegiatan",IF(AND(AI329&gt;0,T329=""),"Isi alasan Tidak Berlaku",IF(AND(SUM(AG329,AH329)&gt;0,OR(T329="",U329="",V329="",W329="")),"Isi kendala dan tindak lanjut",IF(AND(Y329&lt;&gt;"Draft",Y329&lt;&gt;"Dikirim"),"Isi status laporan yang valid",IF(AND(AA329&lt;&gt;"",AA329&lt;&gt;"Belum Diperiksa",AA329&lt;&gt;"Disetujui",AA329&lt;&gt;"Perlu Perbaikan"),"Hasil review tidak valid",IF(AND(Y329="Dikirim",OR(X329="",Z329="")),"Isi bukti dan waktu kirim",IF(AND(AA329="Disetujui",OR(Y329&lt;&gt;"Dikirim",AB329="",AC329="")),"Lengkapi pemeriksaan",IF(AND(AA329="Perlu Perbaikan",OR(AD329="",AB329="",AC329="")),"Isi pemeriksa dan catatan perbaikan","OK")))))))))))))))),"")</f>
        <v/>
      </c>
    </row>
    <row r="330" spans="1:38" ht="24.95" customHeight="1">
      <c r="A330" s="8"/>
      <c r="B330" s="6"/>
      <c r="C330" s="15" t="str">
        <f>IF(COUNTIFS(Master_PIC!$A$8:$A$73,$B330)=1,IF(VLOOKUP($B330,Master_PIC!$A$8:$G$73,2,FALSE)="","",VLOOKUP($B330,Master_PIC!$A$8:$G$73,2,FALSE)),"")</f>
        <v/>
      </c>
      <c r="D330" s="15" t="str">
        <f>IF(COUNTIFS(Master_PIC!$A$8:$A$73,$B330)=1,IF(VLOOKUP($B330,Master_PIC!$A$8:$G$73,4,FALSE)="","",VLOOKUP($B330,Master_PIC!$A$8:$G$73,4,FALSE)),"")</f>
        <v/>
      </c>
      <c r="E330" s="15" t="str">
        <f>IF(COUNTIFS(Master_PIC!$A$8:$A$73,$B330)=1,IF(VLOOKUP($B330,Master_PIC!$A$8:$G$73,5,FALSE)="","",VLOOKUP($B330,Master_PIC!$A$8:$G$73,5,FALSE)),"")</f>
        <v/>
      </c>
      <c r="F330" s="15" t="str">
        <f>IF(COUNTIFS(Master_PIC!$A$8:$A$73,$B330)=1,IF(VLOOKUP($B330,Master_PIC!$A$8:$G$73,6,FALSE)="","",VLOOKUP($B330,Master_PIC!$A$8:$G$73,6,FALSE)),"")</f>
        <v/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8"/>
      <c r="X330" s="5"/>
      <c r="Y330" s="5"/>
      <c r="Z330" s="9"/>
      <c r="AA330" s="5"/>
      <c r="AB330" s="5"/>
      <c r="AC330" s="9"/>
      <c r="AD330" s="5"/>
      <c r="AE330" s="7" t="str">
        <f t="shared" si="35"/>
        <v/>
      </c>
      <c r="AF330" s="7" t="str">
        <f t="shared" si="36"/>
        <v/>
      </c>
      <c r="AG330" s="7" t="str">
        <f t="shared" si="37"/>
        <v/>
      </c>
      <c r="AH330" s="7" t="str">
        <f t="shared" si="38"/>
        <v/>
      </c>
      <c r="AI330" s="7" t="str">
        <f t="shared" si="39"/>
        <v/>
      </c>
      <c r="AJ330" s="7" t="str">
        <f t="shared" si="40"/>
        <v/>
      </c>
      <c r="AK330" s="10" t="str">
        <f t="shared" si="41"/>
        <v/>
      </c>
      <c r="AL330" s="15" t="str">
        <f>IF(OR($A330&lt;&gt;"",$B330&lt;&gt;""),IF(OR($A330="",$B330=""),"Isi tanggal dan ID PIC",IF(NOT(ISNUMBER($A330)),"Tanggal harus berupa tanggal Excel",IF(COUNTIFS(Master_PIC!$A$8:$A$73,$B330)&lt;&gt;1,"ID PIC tidak unik/terdaftar",IF(VLOOKUP($B330,Master_PIC!$A$8:$G$73,3,FALSE)&lt;&gt;"SPV","Jabatan tidak sesuai sheet",IF(OR($C330="",$D330="",$E330="",$F330=""),"Lengkapi master PIC",IF(COUNTIFS($A$8:$A$507,$A330,$B$8:$B$507,$B330)&gt;1,"Laporan ganda",IF(COUNTIFS(G330:O330,"Tidak Berlaku")&gt;0,"N/A hanya untuk kegiatan bersyarat",IF(SUM(AF330,AG330,AH330,AI330,AJ330)&lt;&gt;13,"Status kegiatan tidak valid",IF(AJ330&gt;0,"Lengkapi status kegiatan",IF(AND(AI330&gt;0,T330=""),"Isi alasan Tidak Berlaku",IF(AND(SUM(AG330,AH330)&gt;0,OR(T330="",U330="",V330="",W330="")),"Isi kendala dan tindak lanjut",IF(AND(Y330&lt;&gt;"Draft",Y330&lt;&gt;"Dikirim"),"Isi status laporan yang valid",IF(AND(AA330&lt;&gt;"",AA330&lt;&gt;"Belum Diperiksa",AA330&lt;&gt;"Disetujui",AA330&lt;&gt;"Perlu Perbaikan"),"Hasil review tidak valid",IF(AND(Y330="Dikirim",OR(X330="",Z330="")),"Isi bukti dan waktu kirim",IF(AND(AA330="Disetujui",OR(Y330&lt;&gt;"Dikirim",AB330="",AC330="")),"Lengkapi pemeriksaan",IF(AND(AA330="Perlu Perbaikan",OR(AD330="",AB330="",AC330="")),"Isi pemeriksa dan catatan perbaikan","OK")))))))))))))))),"")</f>
        <v/>
      </c>
    </row>
    <row r="331" spans="1:38" ht="24.95" customHeight="1">
      <c r="A331" s="8"/>
      <c r="B331" s="6"/>
      <c r="C331" s="15" t="str">
        <f>IF(COUNTIFS(Master_PIC!$A$8:$A$73,$B331)=1,IF(VLOOKUP($B331,Master_PIC!$A$8:$G$73,2,FALSE)="","",VLOOKUP($B331,Master_PIC!$A$8:$G$73,2,FALSE)),"")</f>
        <v/>
      </c>
      <c r="D331" s="15" t="str">
        <f>IF(COUNTIFS(Master_PIC!$A$8:$A$73,$B331)=1,IF(VLOOKUP($B331,Master_PIC!$A$8:$G$73,4,FALSE)="","",VLOOKUP($B331,Master_PIC!$A$8:$G$73,4,FALSE)),"")</f>
        <v/>
      </c>
      <c r="E331" s="15" t="str">
        <f>IF(COUNTIFS(Master_PIC!$A$8:$A$73,$B331)=1,IF(VLOOKUP($B331,Master_PIC!$A$8:$G$73,5,FALSE)="","",VLOOKUP($B331,Master_PIC!$A$8:$G$73,5,FALSE)),"")</f>
        <v/>
      </c>
      <c r="F331" s="15" t="str">
        <f>IF(COUNTIFS(Master_PIC!$A$8:$A$73,$B331)=1,IF(VLOOKUP($B331,Master_PIC!$A$8:$G$73,6,FALSE)="","",VLOOKUP($B331,Master_PIC!$A$8:$G$73,6,FALSE)),"")</f>
        <v/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8"/>
      <c r="X331" s="5"/>
      <c r="Y331" s="5"/>
      <c r="Z331" s="9"/>
      <c r="AA331" s="5"/>
      <c r="AB331" s="5"/>
      <c r="AC331" s="9"/>
      <c r="AD331" s="5"/>
      <c r="AE331" s="7" t="str">
        <f t="shared" si="35"/>
        <v/>
      </c>
      <c r="AF331" s="7" t="str">
        <f t="shared" si="36"/>
        <v/>
      </c>
      <c r="AG331" s="7" t="str">
        <f t="shared" si="37"/>
        <v/>
      </c>
      <c r="AH331" s="7" t="str">
        <f t="shared" si="38"/>
        <v/>
      </c>
      <c r="AI331" s="7" t="str">
        <f t="shared" si="39"/>
        <v/>
      </c>
      <c r="AJ331" s="7" t="str">
        <f t="shared" si="40"/>
        <v/>
      </c>
      <c r="AK331" s="10" t="str">
        <f t="shared" si="41"/>
        <v/>
      </c>
      <c r="AL331" s="15" t="str">
        <f>IF(OR($A331&lt;&gt;"",$B331&lt;&gt;""),IF(OR($A331="",$B331=""),"Isi tanggal dan ID PIC",IF(NOT(ISNUMBER($A331)),"Tanggal harus berupa tanggal Excel",IF(COUNTIFS(Master_PIC!$A$8:$A$73,$B331)&lt;&gt;1,"ID PIC tidak unik/terdaftar",IF(VLOOKUP($B331,Master_PIC!$A$8:$G$73,3,FALSE)&lt;&gt;"SPV","Jabatan tidak sesuai sheet",IF(OR($C331="",$D331="",$E331="",$F331=""),"Lengkapi master PIC",IF(COUNTIFS($A$8:$A$507,$A331,$B$8:$B$507,$B331)&gt;1,"Laporan ganda",IF(COUNTIFS(G331:O331,"Tidak Berlaku")&gt;0,"N/A hanya untuk kegiatan bersyarat",IF(SUM(AF331,AG331,AH331,AI331,AJ331)&lt;&gt;13,"Status kegiatan tidak valid",IF(AJ331&gt;0,"Lengkapi status kegiatan",IF(AND(AI331&gt;0,T331=""),"Isi alasan Tidak Berlaku",IF(AND(SUM(AG331,AH331)&gt;0,OR(T331="",U331="",V331="",W331="")),"Isi kendala dan tindak lanjut",IF(AND(Y331&lt;&gt;"Draft",Y331&lt;&gt;"Dikirim"),"Isi status laporan yang valid",IF(AND(AA331&lt;&gt;"",AA331&lt;&gt;"Belum Diperiksa",AA331&lt;&gt;"Disetujui",AA331&lt;&gt;"Perlu Perbaikan"),"Hasil review tidak valid",IF(AND(Y331="Dikirim",OR(X331="",Z331="")),"Isi bukti dan waktu kirim",IF(AND(AA331="Disetujui",OR(Y331&lt;&gt;"Dikirim",AB331="",AC331="")),"Lengkapi pemeriksaan",IF(AND(AA331="Perlu Perbaikan",OR(AD331="",AB331="",AC331="")),"Isi pemeriksa dan catatan perbaikan","OK")))))))))))))))),"")</f>
        <v/>
      </c>
    </row>
    <row r="332" spans="1:38" ht="24.95" customHeight="1">
      <c r="A332" s="8"/>
      <c r="B332" s="6"/>
      <c r="C332" s="15" t="str">
        <f>IF(COUNTIFS(Master_PIC!$A$8:$A$73,$B332)=1,IF(VLOOKUP($B332,Master_PIC!$A$8:$G$73,2,FALSE)="","",VLOOKUP($B332,Master_PIC!$A$8:$G$73,2,FALSE)),"")</f>
        <v/>
      </c>
      <c r="D332" s="15" t="str">
        <f>IF(COUNTIFS(Master_PIC!$A$8:$A$73,$B332)=1,IF(VLOOKUP($B332,Master_PIC!$A$8:$G$73,4,FALSE)="","",VLOOKUP($B332,Master_PIC!$A$8:$G$73,4,FALSE)),"")</f>
        <v/>
      </c>
      <c r="E332" s="15" t="str">
        <f>IF(COUNTIFS(Master_PIC!$A$8:$A$73,$B332)=1,IF(VLOOKUP($B332,Master_PIC!$A$8:$G$73,5,FALSE)="","",VLOOKUP($B332,Master_PIC!$A$8:$G$73,5,FALSE)),"")</f>
        <v/>
      </c>
      <c r="F332" s="15" t="str">
        <f>IF(COUNTIFS(Master_PIC!$A$8:$A$73,$B332)=1,IF(VLOOKUP($B332,Master_PIC!$A$8:$G$73,6,FALSE)="","",VLOOKUP($B332,Master_PIC!$A$8:$G$73,6,FALSE)),"")</f>
        <v/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8"/>
      <c r="X332" s="5"/>
      <c r="Y332" s="5"/>
      <c r="Z332" s="9"/>
      <c r="AA332" s="5"/>
      <c r="AB332" s="5"/>
      <c r="AC332" s="9"/>
      <c r="AD332" s="5"/>
      <c r="AE332" s="7" t="str">
        <f t="shared" si="35"/>
        <v/>
      </c>
      <c r="AF332" s="7" t="str">
        <f t="shared" si="36"/>
        <v/>
      </c>
      <c r="AG332" s="7" t="str">
        <f t="shared" si="37"/>
        <v/>
      </c>
      <c r="AH332" s="7" t="str">
        <f t="shared" si="38"/>
        <v/>
      </c>
      <c r="AI332" s="7" t="str">
        <f t="shared" si="39"/>
        <v/>
      </c>
      <c r="AJ332" s="7" t="str">
        <f t="shared" si="40"/>
        <v/>
      </c>
      <c r="AK332" s="10" t="str">
        <f t="shared" si="41"/>
        <v/>
      </c>
      <c r="AL332" s="15" t="str">
        <f>IF(OR($A332&lt;&gt;"",$B332&lt;&gt;""),IF(OR($A332="",$B332=""),"Isi tanggal dan ID PIC",IF(NOT(ISNUMBER($A332)),"Tanggal harus berupa tanggal Excel",IF(COUNTIFS(Master_PIC!$A$8:$A$73,$B332)&lt;&gt;1,"ID PIC tidak unik/terdaftar",IF(VLOOKUP($B332,Master_PIC!$A$8:$G$73,3,FALSE)&lt;&gt;"SPV","Jabatan tidak sesuai sheet",IF(OR($C332="",$D332="",$E332="",$F332=""),"Lengkapi master PIC",IF(COUNTIFS($A$8:$A$507,$A332,$B$8:$B$507,$B332)&gt;1,"Laporan ganda",IF(COUNTIFS(G332:O332,"Tidak Berlaku")&gt;0,"N/A hanya untuk kegiatan bersyarat",IF(SUM(AF332,AG332,AH332,AI332,AJ332)&lt;&gt;13,"Status kegiatan tidak valid",IF(AJ332&gt;0,"Lengkapi status kegiatan",IF(AND(AI332&gt;0,T332=""),"Isi alasan Tidak Berlaku",IF(AND(SUM(AG332,AH332)&gt;0,OR(T332="",U332="",V332="",W332="")),"Isi kendala dan tindak lanjut",IF(AND(Y332&lt;&gt;"Draft",Y332&lt;&gt;"Dikirim"),"Isi status laporan yang valid",IF(AND(AA332&lt;&gt;"",AA332&lt;&gt;"Belum Diperiksa",AA332&lt;&gt;"Disetujui",AA332&lt;&gt;"Perlu Perbaikan"),"Hasil review tidak valid",IF(AND(Y332="Dikirim",OR(X332="",Z332="")),"Isi bukti dan waktu kirim",IF(AND(AA332="Disetujui",OR(Y332&lt;&gt;"Dikirim",AB332="",AC332="")),"Lengkapi pemeriksaan",IF(AND(AA332="Perlu Perbaikan",OR(AD332="",AB332="",AC332="")),"Isi pemeriksa dan catatan perbaikan","OK")))))))))))))))),"")</f>
        <v/>
      </c>
    </row>
    <row r="333" spans="1:38" ht="24.95" customHeight="1">
      <c r="A333" s="8"/>
      <c r="B333" s="6"/>
      <c r="C333" s="15" t="str">
        <f>IF(COUNTIFS(Master_PIC!$A$8:$A$73,$B333)=1,IF(VLOOKUP($B333,Master_PIC!$A$8:$G$73,2,FALSE)="","",VLOOKUP($B333,Master_PIC!$A$8:$G$73,2,FALSE)),"")</f>
        <v/>
      </c>
      <c r="D333" s="15" t="str">
        <f>IF(COUNTIFS(Master_PIC!$A$8:$A$73,$B333)=1,IF(VLOOKUP($B333,Master_PIC!$A$8:$G$73,4,FALSE)="","",VLOOKUP($B333,Master_PIC!$A$8:$G$73,4,FALSE)),"")</f>
        <v/>
      </c>
      <c r="E333" s="15" t="str">
        <f>IF(COUNTIFS(Master_PIC!$A$8:$A$73,$B333)=1,IF(VLOOKUP($B333,Master_PIC!$A$8:$G$73,5,FALSE)="","",VLOOKUP($B333,Master_PIC!$A$8:$G$73,5,FALSE)),"")</f>
        <v/>
      </c>
      <c r="F333" s="15" t="str">
        <f>IF(COUNTIFS(Master_PIC!$A$8:$A$73,$B333)=1,IF(VLOOKUP($B333,Master_PIC!$A$8:$G$73,6,FALSE)="","",VLOOKUP($B333,Master_PIC!$A$8:$G$73,6,FALSE)),"")</f>
        <v/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9"/>
      <c r="AA333" s="5"/>
      <c r="AB333" s="5"/>
      <c r="AC333" s="9"/>
      <c r="AD333" s="5"/>
      <c r="AE333" s="7" t="str">
        <f t="shared" si="35"/>
        <v/>
      </c>
      <c r="AF333" s="7" t="str">
        <f t="shared" si="36"/>
        <v/>
      </c>
      <c r="AG333" s="7" t="str">
        <f t="shared" si="37"/>
        <v/>
      </c>
      <c r="AH333" s="7" t="str">
        <f t="shared" si="38"/>
        <v/>
      </c>
      <c r="AI333" s="7" t="str">
        <f t="shared" si="39"/>
        <v/>
      </c>
      <c r="AJ333" s="7" t="str">
        <f t="shared" si="40"/>
        <v/>
      </c>
      <c r="AK333" s="10" t="str">
        <f t="shared" si="41"/>
        <v/>
      </c>
      <c r="AL333" s="15" t="str">
        <f>IF(OR($A333&lt;&gt;"",$B333&lt;&gt;""),IF(OR($A333="",$B333=""),"Isi tanggal dan ID PIC",IF(NOT(ISNUMBER($A333)),"Tanggal harus berupa tanggal Excel",IF(COUNTIFS(Master_PIC!$A$8:$A$73,$B333)&lt;&gt;1,"ID PIC tidak unik/terdaftar",IF(VLOOKUP($B333,Master_PIC!$A$8:$G$73,3,FALSE)&lt;&gt;"SPV","Jabatan tidak sesuai sheet",IF(OR($C333="",$D333="",$E333="",$F333=""),"Lengkapi master PIC",IF(COUNTIFS($A$8:$A$507,$A333,$B$8:$B$507,$B333)&gt;1,"Laporan ganda",IF(COUNTIFS(G333:O333,"Tidak Berlaku")&gt;0,"N/A hanya untuk kegiatan bersyarat",IF(SUM(AF333,AG333,AH333,AI333,AJ333)&lt;&gt;13,"Status kegiatan tidak valid",IF(AJ333&gt;0,"Lengkapi status kegiatan",IF(AND(AI333&gt;0,T333=""),"Isi alasan Tidak Berlaku",IF(AND(SUM(AG333,AH333)&gt;0,OR(T333="",U333="",V333="",W333="")),"Isi kendala dan tindak lanjut",IF(AND(Y333&lt;&gt;"Draft",Y333&lt;&gt;"Dikirim"),"Isi status laporan yang valid",IF(AND(AA333&lt;&gt;"",AA333&lt;&gt;"Belum Diperiksa",AA333&lt;&gt;"Disetujui",AA333&lt;&gt;"Perlu Perbaikan"),"Hasil review tidak valid",IF(AND(Y333="Dikirim",OR(X333="",Z333="")),"Isi bukti dan waktu kirim",IF(AND(AA333="Disetujui",OR(Y333&lt;&gt;"Dikirim",AB333="",AC333="")),"Lengkapi pemeriksaan",IF(AND(AA333="Perlu Perbaikan",OR(AD333="",AB333="",AC333="")),"Isi pemeriksa dan catatan perbaikan","OK")))))))))))))))),"")</f>
        <v/>
      </c>
    </row>
    <row r="334" spans="1:38" ht="24.95" customHeight="1">
      <c r="A334" s="8"/>
      <c r="B334" s="6"/>
      <c r="C334" s="15" t="str">
        <f>IF(COUNTIFS(Master_PIC!$A$8:$A$73,$B334)=1,IF(VLOOKUP($B334,Master_PIC!$A$8:$G$73,2,FALSE)="","",VLOOKUP($B334,Master_PIC!$A$8:$G$73,2,FALSE)),"")</f>
        <v/>
      </c>
      <c r="D334" s="15" t="str">
        <f>IF(COUNTIFS(Master_PIC!$A$8:$A$73,$B334)=1,IF(VLOOKUP($B334,Master_PIC!$A$8:$G$73,4,FALSE)="","",VLOOKUP($B334,Master_PIC!$A$8:$G$73,4,FALSE)),"")</f>
        <v/>
      </c>
      <c r="E334" s="15" t="str">
        <f>IF(COUNTIFS(Master_PIC!$A$8:$A$73,$B334)=1,IF(VLOOKUP($B334,Master_PIC!$A$8:$G$73,5,FALSE)="","",VLOOKUP($B334,Master_PIC!$A$8:$G$73,5,FALSE)),"")</f>
        <v/>
      </c>
      <c r="F334" s="15" t="str">
        <f>IF(COUNTIFS(Master_PIC!$A$8:$A$73,$B334)=1,IF(VLOOKUP($B334,Master_PIC!$A$8:$G$73,6,FALSE)="","",VLOOKUP($B334,Master_PIC!$A$8:$G$73,6,FALSE)),"")</f>
        <v/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8"/>
      <c r="X334" s="5"/>
      <c r="Y334" s="5"/>
      <c r="Z334" s="9"/>
      <c r="AA334" s="5"/>
      <c r="AB334" s="5"/>
      <c r="AC334" s="9"/>
      <c r="AD334" s="5"/>
      <c r="AE334" s="7" t="str">
        <f t="shared" si="35"/>
        <v/>
      </c>
      <c r="AF334" s="7" t="str">
        <f t="shared" si="36"/>
        <v/>
      </c>
      <c r="AG334" s="7" t="str">
        <f t="shared" si="37"/>
        <v/>
      </c>
      <c r="AH334" s="7" t="str">
        <f t="shared" si="38"/>
        <v/>
      </c>
      <c r="AI334" s="7" t="str">
        <f t="shared" si="39"/>
        <v/>
      </c>
      <c r="AJ334" s="7" t="str">
        <f t="shared" si="40"/>
        <v/>
      </c>
      <c r="AK334" s="10" t="str">
        <f t="shared" si="41"/>
        <v/>
      </c>
      <c r="AL334" s="15" t="str">
        <f>IF(OR($A334&lt;&gt;"",$B334&lt;&gt;""),IF(OR($A334="",$B334=""),"Isi tanggal dan ID PIC",IF(NOT(ISNUMBER($A334)),"Tanggal harus berupa tanggal Excel",IF(COUNTIFS(Master_PIC!$A$8:$A$73,$B334)&lt;&gt;1,"ID PIC tidak unik/terdaftar",IF(VLOOKUP($B334,Master_PIC!$A$8:$G$73,3,FALSE)&lt;&gt;"SPV","Jabatan tidak sesuai sheet",IF(OR($C334="",$D334="",$E334="",$F334=""),"Lengkapi master PIC",IF(COUNTIFS($A$8:$A$507,$A334,$B$8:$B$507,$B334)&gt;1,"Laporan ganda",IF(COUNTIFS(G334:O334,"Tidak Berlaku")&gt;0,"N/A hanya untuk kegiatan bersyarat",IF(SUM(AF334,AG334,AH334,AI334,AJ334)&lt;&gt;13,"Status kegiatan tidak valid",IF(AJ334&gt;0,"Lengkapi status kegiatan",IF(AND(AI334&gt;0,T334=""),"Isi alasan Tidak Berlaku",IF(AND(SUM(AG334,AH334)&gt;0,OR(T334="",U334="",V334="",W334="")),"Isi kendala dan tindak lanjut",IF(AND(Y334&lt;&gt;"Draft",Y334&lt;&gt;"Dikirim"),"Isi status laporan yang valid",IF(AND(AA334&lt;&gt;"",AA334&lt;&gt;"Belum Diperiksa",AA334&lt;&gt;"Disetujui",AA334&lt;&gt;"Perlu Perbaikan"),"Hasil review tidak valid",IF(AND(Y334="Dikirim",OR(X334="",Z334="")),"Isi bukti dan waktu kirim",IF(AND(AA334="Disetujui",OR(Y334&lt;&gt;"Dikirim",AB334="",AC334="")),"Lengkapi pemeriksaan",IF(AND(AA334="Perlu Perbaikan",OR(AD334="",AB334="",AC334="")),"Isi pemeriksa dan catatan perbaikan","OK")))))))))))))))),"")</f>
        <v/>
      </c>
    </row>
    <row r="335" spans="1:38" ht="24.95" customHeight="1">
      <c r="A335" s="8"/>
      <c r="B335" s="6"/>
      <c r="C335" s="15" t="str">
        <f>IF(COUNTIFS(Master_PIC!$A$8:$A$73,$B335)=1,IF(VLOOKUP($B335,Master_PIC!$A$8:$G$73,2,FALSE)="","",VLOOKUP($B335,Master_PIC!$A$8:$G$73,2,FALSE)),"")</f>
        <v/>
      </c>
      <c r="D335" s="15" t="str">
        <f>IF(COUNTIFS(Master_PIC!$A$8:$A$73,$B335)=1,IF(VLOOKUP($B335,Master_PIC!$A$8:$G$73,4,FALSE)="","",VLOOKUP($B335,Master_PIC!$A$8:$G$73,4,FALSE)),"")</f>
        <v/>
      </c>
      <c r="E335" s="15" t="str">
        <f>IF(COUNTIFS(Master_PIC!$A$8:$A$73,$B335)=1,IF(VLOOKUP($B335,Master_PIC!$A$8:$G$73,5,FALSE)="","",VLOOKUP($B335,Master_PIC!$A$8:$G$73,5,FALSE)),"")</f>
        <v/>
      </c>
      <c r="F335" s="15" t="str">
        <f>IF(COUNTIFS(Master_PIC!$A$8:$A$73,$B335)=1,IF(VLOOKUP($B335,Master_PIC!$A$8:$G$73,6,FALSE)="","",VLOOKUP($B335,Master_PIC!$A$8:$G$73,6,FALSE)),"")</f>
        <v/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8"/>
      <c r="X335" s="5"/>
      <c r="Y335" s="5"/>
      <c r="Z335" s="9"/>
      <c r="AA335" s="5"/>
      <c r="AB335" s="5"/>
      <c r="AC335" s="9"/>
      <c r="AD335" s="5"/>
      <c r="AE335" s="7" t="str">
        <f t="shared" si="35"/>
        <v/>
      </c>
      <c r="AF335" s="7" t="str">
        <f t="shared" si="36"/>
        <v/>
      </c>
      <c r="AG335" s="7" t="str">
        <f t="shared" si="37"/>
        <v/>
      </c>
      <c r="AH335" s="7" t="str">
        <f t="shared" si="38"/>
        <v/>
      </c>
      <c r="AI335" s="7" t="str">
        <f t="shared" si="39"/>
        <v/>
      </c>
      <c r="AJ335" s="7" t="str">
        <f t="shared" si="40"/>
        <v/>
      </c>
      <c r="AK335" s="10" t="str">
        <f t="shared" si="41"/>
        <v/>
      </c>
      <c r="AL335" s="15" t="str">
        <f>IF(OR($A335&lt;&gt;"",$B335&lt;&gt;""),IF(OR($A335="",$B335=""),"Isi tanggal dan ID PIC",IF(NOT(ISNUMBER($A335)),"Tanggal harus berupa tanggal Excel",IF(COUNTIFS(Master_PIC!$A$8:$A$73,$B335)&lt;&gt;1,"ID PIC tidak unik/terdaftar",IF(VLOOKUP($B335,Master_PIC!$A$8:$G$73,3,FALSE)&lt;&gt;"SPV","Jabatan tidak sesuai sheet",IF(OR($C335="",$D335="",$E335="",$F335=""),"Lengkapi master PIC",IF(COUNTIFS($A$8:$A$507,$A335,$B$8:$B$507,$B335)&gt;1,"Laporan ganda",IF(COUNTIFS(G335:O335,"Tidak Berlaku")&gt;0,"N/A hanya untuk kegiatan bersyarat",IF(SUM(AF335,AG335,AH335,AI335,AJ335)&lt;&gt;13,"Status kegiatan tidak valid",IF(AJ335&gt;0,"Lengkapi status kegiatan",IF(AND(AI335&gt;0,T335=""),"Isi alasan Tidak Berlaku",IF(AND(SUM(AG335,AH335)&gt;0,OR(T335="",U335="",V335="",W335="")),"Isi kendala dan tindak lanjut",IF(AND(Y335&lt;&gt;"Draft",Y335&lt;&gt;"Dikirim"),"Isi status laporan yang valid",IF(AND(AA335&lt;&gt;"",AA335&lt;&gt;"Belum Diperiksa",AA335&lt;&gt;"Disetujui",AA335&lt;&gt;"Perlu Perbaikan"),"Hasil review tidak valid",IF(AND(Y335="Dikirim",OR(X335="",Z335="")),"Isi bukti dan waktu kirim",IF(AND(AA335="Disetujui",OR(Y335&lt;&gt;"Dikirim",AB335="",AC335="")),"Lengkapi pemeriksaan",IF(AND(AA335="Perlu Perbaikan",OR(AD335="",AB335="",AC335="")),"Isi pemeriksa dan catatan perbaikan","OK")))))))))))))))),"")</f>
        <v/>
      </c>
    </row>
    <row r="336" spans="1:38" ht="24.95" customHeight="1">
      <c r="A336" s="8"/>
      <c r="B336" s="6"/>
      <c r="C336" s="15" t="str">
        <f>IF(COUNTIFS(Master_PIC!$A$8:$A$73,$B336)=1,IF(VLOOKUP($B336,Master_PIC!$A$8:$G$73,2,FALSE)="","",VLOOKUP($B336,Master_PIC!$A$8:$G$73,2,FALSE)),"")</f>
        <v/>
      </c>
      <c r="D336" s="15" t="str">
        <f>IF(COUNTIFS(Master_PIC!$A$8:$A$73,$B336)=1,IF(VLOOKUP($B336,Master_PIC!$A$8:$G$73,4,FALSE)="","",VLOOKUP($B336,Master_PIC!$A$8:$G$73,4,FALSE)),"")</f>
        <v/>
      </c>
      <c r="E336" s="15" t="str">
        <f>IF(COUNTIFS(Master_PIC!$A$8:$A$73,$B336)=1,IF(VLOOKUP($B336,Master_PIC!$A$8:$G$73,5,FALSE)="","",VLOOKUP($B336,Master_PIC!$A$8:$G$73,5,FALSE)),"")</f>
        <v/>
      </c>
      <c r="F336" s="15" t="str">
        <f>IF(COUNTIFS(Master_PIC!$A$8:$A$73,$B336)=1,IF(VLOOKUP($B336,Master_PIC!$A$8:$G$73,6,FALSE)="","",VLOOKUP($B336,Master_PIC!$A$8:$G$73,6,FALSE)),"")</f>
        <v/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8"/>
      <c r="X336" s="5"/>
      <c r="Y336" s="5"/>
      <c r="Z336" s="9"/>
      <c r="AA336" s="5"/>
      <c r="AB336" s="5"/>
      <c r="AC336" s="9"/>
      <c r="AD336" s="5"/>
      <c r="AE336" s="7" t="str">
        <f t="shared" si="35"/>
        <v/>
      </c>
      <c r="AF336" s="7" t="str">
        <f t="shared" si="36"/>
        <v/>
      </c>
      <c r="AG336" s="7" t="str">
        <f t="shared" si="37"/>
        <v/>
      </c>
      <c r="AH336" s="7" t="str">
        <f t="shared" si="38"/>
        <v/>
      </c>
      <c r="AI336" s="7" t="str">
        <f t="shared" si="39"/>
        <v/>
      </c>
      <c r="AJ336" s="7" t="str">
        <f t="shared" si="40"/>
        <v/>
      </c>
      <c r="AK336" s="10" t="str">
        <f t="shared" si="41"/>
        <v/>
      </c>
      <c r="AL336" s="15" t="str">
        <f>IF(OR($A336&lt;&gt;"",$B336&lt;&gt;""),IF(OR($A336="",$B336=""),"Isi tanggal dan ID PIC",IF(NOT(ISNUMBER($A336)),"Tanggal harus berupa tanggal Excel",IF(COUNTIFS(Master_PIC!$A$8:$A$73,$B336)&lt;&gt;1,"ID PIC tidak unik/terdaftar",IF(VLOOKUP($B336,Master_PIC!$A$8:$G$73,3,FALSE)&lt;&gt;"SPV","Jabatan tidak sesuai sheet",IF(OR($C336="",$D336="",$E336="",$F336=""),"Lengkapi master PIC",IF(COUNTIFS($A$8:$A$507,$A336,$B$8:$B$507,$B336)&gt;1,"Laporan ganda",IF(COUNTIFS(G336:O336,"Tidak Berlaku")&gt;0,"N/A hanya untuk kegiatan bersyarat",IF(SUM(AF336,AG336,AH336,AI336,AJ336)&lt;&gt;13,"Status kegiatan tidak valid",IF(AJ336&gt;0,"Lengkapi status kegiatan",IF(AND(AI336&gt;0,T336=""),"Isi alasan Tidak Berlaku",IF(AND(SUM(AG336,AH336)&gt;0,OR(T336="",U336="",V336="",W336="")),"Isi kendala dan tindak lanjut",IF(AND(Y336&lt;&gt;"Draft",Y336&lt;&gt;"Dikirim"),"Isi status laporan yang valid",IF(AND(AA336&lt;&gt;"",AA336&lt;&gt;"Belum Diperiksa",AA336&lt;&gt;"Disetujui",AA336&lt;&gt;"Perlu Perbaikan"),"Hasil review tidak valid",IF(AND(Y336="Dikirim",OR(X336="",Z336="")),"Isi bukti dan waktu kirim",IF(AND(AA336="Disetujui",OR(Y336&lt;&gt;"Dikirim",AB336="",AC336="")),"Lengkapi pemeriksaan",IF(AND(AA336="Perlu Perbaikan",OR(AD336="",AB336="",AC336="")),"Isi pemeriksa dan catatan perbaikan","OK")))))))))))))))),"")</f>
        <v/>
      </c>
    </row>
    <row r="337" spans="1:38" ht="24.95" customHeight="1">
      <c r="A337" s="8"/>
      <c r="B337" s="6"/>
      <c r="C337" s="15" t="str">
        <f>IF(COUNTIFS(Master_PIC!$A$8:$A$73,$B337)=1,IF(VLOOKUP($B337,Master_PIC!$A$8:$G$73,2,FALSE)="","",VLOOKUP($B337,Master_PIC!$A$8:$G$73,2,FALSE)),"")</f>
        <v/>
      </c>
      <c r="D337" s="15" t="str">
        <f>IF(COUNTIFS(Master_PIC!$A$8:$A$73,$B337)=1,IF(VLOOKUP($B337,Master_PIC!$A$8:$G$73,4,FALSE)="","",VLOOKUP($B337,Master_PIC!$A$8:$G$73,4,FALSE)),"")</f>
        <v/>
      </c>
      <c r="E337" s="15" t="str">
        <f>IF(COUNTIFS(Master_PIC!$A$8:$A$73,$B337)=1,IF(VLOOKUP($B337,Master_PIC!$A$8:$G$73,5,FALSE)="","",VLOOKUP($B337,Master_PIC!$A$8:$G$73,5,FALSE)),"")</f>
        <v/>
      </c>
      <c r="F337" s="15" t="str">
        <f>IF(COUNTIFS(Master_PIC!$A$8:$A$73,$B337)=1,IF(VLOOKUP($B337,Master_PIC!$A$8:$G$73,6,FALSE)="","",VLOOKUP($B337,Master_PIC!$A$8:$G$73,6,FALSE)),"")</f>
        <v/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8"/>
      <c r="X337" s="5"/>
      <c r="Y337" s="5"/>
      <c r="Z337" s="9"/>
      <c r="AA337" s="5"/>
      <c r="AB337" s="5"/>
      <c r="AC337" s="9"/>
      <c r="AD337" s="5"/>
      <c r="AE337" s="7" t="str">
        <f t="shared" si="35"/>
        <v/>
      </c>
      <c r="AF337" s="7" t="str">
        <f t="shared" si="36"/>
        <v/>
      </c>
      <c r="AG337" s="7" t="str">
        <f t="shared" si="37"/>
        <v/>
      </c>
      <c r="AH337" s="7" t="str">
        <f t="shared" si="38"/>
        <v/>
      </c>
      <c r="AI337" s="7" t="str">
        <f t="shared" si="39"/>
        <v/>
      </c>
      <c r="AJ337" s="7" t="str">
        <f t="shared" si="40"/>
        <v/>
      </c>
      <c r="AK337" s="10" t="str">
        <f t="shared" si="41"/>
        <v/>
      </c>
      <c r="AL337" s="15" t="str">
        <f>IF(OR($A337&lt;&gt;"",$B337&lt;&gt;""),IF(OR($A337="",$B337=""),"Isi tanggal dan ID PIC",IF(NOT(ISNUMBER($A337)),"Tanggal harus berupa tanggal Excel",IF(COUNTIFS(Master_PIC!$A$8:$A$73,$B337)&lt;&gt;1,"ID PIC tidak unik/terdaftar",IF(VLOOKUP($B337,Master_PIC!$A$8:$G$73,3,FALSE)&lt;&gt;"SPV","Jabatan tidak sesuai sheet",IF(OR($C337="",$D337="",$E337="",$F337=""),"Lengkapi master PIC",IF(COUNTIFS($A$8:$A$507,$A337,$B$8:$B$507,$B337)&gt;1,"Laporan ganda",IF(COUNTIFS(G337:O337,"Tidak Berlaku")&gt;0,"N/A hanya untuk kegiatan bersyarat",IF(SUM(AF337,AG337,AH337,AI337,AJ337)&lt;&gt;13,"Status kegiatan tidak valid",IF(AJ337&gt;0,"Lengkapi status kegiatan",IF(AND(AI337&gt;0,T337=""),"Isi alasan Tidak Berlaku",IF(AND(SUM(AG337,AH337)&gt;0,OR(T337="",U337="",V337="",W337="")),"Isi kendala dan tindak lanjut",IF(AND(Y337&lt;&gt;"Draft",Y337&lt;&gt;"Dikirim"),"Isi status laporan yang valid",IF(AND(AA337&lt;&gt;"",AA337&lt;&gt;"Belum Diperiksa",AA337&lt;&gt;"Disetujui",AA337&lt;&gt;"Perlu Perbaikan"),"Hasil review tidak valid",IF(AND(Y337="Dikirim",OR(X337="",Z337="")),"Isi bukti dan waktu kirim",IF(AND(AA337="Disetujui",OR(Y337&lt;&gt;"Dikirim",AB337="",AC337="")),"Lengkapi pemeriksaan",IF(AND(AA337="Perlu Perbaikan",OR(AD337="",AB337="",AC337="")),"Isi pemeriksa dan catatan perbaikan","OK")))))))))))))))),"")</f>
        <v/>
      </c>
    </row>
    <row r="338" spans="1:38" ht="24.95" customHeight="1">
      <c r="A338" s="8"/>
      <c r="B338" s="6"/>
      <c r="C338" s="15" t="str">
        <f>IF(COUNTIFS(Master_PIC!$A$8:$A$73,$B338)=1,IF(VLOOKUP($B338,Master_PIC!$A$8:$G$73,2,FALSE)="","",VLOOKUP($B338,Master_PIC!$A$8:$G$73,2,FALSE)),"")</f>
        <v/>
      </c>
      <c r="D338" s="15" t="str">
        <f>IF(COUNTIFS(Master_PIC!$A$8:$A$73,$B338)=1,IF(VLOOKUP($B338,Master_PIC!$A$8:$G$73,4,FALSE)="","",VLOOKUP($B338,Master_PIC!$A$8:$G$73,4,FALSE)),"")</f>
        <v/>
      </c>
      <c r="E338" s="15" t="str">
        <f>IF(COUNTIFS(Master_PIC!$A$8:$A$73,$B338)=1,IF(VLOOKUP($B338,Master_PIC!$A$8:$G$73,5,FALSE)="","",VLOOKUP($B338,Master_PIC!$A$8:$G$73,5,FALSE)),"")</f>
        <v/>
      </c>
      <c r="F338" s="15" t="str">
        <f>IF(COUNTIFS(Master_PIC!$A$8:$A$73,$B338)=1,IF(VLOOKUP($B338,Master_PIC!$A$8:$G$73,6,FALSE)="","",VLOOKUP($B338,Master_PIC!$A$8:$G$73,6,FALSE)),"")</f>
        <v/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8"/>
      <c r="X338" s="5"/>
      <c r="Y338" s="5"/>
      <c r="Z338" s="9"/>
      <c r="AA338" s="5"/>
      <c r="AB338" s="5"/>
      <c r="AC338" s="9"/>
      <c r="AD338" s="5"/>
      <c r="AE338" s="7" t="str">
        <f t="shared" si="35"/>
        <v/>
      </c>
      <c r="AF338" s="7" t="str">
        <f t="shared" si="36"/>
        <v/>
      </c>
      <c r="AG338" s="7" t="str">
        <f t="shared" si="37"/>
        <v/>
      </c>
      <c r="AH338" s="7" t="str">
        <f t="shared" si="38"/>
        <v/>
      </c>
      <c r="AI338" s="7" t="str">
        <f t="shared" si="39"/>
        <v/>
      </c>
      <c r="AJ338" s="7" t="str">
        <f t="shared" si="40"/>
        <v/>
      </c>
      <c r="AK338" s="10" t="str">
        <f t="shared" si="41"/>
        <v/>
      </c>
      <c r="AL338" s="15" t="str">
        <f>IF(OR($A338&lt;&gt;"",$B338&lt;&gt;""),IF(OR($A338="",$B338=""),"Isi tanggal dan ID PIC",IF(NOT(ISNUMBER($A338)),"Tanggal harus berupa tanggal Excel",IF(COUNTIFS(Master_PIC!$A$8:$A$73,$B338)&lt;&gt;1,"ID PIC tidak unik/terdaftar",IF(VLOOKUP($B338,Master_PIC!$A$8:$G$73,3,FALSE)&lt;&gt;"SPV","Jabatan tidak sesuai sheet",IF(OR($C338="",$D338="",$E338="",$F338=""),"Lengkapi master PIC",IF(COUNTIFS($A$8:$A$507,$A338,$B$8:$B$507,$B338)&gt;1,"Laporan ganda",IF(COUNTIFS(G338:O338,"Tidak Berlaku")&gt;0,"N/A hanya untuk kegiatan bersyarat",IF(SUM(AF338,AG338,AH338,AI338,AJ338)&lt;&gt;13,"Status kegiatan tidak valid",IF(AJ338&gt;0,"Lengkapi status kegiatan",IF(AND(AI338&gt;0,T338=""),"Isi alasan Tidak Berlaku",IF(AND(SUM(AG338,AH338)&gt;0,OR(T338="",U338="",V338="",W338="")),"Isi kendala dan tindak lanjut",IF(AND(Y338&lt;&gt;"Draft",Y338&lt;&gt;"Dikirim"),"Isi status laporan yang valid",IF(AND(AA338&lt;&gt;"",AA338&lt;&gt;"Belum Diperiksa",AA338&lt;&gt;"Disetujui",AA338&lt;&gt;"Perlu Perbaikan"),"Hasil review tidak valid",IF(AND(Y338="Dikirim",OR(X338="",Z338="")),"Isi bukti dan waktu kirim",IF(AND(AA338="Disetujui",OR(Y338&lt;&gt;"Dikirim",AB338="",AC338="")),"Lengkapi pemeriksaan",IF(AND(AA338="Perlu Perbaikan",OR(AD338="",AB338="",AC338="")),"Isi pemeriksa dan catatan perbaikan","OK")))))))))))))))),"")</f>
        <v/>
      </c>
    </row>
    <row r="339" spans="1:38" ht="24.95" customHeight="1">
      <c r="A339" s="8"/>
      <c r="B339" s="6"/>
      <c r="C339" s="15" t="str">
        <f>IF(COUNTIFS(Master_PIC!$A$8:$A$73,$B339)=1,IF(VLOOKUP($B339,Master_PIC!$A$8:$G$73,2,FALSE)="","",VLOOKUP($B339,Master_PIC!$A$8:$G$73,2,FALSE)),"")</f>
        <v/>
      </c>
      <c r="D339" s="15" t="str">
        <f>IF(COUNTIFS(Master_PIC!$A$8:$A$73,$B339)=1,IF(VLOOKUP($B339,Master_PIC!$A$8:$G$73,4,FALSE)="","",VLOOKUP($B339,Master_PIC!$A$8:$G$73,4,FALSE)),"")</f>
        <v/>
      </c>
      <c r="E339" s="15" t="str">
        <f>IF(COUNTIFS(Master_PIC!$A$8:$A$73,$B339)=1,IF(VLOOKUP($B339,Master_PIC!$A$8:$G$73,5,FALSE)="","",VLOOKUP($B339,Master_PIC!$A$8:$G$73,5,FALSE)),"")</f>
        <v/>
      </c>
      <c r="F339" s="15" t="str">
        <f>IF(COUNTIFS(Master_PIC!$A$8:$A$73,$B339)=1,IF(VLOOKUP($B339,Master_PIC!$A$8:$G$73,6,FALSE)="","",VLOOKUP($B339,Master_PIC!$A$8:$G$73,6,FALSE)),"")</f>
        <v/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8"/>
      <c r="X339" s="5"/>
      <c r="Y339" s="5"/>
      <c r="Z339" s="9"/>
      <c r="AA339" s="5"/>
      <c r="AB339" s="5"/>
      <c r="AC339" s="9"/>
      <c r="AD339" s="5"/>
      <c r="AE339" s="7" t="str">
        <f t="shared" si="35"/>
        <v/>
      </c>
      <c r="AF339" s="7" t="str">
        <f t="shared" si="36"/>
        <v/>
      </c>
      <c r="AG339" s="7" t="str">
        <f t="shared" si="37"/>
        <v/>
      </c>
      <c r="AH339" s="7" t="str">
        <f t="shared" si="38"/>
        <v/>
      </c>
      <c r="AI339" s="7" t="str">
        <f t="shared" si="39"/>
        <v/>
      </c>
      <c r="AJ339" s="7" t="str">
        <f t="shared" si="40"/>
        <v/>
      </c>
      <c r="AK339" s="10" t="str">
        <f t="shared" si="41"/>
        <v/>
      </c>
      <c r="AL339" s="15" t="str">
        <f>IF(OR($A339&lt;&gt;"",$B339&lt;&gt;""),IF(OR($A339="",$B339=""),"Isi tanggal dan ID PIC",IF(NOT(ISNUMBER($A339)),"Tanggal harus berupa tanggal Excel",IF(COUNTIFS(Master_PIC!$A$8:$A$73,$B339)&lt;&gt;1,"ID PIC tidak unik/terdaftar",IF(VLOOKUP($B339,Master_PIC!$A$8:$G$73,3,FALSE)&lt;&gt;"SPV","Jabatan tidak sesuai sheet",IF(OR($C339="",$D339="",$E339="",$F339=""),"Lengkapi master PIC",IF(COUNTIFS($A$8:$A$507,$A339,$B$8:$B$507,$B339)&gt;1,"Laporan ganda",IF(COUNTIFS(G339:O339,"Tidak Berlaku")&gt;0,"N/A hanya untuk kegiatan bersyarat",IF(SUM(AF339,AG339,AH339,AI339,AJ339)&lt;&gt;13,"Status kegiatan tidak valid",IF(AJ339&gt;0,"Lengkapi status kegiatan",IF(AND(AI339&gt;0,T339=""),"Isi alasan Tidak Berlaku",IF(AND(SUM(AG339,AH339)&gt;0,OR(T339="",U339="",V339="",W339="")),"Isi kendala dan tindak lanjut",IF(AND(Y339&lt;&gt;"Draft",Y339&lt;&gt;"Dikirim"),"Isi status laporan yang valid",IF(AND(AA339&lt;&gt;"",AA339&lt;&gt;"Belum Diperiksa",AA339&lt;&gt;"Disetujui",AA339&lt;&gt;"Perlu Perbaikan"),"Hasil review tidak valid",IF(AND(Y339="Dikirim",OR(X339="",Z339="")),"Isi bukti dan waktu kirim",IF(AND(AA339="Disetujui",OR(Y339&lt;&gt;"Dikirim",AB339="",AC339="")),"Lengkapi pemeriksaan",IF(AND(AA339="Perlu Perbaikan",OR(AD339="",AB339="",AC339="")),"Isi pemeriksa dan catatan perbaikan","OK")))))))))))))))),"")</f>
        <v/>
      </c>
    </row>
    <row r="340" spans="1:38" ht="24.95" customHeight="1">
      <c r="A340" s="8"/>
      <c r="B340" s="6"/>
      <c r="C340" s="15" t="str">
        <f>IF(COUNTIFS(Master_PIC!$A$8:$A$73,$B340)=1,IF(VLOOKUP($B340,Master_PIC!$A$8:$G$73,2,FALSE)="","",VLOOKUP($B340,Master_PIC!$A$8:$G$73,2,FALSE)),"")</f>
        <v/>
      </c>
      <c r="D340" s="15" t="str">
        <f>IF(COUNTIFS(Master_PIC!$A$8:$A$73,$B340)=1,IF(VLOOKUP($B340,Master_PIC!$A$8:$G$73,4,FALSE)="","",VLOOKUP($B340,Master_PIC!$A$8:$G$73,4,FALSE)),"")</f>
        <v/>
      </c>
      <c r="E340" s="15" t="str">
        <f>IF(COUNTIFS(Master_PIC!$A$8:$A$73,$B340)=1,IF(VLOOKUP($B340,Master_PIC!$A$8:$G$73,5,FALSE)="","",VLOOKUP($B340,Master_PIC!$A$8:$G$73,5,FALSE)),"")</f>
        <v/>
      </c>
      <c r="F340" s="15" t="str">
        <f>IF(COUNTIFS(Master_PIC!$A$8:$A$73,$B340)=1,IF(VLOOKUP($B340,Master_PIC!$A$8:$G$73,6,FALSE)="","",VLOOKUP($B340,Master_PIC!$A$8:$G$73,6,FALSE)),"")</f>
        <v/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8"/>
      <c r="X340" s="5"/>
      <c r="Y340" s="5"/>
      <c r="Z340" s="9"/>
      <c r="AA340" s="5"/>
      <c r="AB340" s="5"/>
      <c r="AC340" s="9"/>
      <c r="AD340" s="5"/>
      <c r="AE340" s="7" t="str">
        <f t="shared" si="35"/>
        <v/>
      </c>
      <c r="AF340" s="7" t="str">
        <f t="shared" si="36"/>
        <v/>
      </c>
      <c r="AG340" s="7" t="str">
        <f t="shared" si="37"/>
        <v/>
      </c>
      <c r="AH340" s="7" t="str">
        <f t="shared" si="38"/>
        <v/>
      </c>
      <c r="AI340" s="7" t="str">
        <f t="shared" si="39"/>
        <v/>
      </c>
      <c r="AJ340" s="7" t="str">
        <f t="shared" si="40"/>
        <v/>
      </c>
      <c r="AK340" s="10" t="str">
        <f t="shared" si="41"/>
        <v/>
      </c>
      <c r="AL340" s="15" t="str">
        <f>IF(OR($A340&lt;&gt;"",$B340&lt;&gt;""),IF(OR($A340="",$B340=""),"Isi tanggal dan ID PIC",IF(NOT(ISNUMBER($A340)),"Tanggal harus berupa tanggal Excel",IF(COUNTIFS(Master_PIC!$A$8:$A$73,$B340)&lt;&gt;1,"ID PIC tidak unik/terdaftar",IF(VLOOKUP($B340,Master_PIC!$A$8:$G$73,3,FALSE)&lt;&gt;"SPV","Jabatan tidak sesuai sheet",IF(OR($C340="",$D340="",$E340="",$F340=""),"Lengkapi master PIC",IF(COUNTIFS($A$8:$A$507,$A340,$B$8:$B$507,$B340)&gt;1,"Laporan ganda",IF(COUNTIFS(G340:O340,"Tidak Berlaku")&gt;0,"N/A hanya untuk kegiatan bersyarat",IF(SUM(AF340,AG340,AH340,AI340,AJ340)&lt;&gt;13,"Status kegiatan tidak valid",IF(AJ340&gt;0,"Lengkapi status kegiatan",IF(AND(AI340&gt;0,T340=""),"Isi alasan Tidak Berlaku",IF(AND(SUM(AG340,AH340)&gt;0,OR(T340="",U340="",V340="",W340="")),"Isi kendala dan tindak lanjut",IF(AND(Y340&lt;&gt;"Draft",Y340&lt;&gt;"Dikirim"),"Isi status laporan yang valid",IF(AND(AA340&lt;&gt;"",AA340&lt;&gt;"Belum Diperiksa",AA340&lt;&gt;"Disetujui",AA340&lt;&gt;"Perlu Perbaikan"),"Hasil review tidak valid",IF(AND(Y340="Dikirim",OR(X340="",Z340="")),"Isi bukti dan waktu kirim",IF(AND(AA340="Disetujui",OR(Y340&lt;&gt;"Dikirim",AB340="",AC340="")),"Lengkapi pemeriksaan",IF(AND(AA340="Perlu Perbaikan",OR(AD340="",AB340="",AC340="")),"Isi pemeriksa dan catatan perbaikan","OK")))))))))))))))),"")</f>
        <v/>
      </c>
    </row>
    <row r="341" spans="1:38" ht="24.95" customHeight="1">
      <c r="A341" s="8"/>
      <c r="B341" s="6"/>
      <c r="C341" s="15" t="str">
        <f>IF(COUNTIFS(Master_PIC!$A$8:$A$73,$B341)=1,IF(VLOOKUP($B341,Master_PIC!$A$8:$G$73,2,FALSE)="","",VLOOKUP($B341,Master_PIC!$A$8:$G$73,2,FALSE)),"")</f>
        <v/>
      </c>
      <c r="D341" s="15" t="str">
        <f>IF(COUNTIFS(Master_PIC!$A$8:$A$73,$B341)=1,IF(VLOOKUP($B341,Master_PIC!$A$8:$G$73,4,FALSE)="","",VLOOKUP($B341,Master_PIC!$A$8:$G$73,4,FALSE)),"")</f>
        <v/>
      </c>
      <c r="E341" s="15" t="str">
        <f>IF(COUNTIFS(Master_PIC!$A$8:$A$73,$B341)=1,IF(VLOOKUP($B341,Master_PIC!$A$8:$G$73,5,FALSE)="","",VLOOKUP($B341,Master_PIC!$A$8:$G$73,5,FALSE)),"")</f>
        <v/>
      </c>
      <c r="F341" s="15" t="str">
        <f>IF(COUNTIFS(Master_PIC!$A$8:$A$73,$B341)=1,IF(VLOOKUP($B341,Master_PIC!$A$8:$G$73,6,FALSE)="","",VLOOKUP($B341,Master_PIC!$A$8:$G$73,6,FALSE)),"")</f>
        <v/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8"/>
      <c r="X341" s="5"/>
      <c r="Y341" s="5"/>
      <c r="Z341" s="9"/>
      <c r="AA341" s="5"/>
      <c r="AB341" s="5"/>
      <c r="AC341" s="9"/>
      <c r="AD341" s="5"/>
      <c r="AE341" s="7" t="str">
        <f t="shared" si="35"/>
        <v/>
      </c>
      <c r="AF341" s="7" t="str">
        <f t="shared" si="36"/>
        <v/>
      </c>
      <c r="AG341" s="7" t="str">
        <f t="shared" si="37"/>
        <v/>
      </c>
      <c r="AH341" s="7" t="str">
        <f t="shared" si="38"/>
        <v/>
      </c>
      <c r="AI341" s="7" t="str">
        <f t="shared" si="39"/>
        <v/>
      </c>
      <c r="AJ341" s="7" t="str">
        <f t="shared" si="40"/>
        <v/>
      </c>
      <c r="AK341" s="10" t="str">
        <f t="shared" si="41"/>
        <v/>
      </c>
      <c r="AL341" s="15" t="str">
        <f>IF(OR($A341&lt;&gt;"",$B341&lt;&gt;""),IF(OR($A341="",$B341=""),"Isi tanggal dan ID PIC",IF(NOT(ISNUMBER($A341)),"Tanggal harus berupa tanggal Excel",IF(COUNTIFS(Master_PIC!$A$8:$A$73,$B341)&lt;&gt;1,"ID PIC tidak unik/terdaftar",IF(VLOOKUP($B341,Master_PIC!$A$8:$G$73,3,FALSE)&lt;&gt;"SPV","Jabatan tidak sesuai sheet",IF(OR($C341="",$D341="",$E341="",$F341=""),"Lengkapi master PIC",IF(COUNTIFS($A$8:$A$507,$A341,$B$8:$B$507,$B341)&gt;1,"Laporan ganda",IF(COUNTIFS(G341:O341,"Tidak Berlaku")&gt;0,"N/A hanya untuk kegiatan bersyarat",IF(SUM(AF341,AG341,AH341,AI341,AJ341)&lt;&gt;13,"Status kegiatan tidak valid",IF(AJ341&gt;0,"Lengkapi status kegiatan",IF(AND(AI341&gt;0,T341=""),"Isi alasan Tidak Berlaku",IF(AND(SUM(AG341,AH341)&gt;0,OR(T341="",U341="",V341="",W341="")),"Isi kendala dan tindak lanjut",IF(AND(Y341&lt;&gt;"Draft",Y341&lt;&gt;"Dikirim"),"Isi status laporan yang valid",IF(AND(AA341&lt;&gt;"",AA341&lt;&gt;"Belum Diperiksa",AA341&lt;&gt;"Disetujui",AA341&lt;&gt;"Perlu Perbaikan"),"Hasil review tidak valid",IF(AND(Y341="Dikirim",OR(X341="",Z341="")),"Isi bukti dan waktu kirim",IF(AND(AA341="Disetujui",OR(Y341&lt;&gt;"Dikirim",AB341="",AC341="")),"Lengkapi pemeriksaan",IF(AND(AA341="Perlu Perbaikan",OR(AD341="",AB341="",AC341="")),"Isi pemeriksa dan catatan perbaikan","OK")))))))))))))))),"")</f>
        <v/>
      </c>
    </row>
    <row r="342" spans="1:38" ht="24.95" customHeight="1">
      <c r="A342" s="8"/>
      <c r="B342" s="6"/>
      <c r="C342" s="15" t="str">
        <f>IF(COUNTIFS(Master_PIC!$A$8:$A$73,$B342)=1,IF(VLOOKUP($B342,Master_PIC!$A$8:$G$73,2,FALSE)="","",VLOOKUP($B342,Master_PIC!$A$8:$G$73,2,FALSE)),"")</f>
        <v/>
      </c>
      <c r="D342" s="15" t="str">
        <f>IF(COUNTIFS(Master_PIC!$A$8:$A$73,$B342)=1,IF(VLOOKUP($B342,Master_PIC!$A$8:$G$73,4,FALSE)="","",VLOOKUP($B342,Master_PIC!$A$8:$G$73,4,FALSE)),"")</f>
        <v/>
      </c>
      <c r="E342" s="15" t="str">
        <f>IF(COUNTIFS(Master_PIC!$A$8:$A$73,$B342)=1,IF(VLOOKUP($B342,Master_PIC!$A$8:$G$73,5,FALSE)="","",VLOOKUP($B342,Master_PIC!$A$8:$G$73,5,FALSE)),"")</f>
        <v/>
      </c>
      <c r="F342" s="15" t="str">
        <f>IF(COUNTIFS(Master_PIC!$A$8:$A$73,$B342)=1,IF(VLOOKUP($B342,Master_PIC!$A$8:$G$73,6,FALSE)="","",VLOOKUP($B342,Master_PIC!$A$8:$G$73,6,FALSE)),"")</f>
        <v/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8"/>
      <c r="X342" s="5"/>
      <c r="Y342" s="5"/>
      <c r="Z342" s="9"/>
      <c r="AA342" s="5"/>
      <c r="AB342" s="5"/>
      <c r="AC342" s="9"/>
      <c r="AD342" s="5"/>
      <c r="AE342" s="7" t="str">
        <f t="shared" si="35"/>
        <v/>
      </c>
      <c r="AF342" s="7" t="str">
        <f t="shared" si="36"/>
        <v/>
      </c>
      <c r="AG342" s="7" t="str">
        <f t="shared" si="37"/>
        <v/>
      </c>
      <c r="AH342" s="7" t="str">
        <f t="shared" si="38"/>
        <v/>
      </c>
      <c r="AI342" s="7" t="str">
        <f t="shared" si="39"/>
        <v/>
      </c>
      <c r="AJ342" s="7" t="str">
        <f t="shared" si="40"/>
        <v/>
      </c>
      <c r="AK342" s="10" t="str">
        <f t="shared" si="41"/>
        <v/>
      </c>
      <c r="AL342" s="15" t="str">
        <f>IF(OR($A342&lt;&gt;"",$B342&lt;&gt;""),IF(OR($A342="",$B342=""),"Isi tanggal dan ID PIC",IF(NOT(ISNUMBER($A342)),"Tanggal harus berupa tanggal Excel",IF(COUNTIFS(Master_PIC!$A$8:$A$73,$B342)&lt;&gt;1,"ID PIC tidak unik/terdaftar",IF(VLOOKUP($B342,Master_PIC!$A$8:$G$73,3,FALSE)&lt;&gt;"SPV","Jabatan tidak sesuai sheet",IF(OR($C342="",$D342="",$E342="",$F342=""),"Lengkapi master PIC",IF(COUNTIFS($A$8:$A$507,$A342,$B$8:$B$507,$B342)&gt;1,"Laporan ganda",IF(COUNTIFS(G342:O342,"Tidak Berlaku")&gt;0,"N/A hanya untuk kegiatan bersyarat",IF(SUM(AF342,AG342,AH342,AI342,AJ342)&lt;&gt;13,"Status kegiatan tidak valid",IF(AJ342&gt;0,"Lengkapi status kegiatan",IF(AND(AI342&gt;0,T342=""),"Isi alasan Tidak Berlaku",IF(AND(SUM(AG342,AH342)&gt;0,OR(T342="",U342="",V342="",W342="")),"Isi kendala dan tindak lanjut",IF(AND(Y342&lt;&gt;"Draft",Y342&lt;&gt;"Dikirim"),"Isi status laporan yang valid",IF(AND(AA342&lt;&gt;"",AA342&lt;&gt;"Belum Diperiksa",AA342&lt;&gt;"Disetujui",AA342&lt;&gt;"Perlu Perbaikan"),"Hasil review tidak valid",IF(AND(Y342="Dikirim",OR(X342="",Z342="")),"Isi bukti dan waktu kirim",IF(AND(AA342="Disetujui",OR(Y342&lt;&gt;"Dikirim",AB342="",AC342="")),"Lengkapi pemeriksaan",IF(AND(AA342="Perlu Perbaikan",OR(AD342="",AB342="",AC342="")),"Isi pemeriksa dan catatan perbaikan","OK")))))))))))))))),"")</f>
        <v/>
      </c>
    </row>
    <row r="343" spans="1:38" ht="24.95" customHeight="1">
      <c r="A343" s="8"/>
      <c r="B343" s="6"/>
      <c r="C343" s="15" t="str">
        <f>IF(COUNTIFS(Master_PIC!$A$8:$A$73,$B343)=1,IF(VLOOKUP($B343,Master_PIC!$A$8:$G$73,2,FALSE)="","",VLOOKUP($B343,Master_PIC!$A$8:$G$73,2,FALSE)),"")</f>
        <v/>
      </c>
      <c r="D343" s="15" t="str">
        <f>IF(COUNTIFS(Master_PIC!$A$8:$A$73,$B343)=1,IF(VLOOKUP($B343,Master_PIC!$A$8:$G$73,4,FALSE)="","",VLOOKUP($B343,Master_PIC!$A$8:$G$73,4,FALSE)),"")</f>
        <v/>
      </c>
      <c r="E343" s="15" t="str">
        <f>IF(COUNTIFS(Master_PIC!$A$8:$A$73,$B343)=1,IF(VLOOKUP($B343,Master_PIC!$A$8:$G$73,5,FALSE)="","",VLOOKUP($B343,Master_PIC!$A$8:$G$73,5,FALSE)),"")</f>
        <v/>
      </c>
      <c r="F343" s="15" t="str">
        <f>IF(COUNTIFS(Master_PIC!$A$8:$A$73,$B343)=1,IF(VLOOKUP($B343,Master_PIC!$A$8:$G$73,6,FALSE)="","",VLOOKUP($B343,Master_PIC!$A$8:$G$73,6,FALSE)),"")</f>
        <v/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8"/>
      <c r="X343" s="5"/>
      <c r="Y343" s="5"/>
      <c r="Z343" s="9"/>
      <c r="AA343" s="5"/>
      <c r="AB343" s="5"/>
      <c r="AC343" s="9"/>
      <c r="AD343" s="5"/>
      <c r="AE343" s="7" t="str">
        <f t="shared" si="35"/>
        <v/>
      </c>
      <c r="AF343" s="7" t="str">
        <f t="shared" si="36"/>
        <v/>
      </c>
      <c r="AG343" s="7" t="str">
        <f t="shared" si="37"/>
        <v/>
      </c>
      <c r="AH343" s="7" t="str">
        <f t="shared" si="38"/>
        <v/>
      </c>
      <c r="AI343" s="7" t="str">
        <f t="shared" si="39"/>
        <v/>
      </c>
      <c r="AJ343" s="7" t="str">
        <f t="shared" si="40"/>
        <v/>
      </c>
      <c r="AK343" s="10" t="str">
        <f t="shared" si="41"/>
        <v/>
      </c>
      <c r="AL343" s="15" t="str">
        <f>IF(OR($A343&lt;&gt;"",$B343&lt;&gt;""),IF(OR($A343="",$B343=""),"Isi tanggal dan ID PIC",IF(NOT(ISNUMBER($A343)),"Tanggal harus berupa tanggal Excel",IF(COUNTIFS(Master_PIC!$A$8:$A$73,$B343)&lt;&gt;1,"ID PIC tidak unik/terdaftar",IF(VLOOKUP($B343,Master_PIC!$A$8:$G$73,3,FALSE)&lt;&gt;"SPV","Jabatan tidak sesuai sheet",IF(OR($C343="",$D343="",$E343="",$F343=""),"Lengkapi master PIC",IF(COUNTIFS($A$8:$A$507,$A343,$B$8:$B$507,$B343)&gt;1,"Laporan ganda",IF(COUNTIFS(G343:O343,"Tidak Berlaku")&gt;0,"N/A hanya untuk kegiatan bersyarat",IF(SUM(AF343,AG343,AH343,AI343,AJ343)&lt;&gt;13,"Status kegiatan tidak valid",IF(AJ343&gt;0,"Lengkapi status kegiatan",IF(AND(AI343&gt;0,T343=""),"Isi alasan Tidak Berlaku",IF(AND(SUM(AG343,AH343)&gt;0,OR(T343="",U343="",V343="",W343="")),"Isi kendala dan tindak lanjut",IF(AND(Y343&lt;&gt;"Draft",Y343&lt;&gt;"Dikirim"),"Isi status laporan yang valid",IF(AND(AA343&lt;&gt;"",AA343&lt;&gt;"Belum Diperiksa",AA343&lt;&gt;"Disetujui",AA343&lt;&gt;"Perlu Perbaikan"),"Hasil review tidak valid",IF(AND(Y343="Dikirim",OR(X343="",Z343="")),"Isi bukti dan waktu kirim",IF(AND(AA343="Disetujui",OR(Y343&lt;&gt;"Dikirim",AB343="",AC343="")),"Lengkapi pemeriksaan",IF(AND(AA343="Perlu Perbaikan",OR(AD343="",AB343="",AC343="")),"Isi pemeriksa dan catatan perbaikan","OK")))))))))))))))),"")</f>
        <v/>
      </c>
    </row>
    <row r="344" spans="1:38" ht="24.95" customHeight="1">
      <c r="A344" s="8"/>
      <c r="B344" s="6"/>
      <c r="C344" s="15" t="str">
        <f>IF(COUNTIFS(Master_PIC!$A$8:$A$73,$B344)=1,IF(VLOOKUP($B344,Master_PIC!$A$8:$G$73,2,FALSE)="","",VLOOKUP($B344,Master_PIC!$A$8:$G$73,2,FALSE)),"")</f>
        <v/>
      </c>
      <c r="D344" s="15" t="str">
        <f>IF(COUNTIFS(Master_PIC!$A$8:$A$73,$B344)=1,IF(VLOOKUP($B344,Master_PIC!$A$8:$G$73,4,FALSE)="","",VLOOKUP($B344,Master_PIC!$A$8:$G$73,4,FALSE)),"")</f>
        <v/>
      </c>
      <c r="E344" s="15" t="str">
        <f>IF(COUNTIFS(Master_PIC!$A$8:$A$73,$B344)=1,IF(VLOOKUP($B344,Master_PIC!$A$8:$G$73,5,FALSE)="","",VLOOKUP($B344,Master_PIC!$A$8:$G$73,5,FALSE)),"")</f>
        <v/>
      </c>
      <c r="F344" s="15" t="str">
        <f>IF(COUNTIFS(Master_PIC!$A$8:$A$73,$B344)=1,IF(VLOOKUP($B344,Master_PIC!$A$8:$G$73,6,FALSE)="","",VLOOKUP($B344,Master_PIC!$A$8:$G$73,6,FALSE)),"")</f>
        <v/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8"/>
      <c r="X344" s="5"/>
      <c r="Y344" s="5"/>
      <c r="Z344" s="9"/>
      <c r="AA344" s="5"/>
      <c r="AB344" s="5"/>
      <c r="AC344" s="9"/>
      <c r="AD344" s="5"/>
      <c r="AE344" s="7" t="str">
        <f t="shared" si="35"/>
        <v/>
      </c>
      <c r="AF344" s="7" t="str">
        <f t="shared" si="36"/>
        <v/>
      </c>
      <c r="AG344" s="7" t="str">
        <f t="shared" si="37"/>
        <v/>
      </c>
      <c r="AH344" s="7" t="str">
        <f t="shared" si="38"/>
        <v/>
      </c>
      <c r="AI344" s="7" t="str">
        <f t="shared" si="39"/>
        <v/>
      </c>
      <c r="AJ344" s="7" t="str">
        <f t="shared" si="40"/>
        <v/>
      </c>
      <c r="AK344" s="10" t="str">
        <f t="shared" si="41"/>
        <v/>
      </c>
      <c r="AL344" s="15" t="str">
        <f>IF(OR($A344&lt;&gt;"",$B344&lt;&gt;""),IF(OR($A344="",$B344=""),"Isi tanggal dan ID PIC",IF(NOT(ISNUMBER($A344)),"Tanggal harus berupa tanggal Excel",IF(COUNTIFS(Master_PIC!$A$8:$A$73,$B344)&lt;&gt;1,"ID PIC tidak unik/terdaftar",IF(VLOOKUP($B344,Master_PIC!$A$8:$G$73,3,FALSE)&lt;&gt;"SPV","Jabatan tidak sesuai sheet",IF(OR($C344="",$D344="",$E344="",$F344=""),"Lengkapi master PIC",IF(COUNTIFS($A$8:$A$507,$A344,$B$8:$B$507,$B344)&gt;1,"Laporan ganda",IF(COUNTIFS(G344:O344,"Tidak Berlaku")&gt;0,"N/A hanya untuk kegiatan bersyarat",IF(SUM(AF344,AG344,AH344,AI344,AJ344)&lt;&gt;13,"Status kegiatan tidak valid",IF(AJ344&gt;0,"Lengkapi status kegiatan",IF(AND(AI344&gt;0,T344=""),"Isi alasan Tidak Berlaku",IF(AND(SUM(AG344,AH344)&gt;0,OR(T344="",U344="",V344="",W344="")),"Isi kendala dan tindak lanjut",IF(AND(Y344&lt;&gt;"Draft",Y344&lt;&gt;"Dikirim"),"Isi status laporan yang valid",IF(AND(AA344&lt;&gt;"",AA344&lt;&gt;"Belum Diperiksa",AA344&lt;&gt;"Disetujui",AA344&lt;&gt;"Perlu Perbaikan"),"Hasil review tidak valid",IF(AND(Y344="Dikirim",OR(X344="",Z344="")),"Isi bukti dan waktu kirim",IF(AND(AA344="Disetujui",OR(Y344&lt;&gt;"Dikirim",AB344="",AC344="")),"Lengkapi pemeriksaan",IF(AND(AA344="Perlu Perbaikan",OR(AD344="",AB344="",AC344="")),"Isi pemeriksa dan catatan perbaikan","OK")))))))))))))))),"")</f>
        <v/>
      </c>
    </row>
    <row r="345" spans="1:38" ht="24.95" customHeight="1">
      <c r="A345" s="8"/>
      <c r="B345" s="6"/>
      <c r="C345" s="15" t="str">
        <f>IF(COUNTIFS(Master_PIC!$A$8:$A$73,$B345)=1,IF(VLOOKUP($B345,Master_PIC!$A$8:$G$73,2,FALSE)="","",VLOOKUP($B345,Master_PIC!$A$8:$G$73,2,FALSE)),"")</f>
        <v/>
      </c>
      <c r="D345" s="15" t="str">
        <f>IF(COUNTIFS(Master_PIC!$A$8:$A$73,$B345)=1,IF(VLOOKUP($B345,Master_PIC!$A$8:$G$73,4,FALSE)="","",VLOOKUP($B345,Master_PIC!$A$8:$G$73,4,FALSE)),"")</f>
        <v/>
      </c>
      <c r="E345" s="15" t="str">
        <f>IF(COUNTIFS(Master_PIC!$A$8:$A$73,$B345)=1,IF(VLOOKUP($B345,Master_PIC!$A$8:$G$73,5,FALSE)="","",VLOOKUP($B345,Master_PIC!$A$8:$G$73,5,FALSE)),"")</f>
        <v/>
      </c>
      <c r="F345" s="15" t="str">
        <f>IF(COUNTIFS(Master_PIC!$A$8:$A$73,$B345)=1,IF(VLOOKUP($B345,Master_PIC!$A$8:$G$73,6,FALSE)="","",VLOOKUP($B345,Master_PIC!$A$8:$G$73,6,FALSE)),"")</f>
        <v/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8"/>
      <c r="X345" s="5"/>
      <c r="Y345" s="5"/>
      <c r="Z345" s="9"/>
      <c r="AA345" s="5"/>
      <c r="AB345" s="5"/>
      <c r="AC345" s="9"/>
      <c r="AD345" s="5"/>
      <c r="AE345" s="7" t="str">
        <f t="shared" si="35"/>
        <v/>
      </c>
      <c r="AF345" s="7" t="str">
        <f t="shared" si="36"/>
        <v/>
      </c>
      <c r="AG345" s="7" t="str">
        <f t="shared" si="37"/>
        <v/>
      </c>
      <c r="AH345" s="7" t="str">
        <f t="shared" si="38"/>
        <v/>
      </c>
      <c r="AI345" s="7" t="str">
        <f t="shared" si="39"/>
        <v/>
      </c>
      <c r="AJ345" s="7" t="str">
        <f t="shared" si="40"/>
        <v/>
      </c>
      <c r="AK345" s="10" t="str">
        <f t="shared" si="41"/>
        <v/>
      </c>
      <c r="AL345" s="15" t="str">
        <f>IF(OR($A345&lt;&gt;"",$B345&lt;&gt;""),IF(OR($A345="",$B345=""),"Isi tanggal dan ID PIC",IF(NOT(ISNUMBER($A345)),"Tanggal harus berupa tanggal Excel",IF(COUNTIFS(Master_PIC!$A$8:$A$73,$B345)&lt;&gt;1,"ID PIC tidak unik/terdaftar",IF(VLOOKUP($B345,Master_PIC!$A$8:$G$73,3,FALSE)&lt;&gt;"SPV","Jabatan tidak sesuai sheet",IF(OR($C345="",$D345="",$E345="",$F345=""),"Lengkapi master PIC",IF(COUNTIFS($A$8:$A$507,$A345,$B$8:$B$507,$B345)&gt;1,"Laporan ganda",IF(COUNTIFS(G345:O345,"Tidak Berlaku")&gt;0,"N/A hanya untuk kegiatan bersyarat",IF(SUM(AF345,AG345,AH345,AI345,AJ345)&lt;&gt;13,"Status kegiatan tidak valid",IF(AJ345&gt;0,"Lengkapi status kegiatan",IF(AND(AI345&gt;0,T345=""),"Isi alasan Tidak Berlaku",IF(AND(SUM(AG345,AH345)&gt;0,OR(T345="",U345="",V345="",W345="")),"Isi kendala dan tindak lanjut",IF(AND(Y345&lt;&gt;"Draft",Y345&lt;&gt;"Dikirim"),"Isi status laporan yang valid",IF(AND(AA345&lt;&gt;"",AA345&lt;&gt;"Belum Diperiksa",AA345&lt;&gt;"Disetujui",AA345&lt;&gt;"Perlu Perbaikan"),"Hasil review tidak valid",IF(AND(Y345="Dikirim",OR(X345="",Z345="")),"Isi bukti dan waktu kirim",IF(AND(AA345="Disetujui",OR(Y345&lt;&gt;"Dikirim",AB345="",AC345="")),"Lengkapi pemeriksaan",IF(AND(AA345="Perlu Perbaikan",OR(AD345="",AB345="",AC345="")),"Isi pemeriksa dan catatan perbaikan","OK")))))))))))))))),"")</f>
        <v/>
      </c>
    </row>
    <row r="346" spans="1:38" ht="24.95" customHeight="1">
      <c r="A346" s="8"/>
      <c r="B346" s="6"/>
      <c r="C346" s="15" t="str">
        <f>IF(COUNTIFS(Master_PIC!$A$8:$A$73,$B346)=1,IF(VLOOKUP($B346,Master_PIC!$A$8:$G$73,2,FALSE)="","",VLOOKUP($B346,Master_PIC!$A$8:$G$73,2,FALSE)),"")</f>
        <v/>
      </c>
      <c r="D346" s="15" t="str">
        <f>IF(COUNTIFS(Master_PIC!$A$8:$A$73,$B346)=1,IF(VLOOKUP($B346,Master_PIC!$A$8:$G$73,4,FALSE)="","",VLOOKUP($B346,Master_PIC!$A$8:$G$73,4,FALSE)),"")</f>
        <v/>
      </c>
      <c r="E346" s="15" t="str">
        <f>IF(COUNTIFS(Master_PIC!$A$8:$A$73,$B346)=1,IF(VLOOKUP($B346,Master_PIC!$A$8:$G$73,5,FALSE)="","",VLOOKUP($B346,Master_PIC!$A$8:$G$73,5,FALSE)),"")</f>
        <v/>
      </c>
      <c r="F346" s="15" t="str">
        <f>IF(COUNTIFS(Master_PIC!$A$8:$A$73,$B346)=1,IF(VLOOKUP($B346,Master_PIC!$A$8:$G$73,6,FALSE)="","",VLOOKUP($B346,Master_PIC!$A$8:$G$73,6,FALSE)),"")</f>
        <v/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8"/>
      <c r="X346" s="5"/>
      <c r="Y346" s="5"/>
      <c r="Z346" s="9"/>
      <c r="AA346" s="5"/>
      <c r="AB346" s="5"/>
      <c r="AC346" s="9"/>
      <c r="AD346" s="5"/>
      <c r="AE346" s="7" t="str">
        <f t="shared" si="35"/>
        <v/>
      </c>
      <c r="AF346" s="7" t="str">
        <f t="shared" si="36"/>
        <v/>
      </c>
      <c r="AG346" s="7" t="str">
        <f t="shared" si="37"/>
        <v/>
      </c>
      <c r="AH346" s="7" t="str">
        <f t="shared" si="38"/>
        <v/>
      </c>
      <c r="AI346" s="7" t="str">
        <f t="shared" si="39"/>
        <v/>
      </c>
      <c r="AJ346" s="7" t="str">
        <f t="shared" si="40"/>
        <v/>
      </c>
      <c r="AK346" s="10" t="str">
        <f t="shared" si="41"/>
        <v/>
      </c>
      <c r="AL346" s="15" t="str">
        <f>IF(OR($A346&lt;&gt;"",$B346&lt;&gt;""),IF(OR($A346="",$B346=""),"Isi tanggal dan ID PIC",IF(NOT(ISNUMBER($A346)),"Tanggal harus berupa tanggal Excel",IF(COUNTIFS(Master_PIC!$A$8:$A$73,$B346)&lt;&gt;1,"ID PIC tidak unik/terdaftar",IF(VLOOKUP($B346,Master_PIC!$A$8:$G$73,3,FALSE)&lt;&gt;"SPV","Jabatan tidak sesuai sheet",IF(OR($C346="",$D346="",$E346="",$F346=""),"Lengkapi master PIC",IF(COUNTIFS($A$8:$A$507,$A346,$B$8:$B$507,$B346)&gt;1,"Laporan ganda",IF(COUNTIFS(G346:O346,"Tidak Berlaku")&gt;0,"N/A hanya untuk kegiatan bersyarat",IF(SUM(AF346,AG346,AH346,AI346,AJ346)&lt;&gt;13,"Status kegiatan tidak valid",IF(AJ346&gt;0,"Lengkapi status kegiatan",IF(AND(AI346&gt;0,T346=""),"Isi alasan Tidak Berlaku",IF(AND(SUM(AG346,AH346)&gt;0,OR(T346="",U346="",V346="",W346="")),"Isi kendala dan tindak lanjut",IF(AND(Y346&lt;&gt;"Draft",Y346&lt;&gt;"Dikirim"),"Isi status laporan yang valid",IF(AND(AA346&lt;&gt;"",AA346&lt;&gt;"Belum Diperiksa",AA346&lt;&gt;"Disetujui",AA346&lt;&gt;"Perlu Perbaikan"),"Hasil review tidak valid",IF(AND(Y346="Dikirim",OR(X346="",Z346="")),"Isi bukti dan waktu kirim",IF(AND(AA346="Disetujui",OR(Y346&lt;&gt;"Dikirim",AB346="",AC346="")),"Lengkapi pemeriksaan",IF(AND(AA346="Perlu Perbaikan",OR(AD346="",AB346="",AC346="")),"Isi pemeriksa dan catatan perbaikan","OK")))))))))))))))),"")</f>
        <v/>
      </c>
    </row>
    <row r="347" spans="1:38" ht="24.95" customHeight="1">
      <c r="A347" s="8"/>
      <c r="B347" s="6"/>
      <c r="C347" s="15" t="str">
        <f>IF(COUNTIFS(Master_PIC!$A$8:$A$73,$B347)=1,IF(VLOOKUP($B347,Master_PIC!$A$8:$G$73,2,FALSE)="","",VLOOKUP($B347,Master_PIC!$A$8:$G$73,2,FALSE)),"")</f>
        <v/>
      </c>
      <c r="D347" s="15" t="str">
        <f>IF(COUNTIFS(Master_PIC!$A$8:$A$73,$B347)=1,IF(VLOOKUP($B347,Master_PIC!$A$8:$G$73,4,FALSE)="","",VLOOKUP($B347,Master_PIC!$A$8:$G$73,4,FALSE)),"")</f>
        <v/>
      </c>
      <c r="E347" s="15" t="str">
        <f>IF(COUNTIFS(Master_PIC!$A$8:$A$73,$B347)=1,IF(VLOOKUP($B347,Master_PIC!$A$8:$G$73,5,FALSE)="","",VLOOKUP($B347,Master_PIC!$A$8:$G$73,5,FALSE)),"")</f>
        <v/>
      </c>
      <c r="F347" s="15" t="str">
        <f>IF(COUNTIFS(Master_PIC!$A$8:$A$73,$B347)=1,IF(VLOOKUP($B347,Master_PIC!$A$8:$G$73,6,FALSE)="","",VLOOKUP($B347,Master_PIC!$A$8:$G$73,6,FALSE)),"")</f>
        <v/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8"/>
      <c r="X347" s="5"/>
      <c r="Y347" s="5"/>
      <c r="Z347" s="9"/>
      <c r="AA347" s="5"/>
      <c r="AB347" s="5"/>
      <c r="AC347" s="9"/>
      <c r="AD347" s="5"/>
      <c r="AE347" s="7" t="str">
        <f t="shared" si="35"/>
        <v/>
      </c>
      <c r="AF347" s="7" t="str">
        <f t="shared" si="36"/>
        <v/>
      </c>
      <c r="AG347" s="7" t="str">
        <f t="shared" si="37"/>
        <v/>
      </c>
      <c r="AH347" s="7" t="str">
        <f t="shared" si="38"/>
        <v/>
      </c>
      <c r="AI347" s="7" t="str">
        <f t="shared" si="39"/>
        <v/>
      </c>
      <c r="AJ347" s="7" t="str">
        <f t="shared" si="40"/>
        <v/>
      </c>
      <c r="AK347" s="10" t="str">
        <f t="shared" si="41"/>
        <v/>
      </c>
      <c r="AL347" s="15" t="str">
        <f>IF(OR($A347&lt;&gt;"",$B347&lt;&gt;""),IF(OR($A347="",$B347=""),"Isi tanggal dan ID PIC",IF(NOT(ISNUMBER($A347)),"Tanggal harus berupa tanggal Excel",IF(COUNTIFS(Master_PIC!$A$8:$A$73,$B347)&lt;&gt;1,"ID PIC tidak unik/terdaftar",IF(VLOOKUP($B347,Master_PIC!$A$8:$G$73,3,FALSE)&lt;&gt;"SPV","Jabatan tidak sesuai sheet",IF(OR($C347="",$D347="",$E347="",$F347=""),"Lengkapi master PIC",IF(COUNTIFS($A$8:$A$507,$A347,$B$8:$B$507,$B347)&gt;1,"Laporan ganda",IF(COUNTIFS(G347:O347,"Tidak Berlaku")&gt;0,"N/A hanya untuk kegiatan bersyarat",IF(SUM(AF347,AG347,AH347,AI347,AJ347)&lt;&gt;13,"Status kegiatan tidak valid",IF(AJ347&gt;0,"Lengkapi status kegiatan",IF(AND(AI347&gt;0,T347=""),"Isi alasan Tidak Berlaku",IF(AND(SUM(AG347,AH347)&gt;0,OR(T347="",U347="",V347="",W347="")),"Isi kendala dan tindak lanjut",IF(AND(Y347&lt;&gt;"Draft",Y347&lt;&gt;"Dikirim"),"Isi status laporan yang valid",IF(AND(AA347&lt;&gt;"",AA347&lt;&gt;"Belum Diperiksa",AA347&lt;&gt;"Disetujui",AA347&lt;&gt;"Perlu Perbaikan"),"Hasil review tidak valid",IF(AND(Y347="Dikirim",OR(X347="",Z347="")),"Isi bukti dan waktu kirim",IF(AND(AA347="Disetujui",OR(Y347&lt;&gt;"Dikirim",AB347="",AC347="")),"Lengkapi pemeriksaan",IF(AND(AA347="Perlu Perbaikan",OR(AD347="",AB347="",AC347="")),"Isi pemeriksa dan catatan perbaikan","OK")))))))))))))))),"")</f>
        <v/>
      </c>
    </row>
    <row r="348" spans="1:38" ht="24.95" customHeight="1">
      <c r="A348" s="8"/>
      <c r="B348" s="6"/>
      <c r="C348" s="15" t="str">
        <f>IF(COUNTIFS(Master_PIC!$A$8:$A$73,$B348)=1,IF(VLOOKUP($B348,Master_PIC!$A$8:$G$73,2,FALSE)="","",VLOOKUP($B348,Master_PIC!$A$8:$G$73,2,FALSE)),"")</f>
        <v/>
      </c>
      <c r="D348" s="15" t="str">
        <f>IF(COUNTIFS(Master_PIC!$A$8:$A$73,$B348)=1,IF(VLOOKUP($B348,Master_PIC!$A$8:$G$73,4,FALSE)="","",VLOOKUP($B348,Master_PIC!$A$8:$G$73,4,FALSE)),"")</f>
        <v/>
      </c>
      <c r="E348" s="15" t="str">
        <f>IF(COUNTIFS(Master_PIC!$A$8:$A$73,$B348)=1,IF(VLOOKUP($B348,Master_PIC!$A$8:$G$73,5,FALSE)="","",VLOOKUP($B348,Master_PIC!$A$8:$G$73,5,FALSE)),"")</f>
        <v/>
      </c>
      <c r="F348" s="15" t="str">
        <f>IF(COUNTIFS(Master_PIC!$A$8:$A$73,$B348)=1,IF(VLOOKUP($B348,Master_PIC!$A$8:$G$73,6,FALSE)="","",VLOOKUP($B348,Master_PIC!$A$8:$G$73,6,FALSE)),"")</f>
        <v/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8"/>
      <c r="X348" s="5"/>
      <c r="Y348" s="5"/>
      <c r="Z348" s="9"/>
      <c r="AA348" s="5"/>
      <c r="AB348" s="5"/>
      <c r="AC348" s="9"/>
      <c r="AD348" s="5"/>
      <c r="AE348" s="7" t="str">
        <f t="shared" si="35"/>
        <v/>
      </c>
      <c r="AF348" s="7" t="str">
        <f t="shared" si="36"/>
        <v/>
      </c>
      <c r="AG348" s="7" t="str">
        <f t="shared" si="37"/>
        <v/>
      </c>
      <c r="AH348" s="7" t="str">
        <f t="shared" si="38"/>
        <v/>
      </c>
      <c r="AI348" s="7" t="str">
        <f t="shared" si="39"/>
        <v/>
      </c>
      <c r="AJ348" s="7" t="str">
        <f t="shared" si="40"/>
        <v/>
      </c>
      <c r="AK348" s="10" t="str">
        <f t="shared" si="41"/>
        <v/>
      </c>
      <c r="AL348" s="15" t="str">
        <f>IF(OR($A348&lt;&gt;"",$B348&lt;&gt;""),IF(OR($A348="",$B348=""),"Isi tanggal dan ID PIC",IF(NOT(ISNUMBER($A348)),"Tanggal harus berupa tanggal Excel",IF(COUNTIFS(Master_PIC!$A$8:$A$73,$B348)&lt;&gt;1,"ID PIC tidak unik/terdaftar",IF(VLOOKUP($B348,Master_PIC!$A$8:$G$73,3,FALSE)&lt;&gt;"SPV","Jabatan tidak sesuai sheet",IF(OR($C348="",$D348="",$E348="",$F348=""),"Lengkapi master PIC",IF(COUNTIFS($A$8:$A$507,$A348,$B$8:$B$507,$B348)&gt;1,"Laporan ganda",IF(COUNTIFS(G348:O348,"Tidak Berlaku")&gt;0,"N/A hanya untuk kegiatan bersyarat",IF(SUM(AF348,AG348,AH348,AI348,AJ348)&lt;&gt;13,"Status kegiatan tidak valid",IF(AJ348&gt;0,"Lengkapi status kegiatan",IF(AND(AI348&gt;0,T348=""),"Isi alasan Tidak Berlaku",IF(AND(SUM(AG348,AH348)&gt;0,OR(T348="",U348="",V348="",W348="")),"Isi kendala dan tindak lanjut",IF(AND(Y348&lt;&gt;"Draft",Y348&lt;&gt;"Dikirim"),"Isi status laporan yang valid",IF(AND(AA348&lt;&gt;"",AA348&lt;&gt;"Belum Diperiksa",AA348&lt;&gt;"Disetujui",AA348&lt;&gt;"Perlu Perbaikan"),"Hasil review tidak valid",IF(AND(Y348="Dikirim",OR(X348="",Z348="")),"Isi bukti dan waktu kirim",IF(AND(AA348="Disetujui",OR(Y348&lt;&gt;"Dikirim",AB348="",AC348="")),"Lengkapi pemeriksaan",IF(AND(AA348="Perlu Perbaikan",OR(AD348="",AB348="",AC348="")),"Isi pemeriksa dan catatan perbaikan","OK")))))))))))))))),"")</f>
        <v/>
      </c>
    </row>
    <row r="349" spans="1:38" ht="24.95" customHeight="1">
      <c r="A349" s="8"/>
      <c r="B349" s="6"/>
      <c r="C349" s="15" t="str">
        <f>IF(COUNTIFS(Master_PIC!$A$8:$A$73,$B349)=1,IF(VLOOKUP($B349,Master_PIC!$A$8:$G$73,2,FALSE)="","",VLOOKUP($B349,Master_PIC!$A$8:$G$73,2,FALSE)),"")</f>
        <v/>
      </c>
      <c r="D349" s="15" t="str">
        <f>IF(COUNTIFS(Master_PIC!$A$8:$A$73,$B349)=1,IF(VLOOKUP($B349,Master_PIC!$A$8:$G$73,4,FALSE)="","",VLOOKUP($B349,Master_PIC!$A$8:$G$73,4,FALSE)),"")</f>
        <v/>
      </c>
      <c r="E349" s="15" t="str">
        <f>IF(COUNTIFS(Master_PIC!$A$8:$A$73,$B349)=1,IF(VLOOKUP($B349,Master_PIC!$A$8:$G$73,5,FALSE)="","",VLOOKUP($B349,Master_PIC!$A$8:$G$73,5,FALSE)),"")</f>
        <v/>
      </c>
      <c r="F349" s="15" t="str">
        <f>IF(COUNTIFS(Master_PIC!$A$8:$A$73,$B349)=1,IF(VLOOKUP($B349,Master_PIC!$A$8:$G$73,6,FALSE)="","",VLOOKUP($B349,Master_PIC!$A$8:$G$73,6,FALSE)),"")</f>
        <v/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8"/>
      <c r="X349" s="5"/>
      <c r="Y349" s="5"/>
      <c r="Z349" s="9"/>
      <c r="AA349" s="5"/>
      <c r="AB349" s="5"/>
      <c r="AC349" s="9"/>
      <c r="AD349" s="5"/>
      <c r="AE349" s="7" t="str">
        <f t="shared" si="35"/>
        <v/>
      </c>
      <c r="AF349" s="7" t="str">
        <f t="shared" si="36"/>
        <v/>
      </c>
      <c r="AG349" s="7" t="str">
        <f t="shared" si="37"/>
        <v/>
      </c>
      <c r="AH349" s="7" t="str">
        <f t="shared" si="38"/>
        <v/>
      </c>
      <c r="AI349" s="7" t="str">
        <f t="shared" si="39"/>
        <v/>
      </c>
      <c r="AJ349" s="7" t="str">
        <f t="shared" si="40"/>
        <v/>
      </c>
      <c r="AK349" s="10" t="str">
        <f t="shared" si="41"/>
        <v/>
      </c>
      <c r="AL349" s="15" t="str">
        <f>IF(OR($A349&lt;&gt;"",$B349&lt;&gt;""),IF(OR($A349="",$B349=""),"Isi tanggal dan ID PIC",IF(NOT(ISNUMBER($A349)),"Tanggal harus berupa tanggal Excel",IF(COUNTIFS(Master_PIC!$A$8:$A$73,$B349)&lt;&gt;1,"ID PIC tidak unik/terdaftar",IF(VLOOKUP($B349,Master_PIC!$A$8:$G$73,3,FALSE)&lt;&gt;"SPV","Jabatan tidak sesuai sheet",IF(OR($C349="",$D349="",$E349="",$F349=""),"Lengkapi master PIC",IF(COUNTIFS($A$8:$A$507,$A349,$B$8:$B$507,$B349)&gt;1,"Laporan ganda",IF(COUNTIFS(G349:O349,"Tidak Berlaku")&gt;0,"N/A hanya untuk kegiatan bersyarat",IF(SUM(AF349,AG349,AH349,AI349,AJ349)&lt;&gt;13,"Status kegiatan tidak valid",IF(AJ349&gt;0,"Lengkapi status kegiatan",IF(AND(AI349&gt;0,T349=""),"Isi alasan Tidak Berlaku",IF(AND(SUM(AG349,AH349)&gt;0,OR(T349="",U349="",V349="",W349="")),"Isi kendala dan tindak lanjut",IF(AND(Y349&lt;&gt;"Draft",Y349&lt;&gt;"Dikirim"),"Isi status laporan yang valid",IF(AND(AA349&lt;&gt;"",AA349&lt;&gt;"Belum Diperiksa",AA349&lt;&gt;"Disetujui",AA349&lt;&gt;"Perlu Perbaikan"),"Hasil review tidak valid",IF(AND(Y349="Dikirim",OR(X349="",Z349="")),"Isi bukti dan waktu kirim",IF(AND(AA349="Disetujui",OR(Y349&lt;&gt;"Dikirim",AB349="",AC349="")),"Lengkapi pemeriksaan",IF(AND(AA349="Perlu Perbaikan",OR(AD349="",AB349="",AC349="")),"Isi pemeriksa dan catatan perbaikan","OK")))))))))))))))),"")</f>
        <v/>
      </c>
    </row>
    <row r="350" spans="1:38" ht="24.95" customHeight="1">
      <c r="A350" s="8"/>
      <c r="B350" s="6"/>
      <c r="C350" s="15" t="str">
        <f>IF(COUNTIFS(Master_PIC!$A$8:$A$73,$B350)=1,IF(VLOOKUP($B350,Master_PIC!$A$8:$G$73,2,FALSE)="","",VLOOKUP($B350,Master_PIC!$A$8:$G$73,2,FALSE)),"")</f>
        <v/>
      </c>
      <c r="D350" s="15" t="str">
        <f>IF(COUNTIFS(Master_PIC!$A$8:$A$73,$B350)=1,IF(VLOOKUP($B350,Master_PIC!$A$8:$G$73,4,FALSE)="","",VLOOKUP($B350,Master_PIC!$A$8:$G$73,4,FALSE)),"")</f>
        <v/>
      </c>
      <c r="E350" s="15" t="str">
        <f>IF(COUNTIFS(Master_PIC!$A$8:$A$73,$B350)=1,IF(VLOOKUP($B350,Master_PIC!$A$8:$G$73,5,FALSE)="","",VLOOKUP($B350,Master_PIC!$A$8:$G$73,5,FALSE)),"")</f>
        <v/>
      </c>
      <c r="F350" s="15" t="str">
        <f>IF(COUNTIFS(Master_PIC!$A$8:$A$73,$B350)=1,IF(VLOOKUP($B350,Master_PIC!$A$8:$G$73,6,FALSE)="","",VLOOKUP($B350,Master_PIC!$A$8:$G$73,6,FALSE)),"")</f>
        <v/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8"/>
      <c r="X350" s="5"/>
      <c r="Y350" s="5"/>
      <c r="Z350" s="9"/>
      <c r="AA350" s="5"/>
      <c r="AB350" s="5"/>
      <c r="AC350" s="9"/>
      <c r="AD350" s="5"/>
      <c r="AE350" s="7" t="str">
        <f t="shared" si="35"/>
        <v/>
      </c>
      <c r="AF350" s="7" t="str">
        <f t="shared" si="36"/>
        <v/>
      </c>
      <c r="AG350" s="7" t="str">
        <f t="shared" si="37"/>
        <v/>
      </c>
      <c r="AH350" s="7" t="str">
        <f t="shared" si="38"/>
        <v/>
      </c>
      <c r="AI350" s="7" t="str">
        <f t="shared" si="39"/>
        <v/>
      </c>
      <c r="AJ350" s="7" t="str">
        <f t="shared" si="40"/>
        <v/>
      </c>
      <c r="AK350" s="10" t="str">
        <f t="shared" si="41"/>
        <v/>
      </c>
      <c r="AL350" s="15" t="str">
        <f>IF(OR($A350&lt;&gt;"",$B350&lt;&gt;""),IF(OR($A350="",$B350=""),"Isi tanggal dan ID PIC",IF(NOT(ISNUMBER($A350)),"Tanggal harus berupa tanggal Excel",IF(COUNTIFS(Master_PIC!$A$8:$A$73,$B350)&lt;&gt;1,"ID PIC tidak unik/terdaftar",IF(VLOOKUP($B350,Master_PIC!$A$8:$G$73,3,FALSE)&lt;&gt;"SPV","Jabatan tidak sesuai sheet",IF(OR($C350="",$D350="",$E350="",$F350=""),"Lengkapi master PIC",IF(COUNTIFS($A$8:$A$507,$A350,$B$8:$B$507,$B350)&gt;1,"Laporan ganda",IF(COUNTIFS(G350:O350,"Tidak Berlaku")&gt;0,"N/A hanya untuk kegiatan bersyarat",IF(SUM(AF350,AG350,AH350,AI350,AJ350)&lt;&gt;13,"Status kegiatan tidak valid",IF(AJ350&gt;0,"Lengkapi status kegiatan",IF(AND(AI350&gt;0,T350=""),"Isi alasan Tidak Berlaku",IF(AND(SUM(AG350,AH350)&gt;0,OR(T350="",U350="",V350="",W350="")),"Isi kendala dan tindak lanjut",IF(AND(Y350&lt;&gt;"Draft",Y350&lt;&gt;"Dikirim"),"Isi status laporan yang valid",IF(AND(AA350&lt;&gt;"",AA350&lt;&gt;"Belum Diperiksa",AA350&lt;&gt;"Disetujui",AA350&lt;&gt;"Perlu Perbaikan"),"Hasil review tidak valid",IF(AND(Y350="Dikirim",OR(X350="",Z350="")),"Isi bukti dan waktu kirim",IF(AND(AA350="Disetujui",OR(Y350&lt;&gt;"Dikirim",AB350="",AC350="")),"Lengkapi pemeriksaan",IF(AND(AA350="Perlu Perbaikan",OR(AD350="",AB350="",AC350="")),"Isi pemeriksa dan catatan perbaikan","OK")))))))))))))))),"")</f>
        <v/>
      </c>
    </row>
    <row r="351" spans="1:38" ht="24.95" customHeight="1">
      <c r="A351" s="8"/>
      <c r="B351" s="6"/>
      <c r="C351" s="15" t="str">
        <f>IF(COUNTIFS(Master_PIC!$A$8:$A$73,$B351)=1,IF(VLOOKUP($B351,Master_PIC!$A$8:$G$73,2,FALSE)="","",VLOOKUP($B351,Master_PIC!$A$8:$G$73,2,FALSE)),"")</f>
        <v/>
      </c>
      <c r="D351" s="15" t="str">
        <f>IF(COUNTIFS(Master_PIC!$A$8:$A$73,$B351)=1,IF(VLOOKUP($B351,Master_PIC!$A$8:$G$73,4,FALSE)="","",VLOOKUP($B351,Master_PIC!$A$8:$G$73,4,FALSE)),"")</f>
        <v/>
      </c>
      <c r="E351" s="15" t="str">
        <f>IF(COUNTIFS(Master_PIC!$A$8:$A$73,$B351)=1,IF(VLOOKUP($B351,Master_PIC!$A$8:$G$73,5,FALSE)="","",VLOOKUP($B351,Master_PIC!$A$8:$G$73,5,FALSE)),"")</f>
        <v/>
      </c>
      <c r="F351" s="15" t="str">
        <f>IF(COUNTIFS(Master_PIC!$A$8:$A$73,$B351)=1,IF(VLOOKUP($B351,Master_PIC!$A$8:$G$73,6,FALSE)="","",VLOOKUP($B351,Master_PIC!$A$8:$G$73,6,FALSE)),"")</f>
        <v/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8"/>
      <c r="X351" s="5"/>
      <c r="Y351" s="5"/>
      <c r="Z351" s="9"/>
      <c r="AA351" s="5"/>
      <c r="AB351" s="5"/>
      <c r="AC351" s="9"/>
      <c r="AD351" s="5"/>
      <c r="AE351" s="7" t="str">
        <f t="shared" si="35"/>
        <v/>
      </c>
      <c r="AF351" s="7" t="str">
        <f t="shared" si="36"/>
        <v/>
      </c>
      <c r="AG351" s="7" t="str">
        <f t="shared" si="37"/>
        <v/>
      </c>
      <c r="AH351" s="7" t="str">
        <f t="shared" si="38"/>
        <v/>
      </c>
      <c r="AI351" s="7" t="str">
        <f t="shared" si="39"/>
        <v/>
      </c>
      <c r="AJ351" s="7" t="str">
        <f t="shared" si="40"/>
        <v/>
      </c>
      <c r="AK351" s="10" t="str">
        <f t="shared" si="41"/>
        <v/>
      </c>
      <c r="AL351" s="15" t="str">
        <f>IF(OR($A351&lt;&gt;"",$B351&lt;&gt;""),IF(OR($A351="",$B351=""),"Isi tanggal dan ID PIC",IF(NOT(ISNUMBER($A351)),"Tanggal harus berupa tanggal Excel",IF(COUNTIFS(Master_PIC!$A$8:$A$73,$B351)&lt;&gt;1,"ID PIC tidak unik/terdaftar",IF(VLOOKUP($B351,Master_PIC!$A$8:$G$73,3,FALSE)&lt;&gt;"SPV","Jabatan tidak sesuai sheet",IF(OR($C351="",$D351="",$E351="",$F351=""),"Lengkapi master PIC",IF(COUNTIFS($A$8:$A$507,$A351,$B$8:$B$507,$B351)&gt;1,"Laporan ganda",IF(COUNTIFS(G351:O351,"Tidak Berlaku")&gt;0,"N/A hanya untuk kegiatan bersyarat",IF(SUM(AF351,AG351,AH351,AI351,AJ351)&lt;&gt;13,"Status kegiatan tidak valid",IF(AJ351&gt;0,"Lengkapi status kegiatan",IF(AND(AI351&gt;0,T351=""),"Isi alasan Tidak Berlaku",IF(AND(SUM(AG351,AH351)&gt;0,OR(T351="",U351="",V351="",W351="")),"Isi kendala dan tindak lanjut",IF(AND(Y351&lt;&gt;"Draft",Y351&lt;&gt;"Dikirim"),"Isi status laporan yang valid",IF(AND(AA351&lt;&gt;"",AA351&lt;&gt;"Belum Diperiksa",AA351&lt;&gt;"Disetujui",AA351&lt;&gt;"Perlu Perbaikan"),"Hasil review tidak valid",IF(AND(Y351="Dikirim",OR(X351="",Z351="")),"Isi bukti dan waktu kirim",IF(AND(AA351="Disetujui",OR(Y351&lt;&gt;"Dikirim",AB351="",AC351="")),"Lengkapi pemeriksaan",IF(AND(AA351="Perlu Perbaikan",OR(AD351="",AB351="",AC351="")),"Isi pemeriksa dan catatan perbaikan","OK")))))))))))))))),"")</f>
        <v/>
      </c>
    </row>
    <row r="352" spans="1:38" ht="24.95" customHeight="1">
      <c r="A352" s="8"/>
      <c r="B352" s="6"/>
      <c r="C352" s="15" t="str">
        <f>IF(COUNTIFS(Master_PIC!$A$8:$A$73,$B352)=1,IF(VLOOKUP($B352,Master_PIC!$A$8:$G$73,2,FALSE)="","",VLOOKUP($B352,Master_PIC!$A$8:$G$73,2,FALSE)),"")</f>
        <v/>
      </c>
      <c r="D352" s="15" t="str">
        <f>IF(COUNTIFS(Master_PIC!$A$8:$A$73,$B352)=1,IF(VLOOKUP($B352,Master_PIC!$A$8:$G$73,4,FALSE)="","",VLOOKUP($B352,Master_PIC!$A$8:$G$73,4,FALSE)),"")</f>
        <v/>
      </c>
      <c r="E352" s="15" t="str">
        <f>IF(COUNTIFS(Master_PIC!$A$8:$A$73,$B352)=1,IF(VLOOKUP($B352,Master_PIC!$A$8:$G$73,5,FALSE)="","",VLOOKUP($B352,Master_PIC!$A$8:$G$73,5,FALSE)),"")</f>
        <v/>
      </c>
      <c r="F352" s="15" t="str">
        <f>IF(COUNTIFS(Master_PIC!$A$8:$A$73,$B352)=1,IF(VLOOKUP($B352,Master_PIC!$A$8:$G$73,6,FALSE)="","",VLOOKUP($B352,Master_PIC!$A$8:$G$73,6,FALSE)),"")</f>
        <v/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8"/>
      <c r="X352" s="5"/>
      <c r="Y352" s="5"/>
      <c r="Z352" s="9"/>
      <c r="AA352" s="5"/>
      <c r="AB352" s="5"/>
      <c r="AC352" s="9"/>
      <c r="AD352" s="5"/>
      <c r="AE352" s="7" t="str">
        <f t="shared" si="35"/>
        <v/>
      </c>
      <c r="AF352" s="7" t="str">
        <f t="shared" si="36"/>
        <v/>
      </c>
      <c r="AG352" s="7" t="str">
        <f t="shared" si="37"/>
        <v/>
      </c>
      <c r="AH352" s="7" t="str">
        <f t="shared" si="38"/>
        <v/>
      </c>
      <c r="AI352" s="7" t="str">
        <f t="shared" si="39"/>
        <v/>
      </c>
      <c r="AJ352" s="7" t="str">
        <f t="shared" si="40"/>
        <v/>
      </c>
      <c r="AK352" s="10" t="str">
        <f t="shared" si="41"/>
        <v/>
      </c>
      <c r="AL352" s="15" t="str">
        <f>IF(OR($A352&lt;&gt;"",$B352&lt;&gt;""),IF(OR($A352="",$B352=""),"Isi tanggal dan ID PIC",IF(NOT(ISNUMBER($A352)),"Tanggal harus berupa tanggal Excel",IF(COUNTIFS(Master_PIC!$A$8:$A$73,$B352)&lt;&gt;1,"ID PIC tidak unik/terdaftar",IF(VLOOKUP($B352,Master_PIC!$A$8:$G$73,3,FALSE)&lt;&gt;"SPV","Jabatan tidak sesuai sheet",IF(OR($C352="",$D352="",$E352="",$F352=""),"Lengkapi master PIC",IF(COUNTIFS($A$8:$A$507,$A352,$B$8:$B$507,$B352)&gt;1,"Laporan ganda",IF(COUNTIFS(G352:O352,"Tidak Berlaku")&gt;0,"N/A hanya untuk kegiatan bersyarat",IF(SUM(AF352,AG352,AH352,AI352,AJ352)&lt;&gt;13,"Status kegiatan tidak valid",IF(AJ352&gt;0,"Lengkapi status kegiatan",IF(AND(AI352&gt;0,T352=""),"Isi alasan Tidak Berlaku",IF(AND(SUM(AG352,AH352)&gt;0,OR(T352="",U352="",V352="",W352="")),"Isi kendala dan tindak lanjut",IF(AND(Y352&lt;&gt;"Draft",Y352&lt;&gt;"Dikirim"),"Isi status laporan yang valid",IF(AND(AA352&lt;&gt;"",AA352&lt;&gt;"Belum Diperiksa",AA352&lt;&gt;"Disetujui",AA352&lt;&gt;"Perlu Perbaikan"),"Hasil review tidak valid",IF(AND(Y352="Dikirim",OR(X352="",Z352="")),"Isi bukti dan waktu kirim",IF(AND(AA352="Disetujui",OR(Y352&lt;&gt;"Dikirim",AB352="",AC352="")),"Lengkapi pemeriksaan",IF(AND(AA352="Perlu Perbaikan",OR(AD352="",AB352="",AC352="")),"Isi pemeriksa dan catatan perbaikan","OK")))))))))))))))),"")</f>
        <v/>
      </c>
    </row>
    <row r="353" spans="1:38" ht="24.95" customHeight="1">
      <c r="A353" s="8"/>
      <c r="B353" s="6"/>
      <c r="C353" s="15" t="str">
        <f>IF(COUNTIFS(Master_PIC!$A$8:$A$73,$B353)=1,IF(VLOOKUP($B353,Master_PIC!$A$8:$G$73,2,FALSE)="","",VLOOKUP($B353,Master_PIC!$A$8:$G$73,2,FALSE)),"")</f>
        <v/>
      </c>
      <c r="D353" s="15" t="str">
        <f>IF(COUNTIFS(Master_PIC!$A$8:$A$73,$B353)=1,IF(VLOOKUP($B353,Master_PIC!$A$8:$G$73,4,FALSE)="","",VLOOKUP($B353,Master_PIC!$A$8:$G$73,4,FALSE)),"")</f>
        <v/>
      </c>
      <c r="E353" s="15" t="str">
        <f>IF(COUNTIFS(Master_PIC!$A$8:$A$73,$B353)=1,IF(VLOOKUP($B353,Master_PIC!$A$8:$G$73,5,FALSE)="","",VLOOKUP($B353,Master_PIC!$A$8:$G$73,5,FALSE)),"")</f>
        <v/>
      </c>
      <c r="F353" s="15" t="str">
        <f>IF(COUNTIFS(Master_PIC!$A$8:$A$73,$B353)=1,IF(VLOOKUP($B353,Master_PIC!$A$8:$G$73,6,FALSE)="","",VLOOKUP($B353,Master_PIC!$A$8:$G$73,6,FALSE)),"")</f>
        <v/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8"/>
      <c r="X353" s="5"/>
      <c r="Y353" s="5"/>
      <c r="Z353" s="9"/>
      <c r="AA353" s="5"/>
      <c r="AB353" s="5"/>
      <c r="AC353" s="9"/>
      <c r="AD353" s="5"/>
      <c r="AE353" s="7" t="str">
        <f t="shared" si="35"/>
        <v/>
      </c>
      <c r="AF353" s="7" t="str">
        <f t="shared" si="36"/>
        <v/>
      </c>
      <c r="AG353" s="7" t="str">
        <f t="shared" si="37"/>
        <v/>
      </c>
      <c r="AH353" s="7" t="str">
        <f t="shared" si="38"/>
        <v/>
      </c>
      <c r="AI353" s="7" t="str">
        <f t="shared" si="39"/>
        <v/>
      </c>
      <c r="AJ353" s="7" t="str">
        <f t="shared" si="40"/>
        <v/>
      </c>
      <c r="AK353" s="10" t="str">
        <f t="shared" si="41"/>
        <v/>
      </c>
      <c r="AL353" s="15" t="str">
        <f>IF(OR($A353&lt;&gt;"",$B353&lt;&gt;""),IF(OR($A353="",$B353=""),"Isi tanggal dan ID PIC",IF(NOT(ISNUMBER($A353)),"Tanggal harus berupa tanggal Excel",IF(COUNTIFS(Master_PIC!$A$8:$A$73,$B353)&lt;&gt;1,"ID PIC tidak unik/terdaftar",IF(VLOOKUP($B353,Master_PIC!$A$8:$G$73,3,FALSE)&lt;&gt;"SPV","Jabatan tidak sesuai sheet",IF(OR($C353="",$D353="",$E353="",$F353=""),"Lengkapi master PIC",IF(COUNTIFS($A$8:$A$507,$A353,$B$8:$B$507,$B353)&gt;1,"Laporan ganda",IF(COUNTIFS(G353:O353,"Tidak Berlaku")&gt;0,"N/A hanya untuk kegiatan bersyarat",IF(SUM(AF353,AG353,AH353,AI353,AJ353)&lt;&gt;13,"Status kegiatan tidak valid",IF(AJ353&gt;0,"Lengkapi status kegiatan",IF(AND(AI353&gt;0,T353=""),"Isi alasan Tidak Berlaku",IF(AND(SUM(AG353,AH353)&gt;0,OR(T353="",U353="",V353="",W353="")),"Isi kendala dan tindak lanjut",IF(AND(Y353&lt;&gt;"Draft",Y353&lt;&gt;"Dikirim"),"Isi status laporan yang valid",IF(AND(AA353&lt;&gt;"",AA353&lt;&gt;"Belum Diperiksa",AA353&lt;&gt;"Disetujui",AA353&lt;&gt;"Perlu Perbaikan"),"Hasil review tidak valid",IF(AND(Y353="Dikirim",OR(X353="",Z353="")),"Isi bukti dan waktu kirim",IF(AND(AA353="Disetujui",OR(Y353&lt;&gt;"Dikirim",AB353="",AC353="")),"Lengkapi pemeriksaan",IF(AND(AA353="Perlu Perbaikan",OR(AD353="",AB353="",AC353="")),"Isi pemeriksa dan catatan perbaikan","OK")))))))))))))))),"")</f>
        <v/>
      </c>
    </row>
    <row r="354" spans="1:38" ht="24.95" customHeight="1">
      <c r="A354" s="8"/>
      <c r="B354" s="6"/>
      <c r="C354" s="15" t="str">
        <f>IF(COUNTIFS(Master_PIC!$A$8:$A$73,$B354)=1,IF(VLOOKUP($B354,Master_PIC!$A$8:$G$73,2,FALSE)="","",VLOOKUP($B354,Master_PIC!$A$8:$G$73,2,FALSE)),"")</f>
        <v/>
      </c>
      <c r="D354" s="15" t="str">
        <f>IF(COUNTIFS(Master_PIC!$A$8:$A$73,$B354)=1,IF(VLOOKUP($B354,Master_PIC!$A$8:$G$73,4,FALSE)="","",VLOOKUP($B354,Master_PIC!$A$8:$G$73,4,FALSE)),"")</f>
        <v/>
      </c>
      <c r="E354" s="15" t="str">
        <f>IF(COUNTIFS(Master_PIC!$A$8:$A$73,$B354)=1,IF(VLOOKUP($B354,Master_PIC!$A$8:$G$73,5,FALSE)="","",VLOOKUP($B354,Master_PIC!$A$8:$G$73,5,FALSE)),"")</f>
        <v/>
      </c>
      <c r="F354" s="15" t="str">
        <f>IF(COUNTIFS(Master_PIC!$A$8:$A$73,$B354)=1,IF(VLOOKUP($B354,Master_PIC!$A$8:$G$73,6,FALSE)="","",VLOOKUP($B354,Master_PIC!$A$8:$G$73,6,FALSE)),"")</f>
        <v/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8"/>
      <c r="X354" s="5"/>
      <c r="Y354" s="5"/>
      <c r="Z354" s="9"/>
      <c r="AA354" s="5"/>
      <c r="AB354" s="5"/>
      <c r="AC354" s="9"/>
      <c r="AD354" s="5"/>
      <c r="AE354" s="7" t="str">
        <f t="shared" si="35"/>
        <v/>
      </c>
      <c r="AF354" s="7" t="str">
        <f t="shared" si="36"/>
        <v/>
      </c>
      <c r="AG354" s="7" t="str">
        <f t="shared" si="37"/>
        <v/>
      </c>
      <c r="AH354" s="7" t="str">
        <f t="shared" si="38"/>
        <v/>
      </c>
      <c r="AI354" s="7" t="str">
        <f t="shared" si="39"/>
        <v/>
      </c>
      <c r="AJ354" s="7" t="str">
        <f t="shared" si="40"/>
        <v/>
      </c>
      <c r="AK354" s="10" t="str">
        <f t="shared" si="41"/>
        <v/>
      </c>
      <c r="AL354" s="15" t="str">
        <f>IF(OR($A354&lt;&gt;"",$B354&lt;&gt;""),IF(OR($A354="",$B354=""),"Isi tanggal dan ID PIC",IF(NOT(ISNUMBER($A354)),"Tanggal harus berupa tanggal Excel",IF(COUNTIFS(Master_PIC!$A$8:$A$73,$B354)&lt;&gt;1,"ID PIC tidak unik/terdaftar",IF(VLOOKUP($B354,Master_PIC!$A$8:$G$73,3,FALSE)&lt;&gt;"SPV","Jabatan tidak sesuai sheet",IF(OR($C354="",$D354="",$E354="",$F354=""),"Lengkapi master PIC",IF(COUNTIFS($A$8:$A$507,$A354,$B$8:$B$507,$B354)&gt;1,"Laporan ganda",IF(COUNTIFS(G354:O354,"Tidak Berlaku")&gt;0,"N/A hanya untuk kegiatan bersyarat",IF(SUM(AF354,AG354,AH354,AI354,AJ354)&lt;&gt;13,"Status kegiatan tidak valid",IF(AJ354&gt;0,"Lengkapi status kegiatan",IF(AND(AI354&gt;0,T354=""),"Isi alasan Tidak Berlaku",IF(AND(SUM(AG354,AH354)&gt;0,OR(T354="",U354="",V354="",W354="")),"Isi kendala dan tindak lanjut",IF(AND(Y354&lt;&gt;"Draft",Y354&lt;&gt;"Dikirim"),"Isi status laporan yang valid",IF(AND(AA354&lt;&gt;"",AA354&lt;&gt;"Belum Diperiksa",AA354&lt;&gt;"Disetujui",AA354&lt;&gt;"Perlu Perbaikan"),"Hasil review tidak valid",IF(AND(Y354="Dikirim",OR(X354="",Z354="")),"Isi bukti dan waktu kirim",IF(AND(AA354="Disetujui",OR(Y354&lt;&gt;"Dikirim",AB354="",AC354="")),"Lengkapi pemeriksaan",IF(AND(AA354="Perlu Perbaikan",OR(AD354="",AB354="",AC354="")),"Isi pemeriksa dan catatan perbaikan","OK")))))))))))))))),"")</f>
        <v/>
      </c>
    </row>
    <row r="355" spans="1:38" ht="24.95" customHeight="1">
      <c r="A355" s="8"/>
      <c r="B355" s="6"/>
      <c r="C355" s="15" t="str">
        <f>IF(COUNTIFS(Master_PIC!$A$8:$A$73,$B355)=1,IF(VLOOKUP($B355,Master_PIC!$A$8:$G$73,2,FALSE)="","",VLOOKUP($B355,Master_PIC!$A$8:$G$73,2,FALSE)),"")</f>
        <v/>
      </c>
      <c r="D355" s="15" t="str">
        <f>IF(COUNTIFS(Master_PIC!$A$8:$A$73,$B355)=1,IF(VLOOKUP($B355,Master_PIC!$A$8:$G$73,4,FALSE)="","",VLOOKUP($B355,Master_PIC!$A$8:$G$73,4,FALSE)),"")</f>
        <v/>
      </c>
      <c r="E355" s="15" t="str">
        <f>IF(COUNTIFS(Master_PIC!$A$8:$A$73,$B355)=1,IF(VLOOKUP($B355,Master_PIC!$A$8:$G$73,5,FALSE)="","",VLOOKUP($B355,Master_PIC!$A$8:$G$73,5,FALSE)),"")</f>
        <v/>
      </c>
      <c r="F355" s="15" t="str">
        <f>IF(COUNTIFS(Master_PIC!$A$8:$A$73,$B355)=1,IF(VLOOKUP($B355,Master_PIC!$A$8:$G$73,6,FALSE)="","",VLOOKUP($B355,Master_PIC!$A$8:$G$73,6,FALSE)),"")</f>
        <v/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8"/>
      <c r="X355" s="5"/>
      <c r="Y355" s="5"/>
      <c r="Z355" s="9"/>
      <c r="AA355" s="5"/>
      <c r="AB355" s="5"/>
      <c r="AC355" s="9"/>
      <c r="AD355" s="5"/>
      <c r="AE355" s="7" t="str">
        <f t="shared" si="35"/>
        <v/>
      </c>
      <c r="AF355" s="7" t="str">
        <f t="shared" si="36"/>
        <v/>
      </c>
      <c r="AG355" s="7" t="str">
        <f t="shared" si="37"/>
        <v/>
      </c>
      <c r="AH355" s="7" t="str">
        <f t="shared" si="38"/>
        <v/>
      </c>
      <c r="AI355" s="7" t="str">
        <f t="shared" si="39"/>
        <v/>
      </c>
      <c r="AJ355" s="7" t="str">
        <f t="shared" si="40"/>
        <v/>
      </c>
      <c r="AK355" s="10" t="str">
        <f t="shared" si="41"/>
        <v/>
      </c>
      <c r="AL355" s="15" t="str">
        <f>IF(OR($A355&lt;&gt;"",$B355&lt;&gt;""),IF(OR($A355="",$B355=""),"Isi tanggal dan ID PIC",IF(NOT(ISNUMBER($A355)),"Tanggal harus berupa tanggal Excel",IF(COUNTIFS(Master_PIC!$A$8:$A$73,$B355)&lt;&gt;1,"ID PIC tidak unik/terdaftar",IF(VLOOKUP($B355,Master_PIC!$A$8:$G$73,3,FALSE)&lt;&gt;"SPV","Jabatan tidak sesuai sheet",IF(OR($C355="",$D355="",$E355="",$F355=""),"Lengkapi master PIC",IF(COUNTIFS($A$8:$A$507,$A355,$B$8:$B$507,$B355)&gt;1,"Laporan ganda",IF(COUNTIFS(G355:O355,"Tidak Berlaku")&gt;0,"N/A hanya untuk kegiatan bersyarat",IF(SUM(AF355,AG355,AH355,AI355,AJ355)&lt;&gt;13,"Status kegiatan tidak valid",IF(AJ355&gt;0,"Lengkapi status kegiatan",IF(AND(AI355&gt;0,T355=""),"Isi alasan Tidak Berlaku",IF(AND(SUM(AG355,AH355)&gt;0,OR(T355="",U355="",V355="",W355="")),"Isi kendala dan tindak lanjut",IF(AND(Y355&lt;&gt;"Draft",Y355&lt;&gt;"Dikirim"),"Isi status laporan yang valid",IF(AND(AA355&lt;&gt;"",AA355&lt;&gt;"Belum Diperiksa",AA355&lt;&gt;"Disetujui",AA355&lt;&gt;"Perlu Perbaikan"),"Hasil review tidak valid",IF(AND(Y355="Dikirim",OR(X355="",Z355="")),"Isi bukti dan waktu kirim",IF(AND(AA355="Disetujui",OR(Y355&lt;&gt;"Dikirim",AB355="",AC355="")),"Lengkapi pemeriksaan",IF(AND(AA355="Perlu Perbaikan",OR(AD355="",AB355="",AC355="")),"Isi pemeriksa dan catatan perbaikan","OK")))))))))))))))),"")</f>
        <v/>
      </c>
    </row>
    <row r="356" spans="1:38" ht="24.95" customHeight="1">
      <c r="A356" s="8"/>
      <c r="B356" s="6"/>
      <c r="C356" s="15" t="str">
        <f>IF(COUNTIFS(Master_PIC!$A$8:$A$73,$B356)=1,IF(VLOOKUP($B356,Master_PIC!$A$8:$G$73,2,FALSE)="","",VLOOKUP($B356,Master_PIC!$A$8:$G$73,2,FALSE)),"")</f>
        <v/>
      </c>
      <c r="D356" s="15" t="str">
        <f>IF(COUNTIFS(Master_PIC!$A$8:$A$73,$B356)=1,IF(VLOOKUP($B356,Master_PIC!$A$8:$G$73,4,FALSE)="","",VLOOKUP($B356,Master_PIC!$A$8:$G$73,4,FALSE)),"")</f>
        <v/>
      </c>
      <c r="E356" s="15" t="str">
        <f>IF(COUNTIFS(Master_PIC!$A$8:$A$73,$B356)=1,IF(VLOOKUP($B356,Master_PIC!$A$8:$G$73,5,FALSE)="","",VLOOKUP($B356,Master_PIC!$A$8:$G$73,5,FALSE)),"")</f>
        <v/>
      </c>
      <c r="F356" s="15" t="str">
        <f>IF(COUNTIFS(Master_PIC!$A$8:$A$73,$B356)=1,IF(VLOOKUP($B356,Master_PIC!$A$8:$G$73,6,FALSE)="","",VLOOKUP($B356,Master_PIC!$A$8:$G$73,6,FALSE)),"")</f>
        <v/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8"/>
      <c r="X356" s="5"/>
      <c r="Y356" s="5"/>
      <c r="Z356" s="9"/>
      <c r="AA356" s="5"/>
      <c r="AB356" s="5"/>
      <c r="AC356" s="9"/>
      <c r="AD356" s="5"/>
      <c r="AE356" s="7" t="str">
        <f t="shared" si="35"/>
        <v/>
      </c>
      <c r="AF356" s="7" t="str">
        <f t="shared" si="36"/>
        <v/>
      </c>
      <c r="AG356" s="7" t="str">
        <f t="shared" si="37"/>
        <v/>
      </c>
      <c r="AH356" s="7" t="str">
        <f t="shared" si="38"/>
        <v/>
      </c>
      <c r="AI356" s="7" t="str">
        <f t="shared" si="39"/>
        <v/>
      </c>
      <c r="AJ356" s="7" t="str">
        <f t="shared" si="40"/>
        <v/>
      </c>
      <c r="AK356" s="10" t="str">
        <f t="shared" si="41"/>
        <v/>
      </c>
      <c r="AL356" s="15" t="str">
        <f>IF(OR($A356&lt;&gt;"",$B356&lt;&gt;""),IF(OR($A356="",$B356=""),"Isi tanggal dan ID PIC",IF(NOT(ISNUMBER($A356)),"Tanggal harus berupa tanggal Excel",IF(COUNTIFS(Master_PIC!$A$8:$A$73,$B356)&lt;&gt;1,"ID PIC tidak unik/terdaftar",IF(VLOOKUP($B356,Master_PIC!$A$8:$G$73,3,FALSE)&lt;&gt;"SPV","Jabatan tidak sesuai sheet",IF(OR($C356="",$D356="",$E356="",$F356=""),"Lengkapi master PIC",IF(COUNTIFS($A$8:$A$507,$A356,$B$8:$B$507,$B356)&gt;1,"Laporan ganda",IF(COUNTIFS(G356:O356,"Tidak Berlaku")&gt;0,"N/A hanya untuk kegiatan bersyarat",IF(SUM(AF356,AG356,AH356,AI356,AJ356)&lt;&gt;13,"Status kegiatan tidak valid",IF(AJ356&gt;0,"Lengkapi status kegiatan",IF(AND(AI356&gt;0,T356=""),"Isi alasan Tidak Berlaku",IF(AND(SUM(AG356,AH356)&gt;0,OR(T356="",U356="",V356="",W356="")),"Isi kendala dan tindak lanjut",IF(AND(Y356&lt;&gt;"Draft",Y356&lt;&gt;"Dikirim"),"Isi status laporan yang valid",IF(AND(AA356&lt;&gt;"",AA356&lt;&gt;"Belum Diperiksa",AA356&lt;&gt;"Disetujui",AA356&lt;&gt;"Perlu Perbaikan"),"Hasil review tidak valid",IF(AND(Y356="Dikirim",OR(X356="",Z356="")),"Isi bukti dan waktu kirim",IF(AND(AA356="Disetujui",OR(Y356&lt;&gt;"Dikirim",AB356="",AC356="")),"Lengkapi pemeriksaan",IF(AND(AA356="Perlu Perbaikan",OR(AD356="",AB356="",AC356="")),"Isi pemeriksa dan catatan perbaikan","OK")))))))))))))))),"")</f>
        <v/>
      </c>
    </row>
    <row r="357" spans="1:38" ht="24.95" customHeight="1">
      <c r="A357" s="8"/>
      <c r="B357" s="6"/>
      <c r="C357" s="15" t="str">
        <f>IF(COUNTIFS(Master_PIC!$A$8:$A$73,$B357)=1,IF(VLOOKUP($B357,Master_PIC!$A$8:$G$73,2,FALSE)="","",VLOOKUP($B357,Master_PIC!$A$8:$G$73,2,FALSE)),"")</f>
        <v/>
      </c>
      <c r="D357" s="15" t="str">
        <f>IF(COUNTIFS(Master_PIC!$A$8:$A$73,$B357)=1,IF(VLOOKUP($B357,Master_PIC!$A$8:$G$73,4,FALSE)="","",VLOOKUP($B357,Master_PIC!$A$8:$G$73,4,FALSE)),"")</f>
        <v/>
      </c>
      <c r="E357" s="15" t="str">
        <f>IF(COUNTIFS(Master_PIC!$A$8:$A$73,$B357)=1,IF(VLOOKUP($B357,Master_PIC!$A$8:$G$73,5,FALSE)="","",VLOOKUP($B357,Master_PIC!$A$8:$G$73,5,FALSE)),"")</f>
        <v/>
      </c>
      <c r="F357" s="15" t="str">
        <f>IF(COUNTIFS(Master_PIC!$A$8:$A$73,$B357)=1,IF(VLOOKUP($B357,Master_PIC!$A$8:$G$73,6,FALSE)="","",VLOOKUP($B357,Master_PIC!$A$8:$G$73,6,FALSE)),"")</f>
        <v/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8"/>
      <c r="X357" s="5"/>
      <c r="Y357" s="5"/>
      <c r="Z357" s="9"/>
      <c r="AA357" s="5"/>
      <c r="AB357" s="5"/>
      <c r="AC357" s="9"/>
      <c r="AD357" s="5"/>
      <c r="AE357" s="7" t="str">
        <f t="shared" si="35"/>
        <v/>
      </c>
      <c r="AF357" s="7" t="str">
        <f t="shared" si="36"/>
        <v/>
      </c>
      <c r="AG357" s="7" t="str">
        <f t="shared" si="37"/>
        <v/>
      </c>
      <c r="AH357" s="7" t="str">
        <f t="shared" si="38"/>
        <v/>
      </c>
      <c r="AI357" s="7" t="str">
        <f t="shared" si="39"/>
        <v/>
      </c>
      <c r="AJ357" s="7" t="str">
        <f t="shared" si="40"/>
        <v/>
      </c>
      <c r="AK357" s="10" t="str">
        <f t="shared" si="41"/>
        <v/>
      </c>
      <c r="AL357" s="15" t="str">
        <f>IF(OR($A357&lt;&gt;"",$B357&lt;&gt;""),IF(OR($A357="",$B357=""),"Isi tanggal dan ID PIC",IF(NOT(ISNUMBER($A357)),"Tanggal harus berupa tanggal Excel",IF(COUNTIFS(Master_PIC!$A$8:$A$73,$B357)&lt;&gt;1,"ID PIC tidak unik/terdaftar",IF(VLOOKUP($B357,Master_PIC!$A$8:$G$73,3,FALSE)&lt;&gt;"SPV","Jabatan tidak sesuai sheet",IF(OR($C357="",$D357="",$E357="",$F357=""),"Lengkapi master PIC",IF(COUNTIFS($A$8:$A$507,$A357,$B$8:$B$507,$B357)&gt;1,"Laporan ganda",IF(COUNTIFS(G357:O357,"Tidak Berlaku")&gt;0,"N/A hanya untuk kegiatan bersyarat",IF(SUM(AF357,AG357,AH357,AI357,AJ357)&lt;&gt;13,"Status kegiatan tidak valid",IF(AJ357&gt;0,"Lengkapi status kegiatan",IF(AND(AI357&gt;0,T357=""),"Isi alasan Tidak Berlaku",IF(AND(SUM(AG357,AH357)&gt;0,OR(T357="",U357="",V357="",W357="")),"Isi kendala dan tindak lanjut",IF(AND(Y357&lt;&gt;"Draft",Y357&lt;&gt;"Dikirim"),"Isi status laporan yang valid",IF(AND(AA357&lt;&gt;"",AA357&lt;&gt;"Belum Diperiksa",AA357&lt;&gt;"Disetujui",AA357&lt;&gt;"Perlu Perbaikan"),"Hasil review tidak valid",IF(AND(Y357="Dikirim",OR(X357="",Z357="")),"Isi bukti dan waktu kirim",IF(AND(AA357="Disetujui",OR(Y357&lt;&gt;"Dikirim",AB357="",AC357="")),"Lengkapi pemeriksaan",IF(AND(AA357="Perlu Perbaikan",OR(AD357="",AB357="",AC357="")),"Isi pemeriksa dan catatan perbaikan","OK")))))))))))))))),"")</f>
        <v/>
      </c>
    </row>
    <row r="358" spans="1:38" ht="24.95" customHeight="1">
      <c r="A358" s="8"/>
      <c r="B358" s="6"/>
      <c r="C358" s="15" t="str">
        <f>IF(COUNTIFS(Master_PIC!$A$8:$A$73,$B358)=1,IF(VLOOKUP($B358,Master_PIC!$A$8:$G$73,2,FALSE)="","",VLOOKUP($B358,Master_PIC!$A$8:$G$73,2,FALSE)),"")</f>
        <v/>
      </c>
      <c r="D358" s="15" t="str">
        <f>IF(COUNTIFS(Master_PIC!$A$8:$A$73,$B358)=1,IF(VLOOKUP($B358,Master_PIC!$A$8:$G$73,4,FALSE)="","",VLOOKUP($B358,Master_PIC!$A$8:$G$73,4,FALSE)),"")</f>
        <v/>
      </c>
      <c r="E358" s="15" t="str">
        <f>IF(COUNTIFS(Master_PIC!$A$8:$A$73,$B358)=1,IF(VLOOKUP($B358,Master_PIC!$A$8:$G$73,5,FALSE)="","",VLOOKUP($B358,Master_PIC!$A$8:$G$73,5,FALSE)),"")</f>
        <v/>
      </c>
      <c r="F358" s="15" t="str">
        <f>IF(COUNTIFS(Master_PIC!$A$8:$A$73,$B358)=1,IF(VLOOKUP($B358,Master_PIC!$A$8:$G$73,6,FALSE)="","",VLOOKUP($B358,Master_PIC!$A$8:$G$73,6,FALSE)),"")</f>
        <v/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8"/>
      <c r="X358" s="5"/>
      <c r="Y358" s="5"/>
      <c r="Z358" s="9"/>
      <c r="AA358" s="5"/>
      <c r="AB358" s="5"/>
      <c r="AC358" s="9"/>
      <c r="AD358" s="5"/>
      <c r="AE358" s="7" t="str">
        <f t="shared" si="35"/>
        <v/>
      </c>
      <c r="AF358" s="7" t="str">
        <f t="shared" si="36"/>
        <v/>
      </c>
      <c r="AG358" s="7" t="str">
        <f t="shared" si="37"/>
        <v/>
      </c>
      <c r="AH358" s="7" t="str">
        <f t="shared" si="38"/>
        <v/>
      </c>
      <c r="AI358" s="7" t="str">
        <f t="shared" si="39"/>
        <v/>
      </c>
      <c r="AJ358" s="7" t="str">
        <f t="shared" si="40"/>
        <v/>
      </c>
      <c r="AK358" s="10" t="str">
        <f t="shared" si="41"/>
        <v/>
      </c>
      <c r="AL358" s="15" t="str">
        <f>IF(OR($A358&lt;&gt;"",$B358&lt;&gt;""),IF(OR($A358="",$B358=""),"Isi tanggal dan ID PIC",IF(NOT(ISNUMBER($A358)),"Tanggal harus berupa tanggal Excel",IF(COUNTIFS(Master_PIC!$A$8:$A$73,$B358)&lt;&gt;1,"ID PIC tidak unik/terdaftar",IF(VLOOKUP($B358,Master_PIC!$A$8:$G$73,3,FALSE)&lt;&gt;"SPV","Jabatan tidak sesuai sheet",IF(OR($C358="",$D358="",$E358="",$F358=""),"Lengkapi master PIC",IF(COUNTIFS($A$8:$A$507,$A358,$B$8:$B$507,$B358)&gt;1,"Laporan ganda",IF(COUNTIFS(G358:O358,"Tidak Berlaku")&gt;0,"N/A hanya untuk kegiatan bersyarat",IF(SUM(AF358,AG358,AH358,AI358,AJ358)&lt;&gt;13,"Status kegiatan tidak valid",IF(AJ358&gt;0,"Lengkapi status kegiatan",IF(AND(AI358&gt;0,T358=""),"Isi alasan Tidak Berlaku",IF(AND(SUM(AG358,AH358)&gt;0,OR(T358="",U358="",V358="",W358="")),"Isi kendala dan tindak lanjut",IF(AND(Y358&lt;&gt;"Draft",Y358&lt;&gt;"Dikirim"),"Isi status laporan yang valid",IF(AND(AA358&lt;&gt;"",AA358&lt;&gt;"Belum Diperiksa",AA358&lt;&gt;"Disetujui",AA358&lt;&gt;"Perlu Perbaikan"),"Hasil review tidak valid",IF(AND(Y358="Dikirim",OR(X358="",Z358="")),"Isi bukti dan waktu kirim",IF(AND(AA358="Disetujui",OR(Y358&lt;&gt;"Dikirim",AB358="",AC358="")),"Lengkapi pemeriksaan",IF(AND(AA358="Perlu Perbaikan",OR(AD358="",AB358="",AC358="")),"Isi pemeriksa dan catatan perbaikan","OK")))))))))))))))),"")</f>
        <v/>
      </c>
    </row>
    <row r="359" spans="1:38" ht="24.95" customHeight="1">
      <c r="A359" s="8"/>
      <c r="B359" s="6"/>
      <c r="C359" s="15" t="str">
        <f>IF(COUNTIFS(Master_PIC!$A$8:$A$73,$B359)=1,IF(VLOOKUP($B359,Master_PIC!$A$8:$G$73,2,FALSE)="","",VLOOKUP($B359,Master_PIC!$A$8:$G$73,2,FALSE)),"")</f>
        <v/>
      </c>
      <c r="D359" s="15" t="str">
        <f>IF(COUNTIFS(Master_PIC!$A$8:$A$73,$B359)=1,IF(VLOOKUP($B359,Master_PIC!$A$8:$G$73,4,FALSE)="","",VLOOKUP($B359,Master_PIC!$A$8:$G$73,4,FALSE)),"")</f>
        <v/>
      </c>
      <c r="E359" s="15" t="str">
        <f>IF(COUNTIFS(Master_PIC!$A$8:$A$73,$B359)=1,IF(VLOOKUP($B359,Master_PIC!$A$8:$G$73,5,FALSE)="","",VLOOKUP($B359,Master_PIC!$A$8:$G$73,5,FALSE)),"")</f>
        <v/>
      </c>
      <c r="F359" s="15" t="str">
        <f>IF(COUNTIFS(Master_PIC!$A$8:$A$73,$B359)=1,IF(VLOOKUP($B359,Master_PIC!$A$8:$G$73,6,FALSE)="","",VLOOKUP($B359,Master_PIC!$A$8:$G$73,6,FALSE)),"")</f>
        <v/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8"/>
      <c r="X359" s="5"/>
      <c r="Y359" s="5"/>
      <c r="Z359" s="9"/>
      <c r="AA359" s="5"/>
      <c r="AB359" s="5"/>
      <c r="AC359" s="9"/>
      <c r="AD359" s="5"/>
      <c r="AE359" s="7" t="str">
        <f t="shared" si="35"/>
        <v/>
      </c>
      <c r="AF359" s="7" t="str">
        <f t="shared" si="36"/>
        <v/>
      </c>
      <c r="AG359" s="7" t="str">
        <f t="shared" si="37"/>
        <v/>
      </c>
      <c r="AH359" s="7" t="str">
        <f t="shared" si="38"/>
        <v/>
      </c>
      <c r="AI359" s="7" t="str">
        <f t="shared" si="39"/>
        <v/>
      </c>
      <c r="AJ359" s="7" t="str">
        <f t="shared" si="40"/>
        <v/>
      </c>
      <c r="AK359" s="10" t="str">
        <f t="shared" si="41"/>
        <v/>
      </c>
      <c r="AL359" s="15" t="str">
        <f>IF(OR($A359&lt;&gt;"",$B359&lt;&gt;""),IF(OR($A359="",$B359=""),"Isi tanggal dan ID PIC",IF(NOT(ISNUMBER($A359)),"Tanggal harus berupa tanggal Excel",IF(COUNTIFS(Master_PIC!$A$8:$A$73,$B359)&lt;&gt;1,"ID PIC tidak unik/terdaftar",IF(VLOOKUP($B359,Master_PIC!$A$8:$G$73,3,FALSE)&lt;&gt;"SPV","Jabatan tidak sesuai sheet",IF(OR($C359="",$D359="",$E359="",$F359=""),"Lengkapi master PIC",IF(COUNTIFS($A$8:$A$507,$A359,$B$8:$B$507,$B359)&gt;1,"Laporan ganda",IF(COUNTIFS(G359:O359,"Tidak Berlaku")&gt;0,"N/A hanya untuk kegiatan bersyarat",IF(SUM(AF359,AG359,AH359,AI359,AJ359)&lt;&gt;13,"Status kegiatan tidak valid",IF(AJ359&gt;0,"Lengkapi status kegiatan",IF(AND(AI359&gt;0,T359=""),"Isi alasan Tidak Berlaku",IF(AND(SUM(AG359,AH359)&gt;0,OR(T359="",U359="",V359="",W359="")),"Isi kendala dan tindak lanjut",IF(AND(Y359&lt;&gt;"Draft",Y359&lt;&gt;"Dikirim"),"Isi status laporan yang valid",IF(AND(AA359&lt;&gt;"",AA359&lt;&gt;"Belum Diperiksa",AA359&lt;&gt;"Disetujui",AA359&lt;&gt;"Perlu Perbaikan"),"Hasil review tidak valid",IF(AND(Y359="Dikirim",OR(X359="",Z359="")),"Isi bukti dan waktu kirim",IF(AND(AA359="Disetujui",OR(Y359&lt;&gt;"Dikirim",AB359="",AC359="")),"Lengkapi pemeriksaan",IF(AND(AA359="Perlu Perbaikan",OR(AD359="",AB359="",AC359="")),"Isi pemeriksa dan catatan perbaikan","OK")))))))))))))))),"")</f>
        <v/>
      </c>
    </row>
    <row r="360" spans="1:38" ht="24.95" customHeight="1">
      <c r="A360" s="8"/>
      <c r="B360" s="6"/>
      <c r="C360" s="15" t="str">
        <f>IF(COUNTIFS(Master_PIC!$A$8:$A$73,$B360)=1,IF(VLOOKUP($B360,Master_PIC!$A$8:$G$73,2,FALSE)="","",VLOOKUP($B360,Master_PIC!$A$8:$G$73,2,FALSE)),"")</f>
        <v/>
      </c>
      <c r="D360" s="15" t="str">
        <f>IF(COUNTIFS(Master_PIC!$A$8:$A$73,$B360)=1,IF(VLOOKUP($B360,Master_PIC!$A$8:$G$73,4,FALSE)="","",VLOOKUP($B360,Master_PIC!$A$8:$G$73,4,FALSE)),"")</f>
        <v/>
      </c>
      <c r="E360" s="15" t="str">
        <f>IF(COUNTIFS(Master_PIC!$A$8:$A$73,$B360)=1,IF(VLOOKUP($B360,Master_PIC!$A$8:$G$73,5,FALSE)="","",VLOOKUP($B360,Master_PIC!$A$8:$G$73,5,FALSE)),"")</f>
        <v/>
      </c>
      <c r="F360" s="15" t="str">
        <f>IF(COUNTIFS(Master_PIC!$A$8:$A$73,$B360)=1,IF(VLOOKUP($B360,Master_PIC!$A$8:$G$73,6,FALSE)="","",VLOOKUP($B360,Master_PIC!$A$8:$G$73,6,FALSE)),"")</f>
        <v/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8"/>
      <c r="X360" s="5"/>
      <c r="Y360" s="5"/>
      <c r="Z360" s="9"/>
      <c r="AA360" s="5"/>
      <c r="AB360" s="5"/>
      <c r="AC360" s="9"/>
      <c r="AD360" s="5"/>
      <c r="AE360" s="7" t="str">
        <f t="shared" si="35"/>
        <v/>
      </c>
      <c r="AF360" s="7" t="str">
        <f t="shared" si="36"/>
        <v/>
      </c>
      <c r="AG360" s="7" t="str">
        <f t="shared" si="37"/>
        <v/>
      </c>
      <c r="AH360" s="7" t="str">
        <f t="shared" si="38"/>
        <v/>
      </c>
      <c r="AI360" s="7" t="str">
        <f t="shared" si="39"/>
        <v/>
      </c>
      <c r="AJ360" s="7" t="str">
        <f t="shared" si="40"/>
        <v/>
      </c>
      <c r="AK360" s="10" t="str">
        <f t="shared" si="41"/>
        <v/>
      </c>
      <c r="AL360" s="15" t="str">
        <f>IF(OR($A360&lt;&gt;"",$B360&lt;&gt;""),IF(OR($A360="",$B360=""),"Isi tanggal dan ID PIC",IF(NOT(ISNUMBER($A360)),"Tanggal harus berupa tanggal Excel",IF(COUNTIFS(Master_PIC!$A$8:$A$73,$B360)&lt;&gt;1,"ID PIC tidak unik/terdaftar",IF(VLOOKUP($B360,Master_PIC!$A$8:$G$73,3,FALSE)&lt;&gt;"SPV","Jabatan tidak sesuai sheet",IF(OR($C360="",$D360="",$E360="",$F360=""),"Lengkapi master PIC",IF(COUNTIFS($A$8:$A$507,$A360,$B$8:$B$507,$B360)&gt;1,"Laporan ganda",IF(COUNTIFS(G360:O360,"Tidak Berlaku")&gt;0,"N/A hanya untuk kegiatan bersyarat",IF(SUM(AF360,AG360,AH360,AI360,AJ360)&lt;&gt;13,"Status kegiatan tidak valid",IF(AJ360&gt;0,"Lengkapi status kegiatan",IF(AND(AI360&gt;0,T360=""),"Isi alasan Tidak Berlaku",IF(AND(SUM(AG360,AH360)&gt;0,OR(T360="",U360="",V360="",W360="")),"Isi kendala dan tindak lanjut",IF(AND(Y360&lt;&gt;"Draft",Y360&lt;&gt;"Dikirim"),"Isi status laporan yang valid",IF(AND(AA360&lt;&gt;"",AA360&lt;&gt;"Belum Diperiksa",AA360&lt;&gt;"Disetujui",AA360&lt;&gt;"Perlu Perbaikan"),"Hasil review tidak valid",IF(AND(Y360="Dikirim",OR(X360="",Z360="")),"Isi bukti dan waktu kirim",IF(AND(AA360="Disetujui",OR(Y360&lt;&gt;"Dikirim",AB360="",AC360="")),"Lengkapi pemeriksaan",IF(AND(AA360="Perlu Perbaikan",OR(AD360="",AB360="",AC360="")),"Isi pemeriksa dan catatan perbaikan","OK")))))))))))))))),"")</f>
        <v/>
      </c>
    </row>
    <row r="361" spans="1:38" ht="24.95" customHeight="1">
      <c r="A361" s="8"/>
      <c r="B361" s="6"/>
      <c r="C361" s="15" t="str">
        <f>IF(COUNTIFS(Master_PIC!$A$8:$A$73,$B361)=1,IF(VLOOKUP($B361,Master_PIC!$A$8:$G$73,2,FALSE)="","",VLOOKUP($B361,Master_PIC!$A$8:$G$73,2,FALSE)),"")</f>
        <v/>
      </c>
      <c r="D361" s="15" t="str">
        <f>IF(COUNTIFS(Master_PIC!$A$8:$A$73,$B361)=1,IF(VLOOKUP($B361,Master_PIC!$A$8:$G$73,4,FALSE)="","",VLOOKUP($B361,Master_PIC!$A$8:$G$73,4,FALSE)),"")</f>
        <v/>
      </c>
      <c r="E361" s="15" t="str">
        <f>IF(COUNTIFS(Master_PIC!$A$8:$A$73,$B361)=1,IF(VLOOKUP($B361,Master_PIC!$A$8:$G$73,5,FALSE)="","",VLOOKUP($B361,Master_PIC!$A$8:$G$73,5,FALSE)),"")</f>
        <v/>
      </c>
      <c r="F361" s="15" t="str">
        <f>IF(COUNTIFS(Master_PIC!$A$8:$A$73,$B361)=1,IF(VLOOKUP($B361,Master_PIC!$A$8:$G$73,6,FALSE)="","",VLOOKUP($B361,Master_PIC!$A$8:$G$73,6,FALSE)),"")</f>
        <v/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8"/>
      <c r="X361" s="5"/>
      <c r="Y361" s="5"/>
      <c r="Z361" s="9"/>
      <c r="AA361" s="5"/>
      <c r="AB361" s="5"/>
      <c r="AC361" s="9"/>
      <c r="AD361" s="5"/>
      <c r="AE361" s="7" t="str">
        <f t="shared" si="35"/>
        <v/>
      </c>
      <c r="AF361" s="7" t="str">
        <f t="shared" si="36"/>
        <v/>
      </c>
      <c r="AG361" s="7" t="str">
        <f t="shared" si="37"/>
        <v/>
      </c>
      <c r="AH361" s="7" t="str">
        <f t="shared" si="38"/>
        <v/>
      </c>
      <c r="AI361" s="7" t="str">
        <f t="shared" si="39"/>
        <v/>
      </c>
      <c r="AJ361" s="7" t="str">
        <f t="shared" si="40"/>
        <v/>
      </c>
      <c r="AK361" s="10" t="str">
        <f t="shared" si="41"/>
        <v/>
      </c>
      <c r="AL361" s="15" t="str">
        <f>IF(OR($A361&lt;&gt;"",$B361&lt;&gt;""),IF(OR($A361="",$B361=""),"Isi tanggal dan ID PIC",IF(NOT(ISNUMBER($A361)),"Tanggal harus berupa tanggal Excel",IF(COUNTIFS(Master_PIC!$A$8:$A$73,$B361)&lt;&gt;1,"ID PIC tidak unik/terdaftar",IF(VLOOKUP($B361,Master_PIC!$A$8:$G$73,3,FALSE)&lt;&gt;"SPV","Jabatan tidak sesuai sheet",IF(OR($C361="",$D361="",$E361="",$F361=""),"Lengkapi master PIC",IF(COUNTIFS($A$8:$A$507,$A361,$B$8:$B$507,$B361)&gt;1,"Laporan ganda",IF(COUNTIFS(G361:O361,"Tidak Berlaku")&gt;0,"N/A hanya untuk kegiatan bersyarat",IF(SUM(AF361,AG361,AH361,AI361,AJ361)&lt;&gt;13,"Status kegiatan tidak valid",IF(AJ361&gt;0,"Lengkapi status kegiatan",IF(AND(AI361&gt;0,T361=""),"Isi alasan Tidak Berlaku",IF(AND(SUM(AG361,AH361)&gt;0,OR(T361="",U361="",V361="",W361="")),"Isi kendala dan tindak lanjut",IF(AND(Y361&lt;&gt;"Draft",Y361&lt;&gt;"Dikirim"),"Isi status laporan yang valid",IF(AND(AA361&lt;&gt;"",AA361&lt;&gt;"Belum Diperiksa",AA361&lt;&gt;"Disetujui",AA361&lt;&gt;"Perlu Perbaikan"),"Hasil review tidak valid",IF(AND(Y361="Dikirim",OR(X361="",Z361="")),"Isi bukti dan waktu kirim",IF(AND(AA361="Disetujui",OR(Y361&lt;&gt;"Dikirim",AB361="",AC361="")),"Lengkapi pemeriksaan",IF(AND(AA361="Perlu Perbaikan",OR(AD361="",AB361="",AC361="")),"Isi pemeriksa dan catatan perbaikan","OK")))))))))))))))),"")</f>
        <v/>
      </c>
    </row>
    <row r="362" spans="1:38" ht="24.95" customHeight="1">
      <c r="A362" s="8"/>
      <c r="B362" s="6"/>
      <c r="C362" s="15" t="str">
        <f>IF(COUNTIFS(Master_PIC!$A$8:$A$73,$B362)=1,IF(VLOOKUP($B362,Master_PIC!$A$8:$G$73,2,FALSE)="","",VLOOKUP($B362,Master_PIC!$A$8:$G$73,2,FALSE)),"")</f>
        <v/>
      </c>
      <c r="D362" s="15" t="str">
        <f>IF(COUNTIFS(Master_PIC!$A$8:$A$73,$B362)=1,IF(VLOOKUP($B362,Master_PIC!$A$8:$G$73,4,FALSE)="","",VLOOKUP($B362,Master_PIC!$A$8:$G$73,4,FALSE)),"")</f>
        <v/>
      </c>
      <c r="E362" s="15" t="str">
        <f>IF(COUNTIFS(Master_PIC!$A$8:$A$73,$B362)=1,IF(VLOOKUP($B362,Master_PIC!$A$8:$G$73,5,FALSE)="","",VLOOKUP($B362,Master_PIC!$A$8:$G$73,5,FALSE)),"")</f>
        <v/>
      </c>
      <c r="F362" s="15" t="str">
        <f>IF(COUNTIFS(Master_PIC!$A$8:$A$73,$B362)=1,IF(VLOOKUP($B362,Master_PIC!$A$8:$G$73,6,FALSE)="","",VLOOKUP($B362,Master_PIC!$A$8:$G$73,6,FALSE)),"")</f>
        <v/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8"/>
      <c r="X362" s="5"/>
      <c r="Y362" s="5"/>
      <c r="Z362" s="9"/>
      <c r="AA362" s="5"/>
      <c r="AB362" s="5"/>
      <c r="AC362" s="9"/>
      <c r="AD362" s="5"/>
      <c r="AE362" s="7" t="str">
        <f t="shared" si="35"/>
        <v/>
      </c>
      <c r="AF362" s="7" t="str">
        <f t="shared" si="36"/>
        <v/>
      </c>
      <c r="AG362" s="7" t="str">
        <f t="shared" si="37"/>
        <v/>
      </c>
      <c r="AH362" s="7" t="str">
        <f t="shared" si="38"/>
        <v/>
      </c>
      <c r="AI362" s="7" t="str">
        <f t="shared" si="39"/>
        <v/>
      </c>
      <c r="AJ362" s="7" t="str">
        <f t="shared" si="40"/>
        <v/>
      </c>
      <c r="AK362" s="10" t="str">
        <f t="shared" si="41"/>
        <v/>
      </c>
      <c r="AL362" s="15" t="str">
        <f>IF(OR($A362&lt;&gt;"",$B362&lt;&gt;""),IF(OR($A362="",$B362=""),"Isi tanggal dan ID PIC",IF(NOT(ISNUMBER($A362)),"Tanggal harus berupa tanggal Excel",IF(COUNTIFS(Master_PIC!$A$8:$A$73,$B362)&lt;&gt;1,"ID PIC tidak unik/terdaftar",IF(VLOOKUP($B362,Master_PIC!$A$8:$G$73,3,FALSE)&lt;&gt;"SPV","Jabatan tidak sesuai sheet",IF(OR($C362="",$D362="",$E362="",$F362=""),"Lengkapi master PIC",IF(COUNTIFS($A$8:$A$507,$A362,$B$8:$B$507,$B362)&gt;1,"Laporan ganda",IF(COUNTIFS(G362:O362,"Tidak Berlaku")&gt;0,"N/A hanya untuk kegiatan bersyarat",IF(SUM(AF362,AG362,AH362,AI362,AJ362)&lt;&gt;13,"Status kegiatan tidak valid",IF(AJ362&gt;0,"Lengkapi status kegiatan",IF(AND(AI362&gt;0,T362=""),"Isi alasan Tidak Berlaku",IF(AND(SUM(AG362,AH362)&gt;0,OR(T362="",U362="",V362="",W362="")),"Isi kendala dan tindak lanjut",IF(AND(Y362&lt;&gt;"Draft",Y362&lt;&gt;"Dikirim"),"Isi status laporan yang valid",IF(AND(AA362&lt;&gt;"",AA362&lt;&gt;"Belum Diperiksa",AA362&lt;&gt;"Disetujui",AA362&lt;&gt;"Perlu Perbaikan"),"Hasil review tidak valid",IF(AND(Y362="Dikirim",OR(X362="",Z362="")),"Isi bukti dan waktu kirim",IF(AND(AA362="Disetujui",OR(Y362&lt;&gt;"Dikirim",AB362="",AC362="")),"Lengkapi pemeriksaan",IF(AND(AA362="Perlu Perbaikan",OR(AD362="",AB362="",AC362="")),"Isi pemeriksa dan catatan perbaikan","OK")))))))))))))))),"")</f>
        <v/>
      </c>
    </row>
    <row r="363" spans="1:38" ht="24.95" customHeight="1">
      <c r="A363" s="8"/>
      <c r="B363" s="6"/>
      <c r="C363" s="15" t="str">
        <f>IF(COUNTIFS(Master_PIC!$A$8:$A$73,$B363)=1,IF(VLOOKUP($B363,Master_PIC!$A$8:$G$73,2,FALSE)="","",VLOOKUP($B363,Master_PIC!$A$8:$G$73,2,FALSE)),"")</f>
        <v/>
      </c>
      <c r="D363" s="15" t="str">
        <f>IF(COUNTIFS(Master_PIC!$A$8:$A$73,$B363)=1,IF(VLOOKUP($B363,Master_PIC!$A$8:$G$73,4,FALSE)="","",VLOOKUP($B363,Master_PIC!$A$8:$G$73,4,FALSE)),"")</f>
        <v/>
      </c>
      <c r="E363" s="15" t="str">
        <f>IF(COUNTIFS(Master_PIC!$A$8:$A$73,$B363)=1,IF(VLOOKUP($B363,Master_PIC!$A$8:$G$73,5,FALSE)="","",VLOOKUP($B363,Master_PIC!$A$8:$G$73,5,FALSE)),"")</f>
        <v/>
      </c>
      <c r="F363" s="15" t="str">
        <f>IF(COUNTIFS(Master_PIC!$A$8:$A$73,$B363)=1,IF(VLOOKUP($B363,Master_PIC!$A$8:$G$73,6,FALSE)="","",VLOOKUP($B363,Master_PIC!$A$8:$G$73,6,FALSE)),"")</f>
        <v/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8"/>
      <c r="X363" s="5"/>
      <c r="Y363" s="5"/>
      <c r="Z363" s="9"/>
      <c r="AA363" s="5"/>
      <c r="AB363" s="5"/>
      <c r="AC363" s="9"/>
      <c r="AD363" s="5"/>
      <c r="AE363" s="7" t="str">
        <f t="shared" si="35"/>
        <v/>
      </c>
      <c r="AF363" s="7" t="str">
        <f t="shared" si="36"/>
        <v/>
      </c>
      <c r="AG363" s="7" t="str">
        <f t="shared" si="37"/>
        <v/>
      </c>
      <c r="AH363" s="7" t="str">
        <f t="shared" si="38"/>
        <v/>
      </c>
      <c r="AI363" s="7" t="str">
        <f t="shared" si="39"/>
        <v/>
      </c>
      <c r="AJ363" s="7" t="str">
        <f t="shared" si="40"/>
        <v/>
      </c>
      <c r="AK363" s="10" t="str">
        <f t="shared" si="41"/>
        <v/>
      </c>
      <c r="AL363" s="15" t="str">
        <f>IF(OR($A363&lt;&gt;"",$B363&lt;&gt;""),IF(OR($A363="",$B363=""),"Isi tanggal dan ID PIC",IF(NOT(ISNUMBER($A363)),"Tanggal harus berupa tanggal Excel",IF(COUNTIFS(Master_PIC!$A$8:$A$73,$B363)&lt;&gt;1,"ID PIC tidak unik/terdaftar",IF(VLOOKUP($B363,Master_PIC!$A$8:$G$73,3,FALSE)&lt;&gt;"SPV","Jabatan tidak sesuai sheet",IF(OR($C363="",$D363="",$E363="",$F363=""),"Lengkapi master PIC",IF(COUNTIFS($A$8:$A$507,$A363,$B$8:$B$507,$B363)&gt;1,"Laporan ganda",IF(COUNTIFS(G363:O363,"Tidak Berlaku")&gt;0,"N/A hanya untuk kegiatan bersyarat",IF(SUM(AF363,AG363,AH363,AI363,AJ363)&lt;&gt;13,"Status kegiatan tidak valid",IF(AJ363&gt;0,"Lengkapi status kegiatan",IF(AND(AI363&gt;0,T363=""),"Isi alasan Tidak Berlaku",IF(AND(SUM(AG363,AH363)&gt;0,OR(T363="",U363="",V363="",W363="")),"Isi kendala dan tindak lanjut",IF(AND(Y363&lt;&gt;"Draft",Y363&lt;&gt;"Dikirim"),"Isi status laporan yang valid",IF(AND(AA363&lt;&gt;"",AA363&lt;&gt;"Belum Diperiksa",AA363&lt;&gt;"Disetujui",AA363&lt;&gt;"Perlu Perbaikan"),"Hasil review tidak valid",IF(AND(Y363="Dikirim",OR(X363="",Z363="")),"Isi bukti dan waktu kirim",IF(AND(AA363="Disetujui",OR(Y363&lt;&gt;"Dikirim",AB363="",AC363="")),"Lengkapi pemeriksaan",IF(AND(AA363="Perlu Perbaikan",OR(AD363="",AB363="",AC363="")),"Isi pemeriksa dan catatan perbaikan","OK")))))))))))))))),"")</f>
        <v/>
      </c>
    </row>
    <row r="364" spans="1:38" ht="24.95" customHeight="1">
      <c r="A364" s="8"/>
      <c r="B364" s="6"/>
      <c r="C364" s="15" t="str">
        <f>IF(COUNTIFS(Master_PIC!$A$8:$A$73,$B364)=1,IF(VLOOKUP($B364,Master_PIC!$A$8:$G$73,2,FALSE)="","",VLOOKUP($B364,Master_PIC!$A$8:$G$73,2,FALSE)),"")</f>
        <v/>
      </c>
      <c r="D364" s="15" t="str">
        <f>IF(COUNTIFS(Master_PIC!$A$8:$A$73,$B364)=1,IF(VLOOKUP($B364,Master_PIC!$A$8:$G$73,4,FALSE)="","",VLOOKUP($B364,Master_PIC!$A$8:$G$73,4,FALSE)),"")</f>
        <v/>
      </c>
      <c r="E364" s="15" t="str">
        <f>IF(COUNTIFS(Master_PIC!$A$8:$A$73,$B364)=1,IF(VLOOKUP($B364,Master_PIC!$A$8:$G$73,5,FALSE)="","",VLOOKUP($B364,Master_PIC!$A$8:$G$73,5,FALSE)),"")</f>
        <v/>
      </c>
      <c r="F364" s="15" t="str">
        <f>IF(COUNTIFS(Master_PIC!$A$8:$A$73,$B364)=1,IF(VLOOKUP($B364,Master_PIC!$A$8:$G$73,6,FALSE)="","",VLOOKUP($B364,Master_PIC!$A$8:$G$73,6,FALSE)),"")</f>
        <v/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8"/>
      <c r="X364" s="5"/>
      <c r="Y364" s="5"/>
      <c r="Z364" s="9"/>
      <c r="AA364" s="5"/>
      <c r="AB364" s="5"/>
      <c r="AC364" s="9"/>
      <c r="AD364" s="5"/>
      <c r="AE364" s="7" t="str">
        <f t="shared" si="35"/>
        <v/>
      </c>
      <c r="AF364" s="7" t="str">
        <f t="shared" si="36"/>
        <v/>
      </c>
      <c r="AG364" s="7" t="str">
        <f t="shared" si="37"/>
        <v/>
      </c>
      <c r="AH364" s="7" t="str">
        <f t="shared" si="38"/>
        <v/>
      </c>
      <c r="AI364" s="7" t="str">
        <f t="shared" si="39"/>
        <v/>
      </c>
      <c r="AJ364" s="7" t="str">
        <f t="shared" si="40"/>
        <v/>
      </c>
      <c r="AK364" s="10" t="str">
        <f t="shared" si="41"/>
        <v/>
      </c>
      <c r="AL364" s="15" t="str">
        <f>IF(OR($A364&lt;&gt;"",$B364&lt;&gt;""),IF(OR($A364="",$B364=""),"Isi tanggal dan ID PIC",IF(NOT(ISNUMBER($A364)),"Tanggal harus berupa tanggal Excel",IF(COUNTIFS(Master_PIC!$A$8:$A$73,$B364)&lt;&gt;1,"ID PIC tidak unik/terdaftar",IF(VLOOKUP($B364,Master_PIC!$A$8:$G$73,3,FALSE)&lt;&gt;"SPV","Jabatan tidak sesuai sheet",IF(OR($C364="",$D364="",$E364="",$F364=""),"Lengkapi master PIC",IF(COUNTIFS($A$8:$A$507,$A364,$B$8:$B$507,$B364)&gt;1,"Laporan ganda",IF(COUNTIFS(G364:O364,"Tidak Berlaku")&gt;0,"N/A hanya untuk kegiatan bersyarat",IF(SUM(AF364,AG364,AH364,AI364,AJ364)&lt;&gt;13,"Status kegiatan tidak valid",IF(AJ364&gt;0,"Lengkapi status kegiatan",IF(AND(AI364&gt;0,T364=""),"Isi alasan Tidak Berlaku",IF(AND(SUM(AG364,AH364)&gt;0,OR(T364="",U364="",V364="",W364="")),"Isi kendala dan tindak lanjut",IF(AND(Y364&lt;&gt;"Draft",Y364&lt;&gt;"Dikirim"),"Isi status laporan yang valid",IF(AND(AA364&lt;&gt;"",AA364&lt;&gt;"Belum Diperiksa",AA364&lt;&gt;"Disetujui",AA364&lt;&gt;"Perlu Perbaikan"),"Hasil review tidak valid",IF(AND(Y364="Dikirim",OR(X364="",Z364="")),"Isi bukti dan waktu kirim",IF(AND(AA364="Disetujui",OR(Y364&lt;&gt;"Dikirim",AB364="",AC364="")),"Lengkapi pemeriksaan",IF(AND(AA364="Perlu Perbaikan",OR(AD364="",AB364="",AC364="")),"Isi pemeriksa dan catatan perbaikan","OK")))))))))))))))),"")</f>
        <v/>
      </c>
    </row>
    <row r="365" spans="1:38" ht="24.95" customHeight="1">
      <c r="A365" s="8"/>
      <c r="B365" s="6"/>
      <c r="C365" s="15" t="str">
        <f>IF(COUNTIFS(Master_PIC!$A$8:$A$73,$B365)=1,IF(VLOOKUP($B365,Master_PIC!$A$8:$G$73,2,FALSE)="","",VLOOKUP($B365,Master_PIC!$A$8:$G$73,2,FALSE)),"")</f>
        <v/>
      </c>
      <c r="D365" s="15" t="str">
        <f>IF(COUNTIFS(Master_PIC!$A$8:$A$73,$B365)=1,IF(VLOOKUP($B365,Master_PIC!$A$8:$G$73,4,FALSE)="","",VLOOKUP($B365,Master_PIC!$A$8:$G$73,4,FALSE)),"")</f>
        <v/>
      </c>
      <c r="E365" s="15" t="str">
        <f>IF(COUNTIFS(Master_PIC!$A$8:$A$73,$B365)=1,IF(VLOOKUP($B365,Master_PIC!$A$8:$G$73,5,FALSE)="","",VLOOKUP($B365,Master_PIC!$A$8:$G$73,5,FALSE)),"")</f>
        <v/>
      </c>
      <c r="F365" s="15" t="str">
        <f>IF(COUNTIFS(Master_PIC!$A$8:$A$73,$B365)=1,IF(VLOOKUP($B365,Master_PIC!$A$8:$G$73,6,FALSE)="","",VLOOKUP($B365,Master_PIC!$A$8:$G$73,6,FALSE)),"")</f>
        <v/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8"/>
      <c r="X365" s="5"/>
      <c r="Y365" s="5"/>
      <c r="Z365" s="9"/>
      <c r="AA365" s="5"/>
      <c r="AB365" s="5"/>
      <c r="AC365" s="9"/>
      <c r="AD365" s="5"/>
      <c r="AE365" s="7" t="str">
        <f t="shared" si="35"/>
        <v/>
      </c>
      <c r="AF365" s="7" t="str">
        <f t="shared" si="36"/>
        <v/>
      </c>
      <c r="AG365" s="7" t="str">
        <f t="shared" si="37"/>
        <v/>
      </c>
      <c r="AH365" s="7" t="str">
        <f t="shared" si="38"/>
        <v/>
      </c>
      <c r="AI365" s="7" t="str">
        <f t="shared" si="39"/>
        <v/>
      </c>
      <c r="AJ365" s="7" t="str">
        <f t="shared" si="40"/>
        <v/>
      </c>
      <c r="AK365" s="10" t="str">
        <f t="shared" si="41"/>
        <v/>
      </c>
      <c r="AL365" s="15" t="str">
        <f>IF(OR($A365&lt;&gt;"",$B365&lt;&gt;""),IF(OR($A365="",$B365=""),"Isi tanggal dan ID PIC",IF(NOT(ISNUMBER($A365)),"Tanggal harus berupa tanggal Excel",IF(COUNTIFS(Master_PIC!$A$8:$A$73,$B365)&lt;&gt;1,"ID PIC tidak unik/terdaftar",IF(VLOOKUP($B365,Master_PIC!$A$8:$G$73,3,FALSE)&lt;&gt;"SPV","Jabatan tidak sesuai sheet",IF(OR($C365="",$D365="",$E365="",$F365=""),"Lengkapi master PIC",IF(COUNTIFS($A$8:$A$507,$A365,$B$8:$B$507,$B365)&gt;1,"Laporan ganda",IF(COUNTIFS(G365:O365,"Tidak Berlaku")&gt;0,"N/A hanya untuk kegiatan bersyarat",IF(SUM(AF365,AG365,AH365,AI365,AJ365)&lt;&gt;13,"Status kegiatan tidak valid",IF(AJ365&gt;0,"Lengkapi status kegiatan",IF(AND(AI365&gt;0,T365=""),"Isi alasan Tidak Berlaku",IF(AND(SUM(AG365,AH365)&gt;0,OR(T365="",U365="",V365="",W365="")),"Isi kendala dan tindak lanjut",IF(AND(Y365&lt;&gt;"Draft",Y365&lt;&gt;"Dikirim"),"Isi status laporan yang valid",IF(AND(AA365&lt;&gt;"",AA365&lt;&gt;"Belum Diperiksa",AA365&lt;&gt;"Disetujui",AA365&lt;&gt;"Perlu Perbaikan"),"Hasil review tidak valid",IF(AND(Y365="Dikirim",OR(X365="",Z365="")),"Isi bukti dan waktu kirim",IF(AND(AA365="Disetujui",OR(Y365&lt;&gt;"Dikirim",AB365="",AC365="")),"Lengkapi pemeriksaan",IF(AND(AA365="Perlu Perbaikan",OR(AD365="",AB365="",AC365="")),"Isi pemeriksa dan catatan perbaikan","OK")))))))))))))))),"")</f>
        <v/>
      </c>
    </row>
    <row r="366" spans="1:38" ht="24.95" customHeight="1">
      <c r="A366" s="8"/>
      <c r="B366" s="6"/>
      <c r="C366" s="15" t="str">
        <f>IF(COUNTIFS(Master_PIC!$A$8:$A$73,$B366)=1,IF(VLOOKUP($B366,Master_PIC!$A$8:$G$73,2,FALSE)="","",VLOOKUP($B366,Master_PIC!$A$8:$G$73,2,FALSE)),"")</f>
        <v/>
      </c>
      <c r="D366" s="15" t="str">
        <f>IF(COUNTIFS(Master_PIC!$A$8:$A$73,$B366)=1,IF(VLOOKUP($B366,Master_PIC!$A$8:$G$73,4,FALSE)="","",VLOOKUP($B366,Master_PIC!$A$8:$G$73,4,FALSE)),"")</f>
        <v/>
      </c>
      <c r="E366" s="15" t="str">
        <f>IF(COUNTIFS(Master_PIC!$A$8:$A$73,$B366)=1,IF(VLOOKUP($B366,Master_PIC!$A$8:$G$73,5,FALSE)="","",VLOOKUP($B366,Master_PIC!$A$8:$G$73,5,FALSE)),"")</f>
        <v/>
      </c>
      <c r="F366" s="15" t="str">
        <f>IF(COUNTIFS(Master_PIC!$A$8:$A$73,$B366)=1,IF(VLOOKUP($B366,Master_PIC!$A$8:$G$73,6,FALSE)="","",VLOOKUP($B366,Master_PIC!$A$8:$G$73,6,FALSE)),"")</f>
        <v/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8"/>
      <c r="X366" s="5"/>
      <c r="Y366" s="5"/>
      <c r="Z366" s="9"/>
      <c r="AA366" s="5"/>
      <c r="AB366" s="5"/>
      <c r="AC366" s="9"/>
      <c r="AD366" s="5"/>
      <c r="AE366" s="7" t="str">
        <f t="shared" si="35"/>
        <v/>
      </c>
      <c r="AF366" s="7" t="str">
        <f t="shared" si="36"/>
        <v/>
      </c>
      <c r="AG366" s="7" t="str">
        <f t="shared" si="37"/>
        <v/>
      </c>
      <c r="AH366" s="7" t="str">
        <f t="shared" si="38"/>
        <v/>
      </c>
      <c r="AI366" s="7" t="str">
        <f t="shared" si="39"/>
        <v/>
      </c>
      <c r="AJ366" s="7" t="str">
        <f t="shared" si="40"/>
        <v/>
      </c>
      <c r="AK366" s="10" t="str">
        <f t="shared" si="41"/>
        <v/>
      </c>
      <c r="AL366" s="15" t="str">
        <f>IF(OR($A366&lt;&gt;"",$B366&lt;&gt;""),IF(OR($A366="",$B366=""),"Isi tanggal dan ID PIC",IF(NOT(ISNUMBER($A366)),"Tanggal harus berupa tanggal Excel",IF(COUNTIFS(Master_PIC!$A$8:$A$73,$B366)&lt;&gt;1,"ID PIC tidak unik/terdaftar",IF(VLOOKUP($B366,Master_PIC!$A$8:$G$73,3,FALSE)&lt;&gt;"SPV","Jabatan tidak sesuai sheet",IF(OR($C366="",$D366="",$E366="",$F366=""),"Lengkapi master PIC",IF(COUNTIFS($A$8:$A$507,$A366,$B$8:$B$507,$B366)&gt;1,"Laporan ganda",IF(COUNTIFS(G366:O366,"Tidak Berlaku")&gt;0,"N/A hanya untuk kegiatan bersyarat",IF(SUM(AF366,AG366,AH366,AI366,AJ366)&lt;&gt;13,"Status kegiatan tidak valid",IF(AJ366&gt;0,"Lengkapi status kegiatan",IF(AND(AI366&gt;0,T366=""),"Isi alasan Tidak Berlaku",IF(AND(SUM(AG366,AH366)&gt;0,OR(T366="",U366="",V366="",W366="")),"Isi kendala dan tindak lanjut",IF(AND(Y366&lt;&gt;"Draft",Y366&lt;&gt;"Dikirim"),"Isi status laporan yang valid",IF(AND(AA366&lt;&gt;"",AA366&lt;&gt;"Belum Diperiksa",AA366&lt;&gt;"Disetujui",AA366&lt;&gt;"Perlu Perbaikan"),"Hasil review tidak valid",IF(AND(Y366="Dikirim",OR(X366="",Z366="")),"Isi bukti dan waktu kirim",IF(AND(AA366="Disetujui",OR(Y366&lt;&gt;"Dikirim",AB366="",AC366="")),"Lengkapi pemeriksaan",IF(AND(AA366="Perlu Perbaikan",OR(AD366="",AB366="",AC366="")),"Isi pemeriksa dan catatan perbaikan","OK")))))))))))))))),"")</f>
        <v/>
      </c>
    </row>
    <row r="367" spans="1:38" ht="24.95" customHeight="1">
      <c r="A367" s="8"/>
      <c r="B367" s="6"/>
      <c r="C367" s="15" t="str">
        <f>IF(COUNTIFS(Master_PIC!$A$8:$A$73,$B367)=1,IF(VLOOKUP($B367,Master_PIC!$A$8:$G$73,2,FALSE)="","",VLOOKUP($B367,Master_PIC!$A$8:$G$73,2,FALSE)),"")</f>
        <v/>
      </c>
      <c r="D367" s="15" t="str">
        <f>IF(COUNTIFS(Master_PIC!$A$8:$A$73,$B367)=1,IF(VLOOKUP($B367,Master_PIC!$A$8:$G$73,4,FALSE)="","",VLOOKUP($B367,Master_PIC!$A$8:$G$73,4,FALSE)),"")</f>
        <v/>
      </c>
      <c r="E367" s="15" t="str">
        <f>IF(COUNTIFS(Master_PIC!$A$8:$A$73,$B367)=1,IF(VLOOKUP($B367,Master_PIC!$A$8:$G$73,5,FALSE)="","",VLOOKUP($B367,Master_PIC!$A$8:$G$73,5,FALSE)),"")</f>
        <v/>
      </c>
      <c r="F367" s="15" t="str">
        <f>IF(COUNTIFS(Master_PIC!$A$8:$A$73,$B367)=1,IF(VLOOKUP($B367,Master_PIC!$A$8:$G$73,6,FALSE)="","",VLOOKUP($B367,Master_PIC!$A$8:$G$73,6,FALSE)),"")</f>
        <v/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8"/>
      <c r="X367" s="5"/>
      <c r="Y367" s="5"/>
      <c r="Z367" s="9"/>
      <c r="AA367" s="5"/>
      <c r="AB367" s="5"/>
      <c r="AC367" s="9"/>
      <c r="AD367" s="5"/>
      <c r="AE367" s="7" t="str">
        <f t="shared" si="35"/>
        <v/>
      </c>
      <c r="AF367" s="7" t="str">
        <f t="shared" si="36"/>
        <v/>
      </c>
      <c r="AG367" s="7" t="str">
        <f t="shared" si="37"/>
        <v/>
      </c>
      <c r="AH367" s="7" t="str">
        <f t="shared" si="38"/>
        <v/>
      </c>
      <c r="AI367" s="7" t="str">
        <f t="shared" si="39"/>
        <v/>
      </c>
      <c r="AJ367" s="7" t="str">
        <f t="shared" si="40"/>
        <v/>
      </c>
      <c r="AK367" s="10" t="str">
        <f t="shared" si="41"/>
        <v/>
      </c>
      <c r="AL367" s="15" t="str">
        <f>IF(OR($A367&lt;&gt;"",$B367&lt;&gt;""),IF(OR($A367="",$B367=""),"Isi tanggal dan ID PIC",IF(NOT(ISNUMBER($A367)),"Tanggal harus berupa tanggal Excel",IF(COUNTIFS(Master_PIC!$A$8:$A$73,$B367)&lt;&gt;1,"ID PIC tidak unik/terdaftar",IF(VLOOKUP($B367,Master_PIC!$A$8:$G$73,3,FALSE)&lt;&gt;"SPV","Jabatan tidak sesuai sheet",IF(OR($C367="",$D367="",$E367="",$F367=""),"Lengkapi master PIC",IF(COUNTIFS($A$8:$A$507,$A367,$B$8:$B$507,$B367)&gt;1,"Laporan ganda",IF(COUNTIFS(G367:O367,"Tidak Berlaku")&gt;0,"N/A hanya untuk kegiatan bersyarat",IF(SUM(AF367,AG367,AH367,AI367,AJ367)&lt;&gt;13,"Status kegiatan tidak valid",IF(AJ367&gt;0,"Lengkapi status kegiatan",IF(AND(AI367&gt;0,T367=""),"Isi alasan Tidak Berlaku",IF(AND(SUM(AG367,AH367)&gt;0,OR(T367="",U367="",V367="",W367="")),"Isi kendala dan tindak lanjut",IF(AND(Y367&lt;&gt;"Draft",Y367&lt;&gt;"Dikirim"),"Isi status laporan yang valid",IF(AND(AA367&lt;&gt;"",AA367&lt;&gt;"Belum Diperiksa",AA367&lt;&gt;"Disetujui",AA367&lt;&gt;"Perlu Perbaikan"),"Hasil review tidak valid",IF(AND(Y367="Dikirim",OR(X367="",Z367="")),"Isi bukti dan waktu kirim",IF(AND(AA367="Disetujui",OR(Y367&lt;&gt;"Dikirim",AB367="",AC367="")),"Lengkapi pemeriksaan",IF(AND(AA367="Perlu Perbaikan",OR(AD367="",AB367="",AC367="")),"Isi pemeriksa dan catatan perbaikan","OK")))))))))))))))),"")</f>
        <v/>
      </c>
    </row>
    <row r="368" spans="1:38" ht="24.95" customHeight="1">
      <c r="A368" s="8"/>
      <c r="B368" s="6"/>
      <c r="C368" s="15" t="str">
        <f>IF(COUNTIFS(Master_PIC!$A$8:$A$73,$B368)=1,IF(VLOOKUP($B368,Master_PIC!$A$8:$G$73,2,FALSE)="","",VLOOKUP($B368,Master_PIC!$A$8:$G$73,2,FALSE)),"")</f>
        <v/>
      </c>
      <c r="D368" s="15" t="str">
        <f>IF(COUNTIFS(Master_PIC!$A$8:$A$73,$B368)=1,IF(VLOOKUP($B368,Master_PIC!$A$8:$G$73,4,FALSE)="","",VLOOKUP($B368,Master_PIC!$A$8:$G$73,4,FALSE)),"")</f>
        <v/>
      </c>
      <c r="E368" s="15" t="str">
        <f>IF(COUNTIFS(Master_PIC!$A$8:$A$73,$B368)=1,IF(VLOOKUP($B368,Master_PIC!$A$8:$G$73,5,FALSE)="","",VLOOKUP($B368,Master_PIC!$A$8:$G$73,5,FALSE)),"")</f>
        <v/>
      </c>
      <c r="F368" s="15" t="str">
        <f>IF(COUNTIFS(Master_PIC!$A$8:$A$73,$B368)=1,IF(VLOOKUP($B368,Master_PIC!$A$8:$G$73,6,FALSE)="","",VLOOKUP($B368,Master_PIC!$A$8:$G$73,6,FALSE)),"")</f>
        <v/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8"/>
      <c r="X368" s="5"/>
      <c r="Y368" s="5"/>
      <c r="Z368" s="9"/>
      <c r="AA368" s="5"/>
      <c r="AB368" s="5"/>
      <c r="AC368" s="9"/>
      <c r="AD368" s="5"/>
      <c r="AE368" s="7" t="str">
        <f t="shared" si="35"/>
        <v/>
      </c>
      <c r="AF368" s="7" t="str">
        <f t="shared" si="36"/>
        <v/>
      </c>
      <c r="AG368" s="7" t="str">
        <f t="shared" si="37"/>
        <v/>
      </c>
      <c r="AH368" s="7" t="str">
        <f t="shared" si="38"/>
        <v/>
      </c>
      <c r="AI368" s="7" t="str">
        <f t="shared" si="39"/>
        <v/>
      </c>
      <c r="AJ368" s="7" t="str">
        <f t="shared" si="40"/>
        <v/>
      </c>
      <c r="AK368" s="10" t="str">
        <f t="shared" si="41"/>
        <v/>
      </c>
      <c r="AL368" s="15" t="str">
        <f>IF(OR($A368&lt;&gt;"",$B368&lt;&gt;""),IF(OR($A368="",$B368=""),"Isi tanggal dan ID PIC",IF(NOT(ISNUMBER($A368)),"Tanggal harus berupa tanggal Excel",IF(COUNTIFS(Master_PIC!$A$8:$A$73,$B368)&lt;&gt;1,"ID PIC tidak unik/terdaftar",IF(VLOOKUP($B368,Master_PIC!$A$8:$G$73,3,FALSE)&lt;&gt;"SPV","Jabatan tidak sesuai sheet",IF(OR($C368="",$D368="",$E368="",$F368=""),"Lengkapi master PIC",IF(COUNTIFS($A$8:$A$507,$A368,$B$8:$B$507,$B368)&gt;1,"Laporan ganda",IF(COUNTIFS(G368:O368,"Tidak Berlaku")&gt;0,"N/A hanya untuk kegiatan bersyarat",IF(SUM(AF368,AG368,AH368,AI368,AJ368)&lt;&gt;13,"Status kegiatan tidak valid",IF(AJ368&gt;0,"Lengkapi status kegiatan",IF(AND(AI368&gt;0,T368=""),"Isi alasan Tidak Berlaku",IF(AND(SUM(AG368,AH368)&gt;0,OR(T368="",U368="",V368="",W368="")),"Isi kendala dan tindak lanjut",IF(AND(Y368&lt;&gt;"Draft",Y368&lt;&gt;"Dikirim"),"Isi status laporan yang valid",IF(AND(AA368&lt;&gt;"",AA368&lt;&gt;"Belum Diperiksa",AA368&lt;&gt;"Disetujui",AA368&lt;&gt;"Perlu Perbaikan"),"Hasil review tidak valid",IF(AND(Y368="Dikirim",OR(X368="",Z368="")),"Isi bukti dan waktu kirim",IF(AND(AA368="Disetujui",OR(Y368&lt;&gt;"Dikirim",AB368="",AC368="")),"Lengkapi pemeriksaan",IF(AND(AA368="Perlu Perbaikan",OR(AD368="",AB368="",AC368="")),"Isi pemeriksa dan catatan perbaikan","OK")))))))))))))))),"")</f>
        <v/>
      </c>
    </row>
    <row r="369" spans="1:38" ht="24.95" customHeight="1">
      <c r="A369" s="8"/>
      <c r="B369" s="6"/>
      <c r="C369" s="15" t="str">
        <f>IF(COUNTIFS(Master_PIC!$A$8:$A$73,$B369)=1,IF(VLOOKUP($B369,Master_PIC!$A$8:$G$73,2,FALSE)="","",VLOOKUP($B369,Master_PIC!$A$8:$G$73,2,FALSE)),"")</f>
        <v/>
      </c>
      <c r="D369" s="15" t="str">
        <f>IF(COUNTIFS(Master_PIC!$A$8:$A$73,$B369)=1,IF(VLOOKUP($B369,Master_PIC!$A$8:$G$73,4,FALSE)="","",VLOOKUP($B369,Master_PIC!$A$8:$G$73,4,FALSE)),"")</f>
        <v/>
      </c>
      <c r="E369" s="15" t="str">
        <f>IF(COUNTIFS(Master_PIC!$A$8:$A$73,$B369)=1,IF(VLOOKUP($B369,Master_PIC!$A$8:$G$73,5,FALSE)="","",VLOOKUP($B369,Master_PIC!$A$8:$G$73,5,FALSE)),"")</f>
        <v/>
      </c>
      <c r="F369" s="15" t="str">
        <f>IF(COUNTIFS(Master_PIC!$A$8:$A$73,$B369)=1,IF(VLOOKUP($B369,Master_PIC!$A$8:$G$73,6,FALSE)="","",VLOOKUP($B369,Master_PIC!$A$8:$G$73,6,FALSE)),"")</f>
        <v/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8"/>
      <c r="X369" s="5"/>
      <c r="Y369" s="5"/>
      <c r="Z369" s="9"/>
      <c r="AA369" s="5"/>
      <c r="AB369" s="5"/>
      <c r="AC369" s="9"/>
      <c r="AD369" s="5"/>
      <c r="AE369" s="7" t="str">
        <f t="shared" si="35"/>
        <v/>
      </c>
      <c r="AF369" s="7" t="str">
        <f t="shared" si="36"/>
        <v/>
      </c>
      <c r="AG369" s="7" t="str">
        <f t="shared" si="37"/>
        <v/>
      </c>
      <c r="AH369" s="7" t="str">
        <f t="shared" si="38"/>
        <v/>
      </c>
      <c r="AI369" s="7" t="str">
        <f t="shared" si="39"/>
        <v/>
      </c>
      <c r="AJ369" s="7" t="str">
        <f t="shared" si="40"/>
        <v/>
      </c>
      <c r="AK369" s="10" t="str">
        <f t="shared" si="41"/>
        <v/>
      </c>
      <c r="AL369" s="15" t="str">
        <f>IF(OR($A369&lt;&gt;"",$B369&lt;&gt;""),IF(OR($A369="",$B369=""),"Isi tanggal dan ID PIC",IF(NOT(ISNUMBER($A369)),"Tanggal harus berupa tanggal Excel",IF(COUNTIFS(Master_PIC!$A$8:$A$73,$B369)&lt;&gt;1,"ID PIC tidak unik/terdaftar",IF(VLOOKUP($B369,Master_PIC!$A$8:$G$73,3,FALSE)&lt;&gt;"SPV","Jabatan tidak sesuai sheet",IF(OR($C369="",$D369="",$E369="",$F369=""),"Lengkapi master PIC",IF(COUNTIFS($A$8:$A$507,$A369,$B$8:$B$507,$B369)&gt;1,"Laporan ganda",IF(COUNTIFS(G369:O369,"Tidak Berlaku")&gt;0,"N/A hanya untuk kegiatan bersyarat",IF(SUM(AF369,AG369,AH369,AI369,AJ369)&lt;&gt;13,"Status kegiatan tidak valid",IF(AJ369&gt;0,"Lengkapi status kegiatan",IF(AND(AI369&gt;0,T369=""),"Isi alasan Tidak Berlaku",IF(AND(SUM(AG369,AH369)&gt;0,OR(T369="",U369="",V369="",W369="")),"Isi kendala dan tindak lanjut",IF(AND(Y369&lt;&gt;"Draft",Y369&lt;&gt;"Dikirim"),"Isi status laporan yang valid",IF(AND(AA369&lt;&gt;"",AA369&lt;&gt;"Belum Diperiksa",AA369&lt;&gt;"Disetujui",AA369&lt;&gt;"Perlu Perbaikan"),"Hasil review tidak valid",IF(AND(Y369="Dikirim",OR(X369="",Z369="")),"Isi bukti dan waktu kirim",IF(AND(AA369="Disetujui",OR(Y369&lt;&gt;"Dikirim",AB369="",AC369="")),"Lengkapi pemeriksaan",IF(AND(AA369="Perlu Perbaikan",OR(AD369="",AB369="",AC369="")),"Isi pemeriksa dan catatan perbaikan","OK")))))))))))))))),"")</f>
        <v/>
      </c>
    </row>
    <row r="370" spans="1:38" ht="24.95" customHeight="1">
      <c r="A370" s="8"/>
      <c r="B370" s="6"/>
      <c r="C370" s="15" t="str">
        <f>IF(COUNTIFS(Master_PIC!$A$8:$A$73,$B370)=1,IF(VLOOKUP($B370,Master_PIC!$A$8:$G$73,2,FALSE)="","",VLOOKUP($B370,Master_PIC!$A$8:$G$73,2,FALSE)),"")</f>
        <v/>
      </c>
      <c r="D370" s="15" t="str">
        <f>IF(COUNTIFS(Master_PIC!$A$8:$A$73,$B370)=1,IF(VLOOKUP($B370,Master_PIC!$A$8:$G$73,4,FALSE)="","",VLOOKUP($B370,Master_PIC!$A$8:$G$73,4,FALSE)),"")</f>
        <v/>
      </c>
      <c r="E370" s="15" t="str">
        <f>IF(COUNTIFS(Master_PIC!$A$8:$A$73,$B370)=1,IF(VLOOKUP($B370,Master_PIC!$A$8:$G$73,5,FALSE)="","",VLOOKUP($B370,Master_PIC!$A$8:$G$73,5,FALSE)),"")</f>
        <v/>
      </c>
      <c r="F370" s="15" t="str">
        <f>IF(COUNTIFS(Master_PIC!$A$8:$A$73,$B370)=1,IF(VLOOKUP($B370,Master_PIC!$A$8:$G$73,6,FALSE)="","",VLOOKUP($B370,Master_PIC!$A$8:$G$73,6,FALSE)),"")</f>
        <v/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8"/>
      <c r="X370" s="5"/>
      <c r="Y370" s="5"/>
      <c r="Z370" s="9"/>
      <c r="AA370" s="5"/>
      <c r="AB370" s="5"/>
      <c r="AC370" s="9"/>
      <c r="AD370" s="5"/>
      <c r="AE370" s="7" t="str">
        <f t="shared" si="35"/>
        <v/>
      </c>
      <c r="AF370" s="7" t="str">
        <f t="shared" si="36"/>
        <v/>
      </c>
      <c r="AG370" s="7" t="str">
        <f t="shared" si="37"/>
        <v/>
      </c>
      <c r="AH370" s="7" t="str">
        <f t="shared" si="38"/>
        <v/>
      </c>
      <c r="AI370" s="7" t="str">
        <f t="shared" si="39"/>
        <v/>
      </c>
      <c r="AJ370" s="7" t="str">
        <f t="shared" si="40"/>
        <v/>
      </c>
      <c r="AK370" s="10" t="str">
        <f t="shared" si="41"/>
        <v/>
      </c>
      <c r="AL370" s="15" t="str">
        <f>IF(OR($A370&lt;&gt;"",$B370&lt;&gt;""),IF(OR($A370="",$B370=""),"Isi tanggal dan ID PIC",IF(NOT(ISNUMBER($A370)),"Tanggal harus berupa tanggal Excel",IF(COUNTIFS(Master_PIC!$A$8:$A$73,$B370)&lt;&gt;1,"ID PIC tidak unik/terdaftar",IF(VLOOKUP($B370,Master_PIC!$A$8:$G$73,3,FALSE)&lt;&gt;"SPV","Jabatan tidak sesuai sheet",IF(OR($C370="",$D370="",$E370="",$F370=""),"Lengkapi master PIC",IF(COUNTIFS($A$8:$A$507,$A370,$B$8:$B$507,$B370)&gt;1,"Laporan ganda",IF(COUNTIFS(G370:O370,"Tidak Berlaku")&gt;0,"N/A hanya untuk kegiatan bersyarat",IF(SUM(AF370,AG370,AH370,AI370,AJ370)&lt;&gt;13,"Status kegiatan tidak valid",IF(AJ370&gt;0,"Lengkapi status kegiatan",IF(AND(AI370&gt;0,T370=""),"Isi alasan Tidak Berlaku",IF(AND(SUM(AG370,AH370)&gt;0,OR(T370="",U370="",V370="",W370="")),"Isi kendala dan tindak lanjut",IF(AND(Y370&lt;&gt;"Draft",Y370&lt;&gt;"Dikirim"),"Isi status laporan yang valid",IF(AND(AA370&lt;&gt;"",AA370&lt;&gt;"Belum Diperiksa",AA370&lt;&gt;"Disetujui",AA370&lt;&gt;"Perlu Perbaikan"),"Hasil review tidak valid",IF(AND(Y370="Dikirim",OR(X370="",Z370="")),"Isi bukti dan waktu kirim",IF(AND(AA370="Disetujui",OR(Y370&lt;&gt;"Dikirim",AB370="",AC370="")),"Lengkapi pemeriksaan",IF(AND(AA370="Perlu Perbaikan",OR(AD370="",AB370="",AC370="")),"Isi pemeriksa dan catatan perbaikan","OK")))))))))))))))),"")</f>
        <v/>
      </c>
    </row>
    <row r="371" spans="1:38" ht="24.95" customHeight="1">
      <c r="A371" s="8"/>
      <c r="B371" s="6"/>
      <c r="C371" s="15" t="str">
        <f>IF(COUNTIFS(Master_PIC!$A$8:$A$73,$B371)=1,IF(VLOOKUP($B371,Master_PIC!$A$8:$G$73,2,FALSE)="","",VLOOKUP($B371,Master_PIC!$A$8:$G$73,2,FALSE)),"")</f>
        <v/>
      </c>
      <c r="D371" s="15" t="str">
        <f>IF(COUNTIFS(Master_PIC!$A$8:$A$73,$B371)=1,IF(VLOOKUP($B371,Master_PIC!$A$8:$G$73,4,FALSE)="","",VLOOKUP($B371,Master_PIC!$A$8:$G$73,4,FALSE)),"")</f>
        <v/>
      </c>
      <c r="E371" s="15" t="str">
        <f>IF(COUNTIFS(Master_PIC!$A$8:$A$73,$B371)=1,IF(VLOOKUP($B371,Master_PIC!$A$8:$G$73,5,FALSE)="","",VLOOKUP($B371,Master_PIC!$A$8:$G$73,5,FALSE)),"")</f>
        <v/>
      </c>
      <c r="F371" s="15" t="str">
        <f>IF(COUNTIFS(Master_PIC!$A$8:$A$73,$B371)=1,IF(VLOOKUP($B371,Master_PIC!$A$8:$G$73,6,FALSE)="","",VLOOKUP($B371,Master_PIC!$A$8:$G$73,6,FALSE)),"")</f>
        <v/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8"/>
      <c r="X371" s="5"/>
      <c r="Y371" s="5"/>
      <c r="Z371" s="9"/>
      <c r="AA371" s="5"/>
      <c r="AB371" s="5"/>
      <c r="AC371" s="9"/>
      <c r="AD371" s="5"/>
      <c r="AE371" s="7" t="str">
        <f t="shared" si="35"/>
        <v/>
      </c>
      <c r="AF371" s="7" t="str">
        <f t="shared" si="36"/>
        <v/>
      </c>
      <c r="AG371" s="7" t="str">
        <f t="shared" si="37"/>
        <v/>
      </c>
      <c r="AH371" s="7" t="str">
        <f t="shared" si="38"/>
        <v/>
      </c>
      <c r="AI371" s="7" t="str">
        <f t="shared" si="39"/>
        <v/>
      </c>
      <c r="AJ371" s="7" t="str">
        <f t="shared" si="40"/>
        <v/>
      </c>
      <c r="AK371" s="10" t="str">
        <f t="shared" si="41"/>
        <v/>
      </c>
      <c r="AL371" s="15" t="str">
        <f>IF(OR($A371&lt;&gt;"",$B371&lt;&gt;""),IF(OR($A371="",$B371=""),"Isi tanggal dan ID PIC",IF(NOT(ISNUMBER($A371)),"Tanggal harus berupa tanggal Excel",IF(COUNTIFS(Master_PIC!$A$8:$A$73,$B371)&lt;&gt;1,"ID PIC tidak unik/terdaftar",IF(VLOOKUP($B371,Master_PIC!$A$8:$G$73,3,FALSE)&lt;&gt;"SPV","Jabatan tidak sesuai sheet",IF(OR($C371="",$D371="",$E371="",$F371=""),"Lengkapi master PIC",IF(COUNTIFS($A$8:$A$507,$A371,$B$8:$B$507,$B371)&gt;1,"Laporan ganda",IF(COUNTIFS(G371:O371,"Tidak Berlaku")&gt;0,"N/A hanya untuk kegiatan bersyarat",IF(SUM(AF371,AG371,AH371,AI371,AJ371)&lt;&gt;13,"Status kegiatan tidak valid",IF(AJ371&gt;0,"Lengkapi status kegiatan",IF(AND(AI371&gt;0,T371=""),"Isi alasan Tidak Berlaku",IF(AND(SUM(AG371,AH371)&gt;0,OR(T371="",U371="",V371="",W371="")),"Isi kendala dan tindak lanjut",IF(AND(Y371&lt;&gt;"Draft",Y371&lt;&gt;"Dikirim"),"Isi status laporan yang valid",IF(AND(AA371&lt;&gt;"",AA371&lt;&gt;"Belum Diperiksa",AA371&lt;&gt;"Disetujui",AA371&lt;&gt;"Perlu Perbaikan"),"Hasil review tidak valid",IF(AND(Y371="Dikirim",OR(X371="",Z371="")),"Isi bukti dan waktu kirim",IF(AND(AA371="Disetujui",OR(Y371&lt;&gt;"Dikirim",AB371="",AC371="")),"Lengkapi pemeriksaan",IF(AND(AA371="Perlu Perbaikan",OR(AD371="",AB371="",AC371="")),"Isi pemeriksa dan catatan perbaikan","OK")))))))))))))))),"")</f>
        <v/>
      </c>
    </row>
    <row r="372" spans="1:38" ht="24.95" customHeight="1">
      <c r="A372" s="8"/>
      <c r="B372" s="6"/>
      <c r="C372" s="15" t="str">
        <f>IF(COUNTIFS(Master_PIC!$A$8:$A$73,$B372)=1,IF(VLOOKUP($B372,Master_PIC!$A$8:$G$73,2,FALSE)="","",VLOOKUP($B372,Master_PIC!$A$8:$G$73,2,FALSE)),"")</f>
        <v/>
      </c>
      <c r="D372" s="15" t="str">
        <f>IF(COUNTIFS(Master_PIC!$A$8:$A$73,$B372)=1,IF(VLOOKUP($B372,Master_PIC!$A$8:$G$73,4,FALSE)="","",VLOOKUP($B372,Master_PIC!$A$8:$G$73,4,FALSE)),"")</f>
        <v/>
      </c>
      <c r="E372" s="15" t="str">
        <f>IF(COUNTIFS(Master_PIC!$A$8:$A$73,$B372)=1,IF(VLOOKUP($B372,Master_PIC!$A$8:$G$73,5,FALSE)="","",VLOOKUP($B372,Master_PIC!$A$8:$G$73,5,FALSE)),"")</f>
        <v/>
      </c>
      <c r="F372" s="15" t="str">
        <f>IF(COUNTIFS(Master_PIC!$A$8:$A$73,$B372)=1,IF(VLOOKUP($B372,Master_PIC!$A$8:$G$73,6,FALSE)="","",VLOOKUP($B372,Master_PIC!$A$8:$G$73,6,FALSE)),"")</f>
        <v/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8"/>
      <c r="X372" s="5"/>
      <c r="Y372" s="5"/>
      <c r="Z372" s="9"/>
      <c r="AA372" s="5"/>
      <c r="AB372" s="5"/>
      <c r="AC372" s="9"/>
      <c r="AD372" s="5"/>
      <c r="AE372" s="7" t="str">
        <f t="shared" si="35"/>
        <v/>
      </c>
      <c r="AF372" s="7" t="str">
        <f t="shared" si="36"/>
        <v/>
      </c>
      <c r="AG372" s="7" t="str">
        <f t="shared" si="37"/>
        <v/>
      </c>
      <c r="AH372" s="7" t="str">
        <f t="shared" si="38"/>
        <v/>
      </c>
      <c r="AI372" s="7" t="str">
        <f t="shared" si="39"/>
        <v/>
      </c>
      <c r="AJ372" s="7" t="str">
        <f t="shared" si="40"/>
        <v/>
      </c>
      <c r="AK372" s="10" t="str">
        <f t="shared" si="41"/>
        <v/>
      </c>
      <c r="AL372" s="15" t="str">
        <f>IF(OR($A372&lt;&gt;"",$B372&lt;&gt;""),IF(OR($A372="",$B372=""),"Isi tanggal dan ID PIC",IF(NOT(ISNUMBER($A372)),"Tanggal harus berupa tanggal Excel",IF(COUNTIFS(Master_PIC!$A$8:$A$73,$B372)&lt;&gt;1,"ID PIC tidak unik/terdaftar",IF(VLOOKUP($B372,Master_PIC!$A$8:$G$73,3,FALSE)&lt;&gt;"SPV","Jabatan tidak sesuai sheet",IF(OR($C372="",$D372="",$E372="",$F372=""),"Lengkapi master PIC",IF(COUNTIFS($A$8:$A$507,$A372,$B$8:$B$507,$B372)&gt;1,"Laporan ganda",IF(COUNTIFS(G372:O372,"Tidak Berlaku")&gt;0,"N/A hanya untuk kegiatan bersyarat",IF(SUM(AF372,AG372,AH372,AI372,AJ372)&lt;&gt;13,"Status kegiatan tidak valid",IF(AJ372&gt;0,"Lengkapi status kegiatan",IF(AND(AI372&gt;0,T372=""),"Isi alasan Tidak Berlaku",IF(AND(SUM(AG372,AH372)&gt;0,OR(T372="",U372="",V372="",W372="")),"Isi kendala dan tindak lanjut",IF(AND(Y372&lt;&gt;"Draft",Y372&lt;&gt;"Dikirim"),"Isi status laporan yang valid",IF(AND(AA372&lt;&gt;"",AA372&lt;&gt;"Belum Diperiksa",AA372&lt;&gt;"Disetujui",AA372&lt;&gt;"Perlu Perbaikan"),"Hasil review tidak valid",IF(AND(Y372="Dikirim",OR(X372="",Z372="")),"Isi bukti dan waktu kirim",IF(AND(AA372="Disetujui",OR(Y372&lt;&gt;"Dikirim",AB372="",AC372="")),"Lengkapi pemeriksaan",IF(AND(AA372="Perlu Perbaikan",OR(AD372="",AB372="",AC372="")),"Isi pemeriksa dan catatan perbaikan","OK")))))))))))))))),"")</f>
        <v/>
      </c>
    </row>
    <row r="373" spans="1:38" ht="24.95" customHeight="1">
      <c r="A373" s="8"/>
      <c r="B373" s="6"/>
      <c r="C373" s="15" t="str">
        <f>IF(COUNTIFS(Master_PIC!$A$8:$A$73,$B373)=1,IF(VLOOKUP($B373,Master_PIC!$A$8:$G$73,2,FALSE)="","",VLOOKUP($B373,Master_PIC!$A$8:$G$73,2,FALSE)),"")</f>
        <v/>
      </c>
      <c r="D373" s="15" t="str">
        <f>IF(COUNTIFS(Master_PIC!$A$8:$A$73,$B373)=1,IF(VLOOKUP($B373,Master_PIC!$A$8:$G$73,4,FALSE)="","",VLOOKUP($B373,Master_PIC!$A$8:$G$73,4,FALSE)),"")</f>
        <v/>
      </c>
      <c r="E373" s="15" t="str">
        <f>IF(COUNTIFS(Master_PIC!$A$8:$A$73,$B373)=1,IF(VLOOKUP($B373,Master_PIC!$A$8:$G$73,5,FALSE)="","",VLOOKUP($B373,Master_PIC!$A$8:$G$73,5,FALSE)),"")</f>
        <v/>
      </c>
      <c r="F373" s="15" t="str">
        <f>IF(COUNTIFS(Master_PIC!$A$8:$A$73,$B373)=1,IF(VLOOKUP($B373,Master_PIC!$A$8:$G$73,6,FALSE)="","",VLOOKUP($B373,Master_PIC!$A$8:$G$73,6,FALSE)),"")</f>
        <v/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8"/>
      <c r="X373" s="5"/>
      <c r="Y373" s="5"/>
      <c r="Z373" s="9"/>
      <c r="AA373" s="5"/>
      <c r="AB373" s="5"/>
      <c r="AC373" s="9"/>
      <c r="AD373" s="5"/>
      <c r="AE373" s="7" t="str">
        <f t="shared" si="35"/>
        <v/>
      </c>
      <c r="AF373" s="7" t="str">
        <f t="shared" si="36"/>
        <v/>
      </c>
      <c r="AG373" s="7" t="str">
        <f t="shared" si="37"/>
        <v/>
      </c>
      <c r="AH373" s="7" t="str">
        <f t="shared" si="38"/>
        <v/>
      </c>
      <c r="AI373" s="7" t="str">
        <f t="shared" si="39"/>
        <v/>
      </c>
      <c r="AJ373" s="7" t="str">
        <f t="shared" si="40"/>
        <v/>
      </c>
      <c r="AK373" s="10" t="str">
        <f t="shared" si="41"/>
        <v/>
      </c>
      <c r="AL373" s="15" t="str">
        <f>IF(OR($A373&lt;&gt;"",$B373&lt;&gt;""),IF(OR($A373="",$B373=""),"Isi tanggal dan ID PIC",IF(NOT(ISNUMBER($A373)),"Tanggal harus berupa tanggal Excel",IF(COUNTIFS(Master_PIC!$A$8:$A$73,$B373)&lt;&gt;1,"ID PIC tidak unik/terdaftar",IF(VLOOKUP($B373,Master_PIC!$A$8:$G$73,3,FALSE)&lt;&gt;"SPV","Jabatan tidak sesuai sheet",IF(OR($C373="",$D373="",$E373="",$F373=""),"Lengkapi master PIC",IF(COUNTIFS($A$8:$A$507,$A373,$B$8:$B$507,$B373)&gt;1,"Laporan ganda",IF(COUNTIFS(G373:O373,"Tidak Berlaku")&gt;0,"N/A hanya untuk kegiatan bersyarat",IF(SUM(AF373,AG373,AH373,AI373,AJ373)&lt;&gt;13,"Status kegiatan tidak valid",IF(AJ373&gt;0,"Lengkapi status kegiatan",IF(AND(AI373&gt;0,T373=""),"Isi alasan Tidak Berlaku",IF(AND(SUM(AG373,AH373)&gt;0,OR(T373="",U373="",V373="",W373="")),"Isi kendala dan tindak lanjut",IF(AND(Y373&lt;&gt;"Draft",Y373&lt;&gt;"Dikirim"),"Isi status laporan yang valid",IF(AND(AA373&lt;&gt;"",AA373&lt;&gt;"Belum Diperiksa",AA373&lt;&gt;"Disetujui",AA373&lt;&gt;"Perlu Perbaikan"),"Hasil review tidak valid",IF(AND(Y373="Dikirim",OR(X373="",Z373="")),"Isi bukti dan waktu kirim",IF(AND(AA373="Disetujui",OR(Y373&lt;&gt;"Dikirim",AB373="",AC373="")),"Lengkapi pemeriksaan",IF(AND(AA373="Perlu Perbaikan",OR(AD373="",AB373="",AC373="")),"Isi pemeriksa dan catatan perbaikan","OK")))))))))))))))),"")</f>
        <v/>
      </c>
    </row>
    <row r="374" spans="1:38" ht="24.95" customHeight="1">
      <c r="A374" s="8"/>
      <c r="B374" s="6"/>
      <c r="C374" s="15" t="str">
        <f>IF(COUNTIFS(Master_PIC!$A$8:$A$73,$B374)=1,IF(VLOOKUP($B374,Master_PIC!$A$8:$G$73,2,FALSE)="","",VLOOKUP($B374,Master_PIC!$A$8:$G$73,2,FALSE)),"")</f>
        <v/>
      </c>
      <c r="D374" s="15" t="str">
        <f>IF(COUNTIFS(Master_PIC!$A$8:$A$73,$B374)=1,IF(VLOOKUP($B374,Master_PIC!$A$8:$G$73,4,FALSE)="","",VLOOKUP($B374,Master_PIC!$A$8:$G$73,4,FALSE)),"")</f>
        <v/>
      </c>
      <c r="E374" s="15" t="str">
        <f>IF(COUNTIFS(Master_PIC!$A$8:$A$73,$B374)=1,IF(VLOOKUP($B374,Master_PIC!$A$8:$G$73,5,FALSE)="","",VLOOKUP($B374,Master_PIC!$A$8:$G$73,5,FALSE)),"")</f>
        <v/>
      </c>
      <c r="F374" s="15" t="str">
        <f>IF(COUNTIFS(Master_PIC!$A$8:$A$73,$B374)=1,IF(VLOOKUP($B374,Master_PIC!$A$8:$G$73,6,FALSE)="","",VLOOKUP($B374,Master_PIC!$A$8:$G$73,6,FALSE)),"")</f>
        <v/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8"/>
      <c r="X374" s="5"/>
      <c r="Y374" s="5"/>
      <c r="Z374" s="9"/>
      <c r="AA374" s="5"/>
      <c r="AB374" s="5"/>
      <c r="AC374" s="9"/>
      <c r="AD374" s="5"/>
      <c r="AE374" s="7" t="str">
        <f t="shared" si="35"/>
        <v/>
      </c>
      <c r="AF374" s="7" t="str">
        <f t="shared" si="36"/>
        <v/>
      </c>
      <c r="AG374" s="7" t="str">
        <f t="shared" si="37"/>
        <v/>
      </c>
      <c r="AH374" s="7" t="str">
        <f t="shared" si="38"/>
        <v/>
      </c>
      <c r="AI374" s="7" t="str">
        <f t="shared" si="39"/>
        <v/>
      </c>
      <c r="AJ374" s="7" t="str">
        <f t="shared" si="40"/>
        <v/>
      </c>
      <c r="AK374" s="10" t="str">
        <f t="shared" si="41"/>
        <v/>
      </c>
      <c r="AL374" s="15" t="str">
        <f>IF(OR($A374&lt;&gt;"",$B374&lt;&gt;""),IF(OR($A374="",$B374=""),"Isi tanggal dan ID PIC",IF(NOT(ISNUMBER($A374)),"Tanggal harus berupa tanggal Excel",IF(COUNTIFS(Master_PIC!$A$8:$A$73,$B374)&lt;&gt;1,"ID PIC tidak unik/terdaftar",IF(VLOOKUP($B374,Master_PIC!$A$8:$G$73,3,FALSE)&lt;&gt;"SPV","Jabatan tidak sesuai sheet",IF(OR($C374="",$D374="",$E374="",$F374=""),"Lengkapi master PIC",IF(COUNTIFS($A$8:$A$507,$A374,$B$8:$B$507,$B374)&gt;1,"Laporan ganda",IF(COUNTIFS(G374:O374,"Tidak Berlaku")&gt;0,"N/A hanya untuk kegiatan bersyarat",IF(SUM(AF374,AG374,AH374,AI374,AJ374)&lt;&gt;13,"Status kegiatan tidak valid",IF(AJ374&gt;0,"Lengkapi status kegiatan",IF(AND(AI374&gt;0,T374=""),"Isi alasan Tidak Berlaku",IF(AND(SUM(AG374,AH374)&gt;0,OR(T374="",U374="",V374="",W374="")),"Isi kendala dan tindak lanjut",IF(AND(Y374&lt;&gt;"Draft",Y374&lt;&gt;"Dikirim"),"Isi status laporan yang valid",IF(AND(AA374&lt;&gt;"",AA374&lt;&gt;"Belum Diperiksa",AA374&lt;&gt;"Disetujui",AA374&lt;&gt;"Perlu Perbaikan"),"Hasil review tidak valid",IF(AND(Y374="Dikirim",OR(X374="",Z374="")),"Isi bukti dan waktu kirim",IF(AND(AA374="Disetujui",OR(Y374&lt;&gt;"Dikirim",AB374="",AC374="")),"Lengkapi pemeriksaan",IF(AND(AA374="Perlu Perbaikan",OR(AD374="",AB374="",AC374="")),"Isi pemeriksa dan catatan perbaikan","OK")))))))))))))))),"")</f>
        <v/>
      </c>
    </row>
    <row r="375" spans="1:38" ht="24.95" customHeight="1">
      <c r="A375" s="8"/>
      <c r="B375" s="6"/>
      <c r="C375" s="15" t="str">
        <f>IF(COUNTIFS(Master_PIC!$A$8:$A$73,$B375)=1,IF(VLOOKUP($B375,Master_PIC!$A$8:$G$73,2,FALSE)="","",VLOOKUP($B375,Master_PIC!$A$8:$G$73,2,FALSE)),"")</f>
        <v/>
      </c>
      <c r="D375" s="15" t="str">
        <f>IF(COUNTIFS(Master_PIC!$A$8:$A$73,$B375)=1,IF(VLOOKUP($B375,Master_PIC!$A$8:$G$73,4,FALSE)="","",VLOOKUP($B375,Master_PIC!$A$8:$G$73,4,FALSE)),"")</f>
        <v/>
      </c>
      <c r="E375" s="15" t="str">
        <f>IF(COUNTIFS(Master_PIC!$A$8:$A$73,$B375)=1,IF(VLOOKUP($B375,Master_PIC!$A$8:$G$73,5,FALSE)="","",VLOOKUP($B375,Master_PIC!$A$8:$G$73,5,FALSE)),"")</f>
        <v/>
      </c>
      <c r="F375" s="15" t="str">
        <f>IF(COUNTIFS(Master_PIC!$A$8:$A$73,$B375)=1,IF(VLOOKUP($B375,Master_PIC!$A$8:$G$73,6,FALSE)="","",VLOOKUP($B375,Master_PIC!$A$8:$G$73,6,FALSE)),"")</f>
        <v/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8"/>
      <c r="X375" s="5"/>
      <c r="Y375" s="5"/>
      <c r="Z375" s="9"/>
      <c r="AA375" s="5"/>
      <c r="AB375" s="5"/>
      <c r="AC375" s="9"/>
      <c r="AD375" s="5"/>
      <c r="AE375" s="7" t="str">
        <f t="shared" si="35"/>
        <v/>
      </c>
      <c r="AF375" s="7" t="str">
        <f t="shared" si="36"/>
        <v/>
      </c>
      <c r="AG375" s="7" t="str">
        <f t="shared" si="37"/>
        <v/>
      </c>
      <c r="AH375" s="7" t="str">
        <f t="shared" si="38"/>
        <v/>
      </c>
      <c r="AI375" s="7" t="str">
        <f t="shared" si="39"/>
        <v/>
      </c>
      <c r="AJ375" s="7" t="str">
        <f t="shared" si="40"/>
        <v/>
      </c>
      <c r="AK375" s="10" t="str">
        <f t="shared" si="41"/>
        <v/>
      </c>
      <c r="AL375" s="15" t="str">
        <f>IF(OR($A375&lt;&gt;"",$B375&lt;&gt;""),IF(OR($A375="",$B375=""),"Isi tanggal dan ID PIC",IF(NOT(ISNUMBER($A375)),"Tanggal harus berupa tanggal Excel",IF(COUNTIFS(Master_PIC!$A$8:$A$73,$B375)&lt;&gt;1,"ID PIC tidak unik/terdaftar",IF(VLOOKUP($B375,Master_PIC!$A$8:$G$73,3,FALSE)&lt;&gt;"SPV","Jabatan tidak sesuai sheet",IF(OR($C375="",$D375="",$E375="",$F375=""),"Lengkapi master PIC",IF(COUNTIFS($A$8:$A$507,$A375,$B$8:$B$507,$B375)&gt;1,"Laporan ganda",IF(COUNTIFS(G375:O375,"Tidak Berlaku")&gt;0,"N/A hanya untuk kegiatan bersyarat",IF(SUM(AF375,AG375,AH375,AI375,AJ375)&lt;&gt;13,"Status kegiatan tidak valid",IF(AJ375&gt;0,"Lengkapi status kegiatan",IF(AND(AI375&gt;0,T375=""),"Isi alasan Tidak Berlaku",IF(AND(SUM(AG375,AH375)&gt;0,OR(T375="",U375="",V375="",W375="")),"Isi kendala dan tindak lanjut",IF(AND(Y375&lt;&gt;"Draft",Y375&lt;&gt;"Dikirim"),"Isi status laporan yang valid",IF(AND(AA375&lt;&gt;"",AA375&lt;&gt;"Belum Diperiksa",AA375&lt;&gt;"Disetujui",AA375&lt;&gt;"Perlu Perbaikan"),"Hasil review tidak valid",IF(AND(Y375="Dikirim",OR(X375="",Z375="")),"Isi bukti dan waktu kirim",IF(AND(AA375="Disetujui",OR(Y375&lt;&gt;"Dikirim",AB375="",AC375="")),"Lengkapi pemeriksaan",IF(AND(AA375="Perlu Perbaikan",OR(AD375="",AB375="",AC375="")),"Isi pemeriksa dan catatan perbaikan","OK")))))))))))))))),"")</f>
        <v/>
      </c>
    </row>
    <row r="376" spans="1:38" ht="24.95" customHeight="1">
      <c r="A376" s="8"/>
      <c r="B376" s="6"/>
      <c r="C376" s="15" t="str">
        <f>IF(COUNTIFS(Master_PIC!$A$8:$A$73,$B376)=1,IF(VLOOKUP($B376,Master_PIC!$A$8:$G$73,2,FALSE)="","",VLOOKUP($B376,Master_PIC!$A$8:$G$73,2,FALSE)),"")</f>
        <v/>
      </c>
      <c r="D376" s="15" t="str">
        <f>IF(COUNTIFS(Master_PIC!$A$8:$A$73,$B376)=1,IF(VLOOKUP($B376,Master_PIC!$A$8:$G$73,4,FALSE)="","",VLOOKUP($B376,Master_PIC!$A$8:$G$73,4,FALSE)),"")</f>
        <v/>
      </c>
      <c r="E376" s="15" t="str">
        <f>IF(COUNTIFS(Master_PIC!$A$8:$A$73,$B376)=1,IF(VLOOKUP($B376,Master_PIC!$A$8:$G$73,5,FALSE)="","",VLOOKUP($B376,Master_PIC!$A$8:$G$73,5,FALSE)),"")</f>
        <v/>
      </c>
      <c r="F376" s="15" t="str">
        <f>IF(COUNTIFS(Master_PIC!$A$8:$A$73,$B376)=1,IF(VLOOKUP($B376,Master_PIC!$A$8:$G$73,6,FALSE)="","",VLOOKUP($B376,Master_PIC!$A$8:$G$73,6,FALSE)),"")</f>
        <v/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8"/>
      <c r="X376" s="5"/>
      <c r="Y376" s="5"/>
      <c r="Z376" s="9"/>
      <c r="AA376" s="5"/>
      <c r="AB376" s="5"/>
      <c r="AC376" s="9"/>
      <c r="AD376" s="5"/>
      <c r="AE376" s="7" t="str">
        <f t="shared" si="35"/>
        <v/>
      </c>
      <c r="AF376" s="7" t="str">
        <f t="shared" si="36"/>
        <v/>
      </c>
      <c r="AG376" s="7" t="str">
        <f t="shared" si="37"/>
        <v/>
      </c>
      <c r="AH376" s="7" t="str">
        <f t="shared" si="38"/>
        <v/>
      </c>
      <c r="AI376" s="7" t="str">
        <f t="shared" si="39"/>
        <v/>
      </c>
      <c r="AJ376" s="7" t="str">
        <f t="shared" si="40"/>
        <v/>
      </c>
      <c r="AK376" s="10" t="str">
        <f t="shared" si="41"/>
        <v/>
      </c>
      <c r="AL376" s="15" t="str">
        <f>IF(OR($A376&lt;&gt;"",$B376&lt;&gt;""),IF(OR($A376="",$B376=""),"Isi tanggal dan ID PIC",IF(NOT(ISNUMBER($A376)),"Tanggal harus berupa tanggal Excel",IF(COUNTIFS(Master_PIC!$A$8:$A$73,$B376)&lt;&gt;1,"ID PIC tidak unik/terdaftar",IF(VLOOKUP($B376,Master_PIC!$A$8:$G$73,3,FALSE)&lt;&gt;"SPV","Jabatan tidak sesuai sheet",IF(OR($C376="",$D376="",$E376="",$F376=""),"Lengkapi master PIC",IF(COUNTIFS($A$8:$A$507,$A376,$B$8:$B$507,$B376)&gt;1,"Laporan ganda",IF(COUNTIFS(G376:O376,"Tidak Berlaku")&gt;0,"N/A hanya untuk kegiatan bersyarat",IF(SUM(AF376,AG376,AH376,AI376,AJ376)&lt;&gt;13,"Status kegiatan tidak valid",IF(AJ376&gt;0,"Lengkapi status kegiatan",IF(AND(AI376&gt;0,T376=""),"Isi alasan Tidak Berlaku",IF(AND(SUM(AG376,AH376)&gt;0,OR(T376="",U376="",V376="",W376="")),"Isi kendala dan tindak lanjut",IF(AND(Y376&lt;&gt;"Draft",Y376&lt;&gt;"Dikirim"),"Isi status laporan yang valid",IF(AND(AA376&lt;&gt;"",AA376&lt;&gt;"Belum Diperiksa",AA376&lt;&gt;"Disetujui",AA376&lt;&gt;"Perlu Perbaikan"),"Hasil review tidak valid",IF(AND(Y376="Dikirim",OR(X376="",Z376="")),"Isi bukti dan waktu kirim",IF(AND(AA376="Disetujui",OR(Y376&lt;&gt;"Dikirim",AB376="",AC376="")),"Lengkapi pemeriksaan",IF(AND(AA376="Perlu Perbaikan",OR(AD376="",AB376="",AC376="")),"Isi pemeriksa dan catatan perbaikan","OK")))))))))))))))),"")</f>
        <v/>
      </c>
    </row>
    <row r="377" spans="1:38" ht="24.95" customHeight="1">
      <c r="A377" s="8"/>
      <c r="B377" s="6"/>
      <c r="C377" s="15" t="str">
        <f>IF(COUNTIFS(Master_PIC!$A$8:$A$73,$B377)=1,IF(VLOOKUP($B377,Master_PIC!$A$8:$G$73,2,FALSE)="","",VLOOKUP($B377,Master_PIC!$A$8:$G$73,2,FALSE)),"")</f>
        <v/>
      </c>
      <c r="D377" s="15" t="str">
        <f>IF(COUNTIFS(Master_PIC!$A$8:$A$73,$B377)=1,IF(VLOOKUP($B377,Master_PIC!$A$8:$G$73,4,FALSE)="","",VLOOKUP($B377,Master_PIC!$A$8:$G$73,4,FALSE)),"")</f>
        <v/>
      </c>
      <c r="E377" s="15" t="str">
        <f>IF(COUNTIFS(Master_PIC!$A$8:$A$73,$B377)=1,IF(VLOOKUP($B377,Master_PIC!$A$8:$G$73,5,FALSE)="","",VLOOKUP($B377,Master_PIC!$A$8:$G$73,5,FALSE)),"")</f>
        <v/>
      </c>
      <c r="F377" s="15" t="str">
        <f>IF(COUNTIFS(Master_PIC!$A$8:$A$73,$B377)=1,IF(VLOOKUP($B377,Master_PIC!$A$8:$G$73,6,FALSE)="","",VLOOKUP($B377,Master_PIC!$A$8:$G$73,6,FALSE)),"")</f>
        <v/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8"/>
      <c r="X377" s="5"/>
      <c r="Y377" s="5"/>
      <c r="Z377" s="9"/>
      <c r="AA377" s="5"/>
      <c r="AB377" s="5"/>
      <c r="AC377" s="9"/>
      <c r="AD377" s="5"/>
      <c r="AE377" s="7" t="str">
        <f t="shared" si="35"/>
        <v/>
      </c>
      <c r="AF377" s="7" t="str">
        <f t="shared" si="36"/>
        <v/>
      </c>
      <c r="AG377" s="7" t="str">
        <f t="shared" si="37"/>
        <v/>
      </c>
      <c r="AH377" s="7" t="str">
        <f t="shared" si="38"/>
        <v/>
      </c>
      <c r="AI377" s="7" t="str">
        <f t="shared" si="39"/>
        <v/>
      </c>
      <c r="AJ377" s="7" t="str">
        <f t="shared" si="40"/>
        <v/>
      </c>
      <c r="AK377" s="10" t="str">
        <f t="shared" si="41"/>
        <v/>
      </c>
      <c r="AL377" s="15" t="str">
        <f>IF(OR($A377&lt;&gt;"",$B377&lt;&gt;""),IF(OR($A377="",$B377=""),"Isi tanggal dan ID PIC",IF(NOT(ISNUMBER($A377)),"Tanggal harus berupa tanggal Excel",IF(COUNTIFS(Master_PIC!$A$8:$A$73,$B377)&lt;&gt;1,"ID PIC tidak unik/terdaftar",IF(VLOOKUP($B377,Master_PIC!$A$8:$G$73,3,FALSE)&lt;&gt;"SPV","Jabatan tidak sesuai sheet",IF(OR($C377="",$D377="",$E377="",$F377=""),"Lengkapi master PIC",IF(COUNTIFS($A$8:$A$507,$A377,$B$8:$B$507,$B377)&gt;1,"Laporan ganda",IF(COUNTIFS(G377:O377,"Tidak Berlaku")&gt;0,"N/A hanya untuk kegiatan bersyarat",IF(SUM(AF377,AG377,AH377,AI377,AJ377)&lt;&gt;13,"Status kegiatan tidak valid",IF(AJ377&gt;0,"Lengkapi status kegiatan",IF(AND(AI377&gt;0,T377=""),"Isi alasan Tidak Berlaku",IF(AND(SUM(AG377,AH377)&gt;0,OR(T377="",U377="",V377="",W377="")),"Isi kendala dan tindak lanjut",IF(AND(Y377&lt;&gt;"Draft",Y377&lt;&gt;"Dikirim"),"Isi status laporan yang valid",IF(AND(AA377&lt;&gt;"",AA377&lt;&gt;"Belum Diperiksa",AA377&lt;&gt;"Disetujui",AA377&lt;&gt;"Perlu Perbaikan"),"Hasil review tidak valid",IF(AND(Y377="Dikirim",OR(X377="",Z377="")),"Isi bukti dan waktu kirim",IF(AND(AA377="Disetujui",OR(Y377&lt;&gt;"Dikirim",AB377="",AC377="")),"Lengkapi pemeriksaan",IF(AND(AA377="Perlu Perbaikan",OR(AD377="",AB377="",AC377="")),"Isi pemeriksa dan catatan perbaikan","OK")))))))))))))))),"")</f>
        <v/>
      </c>
    </row>
    <row r="378" spans="1:38" ht="24.95" customHeight="1">
      <c r="A378" s="8"/>
      <c r="B378" s="6"/>
      <c r="C378" s="15" t="str">
        <f>IF(COUNTIFS(Master_PIC!$A$8:$A$73,$B378)=1,IF(VLOOKUP($B378,Master_PIC!$A$8:$G$73,2,FALSE)="","",VLOOKUP($B378,Master_PIC!$A$8:$G$73,2,FALSE)),"")</f>
        <v/>
      </c>
      <c r="D378" s="15" t="str">
        <f>IF(COUNTIFS(Master_PIC!$A$8:$A$73,$B378)=1,IF(VLOOKUP($B378,Master_PIC!$A$8:$G$73,4,FALSE)="","",VLOOKUP($B378,Master_PIC!$A$8:$G$73,4,FALSE)),"")</f>
        <v/>
      </c>
      <c r="E378" s="15" t="str">
        <f>IF(COUNTIFS(Master_PIC!$A$8:$A$73,$B378)=1,IF(VLOOKUP($B378,Master_PIC!$A$8:$G$73,5,FALSE)="","",VLOOKUP($B378,Master_PIC!$A$8:$G$73,5,FALSE)),"")</f>
        <v/>
      </c>
      <c r="F378" s="15" t="str">
        <f>IF(COUNTIFS(Master_PIC!$A$8:$A$73,$B378)=1,IF(VLOOKUP($B378,Master_PIC!$A$8:$G$73,6,FALSE)="","",VLOOKUP($B378,Master_PIC!$A$8:$G$73,6,FALSE)),"")</f>
        <v/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8"/>
      <c r="X378" s="5"/>
      <c r="Y378" s="5"/>
      <c r="Z378" s="9"/>
      <c r="AA378" s="5"/>
      <c r="AB378" s="5"/>
      <c r="AC378" s="9"/>
      <c r="AD378" s="5"/>
      <c r="AE378" s="7" t="str">
        <f t="shared" si="35"/>
        <v/>
      </c>
      <c r="AF378" s="7" t="str">
        <f t="shared" si="36"/>
        <v/>
      </c>
      <c r="AG378" s="7" t="str">
        <f t="shared" si="37"/>
        <v/>
      </c>
      <c r="AH378" s="7" t="str">
        <f t="shared" si="38"/>
        <v/>
      </c>
      <c r="AI378" s="7" t="str">
        <f t="shared" si="39"/>
        <v/>
      </c>
      <c r="AJ378" s="7" t="str">
        <f t="shared" si="40"/>
        <v/>
      </c>
      <c r="AK378" s="10" t="str">
        <f t="shared" si="41"/>
        <v/>
      </c>
      <c r="AL378" s="15" t="str">
        <f>IF(OR($A378&lt;&gt;"",$B378&lt;&gt;""),IF(OR($A378="",$B378=""),"Isi tanggal dan ID PIC",IF(NOT(ISNUMBER($A378)),"Tanggal harus berupa tanggal Excel",IF(COUNTIFS(Master_PIC!$A$8:$A$73,$B378)&lt;&gt;1,"ID PIC tidak unik/terdaftar",IF(VLOOKUP($B378,Master_PIC!$A$8:$G$73,3,FALSE)&lt;&gt;"SPV","Jabatan tidak sesuai sheet",IF(OR($C378="",$D378="",$E378="",$F378=""),"Lengkapi master PIC",IF(COUNTIFS($A$8:$A$507,$A378,$B$8:$B$507,$B378)&gt;1,"Laporan ganda",IF(COUNTIFS(G378:O378,"Tidak Berlaku")&gt;0,"N/A hanya untuk kegiatan bersyarat",IF(SUM(AF378,AG378,AH378,AI378,AJ378)&lt;&gt;13,"Status kegiatan tidak valid",IF(AJ378&gt;0,"Lengkapi status kegiatan",IF(AND(AI378&gt;0,T378=""),"Isi alasan Tidak Berlaku",IF(AND(SUM(AG378,AH378)&gt;0,OR(T378="",U378="",V378="",W378="")),"Isi kendala dan tindak lanjut",IF(AND(Y378&lt;&gt;"Draft",Y378&lt;&gt;"Dikirim"),"Isi status laporan yang valid",IF(AND(AA378&lt;&gt;"",AA378&lt;&gt;"Belum Diperiksa",AA378&lt;&gt;"Disetujui",AA378&lt;&gt;"Perlu Perbaikan"),"Hasil review tidak valid",IF(AND(Y378="Dikirim",OR(X378="",Z378="")),"Isi bukti dan waktu kirim",IF(AND(AA378="Disetujui",OR(Y378&lt;&gt;"Dikirim",AB378="",AC378="")),"Lengkapi pemeriksaan",IF(AND(AA378="Perlu Perbaikan",OR(AD378="",AB378="",AC378="")),"Isi pemeriksa dan catatan perbaikan","OK")))))))))))))))),"")</f>
        <v/>
      </c>
    </row>
    <row r="379" spans="1:38" ht="24.95" customHeight="1">
      <c r="A379" s="8"/>
      <c r="B379" s="6"/>
      <c r="C379" s="15" t="str">
        <f>IF(COUNTIFS(Master_PIC!$A$8:$A$73,$B379)=1,IF(VLOOKUP($B379,Master_PIC!$A$8:$G$73,2,FALSE)="","",VLOOKUP($B379,Master_PIC!$A$8:$G$73,2,FALSE)),"")</f>
        <v/>
      </c>
      <c r="D379" s="15" t="str">
        <f>IF(COUNTIFS(Master_PIC!$A$8:$A$73,$B379)=1,IF(VLOOKUP($B379,Master_PIC!$A$8:$G$73,4,FALSE)="","",VLOOKUP($B379,Master_PIC!$A$8:$G$73,4,FALSE)),"")</f>
        <v/>
      </c>
      <c r="E379" s="15" t="str">
        <f>IF(COUNTIFS(Master_PIC!$A$8:$A$73,$B379)=1,IF(VLOOKUP($B379,Master_PIC!$A$8:$G$73,5,FALSE)="","",VLOOKUP($B379,Master_PIC!$A$8:$G$73,5,FALSE)),"")</f>
        <v/>
      </c>
      <c r="F379" s="15" t="str">
        <f>IF(COUNTIFS(Master_PIC!$A$8:$A$73,$B379)=1,IF(VLOOKUP($B379,Master_PIC!$A$8:$G$73,6,FALSE)="","",VLOOKUP($B379,Master_PIC!$A$8:$G$73,6,FALSE)),"")</f>
        <v/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8"/>
      <c r="X379" s="5"/>
      <c r="Y379" s="5"/>
      <c r="Z379" s="9"/>
      <c r="AA379" s="5"/>
      <c r="AB379" s="5"/>
      <c r="AC379" s="9"/>
      <c r="AD379" s="5"/>
      <c r="AE379" s="7" t="str">
        <f t="shared" si="35"/>
        <v/>
      </c>
      <c r="AF379" s="7" t="str">
        <f t="shared" si="36"/>
        <v/>
      </c>
      <c r="AG379" s="7" t="str">
        <f t="shared" si="37"/>
        <v/>
      </c>
      <c r="AH379" s="7" t="str">
        <f t="shared" si="38"/>
        <v/>
      </c>
      <c r="AI379" s="7" t="str">
        <f t="shared" si="39"/>
        <v/>
      </c>
      <c r="AJ379" s="7" t="str">
        <f t="shared" si="40"/>
        <v/>
      </c>
      <c r="AK379" s="10" t="str">
        <f t="shared" si="41"/>
        <v/>
      </c>
      <c r="AL379" s="15" t="str">
        <f>IF(OR($A379&lt;&gt;"",$B379&lt;&gt;""),IF(OR($A379="",$B379=""),"Isi tanggal dan ID PIC",IF(NOT(ISNUMBER($A379)),"Tanggal harus berupa tanggal Excel",IF(COUNTIFS(Master_PIC!$A$8:$A$73,$B379)&lt;&gt;1,"ID PIC tidak unik/terdaftar",IF(VLOOKUP($B379,Master_PIC!$A$8:$G$73,3,FALSE)&lt;&gt;"SPV","Jabatan tidak sesuai sheet",IF(OR($C379="",$D379="",$E379="",$F379=""),"Lengkapi master PIC",IF(COUNTIFS($A$8:$A$507,$A379,$B$8:$B$507,$B379)&gt;1,"Laporan ganda",IF(COUNTIFS(G379:O379,"Tidak Berlaku")&gt;0,"N/A hanya untuk kegiatan bersyarat",IF(SUM(AF379,AG379,AH379,AI379,AJ379)&lt;&gt;13,"Status kegiatan tidak valid",IF(AJ379&gt;0,"Lengkapi status kegiatan",IF(AND(AI379&gt;0,T379=""),"Isi alasan Tidak Berlaku",IF(AND(SUM(AG379,AH379)&gt;0,OR(T379="",U379="",V379="",W379="")),"Isi kendala dan tindak lanjut",IF(AND(Y379&lt;&gt;"Draft",Y379&lt;&gt;"Dikirim"),"Isi status laporan yang valid",IF(AND(AA379&lt;&gt;"",AA379&lt;&gt;"Belum Diperiksa",AA379&lt;&gt;"Disetujui",AA379&lt;&gt;"Perlu Perbaikan"),"Hasil review tidak valid",IF(AND(Y379="Dikirim",OR(X379="",Z379="")),"Isi bukti dan waktu kirim",IF(AND(AA379="Disetujui",OR(Y379&lt;&gt;"Dikirim",AB379="",AC379="")),"Lengkapi pemeriksaan",IF(AND(AA379="Perlu Perbaikan",OR(AD379="",AB379="",AC379="")),"Isi pemeriksa dan catatan perbaikan","OK")))))))))))))))),"")</f>
        <v/>
      </c>
    </row>
    <row r="380" spans="1:38" ht="24.95" customHeight="1">
      <c r="A380" s="8"/>
      <c r="B380" s="6"/>
      <c r="C380" s="15" t="str">
        <f>IF(COUNTIFS(Master_PIC!$A$8:$A$73,$B380)=1,IF(VLOOKUP($B380,Master_PIC!$A$8:$G$73,2,FALSE)="","",VLOOKUP($B380,Master_PIC!$A$8:$G$73,2,FALSE)),"")</f>
        <v/>
      </c>
      <c r="D380" s="15" t="str">
        <f>IF(COUNTIFS(Master_PIC!$A$8:$A$73,$B380)=1,IF(VLOOKUP($B380,Master_PIC!$A$8:$G$73,4,FALSE)="","",VLOOKUP($B380,Master_PIC!$A$8:$G$73,4,FALSE)),"")</f>
        <v/>
      </c>
      <c r="E380" s="15" t="str">
        <f>IF(COUNTIFS(Master_PIC!$A$8:$A$73,$B380)=1,IF(VLOOKUP($B380,Master_PIC!$A$8:$G$73,5,FALSE)="","",VLOOKUP($B380,Master_PIC!$A$8:$G$73,5,FALSE)),"")</f>
        <v/>
      </c>
      <c r="F380" s="15" t="str">
        <f>IF(COUNTIFS(Master_PIC!$A$8:$A$73,$B380)=1,IF(VLOOKUP($B380,Master_PIC!$A$8:$G$73,6,FALSE)="","",VLOOKUP($B380,Master_PIC!$A$8:$G$73,6,FALSE)),"")</f>
        <v/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8"/>
      <c r="X380" s="5"/>
      <c r="Y380" s="5"/>
      <c r="Z380" s="9"/>
      <c r="AA380" s="5"/>
      <c r="AB380" s="5"/>
      <c r="AC380" s="9"/>
      <c r="AD380" s="5"/>
      <c r="AE380" s="7" t="str">
        <f t="shared" si="35"/>
        <v/>
      </c>
      <c r="AF380" s="7" t="str">
        <f t="shared" si="36"/>
        <v/>
      </c>
      <c r="AG380" s="7" t="str">
        <f t="shared" si="37"/>
        <v/>
      </c>
      <c r="AH380" s="7" t="str">
        <f t="shared" si="38"/>
        <v/>
      </c>
      <c r="AI380" s="7" t="str">
        <f t="shared" si="39"/>
        <v/>
      </c>
      <c r="AJ380" s="7" t="str">
        <f t="shared" si="40"/>
        <v/>
      </c>
      <c r="AK380" s="10" t="str">
        <f t="shared" si="41"/>
        <v/>
      </c>
      <c r="AL380" s="15" t="str">
        <f>IF(OR($A380&lt;&gt;"",$B380&lt;&gt;""),IF(OR($A380="",$B380=""),"Isi tanggal dan ID PIC",IF(NOT(ISNUMBER($A380)),"Tanggal harus berupa tanggal Excel",IF(COUNTIFS(Master_PIC!$A$8:$A$73,$B380)&lt;&gt;1,"ID PIC tidak unik/terdaftar",IF(VLOOKUP($B380,Master_PIC!$A$8:$G$73,3,FALSE)&lt;&gt;"SPV","Jabatan tidak sesuai sheet",IF(OR($C380="",$D380="",$E380="",$F380=""),"Lengkapi master PIC",IF(COUNTIFS($A$8:$A$507,$A380,$B$8:$B$507,$B380)&gt;1,"Laporan ganda",IF(COUNTIFS(G380:O380,"Tidak Berlaku")&gt;0,"N/A hanya untuk kegiatan bersyarat",IF(SUM(AF380,AG380,AH380,AI380,AJ380)&lt;&gt;13,"Status kegiatan tidak valid",IF(AJ380&gt;0,"Lengkapi status kegiatan",IF(AND(AI380&gt;0,T380=""),"Isi alasan Tidak Berlaku",IF(AND(SUM(AG380,AH380)&gt;0,OR(T380="",U380="",V380="",W380="")),"Isi kendala dan tindak lanjut",IF(AND(Y380&lt;&gt;"Draft",Y380&lt;&gt;"Dikirim"),"Isi status laporan yang valid",IF(AND(AA380&lt;&gt;"",AA380&lt;&gt;"Belum Diperiksa",AA380&lt;&gt;"Disetujui",AA380&lt;&gt;"Perlu Perbaikan"),"Hasil review tidak valid",IF(AND(Y380="Dikirim",OR(X380="",Z380="")),"Isi bukti dan waktu kirim",IF(AND(AA380="Disetujui",OR(Y380&lt;&gt;"Dikirim",AB380="",AC380="")),"Lengkapi pemeriksaan",IF(AND(AA380="Perlu Perbaikan",OR(AD380="",AB380="",AC380="")),"Isi pemeriksa dan catatan perbaikan","OK")))))))))))))))),"")</f>
        <v/>
      </c>
    </row>
    <row r="381" spans="1:38" ht="24.95" customHeight="1">
      <c r="A381" s="8"/>
      <c r="B381" s="6"/>
      <c r="C381" s="15" t="str">
        <f>IF(COUNTIFS(Master_PIC!$A$8:$A$73,$B381)=1,IF(VLOOKUP($B381,Master_PIC!$A$8:$G$73,2,FALSE)="","",VLOOKUP($B381,Master_PIC!$A$8:$G$73,2,FALSE)),"")</f>
        <v/>
      </c>
      <c r="D381" s="15" t="str">
        <f>IF(COUNTIFS(Master_PIC!$A$8:$A$73,$B381)=1,IF(VLOOKUP($B381,Master_PIC!$A$8:$G$73,4,FALSE)="","",VLOOKUP($B381,Master_PIC!$A$8:$G$73,4,FALSE)),"")</f>
        <v/>
      </c>
      <c r="E381" s="15" t="str">
        <f>IF(COUNTIFS(Master_PIC!$A$8:$A$73,$B381)=1,IF(VLOOKUP($B381,Master_PIC!$A$8:$G$73,5,FALSE)="","",VLOOKUP($B381,Master_PIC!$A$8:$G$73,5,FALSE)),"")</f>
        <v/>
      </c>
      <c r="F381" s="15" t="str">
        <f>IF(COUNTIFS(Master_PIC!$A$8:$A$73,$B381)=1,IF(VLOOKUP($B381,Master_PIC!$A$8:$G$73,6,FALSE)="","",VLOOKUP($B381,Master_PIC!$A$8:$G$73,6,FALSE)),"")</f>
        <v/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8"/>
      <c r="X381" s="5"/>
      <c r="Y381" s="5"/>
      <c r="Z381" s="9"/>
      <c r="AA381" s="5"/>
      <c r="AB381" s="5"/>
      <c r="AC381" s="9"/>
      <c r="AD381" s="5"/>
      <c r="AE381" s="7" t="str">
        <f t="shared" si="35"/>
        <v/>
      </c>
      <c r="AF381" s="7" t="str">
        <f t="shared" si="36"/>
        <v/>
      </c>
      <c r="AG381" s="7" t="str">
        <f t="shared" si="37"/>
        <v/>
      </c>
      <c r="AH381" s="7" t="str">
        <f t="shared" si="38"/>
        <v/>
      </c>
      <c r="AI381" s="7" t="str">
        <f t="shared" si="39"/>
        <v/>
      </c>
      <c r="AJ381" s="7" t="str">
        <f t="shared" si="40"/>
        <v/>
      </c>
      <c r="AK381" s="10" t="str">
        <f t="shared" si="41"/>
        <v/>
      </c>
      <c r="AL381" s="15" t="str">
        <f>IF(OR($A381&lt;&gt;"",$B381&lt;&gt;""),IF(OR($A381="",$B381=""),"Isi tanggal dan ID PIC",IF(NOT(ISNUMBER($A381)),"Tanggal harus berupa tanggal Excel",IF(COUNTIFS(Master_PIC!$A$8:$A$73,$B381)&lt;&gt;1,"ID PIC tidak unik/terdaftar",IF(VLOOKUP($B381,Master_PIC!$A$8:$G$73,3,FALSE)&lt;&gt;"SPV","Jabatan tidak sesuai sheet",IF(OR($C381="",$D381="",$E381="",$F381=""),"Lengkapi master PIC",IF(COUNTIFS($A$8:$A$507,$A381,$B$8:$B$507,$B381)&gt;1,"Laporan ganda",IF(COUNTIFS(G381:O381,"Tidak Berlaku")&gt;0,"N/A hanya untuk kegiatan bersyarat",IF(SUM(AF381,AG381,AH381,AI381,AJ381)&lt;&gt;13,"Status kegiatan tidak valid",IF(AJ381&gt;0,"Lengkapi status kegiatan",IF(AND(AI381&gt;0,T381=""),"Isi alasan Tidak Berlaku",IF(AND(SUM(AG381,AH381)&gt;0,OR(T381="",U381="",V381="",W381="")),"Isi kendala dan tindak lanjut",IF(AND(Y381&lt;&gt;"Draft",Y381&lt;&gt;"Dikirim"),"Isi status laporan yang valid",IF(AND(AA381&lt;&gt;"",AA381&lt;&gt;"Belum Diperiksa",AA381&lt;&gt;"Disetujui",AA381&lt;&gt;"Perlu Perbaikan"),"Hasil review tidak valid",IF(AND(Y381="Dikirim",OR(X381="",Z381="")),"Isi bukti dan waktu kirim",IF(AND(AA381="Disetujui",OR(Y381&lt;&gt;"Dikirim",AB381="",AC381="")),"Lengkapi pemeriksaan",IF(AND(AA381="Perlu Perbaikan",OR(AD381="",AB381="",AC381="")),"Isi pemeriksa dan catatan perbaikan","OK")))))))))))))))),"")</f>
        <v/>
      </c>
    </row>
    <row r="382" spans="1:38" ht="24.95" customHeight="1">
      <c r="A382" s="8"/>
      <c r="B382" s="6"/>
      <c r="C382" s="15" t="str">
        <f>IF(COUNTIFS(Master_PIC!$A$8:$A$73,$B382)=1,IF(VLOOKUP($B382,Master_PIC!$A$8:$G$73,2,FALSE)="","",VLOOKUP($B382,Master_PIC!$A$8:$G$73,2,FALSE)),"")</f>
        <v/>
      </c>
      <c r="D382" s="15" t="str">
        <f>IF(COUNTIFS(Master_PIC!$A$8:$A$73,$B382)=1,IF(VLOOKUP($B382,Master_PIC!$A$8:$G$73,4,FALSE)="","",VLOOKUP($B382,Master_PIC!$A$8:$G$73,4,FALSE)),"")</f>
        <v/>
      </c>
      <c r="E382" s="15" t="str">
        <f>IF(COUNTIFS(Master_PIC!$A$8:$A$73,$B382)=1,IF(VLOOKUP($B382,Master_PIC!$A$8:$G$73,5,FALSE)="","",VLOOKUP($B382,Master_PIC!$A$8:$G$73,5,FALSE)),"")</f>
        <v/>
      </c>
      <c r="F382" s="15" t="str">
        <f>IF(COUNTIFS(Master_PIC!$A$8:$A$73,$B382)=1,IF(VLOOKUP($B382,Master_PIC!$A$8:$G$73,6,FALSE)="","",VLOOKUP($B382,Master_PIC!$A$8:$G$73,6,FALSE)),"")</f>
        <v/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8"/>
      <c r="X382" s="5"/>
      <c r="Y382" s="5"/>
      <c r="Z382" s="9"/>
      <c r="AA382" s="5"/>
      <c r="AB382" s="5"/>
      <c r="AC382" s="9"/>
      <c r="AD382" s="5"/>
      <c r="AE382" s="7" t="str">
        <f t="shared" si="35"/>
        <v/>
      </c>
      <c r="AF382" s="7" t="str">
        <f t="shared" si="36"/>
        <v/>
      </c>
      <c r="AG382" s="7" t="str">
        <f t="shared" si="37"/>
        <v/>
      </c>
      <c r="AH382" s="7" t="str">
        <f t="shared" si="38"/>
        <v/>
      </c>
      <c r="AI382" s="7" t="str">
        <f t="shared" si="39"/>
        <v/>
      </c>
      <c r="AJ382" s="7" t="str">
        <f t="shared" si="40"/>
        <v/>
      </c>
      <c r="AK382" s="10" t="str">
        <f t="shared" si="41"/>
        <v/>
      </c>
      <c r="AL382" s="15" t="str">
        <f>IF(OR($A382&lt;&gt;"",$B382&lt;&gt;""),IF(OR($A382="",$B382=""),"Isi tanggal dan ID PIC",IF(NOT(ISNUMBER($A382)),"Tanggal harus berupa tanggal Excel",IF(COUNTIFS(Master_PIC!$A$8:$A$73,$B382)&lt;&gt;1,"ID PIC tidak unik/terdaftar",IF(VLOOKUP($B382,Master_PIC!$A$8:$G$73,3,FALSE)&lt;&gt;"SPV","Jabatan tidak sesuai sheet",IF(OR($C382="",$D382="",$E382="",$F382=""),"Lengkapi master PIC",IF(COUNTIFS($A$8:$A$507,$A382,$B$8:$B$507,$B382)&gt;1,"Laporan ganda",IF(COUNTIFS(G382:O382,"Tidak Berlaku")&gt;0,"N/A hanya untuk kegiatan bersyarat",IF(SUM(AF382,AG382,AH382,AI382,AJ382)&lt;&gt;13,"Status kegiatan tidak valid",IF(AJ382&gt;0,"Lengkapi status kegiatan",IF(AND(AI382&gt;0,T382=""),"Isi alasan Tidak Berlaku",IF(AND(SUM(AG382,AH382)&gt;0,OR(T382="",U382="",V382="",W382="")),"Isi kendala dan tindak lanjut",IF(AND(Y382&lt;&gt;"Draft",Y382&lt;&gt;"Dikirim"),"Isi status laporan yang valid",IF(AND(AA382&lt;&gt;"",AA382&lt;&gt;"Belum Diperiksa",AA382&lt;&gt;"Disetujui",AA382&lt;&gt;"Perlu Perbaikan"),"Hasil review tidak valid",IF(AND(Y382="Dikirim",OR(X382="",Z382="")),"Isi bukti dan waktu kirim",IF(AND(AA382="Disetujui",OR(Y382&lt;&gt;"Dikirim",AB382="",AC382="")),"Lengkapi pemeriksaan",IF(AND(AA382="Perlu Perbaikan",OR(AD382="",AB382="",AC382="")),"Isi pemeriksa dan catatan perbaikan","OK")))))))))))))))),"")</f>
        <v/>
      </c>
    </row>
    <row r="383" spans="1:38" ht="24.95" customHeight="1">
      <c r="A383" s="8"/>
      <c r="B383" s="6"/>
      <c r="C383" s="15" t="str">
        <f>IF(COUNTIFS(Master_PIC!$A$8:$A$73,$B383)=1,IF(VLOOKUP($B383,Master_PIC!$A$8:$G$73,2,FALSE)="","",VLOOKUP($B383,Master_PIC!$A$8:$G$73,2,FALSE)),"")</f>
        <v/>
      </c>
      <c r="D383" s="15" t="str">
        <f>IF(COUNTIFS(Master_PIC!$A$8:$A$73,$B383)=1,IF(VLOOKUP($B383,Master_PIC!$A$8:$G$73,4,FALSE)="","",VLOOKUP($B383,Master_PIC!$A$8:$G$73,4,FALSE)),"")</f>
        <v/>
      </c>
      <c r="E383" s="15" t="str">
        <f>IF(COUNTIFS(Master_PIC!$A$8:$A$73,$B383)=1,IF(VLOOKUP($B383,Master_PIC!$A$8:$G$73,5,FALSE)="","",VLOOKUP($B383,Master_PIC!$A$8:$G$73,5,FALSE)),"")</f>
        <v/>
      </c>
      <c r="F383" s="15" t="str">
        <f>IF(COUNTIFS(Master_PIC!$A$8:$A$73,$B383)=1,IF(VLOOKUP($B383,Master_PIC!$A$8:$G$73,6,FALSE)="","",VLOOKUP($B383,Master_PIC!$A$8:$G$73,6,FALSE)),"")</f>
        <v/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8"/>
      <c r="X383" s="5"/>
      <c r="Y383" s="5"/>
      <c r="Z383" s="9"/>
      <c r="AA383" s="5"/>
      <c r="AB383" s="5"/>
      <c r="AC383" s="9"/>
      <c r="AD383" s="5"/>
      <c r="AE383" s="7" t="str">
        <f t="shared" si="35"/>
        <v/>
      </c>
      <c r="AF383" s="7" t="str">
        <f t="shared" si="36"/>
        <v/>
      </c>
      <c r="AG383" s="7" t="str">
        <f t="shared" si="37"/>
        <v/>
      </c>
      <c r="AH383" s="7" t="str">
        <f t="shared" si="38"/>
        <v/>
      </c>
      <c r="AI383" s="7" t="str">
        <f t="shared" si="39"/>
        <v/>
      </c>
      <c r="AJ383" s="7" t="str">
        <f t="shared" si="40"/>
        <v/>
      </c>
      <c r="AK383" s="10" t="str">
        <f t="shared" si="41"/>
        <v/>
      </c>
      <c r="AL383" s="15" t="str">
        <f>IF(OR($A383&lt;&gt;"",$B383&lt;&gt;""),IF(OR($A383="",$B383=""),"Isi tanggal dan ID PIC",IF(NOT(ISNUMBER($A383)),"Tanggal harus berupa tanggal Excel",IF(COUNTIFS(Master_PIC!$A$8:$A$73,$B383)&lt;&gt;1,"ID PIC tidak unik/terdaftar",IF(VLOOKUP($B383,Master_PIC!$A$8:$G$73,3,FALSE)&lt;&gt;"SPV","Jabatan tidak sesuai sheet",IF(OR($C383="",$D383="",$E383="",$F383=""),"Lengkapi master PIC",IF(COUNTIFS($A$8:$A$507,$A383,$B$8:$B$507,$B383)&gt;1,"Laporan ganda",IF(COUNTIFS(G383:O383,"Tidak Berlaku")&gt;0,"N/A hanya untuk kegiatan bersyarat",IF(SUM(AF383,AG383,AH383,AI383,AJ383)&lt;&gt;13,"Status kegiatan tidak valid",IF(AJ383&gt;0,"Lengkapi status kegiatan",IF(AND(AI383&gt;0,T383=""),"Isi alasan Tidak Berlaku",IF(AND(SUM(AG383,AH383)&gt;0,OR(T383="",U383="",V383="",W383="")),"Isi kendala dan tindak lanjut",IF(AND(Y383&lt;&gt;"Draft",Y383&lt;&gt;"Dikirim"),"Isi status laporan yang valid",IF(AND(AA383&lt;&gt;"",AA383&lt;&gt;"Belum Diperiksa",AA383&lt;&gt;"Disetujui",AA383&lt;&gt;"Perlu Perbaikan"),"Hasil review tidak valid",IF(AND(Y383="Dikirim",OR(X383="",Z383="")),"Isi bukti dan waktu kirim",IF(AND(AA383="Disetujui",OR(Y383&lt;&gt;"Dikirim",AB383="",AC383="")),"Lengkapi pemeriksaan",IF(AND(AA383="Perlu Perbaikan",OR(AD383="",AB383="",AC383="")),"Isi pemeriksa dan catatan perbaikan","OK")))))))))))))))),"")</f>
        <v/>
      </c>
    </row>
    <row r="384" spans="1:38" ht="24.95" customHeight="1">
      <c r="A384" s="8"/>
      <c r="B384" s="6"/>
      <c r="C384" s="15" t="str">
        <f>IF(COUNTIFS(Master_PIC!$A$8:$A$73,$B384)=1,IF(VLOOKUP($B384,Master_PIC!$A$8:$G$73,2,FALSE)="","",VLOOKUP($B384,Master_PIC!$A$8:$G$73,2,FALSE)),"")</f>
        <v/>
      </c>
      <c r="D384" s="15" t="str">
        <f>IF(COUNTIFS(Master_PIC!$A$8:$A$73,$B384)=1,IF(VLOOKUP($B384,Master_PIC!$A$8:$G$73,4,FALSE)="","",VLOOKUP($B384,Master_PIC!$A$8:$G$73,4,FALSE)),"")</f>
        <v/>
      </c>
      <c r="E384" s="15" t="str">
        <f>IF(COUNTIFS(Master_PIC!$A$8:$A$73,$B384)=1,IF(VLOOKUP($B384,Master_PIC!$A$8:$G$73,5,FALSE)="","",VLOOKUP($B384,Master_PIC!$A$8:$G$73,5,FALSE)),"")</f>
        <v/>
      </c>
      <c r="F384" s="15" t="str">
        <f>IF(COUNTIFS(Master_PIC!$A$8:$A$73,$B384)=1,IF(VLOOKUP($B384,Master_PIC!$A$8:$G$73,6,FALSE)="","",VLOOKUP($B384,Master_PIC!$A$8:$G$73,6,FALSE)),"")</f>
        <v/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8"/>
      <c r="X384" s="5"/>
      <c r="Y384" s="5"/>
      <c r="Z384" s="9"/>
      <c r="AA384" s="5"/>
      <c r="AB384" s="5"/>
      <c r="AC384" s="9"/>
      <c r="AD384" s="5"/>
      <c r="AE384" s="7" t="str">
        <f t="shared" si="35"/>
        <v/>
      </c>
      <c r="AF384" s="7" t="str">
        <f t="shared" si="36"/>
        <v/>
      </c>
      <c r="AG384" s="7" t="str">
        <f t="shared" si="37"/>
        <v/>
      </c>
      <c r="AH384" s="7" t="str">
        <f t="shared" si="38"/>
        <v/>
      </c>
      <c r="AI384" s="7" t="str">
        <f t="shared" si="39"/>
        <v/>
      </c>
      <c r="AJ384" s="7" t="str">
        <f t="shared" si="40"/>
        <v/>
      </c>
      <c r="AK384" s="10" t="str">
        <f t="shared" si="41"/>
        <v/>
      </c>
      <c r="AL384" s="15" t="str">
        <f>IF(OR($A384&lt;&gt;"",$B384&lt;&gt;""),IF(OR($A384="",$B384=""),"Isi tanggal dan ID PIC",IF(NOT(ISNUMBER($A384)),"Tanggal harus berupa tanggal Excel",IF(COUNTIFS(Master_PIC!$A$8:$A$73,$B384)&lt;&gt;1,"ID PIC tidak unik/terdaftar",IF(VLOOKUP($B384,Master_PIC!$A$8:$G$73,3,FALSE)&lt;&gt;"SPV","Jabatan tidak sesuai sheet",IF(OR($C384="",$D384="",$E384="",$F384=""),"Lengkapi master PIC",IF(COUNTIFS($A$8:$A$507,$A384,$B$8:$B$507,$B384)&gt;1,"Laporan ganda",IF(COUNTIFS(G384:O384,"Tidak Berlaku")&gt;0,"N/A hanya untuk kegiatan bersyarat",IF(SUM(AF384,AG384,AH384,AI384,AJ384)&lt;&gt;13,"Status kegiatan tidak valid",IF(AJ384&gt;0,"Lengkapi status kegiatan",IF(AND(AI384&gt;0,T384=""),"Isi alasan Tidak Berlaku",IF(AND(SUM(AG384,AH384)&gt;0,OR(T384="",U384="",V384="",W384="")),"Isi kendala dan tindak lanjut",IF(AND(Y384&lt;&gt;"Draft",Y384&lt;&gt;"Dikirim"),"Isi status laporan yang valid",IF(AND(AA384&lt;&gt;"",AA384&lt;&gt;"Belum Diperiksa",AA384&lt;&gt;"Disetujui",AA384&lt;&gt;"Perlu Perbaikan"),"Hasil review tidak valid",IF(AND(Y384="Dikirim",OR(X384="",Z384="")),"Isi bukti dan waktu kirim",IF(AND(AA384="Disetujui",OR(Y384&lt;&gt;"Dikirim",AB384="",AC384="")),"Lengkapi pemeriksaan",IF(AND(AA384="Perlu Perbaikan",OR(AD384="",AB384="",AC384="")),"Isi pemeriksa dan catatan perbaikan","OK")))))))))))))))),"")</f>
        <v/>
      </c>
    </row>
    <row r="385" spans="1:38" ht="24.95" customHeight="1">
      <c r="A385" s="8"/>
      <c r="B385" s="6"/>
      <c r="C385" s="15" t="str">
        <f>IF(COUNTIFS(Master_PIC!$A$8:$A$73,$B385)=1,IF(VLOOKUP($B385,Master_PIC!$A$8:$G$73,2,FALSE)="","",VLOOKUP($B385,Master_PIC!$A$8:$G$73,2,FALSE)),"")</f>
        <v/>
      </c>
      <c r="D385" s="15" t="str">
        <f>IF(COUNTIFS(Master_PIC!$A$8:$A$73,$B385)=1,IF(VLOOKUP($B385,Master_PIC!$A$8:$G$73,4,FALSE)="","",VLOOKUP($B385,Master_PIC!$A$8:$G$73,4,FALSE)),"")</f>
        <v/>
      </c>
      <c r="E385" s="15" t="str">
        <f>IF(COUNTIFS(Master_PIC!$A$8:$A$73,$B385)=1,IF(VLOOKUP($B385,Master_PIC!$A$8:$G$73,5,FALSE)="","",VLOOKUP($B385,Master_PIC!$A$8:$G$73,5,FALSE)),"")</f>
        <v/>
      </c>
      <c r="F385" s="15" t="str">
        <f>IF(COUNTIFS(Master_PIC!$A$8:$A$73,$B385)=1,IF(VLOOKUP($B385,Master_PIC!$A$8:$G$73,6,FALSE)="","",VLOOKUP($B385,Master_PIC!$A$8:$G$73,6,FALSE)),"")</f>
        <v/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8"/>
      <c r="X385" s="5"/>
      <c r="Y385" s="5"/>
      <c r="Z385" s="9"/>
      <c r="AA385" s="5"/>
      <c r="AB385" s="5"/>
      <c r="AC385" s="9"/>
      <c r="AD385" s="5"/>
      <c r="AE385" s="7" t="str">
        <f t="shared" si="35"/>
        <v/>
      </c>
      <c r="AF385" s="7" t="str">
        <f t="shared" si="36"/>
        <v/>
      </c>
      <c r="AG385" s="7" t="str">
        <f t="shared" si="37"/>
        <v/>
      </c>
      <c r="AH385" s="7" t="str">
        <f t="shared" si="38"/>
        <v/>
      </c>
      <c r="AI385" s="7" t="str">
        <f t="shared" si="39"/>
        <v/>
      </c>
      <c r="AJ385" s="7" t="str">
        <f t="shared" si="40"/>
        <v/>
      </c>
      <c r="AK385" s="10" t="str">
        <f t="shared" si="41"/>
        <v/>
      </c>
      <c r="AL385" s="15" t="str">
        <f>IF(OR($A385&lt;&gt;"",$B385&lt;&gt;""),IF(OR($A385="",$B385=""),"Isi tanggal dan ID PIC",IF(NOT(ISNUMBER($A385)),"Tanggal harus berupa tanggal Excel",IF(COUNTIFS(Master_PIC!$A$8:$A$73,$B385)&lt;&gt;1,"ID PIC tidak unik/terdaftar",IF(VLOOKUP($B385,Master_PIC!$A$8:$G$73,3,FALSE)&lt;&gt;"SPV","Jabatan tidak sesuai sheet",IF(OR($C385="",$D385="",$E385="",$F385=""),"Lengkapi master PIC",IF(COUNTIFS($A$8:$A$507,$A385,$B$8:$B$507,$B385)&gt;1,"Laporan ganda",IF(COUNTIFS(G385:O385,"Tidak Berlaku")&gt;0,"N/A hanya untuk kegiatan bersyarat",IF(SUM(AF385,AG385,AH385,AI385,AJ385)&lt;&gt;13,"Status kegiatan tidak valid",IF(AJ385&gt;0,"Lengkapi status kegiatan",IF(AND(AI385&gt;0,T385=""),"Isi alasan Tidak Berlaku",IF(AND(SUM(AG385,AH385)&gt;0,OR(T385="",U385="",V385="",W385="")),"Isi kendala dan tindak lanjut",IF(AND(Y385&lt;&gt;"Draft",Y385&lt;&gt;"Dikirim"),"Isi status laporan yang valid",IF(AND(AA385&lt;&gt;"",AA385&lt;&gt;"Belum Diperiksa",AA385&lt;&gt;"Disetujui",AA385&lt;&gt;"Perlu Perbaikan"),"Hasil review tidak valid",IF(AND(Y385="Dikirim",OR(X385="",Z385="")),"Isi bukti dan waktu kirim",IF(AND(AA385="Disetujui",OR(Y385&lt;&gt;"Dikirim",AB385="",AC385="")),"Lengkapi pemeriksaan",IF(AND(AA385="Perlu Perbaikan",OR(AD385="",AB385="",AC385="")),"Isi pemeriksa dan catatan perbaikan","OK")))))))))))))))),"")</f>
        <v/>
      </c>
    </row>
    <row r="386" spans="1:38" ht="24.95" customHeight="1">
      <c r="A386" s="8"/>
      <c r="B386" s="6"/>
      <c r="C386" s="15" t="str">
        <f>IF(COUNTIFS(Master_PIC!$A$8:$A$73,$B386)=1,IF(VLOOKUP($B386,Master_PIC!$A$8:$G$73,2,FALSE)="","",VLOOKUP($B386,Master_PIC!$A$8:$G$73,2,FALSE)),"")</f>
        <v/>
      </c>
      <c r="D386" s="15" t="str">
        <f>IF(COUNTIFS(Master_PIC!$A$8:$A$73,$B386)=1,IF(VLOOKUP($B386,Master_PIC!$A$8:$G$73,4,FALSE)="","",VLOOKUP($B386,Master_PIC!$A$8:$G$73,4,FALSE)),"")</f>
        <v/>
      </c>
      <c r="E386" s="15" t="str">
        <f>IF(COUNTIFS(Master_PIC!$A$8:$A$73,$B386)=1,IF(VLOOKUP($B386,Master_PIC!$A$8:$G$73,5,FALSE)="","",VLOOKUP($B386,Master_PIC!$A$8:$G$73,5,FALSE)),"")</f>
        <v/>
      </c>
      <c r="F386" s="15" t="str">
        <f>IF(COUNTIFS(Master_PIC!$A$8:$A$73,$B386)=1,IF(VLOOKUP($B386,Master_PIC!$A$8:$G$73,6,FALSE)="","",VLOOKUP($B386,Master_PIC!$A$8:$G$73,6,FALSE)),"")</f>
        <v/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8"/>
      <c r="X386" s="5"/>
      <c r="Y386" s="5"/>
      <c r="Z386" s="9"/>
      <c r="AA386" s="5"/>
      <c r="AB386" s="5"/>
      <c r="AC386" s="9"/>
      <c r="AD386" s="5"/>
      <c r="AE386" s="7" t="str">
        <f t="shared" si="35"/>
        <v/>
      </c>
      <c r="AF386" s="7" t="str">
        <f t="shared" si="36"/>
        <v/>
      </c>
      <c r="AG386" s="7" t="str">
        <f t="shared" si="37"/>
        <v/>
      </c>
      <c r="AH386" s="7" t="str">
        <f t="shared" si="38"/>
        <v/>
      </c>
      <c r="AI386" s="7" t="str">
        <f t="shared" si="39"/>
        <v/>
      </c>
      <c r="AJ386" s="7" t="str">
        <f t="shared" si="40"/>
        <v/>
      </c>
      <c r="AK386" s="10" t="str">
        <f t="shared" si="41"/>
        <v/>
      </c>
      <c r="AL386" s="15" t="str">
        <f>IF(OR($A386&lt;&gt;"",$B386&lt;&gt;""),IF(OR($A386="",$B386=""),"Isi tanggal dan ID PIC",IF(NOT(ISNUMBER($A386)),"Tanggal harus berupa tanggal Excel",IF(COUNTIFS(Master_PIC!$A$8:$A$73,$B386)&lt;&gt;1,"ID PIC tidak unik/terdaftar",IF(VLOOKUP($B386,Master_PIC!$A$8:$G$73,3,FALSE)&lt;&gt;"SPV","Jabatan tidak sesuai sheet",IF(OR($C386="",$D386="",$E386="",$F386=""),"Lengkapi master PIC",IF(COUNTIFS($A$8:$A$507,$A386,$B$8:$B$507,$B386)&gt;1,"Laporan ganda",IF(COUNTIFS(G386:O386,"Tidak Berlaku")&gt;0,"N/A hanya untuk kegiatan bersyarat",IF(SUM(AF386,AG386,AH386,AI386,AJ386)&lt;&gt;13,"Status kegiatan tidak valid",IF(AJ386&gt;0,"Lengkapi status kegiatan",IF(AND(AI386&gt;0,T386=""),"Isi alasan Tidak Berlaku",IF(AND(SUM(AG386,AH386)&gt;0,OR(T386="",U386="",V386="",W386="")),"Isi kendala dan tindak lanjut",IF(AND(Y386&lt;&gt;"Draft",Y386&lt;&gt;"Dikirim"),"Isi status laporan yang valid",IF(AND(AA386&lt;&gt;"",AA386&lt;&gt;"Belum Diperiksa",AA386&lt;&gt;"Disetujui",AA386&lt;&gt;"Perlu Perbaikan"),"Hasil review tidak valid",IF(AND(Y386="Dikirim",OR(X386="",Z386="")),"Isi bukti dan waktu kirim",IF(AND(AA386="Disetujui",OR(Y386&lt;&gt;"Dikirim",AB386="",AC386="")),"Lengkapi pemeriksaan",IF(AND(AA386="Perlu Perbaikan",OR(AD386="",AB386="",AC386="")),"Isi pemeriksa dan catatan perbaikan","OK")))))))))))))))),"")</f>
        <v/>
      </c>
    </row>
    <row r="387" spans="1:38" ht="24.95" customHeight="1">
      <c r="A387" s="8"/>
      <c r="B387" s="6"/>
      <c r="C387" s="15" t="str">
        <f>IF(COUNTIFS(Master_PIC!$A$8:$A$73,$B387)=1,IF(VLOOKUP($B387,Master_PIC!$A$8:$G$73,2,FALSE)="","",VLOOKUP($B387,Master_PIC!$A$8:$G$73,2,FALSE)),"")</f>
        <v/>
      </c>
      <c r="D387" s="15" t="str">
        <f>IF(COUNTIFS(Master_PIC!$A$8:$A$73,$B387)=1,IF(VLOOKUP($B387,Master_PIC!$A$8:$G$73,4,FALSE)="","",VLOOKUP($B387,Master_PIC!$A$8:$G$73,4,FALSE)),"")</f>
        <v/>
      </c>
      <c r="E387" s="15" t="str">
        <f>IF(COUNTIFS(Master_PIC!$A$8:$A$73,$B387)=1,IF(VLOOKUP($B387,Master_PIC!$A$8:$G$73,5,FALSE)="","",VLOOKUP($B387,Master_PIC!$A$8:$G$73,5,FALSE)),"")</f>
        <v/>
      </c>
      <c r="F387" s="15" t="str">
        <f>IF(COUNTIFS(Master_PIC!$A$8:$A$73,$B387)=1,IF(VLOOKUP($B387,Master_PIC!$A$8:$G$73,6,FALSE)="","",VLOOKUP($B387,Master_PIC!$A$8:$G$73,6,FALSE)),"")</f>
        <v/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8"/>
      <c r="X387" s="5"/>
      <c r="Y387" s="5"/>
      <c r="Z387" s="9"/>
      <c r="AA387" s="5"/>
      <c r="AB387" s="5"/>
      <c r="AC387" s="9"/>
      <c r="AD387" s="5"/>
      <c r="AE387" s="7" t="str">
        <f t="shared" si="35"/>
        <v/>
      </c>
      <c r="AF387" s="7" t="str">
        <f t="shared" si="36"/>
        <v/>
      </c>
      <c r="AG387" s="7" t="str">
        <f t="shared" si="37"/>
        <v/>
      </c>
      <c r="AH387" s="7" t="str">
        <f t="shared" si="38"/>
        <v/>
      </c>
      <c r="AI387" s="7" t="str">
        <f t="shared" si="39"/>
        <v/>
      </c>
      <c r="AJ387" s="7" t="str">
        <f t="shared" si="40"/>
        <v/>
      </c>
      <c r="AK387" s="10" t="str">
        <f t="shared" si="41"/>
        <v/>
      </c>
      <c r="AL387" s="15" t="str">
        <f>IF(OR($A387&lt;&gt;"",$B387&lt;&gt;""),IF(OR($A387="",$B387=""),"Isi tanggal dan ID PIC",IF(NOT(ISNUMBER($A387)),"Tanggal harus berupa tanggal Excel",IF(COUNTIFS(Master_PIC!$A$8:$A$73,$B387)&lt;&gt;1,"ID PIC tidak unik/terdaftar",IF(VLOOKUP($B387,Master_PIC!$A$8:$G$73,3,FALSE)&lt;&gt;"SPV","Jabatan tidak sesuai sheet",IF(OR($C387="",$D387="",$E387="",$F387=""),"Lengkapi master PIC",IF(COUNTIFS($A$8:$A$507,$A387,$B$8:$B$507,$B387)&gt;1,"Laporan ganda",IF(COUNTIFS(G387:O387,"Tidak Berlaku")&gt;0,"N/A hanya untuk kegiatan bersyarat",IF(SUM(AF387,AG387,AH387,AI387,AJ387)&lt;&gt;13,"Status kegiatan tidak valid",IF(AJ387&gt;0,"Lengkapi status kegiatan",IF(AND(AI387&gt;0,T387=""),"Isi alasan Tidak Berlaku",IF(AND(SUM(AG387,AH387)&gt;0,OR(T387="",U387="",V387="",W387="")),"Isi kendala dan tindak lanjut",IF(AND(Y387&lt;&gt;"Draft",Y387&lt;&gt;"Dikirim"),"Isi status laporan yang valid",IF(AND(AA387&lt;&gt;"",AA387&lt;&gt;"Belum Diperiksa",AA387&lt;&gt;"Disetujui",AA387&lt;&gt;"Perlu Perbaikan"),"Hasil review tidak valid",IF(AND(Y387="Dikirim",OR(X387="",Z387="")),"Isi bukti dan waktu kirim",IF(AND(AA387="Disetujui",OR(Y387&lt;&gt;"Dikirim",AB387="",AC387="")),"Lengkapi pemeriksaan",IF(AND(AA387="Perlu Perbaikan",OR(AD387="",AB387="",AC387="")),"Isi pemeriksa dan catatan perbaikan","OK")))))))))))))))),"")</f>
        <v/>
      </c>
    </row>
    <row r="388" spans="1:38" ht="24.95" customHeight="1">
      <c r="A388" s="8"/>
      <c r="B388" s="6"/>
      <c r="C388" s="15" t="str">
        <f>IF(COUNTIFS(Master_PIC!$A$8:$A$73,$B388)=1,IF(VLOOKUP($B388,Master_PIC!$A$8:$G$73,2,FALSE)="","",VLOOKUP($B388,Master_PIC!$A$8:$G$73,2,FALSE)),"")</f>
        <v/>
      </c>
      <c r="D388" s="15" t="str">
        <f>IF(COUNTIFS(Master_PIC!$A$8:$A$73,$B388)=1,IF(VLOOKUP($B388,Master_PIC!$A$8:$G$73,4,FALSE)="","",VLOOKUP($B388,Master_PIC!$A$8:$G$73,4,FALSE)),"")</f>
        <v/>
      </c>
      <c r="E388" s="15" t="str">
        <f>IF(COUNTIFS(Master_PIC!$A$8:$A$73,$B388)=1,IF(VLOOKUP($B388,Master_PIC!$A$8:$G$73,5,FALSE)="","",VLOOKUP($B388,Master_PIC!$A$8:$G$73,5,FALSE)),"")</f>
        <v/>
      </c>
      <c r="F388" s="15" t="str">
        <f>IF(COUNTIFS(Master_PIC!$A$8:$A$73,$B388)=1,IF(VLOOKUP($B388,Master_PIC!$A$8:$G$73,6,FALSE)="","",VLOOKUP($B388,Master_PIC!$A$8:$G$73,6,FALSE)),"")</f>
        <v/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8"/>
      <c r="X388" s="5"/>
      <c r="Y388" s="5"/>
      <c r="Z388" s="9"/>
      <c r="AA388" s="5"/>
      <c r="AB388" s="5"/>
      <c r="AC388" s="9"/>
      <c r="AD388" s="5"/>
      <c r="AE388" s="7" t="str">
        <f t="shared" si="35"/>
        <v/>
      </c>
      <c r="AF388" s="7" t="str">
        <f t="shared" si="36"/>
        <v/>
      </c>
      <c r="AG388" s="7" t="str">
        <f t="shared" si="37"/>
        <v/>
      </c>
      <c r="AH388" s="7" t="str">
        <f t="shared" si="38"/>
        <v/>
      </c>
      <c r="AI388" s="7" t="str">
        <f t="shared" si="39"/>
        <v/>
      </c>
      <c r="AJ388" s="7" t="str">
        <f t="shared" si="40"/>
        <v/>
      </c>
      <c r="AK388" s="10" t="str">
        <f t="shared" si="41"/>
        <v/>
      </c>
      <c r="AL388" s="15" t="str">
        <f>IF(OR($A388&lt;&gt;"",$B388&lt;&gt;""),IF(OR($A388="",$B388=""),"Isi tanggal dan ID PIC",IF(NOT(ISNUMBER($A388)),"Tanggal harus berupa tanggal Excel",IF(COUNTIFS(Master_PIC!$A$8:$A$73,$B388)&lt;&gt;1,"ID PIC tidak unik/terdaftar",IF(VLOOKUP($B388,Master_PIC!$A$8:$G$73,3,FALSE)&lt;&gt;"SPV","Jabatan tidak sesuai sheet",IF(OR($C388="",$D388="",$E388="",$F388=""),"Lengkapi master PIC",IF(COUNTIFS($A$8:$A$507,$A388,$B$8:$B$507,$B388)&gt;1,"Laporan ganda",IF(COUNTIFS(G388:O388,"Tidak Berlaku")&gt;0,"N/A hanya untuk kegiatan bersyarat",IF(SUM(AF388,AG388,AH388,AI388,AJ388)&lt;&gt;13,"Status kegiatan tidak valid",IF(AJ388&gt;0,"Lengkapi status kegiatan",IF(AND(AI388&gt;0,T388=""),"Isi alasan Tidak Berlaku",IF(AND(SUM(AG388,AH388)&gt;0,OR(T388="",U388="",V388="",W388="")),"Isi kendala dan tindak lanjut",IF(AND(Y388&lt;&gt;"Draft",Y388&lt;&gt;"Dikirim"),"Isi status laporan yang valid",IF(AND(AA388&lt;&gt;"",AA388&lt;&gt;"Belum Diperiksa",AA388&lt;&gt;"Disetujui",AA388&lt;&gt;"Perlu Perbaikan"),"Hasil review tidak valid",IF(AND(Y388="Dikirim",OR(X388="",Z388="")),"Isi bukti dan waktu kirim",IF(AND(AA388="Disetujui",OR(Y388&lt;&gt;"Dikirim",AB388="",AC388="")),"Lengkapi pemeriksaan",IF(AND(AA388="Perlu Perbaikan",OR(AD388="",AB388="",AC388="")),"Isi pemeriksa dan catatan perbaikan","OK")))))))))))))))),"")</f>
        <v/>
      </c>
    </row>
    <row r="389" spans="1:38" ht="24.95" customHeight="1">
      <c r="A389" s="8"/>
      <c r="B389" s="6"/>
      <c r="C389" s="15" t="str">
        <f>IF(COUNTIFS(Master_PIC!$A$8:$A$73,$B389)=1,IF(VLOOKUP($B389,Master_PIC!$A$8:$G$73,2,FALSE)="","",VLOOKUP($B389,Master_PIC!$A$8:$G$73,2,FALSE)),"")</f>
        <v/>
      </c>
      <c r="D389" s="15" t="str">
        <f>IF(COUNTIFS(Master_PIC!$A$8:$A$73,$B389)=1,IF(VLOOKUP($B389,Master_PIC!$A$8:$G$73,4,FALSE)="","",VLOOKUP($B389,Master_PIC!$A$8:$G$73,4,FALSE)),"")</f>
        <v/>
      </c>
      <c r="E389" s="15" t="str">
        <f>IF(COUNTIFS(Master_PIC!$A$8:$A$73,$B389)=1,IF(VLOOKUP($B389,Master_PIC!$A$8:$G$73,5,FALSE)="","",VLOOKUP($B389,Master_PIC!$A$8:$G$73,5,FALSE)),"")</f>
        <v/>
      </c>
      <c r="F389" s="15" t="str">
        <f>IF(COUNTIFS(Master_PIC!$A$8:$A$73,$B389)=1,IF(VLOOKUP($B389,Master_PIC!$A$8:$G$73,6,FALSE)="","",VLOOKUP($B389,Master_PIC!$A$8:$G$73,6,FALSE)),"")</f>
        <v/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8"/>
      <c r="X389" s="5"/>
      <c r="Y389" s="5"/>
      <c r="Z389" s="9"/>
      <c r="AA389" s="5"/>
      <c r="AB389" s="5"/>
      <c r="AC389" s="9"/>
      <c r="AD389" s="5"/>
      <c r="AE389" s="7" t="str">
        <f t="shared" si="35"/>
        <v/>
      </c>
      <c r="AF389" s="7" t="str">
        <f t="shared" si="36"/>
        <v/>
      </c>
      <c r="AG389" s="7" t="str">
        <f t="shared" si="37"/>
        <v/>
      </c>
      <c r="AH389" s="7" t="str">
        <f t="shared" si="38"/>
        <v/>
      </c>
      <c r="AI389" s="7" t="str">
        <f t="shared" si="39"/>
        <v/>
      </c>
      <c r="AJ389" s="7" t="str">
        <f t="shared" si="40"/>
        <v/>
      </c>
      <c r="AK389" s="10" t="str">
        <f t="shared" si="41"/>
        <v/>
      </c>
      <c r="AL389" s="15" t="str">
        <f>IF(OR($A389&lt;&gt;"",$B389&lt;&gt;""),IF(OR($A389="",$B389=""),"Isi tanggal dan ID PIC",IF(NOT(ISNUMBER($A389)),"Tanggal harus berupa tanggal Excel",IF(COUNTIFS(Master_PIC!$A$8:$A$73,$B389)&lt;&gt;1,"ID PIC tidak unik/terdaftar",IF(VLOOKUP($B389,Master_PIC!$A$8:$G$73,3,FALSE)&lt;&gt;"SPV","Jabatan tidak sesuai sheet",IF(OR($C389="",$D389="",$E389="",$F389=""),"Lengkapi master PIC",IF(COUNTIFS($A$8:$A$507,$A389,$B$8:$B$507,$B389)&gt;1,"Laporan ganda",IF(COUNTIFS(G389:O389,"Tidak Berlaku")&gt;0,"N/A hanya untuk kegiatan bersyarat",IF(SUM(AF389,AG389,AH389,AI389,AJ389)&lt;&gt;13,"Status kegiatan tidak valid",IF(AJ389&gt;0,"Lengkapi status kegiatan",IF(AND(AI389&gt;0,T389=""),"Isi alasan Tidak Berlaku",IF(AND(SUM(AG389,AH389)&gt;0,OR(T389="",U389="",V389="",W389="")),"Isi kendala dan tindak lanjut",IF(AND(Y389&lt;&gt;"Draft",Y389&lt;&gt;"Dikirim"),"Isi status laporan yang valid",IF(AND(AA389&lt;&gt;"",AA389&lt;&gt;"Belum Diperiksa",AA389&lt;&gt;"Disetujui",AA389&lt;&gt;"Perlu Perbaikan"),"Hasil review tidak valid",IF(AND(Y389="Dikirim",OR(X389="",Z389="")),"Isi bukti dan waktu kirim",IF(AND(AA389="Disetujui",OR(Y389&lt;&gt;"Dikirim",AB389="",AC389="")),"Lengkapi pemeriksaan",IF(AND(AA389="Perlu Perbaikan",OR(AD389="",AB389="",AC389="")),"Isi pemeriksa dan catatan perbaikan","OK")))))))))))))))),"")</f>
        <v/>
      </c>
    </row>
    <row r="390" spans="1:38" ht="24.95" customHeight="1">
      <c r="A390" s="8"/>
      <c r="B390" s="6"/>
      <c r="C390" s="15" t="str">
        <f>IF(COUNTIFS(Master_PIC!$A$8:$A$73,$B390)=1,IF(VLOOKUP($B390,Master_PIC!$A$8:$G$73,2,FALSE)="","",VLOOKUP($B390,Master_PIC!$A$8:$G$73,2,FALSE)),"")</f>
        <v/>
      </c>
      <c r="D390" s="15" t="str">
        <f>IF(COUNTIFS(Master_PIC!$A$8:$A$73,$B390)=1,IF(VLOOKUP($B390,Master_PIC!$A$8:$G$73,4,FALSE)="","",VLOOKUP($B390,Master_PIC!$A$8:$G$73,4,FALSE)),"")</f>
        <v/>
      </c>
      <c r="E390" s="15" t="str">
        <f>IF(COUNTIFS(Master_PIC!$A$8:$A$73,$B390)=1,IF(VLOOKUP($B390,Master_PIC!$A$8:$G$73,5,FALSE)="","",VLOOKUP($B390,Master_PIC!$A$8:$G$73,5,FALSE)),"")</f>
        <v/>
      </c>
      <c r="F390" s="15" t="str">
        <f>IF(COUNTIFS(Master_PIC!$A$8:$A$73,$B390)=1,IF(VLOOKUP($B390,Master_PIC!$A$8:$G$73,6,FALSE)="","",VLOOKUP($B390,Master_PIC!$A$8:$G$73,6,FALSE)),"")</f>
        <v/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8"/>
      <c r="X390" s="5"/>
      <c r="Y390" s="5"/>
      <c r="Z390" s="9"/>
      <c r="AA390" s="5"/>
      <c r="AB390" s="5"/>
      <c r="AC390" s="9"/>
      <c r="AD390" s="5"/>
      <c r="AE390" s="7" t="str">
        <f t="shared" si="35"/>
        <v/>
      </c>
      <c r="AF390" s="7" t="str">
        <f t="shared" si="36"/>
        <v/>
      </c>
      <c r="AG390" s="7" t="str">
        <f t="shared" si="37"/>
        <v/>
      </c>
      <c r="AH390" s="7" t="str">
        <f t="shared" si="38"/>
        <v/>
      </c>
      <c r="AI390" s="7" t="str">
        <f t="shared" si="39"/>
        <v/>
      </c>
      <c r="AJ390" s="7" t="str">
        <f t="shared" si="40"/>
        <v/>
      </c>
      <c r="AK390" s="10" t="str">
        <f t="shared" si="41"/>
        <v/>
      </c>
      <c r="AL390" s="15" t="str">
        <f>IF(OR($A390&lt;&gt;"",$B390&lt;&gt;""),IF(OR($A390="",$B390=""),"Isi tanggal dan ID PIC",IF(NOT(ISNUMBER($A390)),"Tanggal harus berupa tanggal Excel",IF(COUNTIFS(Master_PIC!$A$8:$A$73,$B390)&lt;&gt;1,"ID PIC tidak unik/terdaftar",IF(VLOOKUP($B390,Master_PIC!$A$8:$G$73,3,FALSE)&lt;&gt;"SPV","Jabatan tidak sesuai sheet",IF(OR($C390="",$D390="",$E390="",$F390=""),"Lengkapi master PIC",IF(COUNTIFS($A$8:$A$507,$A390,$B$8:$B$507,$B390)&gt;1,"Laporan ganda",IF(COUNTIFS(G390:O390,"Tidak Berlaku")&gt;0,"N/A hanya untuk kegiatan bersyarat",IF(SUM(AF390,AG390,AH390,AI390,AJ390)&lt;&gt;13,"Status kegiatan tidak valid",IF(AJ390&gt;0,"Lengkapi status kegiatan",IF(AND(AI390&gt;0,T390=""),"Isi alasan Tidak Berlaku",IF(AND(SUM(AG390,AH390)&gt;0,OR(T390="",U390="",V390="",W390="")),"Isi kendala dan tindak lanjut",IF(AND(Y390&lt;&gt;"Draft",Y390&lt;&gt;"Dikirim"),"Isi status laporan yang valid",IF(AND(AA390&lt;&gt;"",AA390&lt;&gt;"Belum Diperiksa",AA390&lt;&gt;"Disetujui",AA390&lt;&gt;"Perlu Perbaikan"),"Hasil review tidak valid",IF(AND(Y390="Dikirim",OR(X390="",Z390="")),"Isi bukti dan waktu kirim",IF(AND(AA390="Disetujui",OR(Y390&lt;&gt;"Dikirim",AB390="",AC390="")),"Lengkapi pemeriksaan",IF(AND(AA390="Perlu Perbaikan",OR(AD390="",AB390="",AC390="")),"Isi pemeriksa dan catatan perbaikan","OK")))))))))))))))),"")</f>
        <v/>
      </c>
    </row>
    <row r="391" spans="1:38" ht="24.95" customHeight="1">
      <c r="A391" s="8"/>
      <c r="B391" s="6"/>
      <c r="C391" s="15" t="str">
        <f>IF(COUNTIFS(Master_PIC!$A$8:$A$73,$B391)=1,IF(VLOOKUP($B391,Master_PIC!$A$8:$G$73,2,FALSE)="","",VLOOKUP($B391,Master_PIC!$A$8:$G$73,2,FALSE)),"")</f>
        <v/>
      </c>
      <c r="D391" s="15" t="str">
        <f>IF(COUNTIFS(Master_PIC!$A$8:$A$73,$B391)=1,IF(VLOOKUP($B391,Master_PIC!$A$8:$G$73,4,FALSE)="","",VLOOKUP($B391,Master_PIC!$A$8:$G$73,4,FALSE)),"")</f>
        <v/>
      </c>
      <c r="E391" s="15" t="str">
        <f>IF(COUNTIFS(Master_PIC!$A$8:$A$73,$B391)=1,IF(VLOOKUP($B391,Master_PIC!$A$8:$G$73,5,FALSE)="","",VLOOKUP($B391,Master_PIC!$A$8:$G$73,5,FALSE)),"")</f>
        <v/>
      </c>
      <c r="F391" s="15" t="str">
        <f>IF(COUNTIFS(Master_PIC!$A$8:$A$73,$B391)=1,IF(VLOOKUP($B391,Master_PIC!$A$8:$G$73,6,FALSE)="","",VLOOKUP($B391,Master_PIC!$A$8:$G$73,6,FALSE)),"")</f>
        <v/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8"/>
      <c r="X391" s="5"/>
      <c r="Y391" s="5"/>
      <c r="Z391" s="9"/>
      <c r="AA391" s="5"/>
      <c r="AB391" s="5"/>
      <c r="AC391" s="9"/>
      <c r="AD391" s="5"/>
      <c r="AE391" s="7" t="str">
        <f t="shared" si="35"/>
        <v/>
      </c>
      <c r="AF391" s="7" t="str">
        <f t="shared" si="36"/>
        <v/>
      </c>
      <c r="AG391" s="7" t="str">
        <f t="shared" si="37"/>
        <v/>
      </c>
      <c r="AH391" s="7" t="str">
        <f t="shared" si="38"/>
        <v/>
      </c>
      <c r="AI391" s="7" t="str">
        <f t="shared" si="39"/>
        <v/>
      </c>
      <c r="AJ391" s="7" t="str">
        <f t="shared" si="40"/>
        <v/>
      </c>
      <c r="AK391" s="10" t="str">
        <f t="shared" si="41"/>
        <v/>
      </c>
      <c r="AL391" s="15" t="str">
        <f>IF(OR($A391&lt;&gt;"",$B391&lt;&gt;""),IF(OR($A391="",$B391=""),"Isi tanggal dan ID PIC",IF(NOT(ISNUMBER($A391)),"Tanggal harus berupa tanggal Excel",IF(COUNTIFS(Master_PIC!$A$8:$A$73,$B391)&lt;&gt;1,"ID PIC tidak unik/terdaftar",IF(VLOOKUP($B391,Master_PIC!$A$8:$G$73,3,FALSE)&lt;&gt;"SPV","Jabatan tidak sesuai sheet",IF(OR($C391="",$D391="",$E391="",$F391=""),"Lengkapi master PIC",IF(COUNTIFS($A$8:$A$507,$A391,$B$8:$B$507,$B391)&gt;1,"Laporan ganda",IF(COUNTIFS(G391:O391,"Tidak Berlaku")&gt;0,"N/A hanya untuk kegiatan bersyarat",IF(SUM(AF391,AG391,AH391,AI391,AJ391)&lt;&gt;13,"Status kegiatan tidak valid",IF(AJ391&gt;0,"Lengkapi status kegiatan",IF(AND(AI391&gt;0,T391=""),"Isi alasan Tidak Berlaku",IF(AND(SUM(AG391,AH391)&gt;0,OR(T391="",U391="",V391="",W391="")),"Isi kendala dan tindak lanjut",IF(AND(Y391&lt;&gt;"Draft",Y391&lt;&gt;"Dikirim"),"Isi status laporan yang valid",IF(AND(AA391&lt;&gt;"",AA391&lt;&gt;"Belum Diperiksa",AA391&lt;&gt;"Disetujui",AA391&lt;&gt;"Perlu Perbaikan"),"Hasil review tidak valid",IF(AND(Y391="Dikirim",OR(X391="",Z391="")),"Isi bukti dan waktu kirim",IF(AND(AA391="Disetujui",OR(Y391&lt;&gt;"Dikirim",AB391="",AC391="")),"Lengkapi pemeriksaan",IF(AND(AA391="Perlu Perbaikan",OR(AD391="",AB391="",AC391="")),"Isi pemeriksa dan catatan perbaikan","OK")))))))))))))))),"")</f>
        <v/>
      </c>
    </row>
    <row r="392" spans="1:38" ht="24.95" customHeight="1">
      <c r="A392" s="8"/>
      <c r="B392" s="6"/>
      <c r="C392" s="15" t="str">
        <f>IF(COUNTIFS(Master_PIC!$A$8:$A$73,$B392)=1,IF(VLOOKUP($B392,Master_PIC!$A$8:$G$73,2,FALSE)="","",VLOOKUP($B392,Master_PIC!$A$8:$G$73,2,FALSE)),"")</f>
        <v/>
      </c>
      <c r="D392" s="15" t="str">
        <f>IF(COUNTIFS(Master_PIC!$A$8:$A$73,$B392)=1,IF(VLOOKUP($B392,Master_PIC!$A$8:$G$73,4,FALSE)="","",VLOOKUP($B392,Master_PIC!$A$8:$G$73,4,FALSE)),"")</f>
        <v/>
      </c>
      <c r="E392" s="15" t="str">
        <f>IF(COUNTIFS(Master_PIC!$A$8:$A$73,$B392)=1,IF(VLOOKUP($B392,Master_PIC!$A$8:$G$73,5,FALSE)="","",VLOOKUP($B392,Master_PIC!$A$8:$G$73,5,FALSE)),"")</f>
        <v/>
      </c>
      <c r="F392" s="15" t="str">
        <f>IF(COUNTIFS(Master_PIC!$A$8:$A$73,$B392)=1,IF(VLOOKUP($B392,Master_PIC!$A$8:$G$73,6,FALSE)="","",VLOOKUP($B392,Master_PIC!$A$8:$G$73,6,FALSE)),"")</f>
        <v/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8"/>
      <c r="X392" s="5"/>
      <c r="Y392" s="5"/>
      <c r="Z392" s="9"/>
      <c r="AA392" s="5"/>
      <c r="AB392" s="5"/>
      <c r="AC392" s="9"/>
      <c r="AD392" s="5"/>
      <c r="AE392" s="7" t="str">
        <f t="shared" ref="AE392:AE455" si="42">IF(OR($A392&lt;&gt;"",$B392&lt;&gt;""),13-AI392,"")</f>
        <v/>
      </c>
      <c r="AF392" s="7" t="str">
        <f t="shared" ref="AF392:AF455" si="43">IF(OR($A392&lt;&gt;"",$B392&lt;&gt;""),COUNTIFS(G392:S392,"Selesai"),"")</f>
        <v/>
      </c>
      <c r="AG392" s="7" t="str">
        <f t="shared" ref="AG392:AG455" si="44">IF(OR($A392&lt;&gt;"",$B392&lt;&gt;""),COUNTIFS(G392:S392,"Proses"),"")</f>
        <v/>
      </c>
      <c r="AH392" s="7" t="str">
        <f t="shared" ref="AH392:AH455" si="45">IF(OR($A392&lt;&gt;"",$B392&lt;&gt;""),COUNTIFS(G392:S392,"Belum"),"")</f>
        <v/>
      </c>
      <c r="AI392" s="7" t="str">
        <f t="shared" ref="AI392:AI455" si="46">IF(OR($A392&lt;&gt;"",$B392&lt;&gt;""),COUNTIFS(G392:S392,"Tidak Berlaku"),"")</f>
        <v/>
      </c>
      <c r="AJ392" s="7" t="str">
        <f t="shared" ref="AJ392:AJ455" si="47">IF(OR($A392&lt;&gt;"",$B392&lt;&gt;""),COUNTBLANK(G392:S392),"")</f>
        <v/>
      </c>
      <c r="AK392" s="10" t="str">
        <f t="shared" ref="AK392:AK455" si="48">IF(OR($A392&lt;&gt;"",$B392&lt;&gt;""),IF(AE392=0,"n.a.",AF392/AE392),"")</f>
        <v/>
      </c>
      <c r="AL392" s="15" t="str">
        <f>IF(OR($A392&lt;&gt;"",$B392&lt;&gt;""),IF(OR($A392="",$B392=""),"Isi tanggal dan ID PIC",IF(NOT(ISNUMBER($A392)),"Tanggal harus berupa tanggal Excel",IF(COUNTIFS(Master_PIC!$A$8:$A$73,$B392)&lt;&gt;1,"ID PIC tidak unik/terdaftar",IF(VLOOKUP($B392,Master_PIC!$A$8:$G$73,3,FALSE)&lt;&gt;"SPV","Jabatan tidak sesuai sheet",IF(OR($C392="",$D392="",$E392="",$F392=""),"Lengkapi master PIC",IF(COUNTIFS($A$8:$A$507,$A392,$B$8:$B$507,$B392)&gt;1,"Laporan ganda",IF(COUNTIFS(G392:O392,"Tidak Berlaku")&gt;0,"N/A hanya untuk kegiatan bersyarat",IF(SUM(AF392,AG392,AH392,AI392,AJ392)&lt;&gt;13,"Status kegiatan tidak valid",IF(AJ392&gt;0,"Lengkapi status kegiatan",IF(AND(AI392&gt;0,T392=""),"Isi alasan Tidak Berlaku",IF(AND(SUM(AG392,AH392)&gt;0,OR(T392="",U392="",V392="",W392="")),"Isi kendala dan tindak lanjut",IF(AND(Y392&lt;&gt;"Draft",Y392&lt;&gt;"Dikirim"),"Isi status laporan yang valid",IF(AND(AA392&lt;&gt;"",AA392&lt;&gt;"Belum Diperiksa",AA392&lt;&gt;"Disetujui",AA392&lt;&gt;"Perlu Perbaikan"),"Hasil review tidak valid",IF(AND(Y392="Dikirim",OR(X392="",Z392="")),"Isi bukti dan waktu kirim",IF(AND(AA392="Disetujui",OR(Y392&lt;&gt;"Dikirim",AB392="",AC392="")),"Lengkapi pemeriksaan",IF(AND(AA392="Perlu Perbaikan",OR(AD392="",AB392="",AC392="")),"Isi pemeriksa dan catatan perbaikan","OK")))))))))))))))),"")</f>
        <v/>
      </c>
    </row>
    <row r="393" spans="1:38" ht="24.95" customHeight="1">
      <c r="A393" s="8"/>
      <c r="B393" s="6"/>
      <c r="C393" s="15" t="str">
        <f>IF(COUNTIFS(Master_PIC!$A$8:$A$73,$B393)=1,IF(VLOOKUP($B393,Master_PIC!$A$8:$G$73,2,FALSE)="","",VLOOKUP($B393,Master_PIC!$A$8:$G$73,2,FALSE)),"")</f>
        <v/>
      </c>
      <c r="D393" s="15" t="str">
        <f>IF(COUNTIFS(Master_PIC!$A$8:$A$73,$B393)=1,IF(VLOOKUP($B393,Master_PIC!$A$8:$G$73,4,FALSE)="","",VLOOKUP($B393,Master_PIC!$A$8:$G$73,4,FALSE)),"")</f>
        <v/>
      </c>
      <c r="E393" s="15" t="str">
        <f>IF(COUNTIFS(Master_PIC!$A$8:$A$73,$B393)=1,IF(VLOOKUP($B393,Master_PIC!$A$8:$G$73,5,FALSE)="","",VLOOKUP($B393,Master_PIC!$A$8:$G$73,5,FALSE)),"")</f>
        <v/>
      </c>
      <c r="F393" s="15" t="str">
        <f>IF(COUNTIFS(Master_PIC!$A$8:$A$73,$B393)=1,IF(VLOOKUP($B393,Master_PIC!$A$8:$G$73,6,FALSE)="","",VLOOKUP($B393,Master_PIC!$A$8:$G$73,6,FALSE)),"")</f>
        <v/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8"/>
      <c r="X393" s="5"/>
      <c r="Y393" s="5"/>
      <c r="Z393" s="9"/>
      <c r="AA393" s="5"/>
      <c r="AB393" s="5"/>
      <c r="AC393" s="9"/>
      <c r="AD393" s="5"/>
      <c r="AE393" s="7" t="str">
        <f t="shared" si="42"/>
        <v/>
      </c>
      <c r="AF393" s="7" t="str">
        <f t="shared" si="43"/>
        <v/>
      </c>
      <c r="AG393" s="7" t="str">
        <f t="shared" si="44"/>
        <v/>
      </c>
      <c r="AH393" s="7" t="str">
        <f t="shared" si="45"/>
        <v/>
      </c>
      <c r="AI393" s="7" t="str">
        <f t="shared" si="46"/>
        <v/>
      </c>
      <c r="AJ393" s="7" t="str">
        <f t="shared" si="47"/>
        <v/>
      </c>
      <c r="AK393" s="10" t="str">
        <f t="shared" si="48"/>
        <v/>
      </c>
      <c r="AL393" s="15" t="str">
        <f>IF(OR($A393&lt;&gt;"",$B393&lt;&gt;""),IF(OR($A393="",$B393=""),"Isi tanggal dan ID PIC",IF(NOT(ISNUMBER($A393)),"Tanggal harus berupa tanggal Excel",IF(COUNTIFS(Master_PIC!$A$8:$A$73,$B393)&lt;&gt;1,"ID PIC tidak unik/terdaftar",IF(VLOOKUP($B393,Master_PIC!$A$8:$G$73,3,FALSE)&lt;&gt;"SPV","Jabatan tidak sesuai sheet",IF(OR($C393="",$D393="",$E393="",$F393=""),"Lengkapi master PIC",IF(COUNTIFS($A$8:$A$507,$A393,$B$8:$B$507,$B393)&gt;1,"Laporan ganda",IF(COUNTIFS(G393:O393,"Tidak Berlaku")&gt;0,"N/A hanya untuk kegiatan bersyarat",IF(SUM(AF393,AG393,AH393,AI393,AJ393)&lt;&gt;13,"Status kegiatan tidak valid",IF(AJ393&gt;0,"Lengkapi status kegiatan",IF(AND(AI393&gt;0,T393=""),"Isi alasan Tidak Berlaku",IF(AND(SUM(AG393,AH393)&gt;0,OR(T393="",U393="",V393="",W393="")),"Isi kendala dan tindak lanjut",IF(AND(Y393&lt;&gt;"Draft",Y393&lt;&gt;"Dikirim"),"Isi status laporan yang valid",IF(AND(AA393&lt;&gt;"",AA393&lt;&gt;"Belum Diperiksa",AA393&lt;&gt;"Disetujui",AA393&lt;&gt;"Perlu Perbaikan"),"Hasil review tidak valid",IF(AND(Y393="Dikirim",OR(X393="",Z393="")),"Isi bukti dan waktu kirim",IF(AND(AA393="Disetujui",OR(Y393&lt;&gt;"Dikirim",AB393="",AC393="")),"Lengkapi pemeriksaan",IF(AND(AA393="Perlu Perbaikan",OR(AD393="",AB393="",AC393="")),"Isi pemeriksa dan catatan perbaikan","OK")))))))))))))))),"")</f>
        <v/>
      </c>
    </row>
    <row r="394" spans="1:38" ht="24.95" customHeight="1">
      <c r="A394" s="8"/>
      <c r="B394" s="6"/>
      <c r="C394" s="15" t="str">
        <f>IF(COUNTIFS(Master_PIC!$A$8:$A$73,$B394)=1,IF(VLOOKUP($B394,Master_PIC!$A$8:$G$73,2,FALSE)="","",VLOOKUP($B394,Master_PIC!$A$8:$G$73,2,FALSE)),"")</f>
        <v/>
      </c>
      <c r="D394" s="15" t="str">
        <f>IF(COUNTIFS(Master_PIC!$A$8:$A$73,$B394)=1,IF(VLOOKUP($B394,Master_PIC!$A$8:$G$73,4,FALSE)="","",VLOOKUP($B394,Master_PIC!$A$8:$G$73,4,FALSE)),"")</f>
        <v/>
      </c>
      <c r="E394" s="15" t="str">
        <f>IF(COUNTIFS(Master_PIC!$A$8:$A$73,$B394)=1,IF(VLOOKUP($B394,Master_PIC!$A$8:$G$73,5,FALSE)="","",VLOOKUP($B394,Master_PIC!$A$8:$G$73,5,FALSE)),"")</f>
        <v/>
      </c>
      <c r="F394" s="15" t="str">
        <f>IF(COUNTIFS(Master_PIC!$A$8:$A$73,$B394)=1,IF(VLOOKUP($B394,Master_PIC!$A$8:$G$73,6,FALSE)="","",VLOOKUP($B394,Master_PIC!$A$8:$G$73,6,FALSE)),"")</f>
        <v/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8"/>
      <c r="X394" s="5"/>
      <c r="Y394" s="5"/>
      <c r="Z394" s="9"/>
      <c r="AA394" s="5"/>
      <c r="AB394" s="5"/>
      <c r="AC394" s="9"/>
      <c r="AD394" s="5"/>
      <c r="AE394" s="7" t="str">
        <f t="shared" si="42"/>
        <v/>
      </c>
      <c r="AF394" s="7" t="str">
        <f t="shared" si="43"/>
        <v/>
      </c>
      <c r="AG394" s="7" t="str">
        <f t="shared" si="44"/>
        <v/>
      </c>
      <c r="AH394" s="7" t="str">
        <f t="shared" si="45"/>
        <v/>
      </c>
      <c r="AI394" s="7" t="str">
        <f t="shared" si="46"/>
        <v/>
      </c>
      <c r="AJ394" s="7" t="str">
        <f t="shared" si="47"/>
        <v/>
      </c>
      <c r="AK394" s="10" t="str">
        <f t="shared" si="48"/>
        <v/>
      </c>
      <c r="AL394" s="15" t="str">
        <f>IF(OR($A394&lt;&gt;"",$B394&lt;&gt;""),IF(OR($A394="",$B394=""),"Isi tanggal dan ID PIC",IF(NOT(ISNUMBER($A394)),"Tanggal harus berupa tanggal Excel",IF(COUNTIFS(Master_PIC!$A$8:$A$73,$B394)&lt;&gt;1,"ID PIC tidak unik/terdaftar",IF(VLOOKUP($B394,Master_PIC!$A$8:$G$73,3,FALSE)&lt;&gt;"SPV","Jabatan tidak sesuai sheet",IF(OR($C394="",$D394="",$E394="",$F394=""),"Lengkapi master PIC",IF(COUNTIFS($A$8:$A$507,$A394,$B$8:$B$507,$B394)&gt;1,"Laporan ganda",IF(COUNTIFS(G394:O394,"Tidak Berlaku")&gt;0,"N/A hanya untuk kegiatan bersyarat",IF(SUM(AF394,AG394,AH394,AI394,AJ394)&lt;&gt;13,"Status kegiatan tidak valid",IF(AJ394&gt;0,"Lengkapi status kegiatan",IF(AND(AI394&gt;0,T394=""),"Isi alasan Tidak Berlaku",IF(AND(SUM(AG394,AH394)&gt;0,OR(T394="",U394="",V394="",W394="")),"Isi kendala dan tindak lanjut",IF(AND(Y394&lt;&gt;"Draft",Y394&lt;&gt;"Dikirim"),"Isi status laporan yang valid",IF(AND(AA394&lt;&gt;"",AA394&lt;&gt;"Belum Diperiksa",AA394&lt;&gt;"Disetujui",AA394&lt;&gt;"Perlu Perbaikan"),"Hasil review tidak valid",IF(AND(Y394="Dikirim",OR(X394="",Z394="")),"Isi bukti dan waktu kirim",IF(AND(AA394="Disetujui",OR(Y394&lt;&gt;"Dikirim",AB394="",AC394="")),"Lengkapi pemeriksaan",IF(AND(AA394="Perlu Perbaikan",OR(AD394="",AB394="",AC394="")),"Isi pemeriksa dan catatan perbaikan","OK")))))))))))))))),"")</f>
        <v/>
      </c>
    </row>
    <row r="395" spans="1:38" ht="24.95" customHeight="1">
      <c r="A395" s="8"/>
      <c r="B395" s="6"/>
      <c r="C395" s="15" t="str">
        <f>IF(COUNTIFS(Master_PIC!$A$8:$A$73,$B395)=1,IF(VLOOKUP($B395,Master_PIC!$A$8:$G$73,2,FALSE)="","",VLOOKUP($B395,Master_PIC!$A$8:$G$73,2,FALSE)),"")</f>
        <v/>
      </c>
      <c r="D395" s="15" t="str">
        <f>IF(COUNTIFS(Master_PIC!$A$8:$A$73,$B395)=1,IF(VLOOKUP($B395,Master_PIC!$A$8:$G$73,4,FALSE)="","",VLOOKUP($B395,Master_PIC!$A$8:$G$73,4,FALSE)),"")</f>
        <v/>
      </c>
      <c r="E395" s="15" t="str">
        <f>IF(COUNTIFS(Master_PIC!$A$8:$A$73,$B395)=1,IF(VLOOKUP($B395,Master_PIC!$A$8:$G$73,5,FALSE)="","",VLOOKUP($B395,Master_PIC!$A$8:$G$73,5,FALSE)),"")</f>
        <v/>
      </c>
      <c r="F395" s="15" t="str">
        <f>IF(COUNTIFS(Master_PIC!$A$8:$A$73,$B395)=1,IF(VLOOKUP($B395,Master_PIC!$A$8:$G$73,6,FALSE)="","",VLOOKUP($B395,Master_PIC!$A$8:$G$73,6,FALSE)),"")</f>
        <v/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8"/>
      <c r="X395" s="5"/>
      <c r="Y395" s="5"/>
      <c r="Z395" s="9"/>
      <c r="AA395" s="5"/>
      <c r="AB395" s="5"/>
      <c r="AC395" s="9"/>
      <c r="AD395" s="5"/>
      <c r="AE395" s="7" t="str">
        <f t="shared" si="42"/>
        <v/>
      </c>
      <c r="AF395" s="7" t="str">
        <f t="shared" si="43"/>
        <v/>
      </c>
      <c r="AG395" s="7" t="str">
        <f t="shared" si="44"/>
        <v/>
      </c>
      <c r="AH395" s="7" t="str">
        <f t="shared" si="45"/>
        <v/>
      </c>
      <c r="AI395" s="7" t="str">
        <f t="shared" si="46"/>
        <v/>
      </c>
      <c r="AJ395" s="7" t="str">
        <f t="shared" si="47"/>
        <v/>
      </c>
      <c r="AK395" s="10" t="str">
        <f t="shared" si="48"/>
        <v/>
      </c>
      <c r="AL395" s="15" t="str">
        <f>IF(OR($A395&lt;&gt;"",$B395&lt;&gt;""),IF(OR($A395="",$B395=""),"Isi tanggal dan ID PIC",IF(NOT(ISNUMBER($A395)),"Tanggal harus berupa tanggal Excel",IF(COUNTIFS(Master_PIC!$A$8:$A$73,$B395)&lt;&gt;1,"ID PIC tidak unik/terdaftar",IF(VLOOKUP($B395,Master_PIC!$A$8:$G$73,3,FALSE)&lt;&gt;"SPV","Jabatan tidak sesuai sheet",IF(OR($C395="",$D395="",$E395="",$F395=""),"Lengkapi master PIC",IF(COUNTIFS($A$8:$A$507,$A395,$B$8:$B$507,$B395)&gt;1,"Laporan ganda",IF(COUNTIFS(G395:O395,"Tidak Berlaku")&gt;0,"N/A hanya untuk kegiatan bersyarat",IF(SUM(AF395,AG395,AH395,AI395,AJ395)&lt;&gt;13,"Status kegiatan tidak valid",IF(AJ395&gt;0,"Lengkapi status kegiatan",IF(AND(AI395&gt;0,T395=""),"Isi alasan Tidak Berlaku",IF(AND(SUM(AG395,AH395)&gt;0,OR(T395="",U395="",V395="",W395="")),"Isi kendala dan tindak lanjut",IF(AND(Y395&lt;&gt;"Draft",Y395&lt;&gt;"Dikirim"),"Isi status laporan yang valid",IF(AND(AA395&lt;&gt;"",AA395&lt;&gt;"Belum Diperiksa",AA395&lt;&gt;"Disetujui",AA395&lt;&gt;"Perlu Perbaikan"),"Hasil review tidak valid",IF(AND(Y395="Dikirim",OR(X395="",Z395="")),"Isi bukti dan waktu kirim",IF(AND(AA395="Disetujui",OR(Y395&lt;&gt;"Dikirim",AB395="",AC395="")),"Lengkapi pemeriksaan",IF(AND(AA395="Perlu Perbaikan",OR(AD395="",AB395="",AC395="")),"Isi pemeriksa dan catatan perbaikan","OK")))))))))))))))),"")</f>
        <v/>
      </c>
    </row>
    <row r="396" spans="1:38" ht="24.95" customHeight="1">
      <c r="A396" s="8"/>
      <c r="B396" s="6"/>
      <c r="C396" s="15" t="str">
        <f>IF(COUNTIFS(Master_PIC!$A$8:$A$73,$B396)=1,IF(VLOOKUP($B396,Master_PIC!$A$8:$G$73,2,FALSE)="","",VLOOKUP($B396,Master_PIC!$A$8:$G$73,2,FALSE)),"")</f>
        <v/>
      </c>
      <c r="D396" s="15" t="str">
        <f>IF(COUNTIFS(Master_PIC!$A$8:$A$73,$B396)=1,IF(VLOOKUP($B396,Master_PIC!$A$8:$G$73,4,FALSE)="","",VLOOKUP($B396,Master_PIC!$A$8:$G$73,4,FALSE)),"")</f>
        <v/>
      </c>
      <c r="E396" s="15" t="str">
        <f>IF(COUNTIFS(Master_PIC!$A$8:$A$73,$B396)=1,IF(VLOOKUP($B396,Master_PIC!$A$8:$G$73,5,FALSE)="","",VLOOKUP($B396,Master_PIC!$A$8:$G$73,5,FALSE)),"")</f>
        <v/>
      </c>
      <c r="F396" s="15" t="str">
        <f>IF(COUNTIFS(Master_PIC!$A$8:$A$73,$B396)=1,IF(VLOOKUP($B396,Master_PIC!$A$8:$G$73,6,FALSE)="","",VLOOKUP($B396,Master_PIC!$A$8:$G$73,6,FALSE)),"")</f>
        <v/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8"/>
      <c r="X396" s="5"/>
      <c r="Y396" s="5"/>
      <c r="Z396" s="9"/>
      <c r="AA396" s="5"/>
      <c r="AB396" s="5"/>
      <c r="AC396" s="9"/>
      <c r="AD396" s="5"/>
      <c r="AE396" s="7" t="str">
        <f t="shared" si="42"/>
        <v/>
      </c>
      <c r="AF396" s="7" t="str">
        <f t="shared" si="43"/>
        <v/>
      </c>
      <c r="AG396" s="7" t="str">
        <f t="shared" si="44"/>
        <v/>
      </c>
      <c r="AH396" s="7" t="str">
        <f t="shared" si="45"/>
        <v/>
      </c>
      <c r="AI396" s="7" t="str">
        <f t="shared" si="46"/>
        <v/>
      </c>
      <c r="AJ396" s="7" t="str">
        <f t="shared" si="47"/>
        <v/>
      </c>
      <c r="AK396" s="10" t="str">
        <f t="shared" si="48"/>
        <v/>
      </c>
      <c r="AL396" s="15" t="str">
        <f>IF(OR($A396&lt;&gt;"",$B396&lt;&gt;""),IF(OR($A396="",$B396=""),"Isi tanggal dan ID PIC",IF(NOT(ISNUMBER($A396)),"Tanggal harus berupa tanggal Excel",IF(COUNTIFS(Master_PIC!$A$8:$A$73,$B396)&lt;&gt;1,"ID PIC tidak unik/terdaftar",IF(VLOOKUP($B396,Master_PIC!$A$8:$G$73,3,FALSE)&lt;&gt;"SPV","Jabatan tidak sesuai sheet",IF(OR($C396="",$D396="",$E396="",$F396=""),"Lengkapi master PIC",IF(COUNTIFS($A$8:$A$507,$A396,$B$8:$B$507,$B396)&gt;1,"Laporan ganda",IF(COUNTIFS(G396:O396,"Tidak Berlaku")&gt;0,"N/A hanya untuk kegiatan bersyarat",IF(SUM(AF396,AG396,AH396,AI396,AJ396)&lt;&gt;13,"Status kegiatan tidak valid",IF(AJ396&gt;0,"Lengkapi status kegiatan",IF(AND(AI396&gt;0,T396=""),"Isi alasan Tidak Berlaku",IF(AND(SUM(AG396,AH396)&gt;0,OR(T396="",U396="",V396="",W396="")),"Isi kendala dan tindak lanjut",IF(AND(Y396&lt;&gt;"Draft",Y396&lt;&gt;"Dikirim"),"Isi status laporan yang valid",IF(AND(AA396&lt;&gt;"",AA396&lt;&gt;"Belum Diperiksa",AA396&lt;&gt;"Disetujui",AA396&lt;&gt;"Perlu Perbaikan"),"Hasil review tidak valid",IF(AND(Y396="Dikirim",OR(X396="",Z396="")),"Isi bukti dan waktu kirim",IF(AND(AA396="Disetujui",OR(Y396&lt;&gt;"Dikirim",AB396="",AC396="")),"Lengkapi pemeriksaan",IF(AND(AA396="Perlu Perbaikan",OR(AD396="",AB396="",AC396="")),"Isi pemeriksa dan catatan perbaikan","OK")))))))))))))))),"")</f>
        <v/>
      </c>
    </row>
    <row r="397" spans="1:38" ht="24.95" customHeight="1">
      <c r="A397" s="8"/>
      <c r="B397" s="6"/>
      <c r="C397" s="15" t="str">
        <f>IF(COUNTIFS(Master_PIC!$A$8:$A$73,$B397)=1,IF(VLOOKUP($B397,Master_PIC!$A$8:$G$73,2,FALSE)="","",VLOOKUP($B397,Master_PIC!$A$8:$G$73,2,FALSE)),"")</f>
        <v/>
      </c>
      <c r="D397" s="15" t="str">
        <f>IF(COUNTIFS(Master_PIC!$A$8:$A$73,$B397)=1,IF(VLOOKUP($B397,Master_PIC!$A$8:$G$73,4,FALSE)="","",VLOOKUP($B397,Master_PIC!$A$8:$G$73,4,FALSE)),"")</f>
        <v/>
      </c>
      <c r="E397" s="15" t="str">
        <f>IF(COUNTIFS(Master_PIC!$A$8:$A$73,$B397)=1,IF(VLOOKUP($B397,Master_PIC!$A$8:$G$73,5,FALSE)="","",VLOOKUP($B397,Master_PIC!$A$8:$G$73,5,FALSE)),"")</f>
        <v/>
      </c>
      <c r="F397" s="15" t="str">
        <f>IF(COUNTIFS(Master_PIC!$A$8:$A$73,$B397)=1,IF(VLOOKUP($B397,Master_PIC!$A$8:$G$73,6,FALSE)="","",VLOOKUP($B397,Master_PIC!$A$8:$G$73,6,FALSE)),"")</f>
        <v/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8"/>
      <c r="X397" s="5"/>
      <c r="Y397" s="5"/>
      <c r="Z397" s="9"/>
      <c r="AA397" s="5"/>
      <c r="AB397" s="5"/>
      <c r="AC397" s="9"/>
      <c r="AD397" s="5"/>
      <c r="AE397" s="7" t="str">
        <f t="shared" si="42"/>
        <v/>
      </c>
      <c r="AF397" s="7" t="str">
        <f t="shared" si="43"/>
        <v/>
      </c>
      <c r="AG397" s="7" t="str">
        <f t="shared" si="44"/>
        <v/>
      </c>
      <c r="AH397" s="7" t="str">
        <f t="shared" si="45"/>
        <v/>
      </c>
      <c r="AI397" s="7" t="str">
        <f t="shared" si="46"/>
        <v/>
      </c>
      <c r="AJ397" s="7" t="str">
        <f t="shared" si="47"/>
        <v/>
      </c>
      <c r="AK397" s="10" t="str">
        <f t="shared" si="48"/>
        <v/>
      </c>
      <c r="AL397" s="15" t="str">
        <f>IF(OR($A397&lt;&gt;"",$B397&lt;&gt;""),IF(OR($A397="",$B397=""),"Isi tanggal dan ID PIC",IF(NOT(ISNUMBER($A397)),"Tanggal harus berupa tanggal Excel",IF(COUNTIFS(Master_PIC!$A$8:$A$73,$B397)&lt;&gt;1,"ID PIC tidak unik/terdaftar",IF(VLOOKUP($B397,Master_PIC!$A$8:$G$73,3,FALSE)&lt;&gt;"SPV","Jabatan tidak sesuai sheet",IF(OR($C397="",$D397="",$E397="",$F397=""),"Lengkapi master PIC",IF(COUNTIFS($A$8:$A$507,$A397,$B$8:$B$507,$B397)&gt;1,"Laporan ganda",IF(COUNTIFS(G397:O397,"Tidak Berlaku")&gt;0,"N/A hanya untuk kegiatan bersyarat",IF(SUM(AF397,AG397,AH397,AI397,AJ397)&lt;&gt;13,"Status kegiatan tidak valid",IF(AJ397&gt;0,"Lengkapi status kegiatan",IF(AND(AI397&gt;0,T397=""),"Isi alasan Tidak Berlaku",IF(AND(SUM(AG397,AH397)&gt;0,OR(T397="",U397="",V397="",W397="")),"Isi kendala dan tindak lanjut",IF(AND(Y397&lt;&gt;"Draft",Y397&lt;&gt;"Dikirim"),"Isi status laporan yang valid",IF(AND(AA397&lt;&gt;"",AA397&lt;&gt;"Belum Diperiksa",AA397&lt;&gt;"Disetujui",AA397&lt;&gt;"Perlu Perbaikan"),"Hasil review tidak valid",IF(AND(Y397="Dikirim",OR(X397="",Z397="")),"Isi bukti dan waktu kirim",IF(AND(AA397="Disetujui",OR(Y397&lt;&gt;"Dikirim",AB397="",AC397="")),"Lengkapi pemeriksaan",IF(AND(AA397="Perlu Perbaikan",OR(AD397="",AB397="",AC397="")),"Isi pemeriksa dan catatan perbaikan","OK")))))))))))))))),"")</f>
        <v/>
      </c>
    </row>
    <row r="398" spans="1:38" ht="24.95" customHeight="1">
      <c r="A398" s="8"/>
      <c r="B398" s="6"/>
      <c r="C398" s="15" t="str">
        <f>IF(COUNTIFS(Master_PIC!$A$8:$A$73,$B398)=1,IF(VLOOKUP($B398,Master_PIC!$A$8:$G$73,2,FALSE)="","",VLOOKUP($B398,Master_PIC!$A$8:$G$73,2,FALSE)),"")</f>
        <v/>
      </c>
      <c r="D398" s="15" t="str">
        <f>IF(COUNTIFS(Master_PIC!$A$8:$A$73,$B398)=1,IF(VLOOKUP($B398,Master_PIC!$A$8:$G$73,4,FALSE)="","",VLOOKUP($B398,Master_PIC!$A$8:$G$73,4,FALSE)),"")</f>
        <v/>
      </c>
      <c r="E398" s="15" t="str">
        <f>IF(COUNTIFS(Master_PIC!$A$8:$A$73,$B398)=1,IF(VLOOKUP($B398,Master_PIC!$A$8:$G$73,5,FALSE)="","",VLOOKUP($B398,Master_PIC!$A$8:$G$73,5,FALSE)),"")</f>
        <v/>
      </c>
      <c r="F398" s="15" t="str">
        <f>IF(COUNTIFS(Master_PIC!$A$8:$A$73,$B398)=1,IF(VLOOKUP($B398,Master_PIC!$A$8:$G$73,6,FALSE)="","",VLOOKUP($B398,Master_PIC!$A$8:$G$73,6,FALSE)),"")</f>
        <v/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8"/>
      <c r="X398" s="5"/>
      <c r="Y398" s="5"/>
      <c r="Z398" s="9"/>
      <c r="AA398" s="5"/>
      <c r="AB398" s="5"/>
      <c r="AC398" s="9"/>
      <c r="AD398" s="5"/>
      <c r="AE398" s="7" t="str">
        <f t="shared" si="42"/>
        <v/>
      </c>
      <c r="AF398" s="7" t="str">
        <f t="shared" si="43"/>
        <v/>
      </c>
      <c r="AG398" s="7" t="str">
        <f t="shared" si="44"/>
        <v/>
      </c>
      <c r="AH398" s="7" t="str">
        <f t="shared" si="45"/>
        <v/>
      </c>
      <c r="AI398" s="7" t="str">
        <f t="shared" si="46"/>
        <v/>
      </c>
      <c r="AJ398" s="7" t="str">
        <f t="shared" si="47"/>
        <v/>
      </c>
      <c r="AK398" s="10" t="str">
        <f t="shared" si="48"/>
        <v/>
      </c>
      <c r="AL398" s="15" t="str">
        <f>IF(OR($A398&lt;&gt;"",$B398&lt;&gt;""),IF(OR($A398="",$B398=""),"Isi tanggal dan ID PIC",IF(NOT(ISNUMBER($A398)),"Tanggal harus berupa tanggal Excel",IF(COUNTIFS(Master_PIC!$A$8:$A$73,$B398)&lt;&gt;1,"ID PIC tidak unik/terdaftar",IF(VLOOKUP($B398,Master_PIC!$A$8:$G$73,3,FALSE)&lt;&gt;"SPV","Jabatan tidak sesuai sheet",IF(OR($C398="",$D398="",$E398="",$F398=""),"Lengkapi master PIC",IF(COUNTIFS($A$8:$A$507,$A398,$B$8:$B$507,$B398)&gt;1,"Laporan ganda",IF(COUNTIFS(G398:O398,"Tidak Berlaku")&gt;0,"N/A hanya untuk kegiatan bersyarat",IF(SUM(AF398,AG398,AH398,AI398,AJ398)&lt;&gt;13,"Status kegiatan tidak valid",IF(AJ398&gt;0,"Lengkapi status kegiatan",IF(AND(AI398&gt;0,T398=""),"Isi alasan Tidak Berlaku",IF(AND(SUM(AG398,AH398)&gt;0,OR(T398="",U398="",V398="",W398="")),"Isi kendala dan tindak lanjut",IF(AND(Y398&lt;&gt;"Draft",Y398&lt;&gt;"Dikirim"),"Isi status laporan yang valid",IF(AND(AA398&lt;&gt;"",AA398&lt;&gt;"Belum Diperiksa",AA398&lt;&gt;"Disetujui",AA398&lt;&gt;"Perlu Perbaikan"),"Hasil review tidak valid",IF(AND(Y398="Dikirim",OR(X398="",Z398="")),"Isi bukti dan waktu kirim",IF(AND(AA398="Disetujui",OR(Y398&lt;&gt;"Dikirim",AB398="",AC398="")),"Lengkapi pemeriksaan",IF(AND(AA398="Perlu Perbaikan",OR(AD398="",AB398="",AC398="")),"Isi pemeriksa dan catatan perbaikan","OK")))))))))))))))),"")</f>
        <v/>
      </c>
    </row>
    <row r="399" spans="1:38" ht="24.95" customHeight="1">
      <c r="A399" s="8"/>
      <c r="B399" s="6"/>
      <c r="C399" s="15" t="str">
        <f>IF(COUNTIFS(Master_PIC!$A$8:$A$73,$B399)=1,IF(VLOOKUP($B399,Master_PIC!$A$8:$G$73,2,FALSE)="","",VLOOKUP($B399,Master_PIC!$A$8:$G$73,2,FALSE)),"")</f>
        <v/>
      </c>
      <c r="D399" s="15" t="str">
        <f>IF(COUNTIFS(Master_PIC!$A$8:$A$73,$B399)=1,IF(VLOOKUP($B399,Master_PIC!$A$8:$G$73,4,FALSE)="","",VLOOKUP($B399,Master_PIC!$A$8:$G$73,4,FALSE)),"")</f>
        <v/>
      </c>
      <c r="E399" s="15" t="str">
        <f>IF(COUNTIFS(Master_PIC!$A$8:$A$73,$B399)=1,IF(VLOOKUP($B399,Master_PIC!$A$8:$G$73,5,FALSE)="","",VLOOKUP($B399,Master_PIC!$A$8:$G$73,5,FALSE)),"")</f>
        <v/>
      </c>
      <c r="F399" s="15" t="str">
        <f>IF(COUNTIFS(Master_PIC!$A$8:$A$73,$B399)=1,IF(VLOOKUP($B399,Master_PIC!$A$8:$G$73,6,FALSE)="","",VLOOKUP($B399,Master_PIC!$A$8:$G$73,6,FALSE)),"")</f>
        <v/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8"/>
      <c r="X399" s="5"/>
      <c r="Y399" s="5"/>
      <c r="Z399" s="9"/>
      <c r="AA399" s="5"/>
      <c r="AB399" s="5"/>
      <c r="AC399" s="9"/>
      <c r="AD399" s="5"/>
      <c r="AE399" s="7" t="str">
        <f t="shared" si="42"/>
        <v/>
      </c>
      <c r="AF399" s="7" t="str">
        <f t="shared" si="43"/>
        <v/>
      </c>
      <c r="AG399" s="7" t="str">
        <f t="shared" si="44"/>
        <v/>
      </c>
      <c r="AH399" s="7" t="str">
        <f t="shared" si="45"/>
        <v/>
      </c>
      <c r="AI399" s="7" t="str">
        <f t="shared" si="46"/>
        <v/>
      </c>
      <c r="AJ399" s="7" t="str">
        <f t="shared" si="47"/>
        <v/>
      </c>
      <c r="AK399" s="10" t="str">
        <f t="shared" si="48"/>
        <v/>
      </c>
      <c r="AL399" s="15" t="str">
        <f>IF(OR($A399&lt;&gt;"",$B399&lt;&gt;""),IF(OR($A399="",$B399=""),"Isi tanggal dan ID PIC",IF(NOT(ISNUMBER($A399)),"Tanggal harus berupa tanggal Excel",IF(COUNTIFS(Master_PIC!$A$8:$A$73,$B399)&lt;&gt;1,"ID PIC tidak unik/terdaftar",IF(VLOOKUP($B399,Master_PIC!$A$8:$G$73,3,FALSE)&lt;&gt;"SPV","Jabatan tidak sesuai sheet",IF(OR($C399="",$D399="",$E399="",$F399=""),"Lengkapi master PIC",IF(COUNTIFS($A$8:$A$507,$A399,$B$8:$B$507,$B399)&gt;1,"Laporan ganda",IF(COUNTIFS(G399:O399,"Tidak Berlaku")&gt;0,"N/A hanya untuk kegiatan bersyarat",IF(SUM(AF399,AG399,AH399,AI399,AJ399)&lt;&gt;13,"Status kegiatan tidak valid",IF(AJ399&gt;0,"Lengkapi status kegiatan",IF(AND(AI399&gt;0,T399=""),"Isi alasan Tidak Berlaku",IF(AND(SUM(AG399,AH399)&gt;0,OR(T399="",U399="",V399="",W399="")),"Isi kendala dan tindak lanjut",IF(AND(Y399&lt;&gt;"Draft",Y399&lt;&gt;"Dikirim"),"Isi status laporan yang valid",IF(AND(AA399&lt;&gt;"",AA399&lt;&gt;"Belum Diperiksa",AA399&lt;&gt;"Disetujui",AA399&lt;&gt;"Perlu Perbaikan"),"Hasil review tidak valid",IF(AND(Y399="Dikirim",OR(X399="",Z399="")),"Isi bukti dan waktu kirim",IF(AND(AA399="Disetujui",OR(Y399&lt;&gt;"Dikirim",AB399="",AC399="")),"Lengkapi pemeriksaan",IF(AND(AA399="Perlu Perbaikan",OR(AD399="",AB399="",AC399="")),"Isi pemeriksa dan catatan perbaikan","OK")))))))))))))))),"")</f>
        <v/>
      </c>
    </row>
    <row r="400" spans="1:38" ht="24.95" customHeight="1">
      <c r="A400" s="8"/>
      <c r="B400" s="6"/>
      <c r="C400" s="15" t="str">
        <f>IF(COUNTIFS(Master_PIC!$A$8:$A$73,$B400)=1,IF(VLOOKUP($B400,Master_PIC!$A$8:$G$73,2,FALSE)="","",VLOOKUP($B400,Master_PIC!$A$8:$G$73,2,FALSE)),"")</f>
        <v/>
      </c>
      <c r="D400" s="15" t="str">
        <f>IF(COUNTIFS(Master_PIC!$A$8:$A$73,$B400)=1,IF(VLOOKUP($B400,Master_PIC!$A$8:$G$73,4,FALSE)="","",VLOOKUP($B400,Master_PIC!$A$8:$G$73,4,FALSE)),"")</f>
        <v/>
      </c>
      <c r="E400" s="15" t="str">
        <f>IF(COUNTIFS(Master_PIC!$A$8:$A$73,$B400)=1,IF(VLOOKUP($B400,Master_PIC!$A$8:$G$73,5,FALSE)="","",VLOOKUP($B400,Master_PIC!$A$8:$G$73,5,FALSE)),"")</f>
        <v/>
      </c>
      <c r="F400" s="15" t="str">
        <f>IF(COUNTIFS(Master_PIC!$A$8:$A$73,$B400)=1,IF(VLOOKUP($B400,Master_PIC!$A$8:$G$73,6,FALSE)="","",VLOOKUP($B400,Master_PIC!$A$8:$G$73,6,FALSE)),"")</f>
        <v/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8"/>
      <c r="X400" s="5"/>
      <c r="Y400" s="5"/>
      <c r="Z400" s="9"/>
      <c r="AA400" s="5"/>
      <c r="AB400" s="5"/>
      <c r="AC400" s="9"/>
      <c r="AD400" s="5"/>
      <c r="AE400" s="7" t="str">
        <f t="shared" si="42"/>
        <v/>
      </c>
      <c r="AF400" s="7" t="str">
        <f t="shared" si="43"/>
        <v/>
      </c>
      <c r="AG400" s="7" t="str">
        <f t="shared" si="44"/>
        <v/>
      </c>
      <c r="AH400" s="7" t="str">
        <f t="shared" si="45"/>
        <v/>
      </c>
      <c r="AI400" s="7" t="str">
        <f t="shared" si="46"/>
        <v/>
      </c>
      <c r="AJ400" s="7" t="str">
        <f t="shared" si="47"/>
        <v/>
      </c>
      <c r="AK400" s="10" t="str">
        <f t="shared" si="48"/>
        <v/>
      </c>
      <c r="AL400" s="15" t="str">
        <f>IF(OR($A400&lt;&gt;"",$B400&lt;&gt;""),IF(OR($A400="",$B400=""),"Isi tanggal dan ID PIC",IF(NOT(ISNUMBER($A400)),"Tanggal harus berupa tanggal Excel",IF(COUNTIFS(Master_PIC!$A$8:$A$73,$B400)&lt;&gt;1,"ID PIC tidak unik/terdaftar",IF(VLOOKUP($B400,Master_PIC!$A$8:$G$73,3,FALSE)&lt;&gt;"SPV","Jabatan tidak sesuai sheet",IF(OR($C400="",$D400="",$E400="",$F400=""),"Lengkapi master PIC",IF(COUNTIFS($A$8:$A$507,$A400,$B$8:$B$507,$B400)&gt;1,"Laporan ganda",IF(COUNTIFS(G400:O400,"Tidak Berlaku")&gt;0,"N/A hanya untuk kegiatan bersyarat",IF(SUM(AF400,AG400,AH400,AI400,AJ400)&lt;&gt;13,"Status kegiatan tidak valid",IF(AJ400&gt;0,"Lengkapi status kegiatan",IF(AND(AI400&gt;0,T400=""),"Isi alasan Tidak Berlaku",IF(AND(SUM(AG400,AH400)&gt;0,OR(T400="",U400="",V400="",W400="")),"Isi kendala dan tindak lanjut",IF(AND(Y400&lt;&gt;"Draft",Y400&lt;&gt;"Dikirim"),"Isi status laporan yang valid",IF(AND(AA400&lt;&gt;"",AA400&lt;&gt;"Belum Diperiksa",AA400&lt;&gt;"Disetujui",AA400&lt;&gt;"Perlu Perbaikan"),"Hasil review tidak valid",IF(AND(Y400="Dikirim",OR(X400="",Z400="")),"Isi bukti dan waktu kirim",IF(AND(AA400="Disetujui",OR(Y400&lt;&gt;"Dikirim",AB400="",AC400="")),"Lengkapi pemeriksaan",IF(AND(AA400="Perlu Perbaikan",OR(AD400="",AB400="",AC400="")),"Isi pemeriksa dan catatan perbaikan","OK")))))))))))))))),"")</f>
        <v/>
      </c>
    </row>
    <row r="401" spans="1:38" ht="24.95" customHeight="1">
      <c r="A401" s="8"/>
      <c r="B401" s="6"/>
      <c r="C401" s="15" t="str">
        <f>IF(COUNTIFS(Master_PIC!$A$8:$A$73,$B401)=1,IF(VLOOKUP($B401,Master_PIC!$A$8:$G$73,2,FALSE)="","",VLOOKUP($B401,Master_PIC!$A$8:$G$73,2,FALSE)),"")</f>
        <v/>
      </c>
      <c r="D401" s="15" t="str">
        <f>IF(COUNTIFS(Master_PIC!$A$8:$A$73,$B401)=1,IF(VLOOKUP($B401,Master_PIC!$A$8:$G$73,4,FALSE)="","",VLOOKUP($B401,Master_PIC!$A$8:$G$73,4,FALSE)),"")</f>
        <v/>
      </c>
      <c r="E401" s="15" t="str">
        <f>IF(COUNTIFS(Master_PIC!$A$8:$A$73,$B401)=1,IF(VLOOKUP($B401,Master_PIC!$A$8:$G$73,5,FALSE)="","",VLOOKUP($B401,Master_PIC!$A$8:$G$73,5,FALSE)),"")</f>
        <v/>
      </c>
      <c r="F401" s="15" t="str">
        <f>IF(COUNTIFS(Master_PIC!$A$8:$A$73,$B401)=1,IF(VLOOKUP($B401,Master_PIC!$A$8:$G$73,6,FALSE)="","",VLOOKUP($B401,Master_PIC!$A$8:$G$73,6,FALSE)),"")</f>
        <v/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8"/>
      <c r="X401" s="5"/>
      <c r="Y401" s="5"/>
      <c r="Z401" s="9"/>
      <c r="AA401" s="5"/>
      <c r="AB401" s="5"/>
      <c r="AC401" s="9"/>
      <c r="AD401" s="5"/>
      <c r="AE401" s="7" t="str">
        <f t="shared" si="42"/>
        <v/>
      </c>
      <c r="AF401" s="7" t="str">
        <f t="shared" si="43"/>
        <v/>
      </c>
      <c r="AG401" s="7" t="str">
        <f t="shared" si="44"/>
        <v/>
      </c>
      <c r="AH401" s="7" t="str">
        <f t="shared" si="45"/>
        <v/>
      </c>
      <c r="AI401" s="7" t="str">
        <f t="shared" si="46"/>
        <v/>
      </c>
      <c r="AJ401" s="7" t="str">
        <f t="shared" si="47"/>
        <v/>
      </c>
      <c r="AK401" s="10" t="str">
        <f t="shared" si="48"/>
        <v/>
      </c>
      <c r="AL401" s="15" t="str">
        <f>IF(OR($A401&lt;&gt;"",$B401&lt;&gt;""),IF(OR($A401="",$B401=""),"Isi tanggal dan ID PIC",IF(NOT(ISNUMBER($A401)),"Tanggal harus berupa tanggal Excel",IF(COUNTIFS(Master_PIC!$A$8:$A$73,$B401)&lt;&gt;1,"ID PIC tidak unik/terdaftar",IF(VLOOKUP($B401,Master_PIC!$A$8:$G$73,3,FALSE)&lt;&gt;"SPV","Jabatan tidak sesuai sheet",IF(OR($C401="",$D401="",$E401="",$F401=""),"Lengkapi master PIC",IF(COUNTIFS($A$8:$A$507,$A401,$B$8:$B$507,$B401)&gt;1,"Laporan ganda",IF(COUNTIFS(G401:O401,"Tidak Berlaku")&gt;0,"N/A hanya untuk kegiatan bersyarat",IF(SUM(AF401,AG401,AH401,AI401,AJ401)&lt;&gt;13,"Status kegiatan tidak valid",IF(AJ401&gt;0,"Lengkapi status kegiatan",IF(AND(AI401&gt;0,T401=""),"Isi alasan Tidak Berlaku",IF(AND(SUM(AG401,AH401)&gt;0,OR(T401="",U401="",V401="",W401="")),"Isi kendala dan tindak lanjut",IF(AND(Y401&lt;&gt;"Draft",Y401&lt;&gt;"Dikirim"),"Isi status laporan yang valid",IF(AND(AA401&lt;&gt;"",AA401&lt;&gt;"Belum Diperiksa",AA401&lt;&gt;"Disetujui",AA401&lt;&gt;"Perlu Perbaikan"),"Hasil review tidak valid",IF(AND(Y401="Dikirim",OR(X401="",Z401="")),"Isi bukti dan waktu kirim",IF(AND(AA401="Disetujui",OR(Y401&lt;&gt;"Dikirim",AB401="",AC401="")),"Lengkapi pemeriksaan",IF(AND(AA401="Perlu Perbaikan",OR(AD401="",AB401="",AC401="")),"Isi pemeriksa dan catatan perbaikan","OK")))))))))))))))),"")</f>
        <v/>
      </c>
    </row>
    <row r="402" spans="1:38" ht="24.95" customHeight="1">
      <c r="A402" s="8"/>
      <c r="B402" s="6"/>
      <c r="C402" s="15" t="str">
        <f>IF(COUNTIFS(Master_PIC!$A$8:$A$73,$B402)=1,IF(VLOOKUP($B402,Master_PIC!$A$8:$G$73,2,FALSE)="","",VLOOKUP($B402,Master_PIC!$A$8:$G$73,2,FALSE)),"")</f>
        <v/>
      </c>
      <c r="D402" s="15" t="str">
        <f>IF(COUNTIFS(Master_PIC!$A$8:$A$73,$B402)=1,IF(VLOOKUP($B402,Master_PIC!$A$8:$G$73,4,FALSE)="","",VLOOKUP($B402,Master_PIC!$A$8:$G$73,4,FALSE)),"")</f>
        <v/>
      </c>
      <c r="E402" s="15" t="str">
        <f>IF(COUNTIFS(Master_PIC!$A$8:$A$73,$B402)=1,IF(VLOOKUP($B402,Master_PIC!$A$8:$G$73,5,FALSE)="","",VLOOKUP($B402,Master_PIC!$A$8:$G$73,5,FALSE)),"")</f>
        <v/>
      </c>
      <c r="F402" s="15" t="str">
        <f>IF(COUNTIFS(Master_PIC!$A$8:$A$73,$B402)=1,IF(VLOOKUP($B402,Master_PIC!$A$8:$G$73,6,FALSE)="","",VLOOKUP($B402,Master_PIC!$A$8:$G$73,6,FALSE)),"")</f>
        <v/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8"/>
      <c r="X402" s="5"/>
      <c r="Y402" s="5"/>
      <c r="Z402" s="9"/>
      <c r="AA402" s="5"/>
      <c r="AB402" s="5"/>
      <c r="AC402" s="9"/>
      <c r="AD402" s="5"/>
      <c r="AE402" s="7" t="str">
        <f t="shared" si="42"/>
        <v/>
      </c>
      <c r="AF402" s="7" t="str">
        <f t="shared" si="43"/>
        <v/>
      </c>
      <c r="AG402" s="7" t="str">
        <f t="shared" si="44"/>
        <v/>
      </c>
      <c r="AH402" s="7" t="str">
        <f t="shared" si="45"/>
        <v/>
      </c>
      <c r="AI402" s="7" t="str">
        <f t="shared" si="46"/>
        <v/>
      </c>
      <c r="AJ402" s="7" t="str">
        <f t="shared" si="47"/>
        <v/>
      </c>
      <c r="AK402" s="10" t="str">
        <f t="shared" si="48"/>
        <v/>
      </c>
      <c r="AL402" s="15" t="str">
        <f>IF(OR($A402&lt;&gt;"",$B402&lt;&gt;""),IF(OR($A402="",$B402=""),"Isi tanggal dan ID PIC",IF(NOT(ISNUMBER($A402)),"Tanggal harus berupa tanggal Excel",IF(COUNTIFS(Master_PIC!$A$8:$A$73,$B402)&lt;&gt;1,"ID PIC tidak unik/terdaftar",IF(VLOOKUP($B402,Master_PIC!$A$8:$G$73,3,FALSE)&lt;&gt;"SPV","Jabatan tidak sesuai sheet",IF(OR($C402="",$D402="",$E402="",$F402=""),"Lengkapi master PIC",IF(COUNTIFS($A$8:$A$507,$A402,$B$8:$B$507,$B402)&gt;1,"Laporan ganda",IF(COUNTIFS(G402:O402,"Tidak Berlaku")&gt;0,"N/A hanya untuk kegiatan bersyarat",IF(SUM(AF402,AG402,AH402,AI402,AJ402)&lt;&gt;13,"Status kegiatan tidak valid",IF(AJ402&gt;0,"Lengkapi status kegiatan",IF(AND(AI402&gt;0,T402=""),"Isi alasan Tidak Berlaku",IF(AND(SUM(AG402,AH402)&gt;0,OR(T402="",U402="",V402="",W402="")),"Isi kendala dan tindak lanjut",IF(AND(Y402&lt;&gt;"Draft",Y402&lt;&gt;"Dikirim"),"Isi status laporan yang valid",IF(AND(AA402&lt;&gt;"",AA402&lt;&gt;"Belum Diperiksa",AA402&lt;&gt;"Disetujui",AA402&lt;&gt;"Perlu Perbaikan"),"Hasil review tidak valid",IF(AND(Y402="Dikirim",OR(X402="",Z402="")),"Isi bukti dan waktu kirim",IF(AND(AA402="Disetujui",OR(Y402&lt;&gt;"Dikirim",AB402="",AC402="")),"Lengkapi pemeriksaan",IF(AND(AA402="Perlu Perbaikan",OR(AD402="",AB402="",AC402="")),"Isi pemeriksa dan catatan perbaikan","OK")))))))))))))))),"")</f>
        <v/>
      </c>
    </row>
    <row r="403" spans="1:38" ht="24.95" customHeight="1">
      <c r="A403" s="8"/>
      <c r="B403" s="6"/>
      <c r="C403" s="15" t="str">
        <f>IF(COUNTIFS(Master_PIC!$A$8:$A$73,$B403)=1,IF(VLOOKUP($B403,Master_PIC!$A$8:$G$73,2,FALSE)="","",VLOOKUP($B403,Master_PIC!$A$8:$G$73,2,FALSE)),"")</f>
        <v/>
      </c>
      <c r="D403" s="15" t="str">
        <f>IF(COUNTIFS(Master_PIC!$A$8:$A$73,$B403)=1,IF(VLOOKUP($B403,Master_PIC!$A$8:$G$73,4,FALSE)="","",VLOOKUP($B403,Master_PIC!$A$8:$G$73,4,FALSE)),"")</f>
        <v/>
      </c>
      <c r="E403" s="15" t="str">
        <f>IF(COUNTIFS(Master_PIC!$A$8:$A$73,$B403)=1,IF(VLOOKUP($B403,Master_PIC!$A$8:$G$73,5,FALSE)="","",VLOOKUP($B403,Master_PIC!$A$8:$G$73,5,FALSE)),"")</f>
        <v/>
      </c>
      <c r="F403" s="15" t="str">
        <f>IF(COUNTIFS(Master_PIC!$A$8:$A$73,$B403)=1,IF(VLOOKUP($B403,Master_PIC!$A$8:$G$73,6,FALSE)="","",VLOOKUP($B403,Master_PIC!$A$8:$G$73,6,FALSE)),"")</f>
        <v/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8"/>
      <c r="X403" s="5"/>
      <c r="Y403" s="5"/>
      <c r="Z403" s="9"/>
      <c r="AA403" s="5"/>
      <c r="AB403" s="5"/>
      <c r="AC403" s="9"/>
      <c r="AD403" s="5"/>
      <c r="AE403" s="7" t="str">
        <f t="shared" si="42"/>
        <v/>
      </c>
      <c r="AF403" s="7" t="str">
        <f t="shared" si="43"/>
        <v/>
      </c>
      <c r="AG403" s="7" t="str">
        <f t="shared" si="44"/>
        <v/>
      </c>
      <c r="AH403" s="7" t="str">
        <f t="shared" si="45"/>
        <v/>
      </c>
      <c r="AI403" s="7" t="str">
        <f t="shared" si="46"/>
        <v/>
      </c>
      <c r="AJ403" s="7" t="str">
        <f t="shared" si="47"/>
        <v/>
      </c>
      <c r="AK403" s="10" t="str">
        <f t="shared" si="48"/>
        <v/>
      </c>
      <c r="AL403" s="15" t="str">
        <f>IF(OR($A403&lt;&gt;"",$B403&lt;&gt;""),IF(OR($A403="",$B403=""),"Isi tanggal dan ID PIC",IF(NOT(ISNUMBER($A403)),"Tanggal harus berupa tanggal Excel",IF(COUNTIFS(Master_PIC!$A$8:$A$73,$B403)&lt;&gt;1,"ID PIC tidak unik/terdaftar",IF(VLOOKUP($B403,Master_PIC!$A$8:$G$73,3,FALSE)&lt;&gt;"SPV","Jabatan tidak sesuai sheet",IF(OR($C403="",$D403="",$E403="",$F403=""),"Lengkapi master PIC",IF(COUNTIFS($A$8:$A$507,$A403,$B$8:$B$507,$B403)&gt;1,"Laporan ganda",IF(COUNTIFS(G403:O403,"Tidak Berlaku")&gt;0,"N/A hanya untuk kegiatan bersyarat",IF(SUM(AF403,AG403,AH403,AI403,AJ403)&lt;&gt;13,"Status kegiatan tidak valid",IF(AJ403&gt;0,"Lengkapi status kegiatan",IF(AND(AI403&gt;0,T403=""),"Isi alasan Tidak Berlaku",IF(AND(SUM(AG403,AH403)&gt;0,OR(T403="",U403="",V403="",W403="")),"Isi kendala dan tindak lanjut",IF(AND(Y403&lt;&gt;"Draft",Y403&lt;&gt;"Dikirim"),"Isi status laporan yang valid",IF(AND(AA403&lt;&gt;"",AA403&lt;&gt;"Belum Diperiksa",AA403&lt;&gt;"Disetujui",AA403&lt;&gt;"Perlu Perbaikan"),"Hasil review tidak valid",IF(AND(Y403="Dikirim",OR(X403="",Z403="")),"Isi bukti dan waktu kirim",IF(AND(AA403="Disetujui",OR(Y403&lt;&gt;"Dikirim",AB403="",AC403="")),"Lengkapi pemeriksaan",IF(AND(AA403="Perlu Perbaikan",OR(AD403="",AB403="",AC403="")),"Isi pemeriksa dan catatan perbaikan","OK")))))))))))))))),"")</f>
        <v/>
      </c>
    </row>
    <row r="404" spans="1:38" ht="24.95" customHeight="1">
      <c r="A404" s="8"/>
      <c r="B404" s="6"/>
      <c r="C404" s="15" t="str">
        <f>IF(COUNTIFS(Master_PIC!$A$8:$A$73,$B404)=1,IF(VLOOKUP($B404,Master_PIC!$A$8:$G$73,2,FALSE)="","",VLOOKUP($B404,Master_PIC!$A$8:$G$73,2,FALSE)),"")</f>
        <v/>
      </c>
      <c r="D404" s="15" t="str">
        <f>IF(COUNTIFS(Master_PIC!$A$8:$A$73,$B404)=1,IF(VLOOKUP($B404,Master_PIC!$A$8:$G$73,4,FALSE)="","",VLOOKUP($B404,Master_PIC!$A$8:$G$73,4,FALSE)),"")</f>
        <v/>
      </c>
      <c r="E404" s="15" t="str">
        <f>IF(COUNTIFS(Master_PIC!$A$8:$A$73,$B404)=1,IF(VLOOKUP($B404,Master_PIC!$A$8:$G$73,5,FALSE)="","",VLOOKUP($B404,Master_PIC!$A$8:$G$73,5,FALSE)),"")</f>
        <v/>
      </c>
      <c r="F404" s="15" t="str">
        <f>IF(COUNTIFS(Master_PIC!$A$8:$A$73,$B404)=1,IF(VLOOKUP($B404,Master_PIC!$A$8:$G$73,6,FALSE)="","",VLOOKUP($B404,Master_PIC!$A$8:$G$73,6,FALSE)),"")</f>
        <v/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8"/>
      <c r="X404" s="5"/>
      <c r="Y404" s="5"/>
      <c r="Z404" s="9"/>
      <c r="AA404" s="5"/>
      <c r="AB404" s="5"/>
      <c r="AC404" s="9"/>
      <c r="AD404" s="5"/>
      <c r="AE404" s="7" t="str">
        <f t="shared" si="42"/>
        <v/>
      </c>
      <c r="AF404" s="7" t="str">
        <f t="shared" si="43"/>
        <v/>
      </c>
      <c r="AG404" s="7" t="str">
        <f t="shared" si="44"/>
        <v/>
      </c>
      <c r="AH404" s="7" t="str">
        <f t="shared" si="45"/>
        <v/>
      </c>
      <c r="AI404" s="7" t="str">
        <f t="shared" si="46"/>
        <v/>
      </c>
      <c r="AJ404" s="7" t="str">
        <f t="shared" si="47"/>
        <v/>
      </c>
      <c r="AK404" s="10" t="str">
        <f t="shared" si="48"/>
        <v/>
      </c>
      <c r="AL404" s="15" t="str">
        <f>IF(OR($A404&lt;&gt;"",$B404&lt;&gt;""),IF(OR($A404="",$B404=""),"Isi tanggal dan ID PIC",IF(NOT(ISNUMBER($A404)),"Tanggal harus berupa tanggal Excel",IF(COUNTIFS(Master_PIC!$A$8:$A$73,$B404)&lt;&gt;1,"ID PIC tidak unik/terdaftar",IF(VLOOKUP($B404,Master_PIC!$A$8:$G$73,3,FALSE)&lt;&gt;"SPV","Jabatan tidak sesuai sheet",IF(OR($C404="",$D404="",$E404="",$F404=""),"Lengkapi master PIC",IF(COUNTIFS($A$8:$A$507,$A404,$B$8:$B$507,$B404)&gt;1,"Laporan ganda",IF(COUNTIFS(G404:O404,"Tidak Berlaku")&gt;0,"N/A hanya untuk kegiatan bersyarat",IF(SUM(AF404,AG404,AH404,AI404,AJ404)&lt;&gt;13,"Status kegiatan tidak valid",IF(AJ404&gt;0,"Lengkapi status kegiatan",IF(AND(AI404&gt;0,T404=""),"Isi alasan Tidak Berlaku",IF(AND(SUM(AG404,AH404)&gt;0,OR(T404="",U404="",V404="",W404="")),"Isi kendala dan tindak lanjut",IF(AND(Y404&lt;&gt;"Draft",Y404&lt;&gt;"Dikirim"),"Isi status laporan yang valid",IF(AND(AA404&lt;&gt;"",AA404&lt;&gt;"Belum Diperiksa",AA404&lt;&gt;"Disetujui",AA404&lt;&gt;"Perlu Perbaikan"),"Hasil review tidak valid",IF(AND(Y404="Dikirim",OR(X404="",Z404="")),"Isi bukti dan waktu kirim",IF(AND(AA404="Disetujui",OR(Y404&lt;&gt;"Dikirim",AB404="",AC404="")),"Lengkapi pemeriksaan",IF(AND(AA404="Perlu Perbaikan",OR(AD404="",AB404="",AC404="")),"Isi pemeriksa dan catatan perbaikan","OK")))))))))))))))),"")</f>
        <v/>
      </c>
    </row>
    <row r="405" spans="1:38" ht="24.95" customHeight="1">
      <c r="A405" s="8"/>
      <c r="B405" s="6"/>
      <c r="C405" s="15" t="str">
        <f>IF(COUNTIFS(Master_PIC!$A$8:$A$73,$B405)=1,IF(VLOOKUP($B405,Master_PIC!$A$8:$G$73,2,FALSE)="","",VLOOKUP($B405,Master_PIC!$A$8:$G$73,2,FALSE)),"")</f>
        <v/>
      </c>
      <c r="D405" s="15" t="str">
        <f>IF(COUNTIFS(Master_PIC!$A$8:$A$73,$B405)=1,IF(VLOOKUP($B405,Master_PIC!$A$8:$G$73,4,FALSE)="","",VLOOKUP($B405,Master_PIC!$A$8:$G$73,4,FALSE)),"")</f>
        <v/>
      </c>
      <c r="E405" s="15" t="str">
        <f>IF(COUNTIFS(Master_PIC!$A$8:$A$73,$B405)=1,IF(VLOOKUP($B405,Master_PIC!$A$8:$G$73,5,FALSE)="","",VLOOKUP($B405,Master_PIC!$A$8:$G$73,5,FALSE)),"")</f>
        <v/>
      </c>
      <c r="F405" s="15" t="str">
        <f>IF(COUNTIFS(Master_PIC!$A$8:$A$73,$B405)=1,IF(VLOOKUP($B405,Master_PIC!$A$8:$G$73,6,FALSE)="","",VLOOKUP($B405,Master_PIC!$A$8:$G$73,6,FALSE)),"")</f>
        <v/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8"/>
      <c r="X405" s="5"/>
      <c r="Y405" s="5"/>
      <c r="Z405" s="9"/>
      <c r="AA405" s="5"/>
      <c r="AB405" s="5"/>
      <c r="AC405" s="9"/>
      <c r="AD405" s="5"/>
      <c r="AE405" s="7" t="str">
        <f t="shared" si="42"/>
        <v/>
      </c>
      <c r="AF405" s="7" t="str">
        <f t="shared" si="43"/>
        <v/>
      </c>
      <c r="AG405" s="7" t="str">
        <f t="shared" si="44"/>
        <v/>
      </c>
      <c r="AH405" s="7" t="str">
        <f t="shared" si="45"/>
        <v/>
      </c>
      <c r="AI405" s="7" t="str">
        <f t="shared" si="46"/>
        <v/>
      </c>
      <c r="AJ405" s="7" t="str">
        <f t="shared" si="47"/>
        <v/>
      </c>
      <c r="AK405" s="10" t="str">
        <f t="shared" si="48"/>
        <v/>
      </c>
      <c r="AL405" s="15" t="str">
        <f>IF(OR($A405&lt;&gt;"",$B405&lt;&gt;""),IF(OR($A405="",$B405=""),"Isi tanggal dan ID PIC",IF(NOT(ISNUMBER($A405)),"Tanggal harus berupa tanggal Excel",IF(COUNTIFS(Master_PIC!$A$8:$A$73,$B405)&lt;&gt;1,"ID PIC tidak unik/terdaftar",IF(VLOOKUP($B405,Master_PIC!$A$8:$G$73,3,FALSE)&lt;&gt;"SPV","Jabatan tidak sesuai sheet",IF(OR($C405="",$D405="",$E405="",$F405=""),"Lengkapi master PIC",IF(COUNTIFS($A$8:$A$507,$A405,$B$8:$B$507,$B405)&gt;1,"Laporan ganda",IF(COUNTIFS(G405:O405,"Tidak Berlaku")&gt;0,"N/A hanya untuk kegiatan bersyarat",IF(SUM(AF405,AG405,AH405,AI405,AJ405)&lt;&gt;13,"Status kegiatan tidak valid",IF(AJ405&gt;0,"Lengkapi status kegiatan",IF(AND(AI405&gt;0,T405=""),"Isi alasan Tidak Berlaku",IF(AND(SUM(AG405,AH405)&gt;0,OR(T405="",U405="",V405="",W405="")),"Isi kendala dan tindak lanjut",IF(AND(Y405&lt;&gt;"Draft",Y405&lt;&gt;"Dikirim"),"Isi status laporan yang valid",IF(AND(AA405&lt;&gt;"",AA405&lt;&gt;"Belum Diperiksa",AA405&lt;&gt;"Disetujui",AA405&lt;&gt;"Perlu Perbaikan"),"Hasil review tidak valid",IF(AND(Y405="Dikirim",OR(X405="",Z405="")),"Isi bukti dan waktu kirim",IF(AND(AA405="Disetujui",OR(Y405&lt;&gt;"Dikirim",AB405="",AC405="")),"Lengkapi pemeriksaan",IF(AND(AA405="Perlu Perbaikan",OR(AD405="",AB405="",AC405="")),"Isi pemeriksa dan catatan perbaikan","OK")))))))))))))))),"")</f>
        <v/>
      </c>
    </row>
    <row r="406" spans="1:38" ht="24.95" customHeight="1">
      <c r="A406" s="8"/>
      <c r="B406" s="6"/>
      <c r="C406" s="15" t="str">
        <f>IF(COUNTIFS(Master_PIC!$A$8:$A$73,$B406)=1,IF(VLOOKUP($B406,Master_PIC!$A$8:$G$73,2,FALSE)="","",VLOOKUP($B406,Master_PIC!$A$8:$G$73,2,FALSE)),"")</f>
        <v/>
      </c>
      <c r="D406" s="15" t="str">
        <f>IF(COUNTIFS(Master_PIC!$A$8:$A$73,$B406)=1,IF(VLOOKUP($B406,Master_PIC!$A$8:$G$73,4,FALSE)="","",VLOOKUP($B406,Master_PIC!$A$8:$G$73,4,FALSE)),"")</f>
        <v/>
      </c>
      <c r="E406" s="15" t="str">
        <f>IF(COUNTIFS(Master_PIC!$A$8:$A$73,$B406)=1,IF(VLOOKUP($B406,Master_PIC!$A$8:$G$73,5,FALSE)="","",VLOOKUP($B406,Master_PIC!$A$8:$G$73,5,FALSE)),"")</f>
        <v/>
      </c>
      <c r="F406" s="15" t="str">
        <f>IF(COUNTIFS(Master_PIC!$A$8:$A$73,$B406)=1,IF(VLOOKUP($B406,Master_PIC!$A$8:$G$73,6,FALSE)="","",VLOOKUP($B406,Master_PIC!$A$8:$G$73,6,FALSE)),"")</f>
        <v/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8"/>
      <c r="X406" s="5"/>
      <c r="Y406" s="5"/>
      <c r="Z406" s="9"/>
      <c r="AA406" s="5"/>
      <c r="AB406" s="5"/>
      <c r="AC406" s="9"/>
      <c r="AD406" s="5"/>
      <c r="AE406" s="7" t="str">
        <f t="shared" si="42"/>
        <v/>
      </c>
      <c r="AF406" s="7" t="str">
        <f t="shared" si="43"/>
        <v/>
      </c>
      <c r="AG406" s="7" t="str">
        <f t="shared" si="44"/>
        <v/>
      </c>
      <c r="AH406" s="7" t="str">
        <f t="shared" si="45"/>
        <v/>
      </c>
      <c r="AI406" s="7" t="str">
        <f t="shared" si="46"/>
        <v/>
      </c>
      <c r="AJ406" s="7" t="str">
        <f t="shared" si="47"/>
        <v/>
      </c>
      <c r="AK406" s="10" t="str">
        <f t="shared" si="48"/>
        <v/>
      </c>
      <c r="AL406" s="15" t="str">
        <f>IF(OR($A406&lt;&gt;"",$B406&lt;&gt;""),IF(OR($A406="",$B406=""),"Isi tanggal dan ID PIC",IF(NOT(ISNUMBER($A406)),"Tanggal harus berupa tanggal Excel",IF(COUNTIFS(Master_PIC!$A$8:$A$73,$B406)&lt;&gt;1,"ID PIC tidak unik/terdaftar",IF(VLOOKUP($B406,Master_PIC!$A$8:$G$73,3,FALSE)&lt;&gt;"SPV","Jabatan tidak sesuai sheet",IF(OR($C406="",$D406="",$E406="",$F406=""),"Lengkapi master PIC",IF(COUNTIFS($A$8:$A$507,$A406,$B$8:$B$507,$B406)&gt;1,"Laporan ganda",IF(COUNTIFS(G406:O406,"Tidak Berlaku")&gt;0,"N/A hanya untuk kegiatan bersyarat",IF(SUM(AF406,AG406,AH406,AI406,AJ406)&lt;&gt;13,"Status kegiatan tidak valid",IF(AJ406&gt;0,"Lengkapi status kegiatan",IF(AND(AI406&gt;0,T406=""),"Isi alasan Tidak Berlaku",IF(AND(SUM(AG406,AH406)&gt;0,OR(T406="",U406="",V406="",W406="")),"Isi kendala dan tindak lanjut",IF(AND(Y406&lt;&gt;"Draft",Y406&lt;&gt;"Dikirim"),"Isi status laporan yang valid",IF(AND(AA406&lt;&gt;"",AA406&lt;&gt;"Belum Diperiksa",AA406&lt;&gt;"Disetujui",AA406&lt;&gt;"Perlu Perbaikan"),"Hasil review tidak valid",IF(AND(Y406="Dikirim",OR(X406="",Z406="")),"Isi bukti dan waktu kirim",IF(AND(AA406="Disetujui",OR(Y406&lt;&gt;"Dikirim",AB406="",AC406="")),"Lengkapi pemeriksaan",IF(AND(AA406="Perlu Perbaikan",OR(AD406="",AB406="",AC406="")),"Isi pemeriksa dan catatan perbaikan","OK")))))))))))))))),"")</f>
        <v/>
      </c>
    </row>
    <row r="407" spans="1:38" ht="24.95" customHeight="1">
      <c r="A407" s="8"/>
      <c r="B407" s="6"/>
      <c r="C407" s="15" t="str">
        <f>IF(COUNTIFS(Master_PIC!$A$8:$A$73,$B407)=1,IF(VLOOKUP($B407,Master_PIC!$A$8:$G$73,2,FALSE)="","",VLOOKUP($B407,Master_PIC!$A$8:$G$73,2,FALSE)),"")</f>
        <v/>
      </c>
      <c r="D407" s="15" t="str">
        <f>IF(COUNTIFS(Master_PIC!$A$8:$A$73,$B407)=1,IF(VLOOKUP($B407,Master_PIC!$A$8:$G$73,4,FALSE)="","",VLOOKUP($B407,Master_PIC!$A$8:$G$73,4,FALSE)),"")</f>
        <v/>
      </c>
      <c r="E407" s="15" t="str">
        <f>IF(COUNTIFS(Master_PIC!$A$8:$A$73,$B407)=1,IF(VLOOKUP($B407,Master_PIC!$A$8:$G$73,5,FALSE)="","",VLOOKUP($B407,Master_PIC!$A$8:$G$73,5,FALSE)),"")</f>
        <v/>
      </c>
      <c r="F407" s="15" t="str">
        <f>IF(COUNTIFS(Master_PIC!$A$8:$A$73,$B407)=1,IF(VLOOKUP($B407,Master_PIC!$A$8:$G$73,6,FALSE)="","",VLOOKUP($B407,Master_PIC!$A$8:$G$73,6,FALSE)),"")</f>
        <v/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8"/>
      <c r="X407" s="5"/>
      <c r="Y407" s="5"/>
      <c r="Z407" s="9"/>
      <c r="AA407" s="5"/>
      <c r="AB407" s="5"/>
      <c r="AC407" s="9"/>
      <c r="AD407" s="5"/>
      <c r="AE407" s="7" t="str">
        <f t="shared" si="42"/>
        <v/>
      </c>
      <c r="AF407" s="7" t="str">
        <f t="shared" si="43"/>
        <v/>
      </c>
      <c r="AG407" s="7" t="str">
        <f t="shared" si="44"/>
        <v/>
      </c>
      <c r="AH407" s="7" t="str">
        <f t="shared" si="45"/>
        <v/>
      </c>
      <c r="AI407" s="7" t="str">
        <f t="shared" si="46"/>
        <v/>
      </c>
      <c r="AJ407" s="7" t="str">
        <f t="shared" si="47"/>
        <v/>
      </c>
      <c r="AK407" s="10" t="str">
        <f t="shared" si="48"/>
        <v/>
      </c>
      <c r="AL407" s="15" t="str">
        <f>IF(OR($A407&lt;&gt;"",$B407&lt;&gt;""),IF(OR($A407="",$B407=""),"Isi tanggal dan ID PIC",IF(NOT(ISNUMBER($A407)),"Tanggal harus berupa tanggal Excel",IF(COUNTIFS(Master_PIC!$A$8:$A$73,$B407)&lt;&gt;1,"ID PIC tidak unik/terdaftar",IF(VLOOKUP($B407,Master_PIC!$A$8:$G$73,3,FALSE)&lt;&gt;"SPV","Jabatan tidak sesuai sheet",IF(OR($C407="",$D407="",$E407="",$F407=""),"Lengkapi master PIC",IF(COUNTIFS($A$8:$A$507,$A407,$B$8:$B$507,$B407)&gt;1,"Laporan ganda",IF(COUNTIFS(G407:O407,"Tidak Berlaku")&gt;0,"N/A hanya untuk kegiatan bersyarat",IF(SUM(AF407,AG407,AH407,AI407,AJ407)&lt;&gt;13,"Status kegiatan tidak valid",IF(AJ407&gt;0,"Lengkapi status kegiatan",IF(AND(AI407&gt;0,T407=""),"Isi alasan Tidak Berlaku",IF(AND(SUM(AG407,AH407)&gt;0,OR(T407="",U407="",V407="",W407="")),"Isi kendala dan tindak lanjut",IF(AND(Y407&lt;&gt;"Draft",Y407&lt;&gt;"Dikirim"),"Isi status laporan yang valid",IF(AND(AA407&lt;&gt;"",AA407&lt;&gt;"Belum Diperiksa",AA407&lt;&gt;"Disetujui",AA407&lt;&gt;"Perlu Perbaikan"),"Hasil review tidak valid",IF(AND(Y407="Dikirim",OR(X407="",Z407="")),"Isi bukti dan waktu kirim",IF(AND(AA407="Disetujui",OR(Y407&lt;&gt;"Dikirim",AB407="",AC407="")),"Lengkapi pemeriksaan",IF(AND(AA407="Perlu Perbaikan",OR(AD407="",AB407="",AC407="")),"Isi pemeriksa dan catatan perbaikan","OK")))))))))))))))),"")</f>
        <v/>
      </c>
    </row>
    <row r="408" spans="1:38" ht="24.95" customHeight="1">
      <c r="A408" s="8"/>
      <c r="B408" s="6"/>
      <c r="C408" s="15" t="str">
        <f>IF(COUNTIFS(Master_PIC!$A$8:$A$73,$B408)=1,IF(VLOOKUP($B408,Master_PIC!$A$8:$G$73,2,FALSE)="","",VLOOKUP($B408,Master_PIC!$A$8:$G$73,2,FALSE)),"")</f>
        <v/>
      </c>
      <c r="D408" s="15" t="str">
        <f>IF(COUNTIFS(Master_PIC!$A$8:$A$73,$B408)=1,IF(VLOOKUP($B408,Master_PIC!$A$8:$G$73,4,FALSE)="","",VLOOKUP($B408,Master_PIC!$A$8:$G$73,4,FALSE)),"")</f>
        <v/>
      </c>
      <c r="E408" s="15" t="str">
        <f>IF(COUNTIFS(Master_PIC!$A$8:$A$73,$B408)=1,IF(VLOOKUP($B408,Master_PIC!$A$8:$G$73,5,FALSE)="","",VLOOKUP($B408,Master_PIC!$A$8:$G$73,5,FALSE)),"")</f>
        <v/>
      </c>
      <c r="F408" s="15" t="str">
        <f>IF(COUNTIFS(Master_PIC!$A$8:$A$73,$B408)=1,IF(VLOOKUP($B408,Master_PIC!$A$8:$G$73,6,FALSE)="","",VLOOKUP($B408,Master_PIC!$A$8:$G$73,6,FALSE)),"")</f>
        <v/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8"/>
      <c r="X408" s="5"/>
      <c r="Y408" s="5"/>
      <c r="Z408" s="9"/>
      <c r="AA408" s="5"/>
      <c r="AB408" s="5"/>
      <c r="AC408" s="9"/>
      <c r="AD408" s="5"/>
      <c r="AE408" s="7" t="str">
        <f t="shared" si="42"/>
        <v/>
      </c>
      <c r="AF408" s="7" t="str">
        <f t="shared" si="43"/>
        <v/>
      </c>
      <c r="AG408" s="7" t="str">
        <f t="shared" si="44"/>
        <v/>
      </c>
      <c r="AH408" s="7" t="str">
        <f t="shared" si="45"/>
        <v/>
      </c>
      <c r="AI408" s="7" t="str">
        <f t="shared" si="46"/>
        <v/>
      </c>
      <c r="AJ408" s="7" t="str">
        <f t="shared" si="47"/>
        <v/>
      </c>
      <c r="AK408" s="10" t="str">
        <f t="shared" si="48"/>
        <v/>
      </c>
      <c r="AL408" s="15" t="str">
        <f>IF(OR($A408&lt;&gt;"",$B408&lt;&gt;""),IF(OR($A408="",$B408=""),"Isi tanggal dan ID PIC",IF(NOT(ISNUMBER($A408)),"Tanggal harus berupa tanggal Excel",IF(COUNTIFS(Master_PIC!$A$8:$A$73,$B408)&lt;&gt;1,"ID PIC tidak unik/terdaftar",IF(VLOOKUP($B408,Master_PIC!$A$8:$G$73,3,FALSE)&lt;&gt;"SPV","Jabatan tidak sesuai sheet",IF(OR($C408="",$D408="",$E408="",$F408=""),"Lengkapi master PIC",IF(COUNTIFS($A$8:$A$507,$A408,$B$8:$B$507,$B408)&gt;1,"Laporan ganda",IF(COUNTIFS(G408:O408,"Tidak Berlaku")&gt;0,"N/A hanya untuk kegiatan bersyarat",IF(SUM(AF408,AG408,AH408,AI408,AJ408)&lt;&gt;13,"Status kegiatan tidak valid",IF(AJ408&gt;0,"Lengkapi status kegiatan",IF(AND(AI408&gt;0,T408=""),"Isi alasan Tidak Berlaku",IF(AND(SUM(AG408,AH408)&gt;0,OR(T408="",U408="",V408="",W408="")),"Isi kendala dan tindak lanjut",IF(AND(Y408&lt;&gt;"Draft",Y408&lt;&gt;"Dikirim"),"Isi status laporan yang valid",IF(AND(AA408&lt;&gt;"",AA408&lt;&gt;"Belum Diperiksa",AA408&lt;&gt;"Disetujui",AA408&lt;&gt;"Perlu Perbaikan"),"Hasil review tidak valid",IF(AND(Y408="Dikirim",OR(X408="",Z408="")),"Isi bukti dan waktu kirim",IF(AND(AA408="Disetujui",OR(Y408&lt;&gt;"Dikirim",AB408="",AC408="")),"Lengkapi pemeriksaan",IF(AND(AA408="Perlu Perbaikan",OR(AD408="",AB408="",AC408="")),"Isi pemeriksa dan catatan perbaikan","OK")))))))))))))))),"")</f>
        <v/>
      </c>
    </row>
    <row r="409" spans="1:38" ht="24.95" customHeight="1">
      <c r="A409" s="8"/>
      <c r="B409" s="6"/>
      <c r="C409" s="15" t="str">
        <f>IF(COUNTIFS(Master_PIC!$A$8:$A$73,$B409)=1,IF(VLOOKUP($B409,Master_PIC!$A$8:$G$73,2,FALSE)="","",VLOOKUP($B409,Master_PIC!$A$8:$G$73,2,FALSE)),"")</f>
        <v/>
      </c>
      <c r="D409" s="15" t="str">
        <f>IF(COUNTIFS(Master_PIC!$A$8:$A$73,$B409)=1,IF(VLOOKUP($B409,Master_PIC!$A$8:$G$73,4,FALSE)="","",VLOOKUP($B409,Master_PIC!$A$8:$G$73,4,FALSE)),"")</f>
        <v/>
      </c>
      <c r="E409" s="15" t="str">
        <f>IF(COUNTIFS(Master_PIC!$A$8:$A$73,$B409)=1,IF(VLOOKUP($B409,Master_PIC!$A$8:$G$73,5,FALSE)="","",VLOOKUP($B409,Master_PIC!$A$8:$G$73,5,FALSE)),"")</f>
        <v/>
      </c>
      <c r="F409" s="15" t="str">
        <f>IF(COUNTIFS(Master_PIC!$A$8:$A$73,$B409)=1,IF(VLOOKUP($B409,Master_PIC!$A$8:$G$73,6,FALSE)="","",VLOOKUP($B409,Master_PIC!$A$8:$G$73,6,FALSE)),"")</f>
        <v/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8"/>
      <c r="X409" s="5"/>
      <c r="Y409" s="5"/>
      <c r="Z409" s="9"/>
      <c r="AA409" s="5"/>
      <c r="AB409" s="5"/>
      <c r="AC409" s="9"/>
      <c r="AD409" s="5"/>
      <c r="AE409" s="7" t="str">
        <f t="shared" si="42"/>
        <v/>
      </c>
      <c r="AF409" s="7" t="str">
        <f t="shared" si="43"/>
        <v/>
      </c>
      <c r="AG409" s="7" t="str">
        <f t="shared" si="44"/>
        <v/>
      </c>
      <c r="AH409" s="7" t="str">
        <f t="shared" si="45"/>
        <v/>
      </c>
      <c r="AI409" s="7" t="str">
        <f t="shared" si="46"/>
        <v/>
      </c>
      <c r="AJ409" s="7" t="str">
        <f t="shared" si="47"/>
        <v/>
      </c>
      <c r="AK409" s="10" t="str">
        <f t="shared" si="48"/>
        <v/>
      </c>
      <c r="AL409" s="15" t="str">
        <f>IF(OR($A409&lt;&gt;"",$B409&lt;&gt;""),IF(OR($A409="",$B409=""),"Isi tanggal dan ID PIC",IF(NOT(ISNUMBER($A409)),"Tanggal harus berupa tanggal Excel",IF(COUNTIFS(Master_PIC!$A$8:$A$73,$B409)&lt;&gt;1,"ID PIC tidak unik/terdaftar",IF(VLOOKUP($B409,Master_PIC!$A$8:$G$73,3,FALSE)&lt;&gt;"SPV","Jabatan tidak sesuai sheet",IF(OR($C409="",$D409="",$E409="",$F409=""),"Lengkapi master PIC",IF(COUNTIFS($A$8:$A$507,$A409,$B$8:$B$507,$B409)&gt;1,"Laporan ganda",IF(COUNTIFS(G409:O409,"Tidak Berlaku")&gt;0,"N/A hanya untuk kegiatan bersyarat",IF(SUM(AF409,AG409,AH409,AI409,AJ409)&lt;&gt;13,"Status kegiatan tidak valid",IF(AJ409&gt;0,"Lengkapi status kegiatan",IF(AND(AI409&gt;0,T409=""),"Isi alasan Tidak Berlaku",IF(AND(SUM(AG409,AH409)&gt;0,OR(T409="",U409="",V409="",W409="")),"Isi kendala dan tindak lanjut",IF(AND(Y409&lt;&gt;"Draft",Y409&lt;&gt;"Dikirim"),"Isi status laporan yang valid",IF(AND(AA409&lt;&gt;"",AA409&lt;&gt;"Belum Diperiksa",AA409&lt;&gt;"Disetujui",AA409&lt;&gt;"Perlu Perbaikan"),"Hasil review tidak valid",IF(AND(Y409="Dikirim",OR(X409="",Z409="")),"Isi bukti dan waktu kirim",IF(AND(AA409="Disetujui",OR(Y409&lt;&gt;"Dikirim",AB409="",AC409="")),"Lengkapi pemeriksaan",IF(AND(AA409="Perlu Perbaikan",OR(AD409="",AB409="",AC409="")),"Isi pemeriksa dan catatan perbaikan","OK")))))))))))))))),"")</f>
        <v/>
      </c>
    </row>
    <row r="410" spans="1:38" ht="24.95" customHeight="1">
      <c r="A410" s="8"/>
      <c r="B410" s="6"/>
      <c r="C410" s="15" t="str">
        <f>IF(COUNTIFS(Master_PIC!$A$8:$A$73,$B410)=1,IF(VLOOKUP($B410,Master_PIC!$A$8:$G$73,2,FALSE)="","",VLOOKUP($B410,Master_PIC!$A$8:$G$73,2,FALSE)),"")</f>
        <v/>
      </c>
      <c r="D410" s="15" t="str">
        <f>IF(COUNTIFS(Master_PIC!$A$8:$A$73,$B410)=1,IF(VLOOKUP($B410,Master_PIC!$A$8:$G$73,4,FALSE)="","",VLOOKUP($B410,Master_PIC!$A$8:$G$73,4,FALSE)),"")</f>
        <v/>
      </c>
      <c r="E410" s="15" t="str">
        <f>IF(COUNTIFS(Master_PIC!$A$8:$A$73,$B410)=1,IF(VLOOKUP($B410,Master_PIC!$A$8:$G$73,5,FALSE)="","",VLOOKUP($B410,Master_PIC!$A$8:$G$73,5,FALSE)),"")</f>
        <v/>
      </c>
      <c r="F410" s="15" t="str">
        <f>IF(COUNTIFS(Master_PIC!$A$8:$A$73,$B410)=1,IF(VLOOKUP($B410,Master_PIC!$A$8:$G$73,6,FALSE)="","",VLOOKUP($B410,Master_PIC!$A$8:$G$73,6,FALSE)),"")</f>
        <v/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8"/>
      <c r="X410" s="5"/>
      <c r="Y410" s="5"/>
      <c r="Z410" s="9"/>
      <c r="AA410" s="5"/>
      <c r="AB410" s="5"/>
      <c r="AC410" s="9"/>
      <c r="AD410" s="5"/>
      <c r="AE410" s="7" t="str">
        <f t="shared" si="42"/>
        <v/>
      </c>
      <c r="AF410" s="7" t="str">
        <f t="shared" si="43"/>
        <v/>
      </c>
      <c r="AG410" s="7" t="str">
        <f t="shared" si="44"/>
        <v/>
      </c>
      <c r="AH410" s="7" t="str">
        <f t="shared" si="45"/>
        <v/>
      </c>
      <c r="AI410" s="7" t="str">
        <f t="shared" si="46"/>
        <v/>
      </c>
      <c r="AJ410" s="7" t="str">
        <f t="shared" si="47"/>
        <v/>
      </c>
      <c r="AK410" s="10" t="str">
        <f t="shared" si="48"/>
        <v/>
      </c>
      <c r="AL410" s="15" t="str">
        <f>IF(OR($A410&lt;&gt;"",$B410&lt;&gt;""),IF(OR($A410="",$B410=""),"Isi tanggal dan ID PIC",IF(NOT(ISNUMBER($A410)),"Tanggal harus berupa tanggal Excel",IF(COUNTIFS(Master_PIC!$A$8:$A$73,$B410)&lt;&gt;1,"ID PIC tidak unik/terdaftar",IF(VLOOKUP($B410,Master_PIC!$A$8:$G$73,3,FALSE)&lt;&gt;"SPV","Jabatan tidak sesuai sheet",IF(OR($C410="",$D410="",$E410="",$F410=""),"Lengkapi master PIC",IF(COUNTIFS($A$8:$A$507,$A410,$B$8:$B$507,$B410)&gt;1,"Laporan ganda",IF(COUNTIFS(G410:O410,"Tidak Berlaku")&gt;0,"N/A hanya untuk kegiatan bersyarat",IF(SUM(AF410,AG410,AH410,AI410,AJ410)&lt;&gt;13,"Status kegiatan tidak valid",IF(AJ410&gt;0,"Lengkapi status kegiatan",IF(AND(AI410&gt;0,T410=""),"Isi alasan Tidak Berlaku",IF(AND(SUM(AG410,AH410)&gt;0,OR(T410="",U410="",V410="",W410="")),"Isi kendala dan tindak lanjut",IF(AND(Y410&lt;&gt;"Draft",Y410&lt;&gt;"Dikirim"),"Isi status laporan yang valid",IF(AND(AA410&lt;&gt;"",AA410&lt;&gt;"Belum Diperiksa",AA410&lt;&gt;"Disetujui",AA410&lt;&gt;"Perlu Perbaikan"),"Hasil review tidak valid",IF(AND(Y410="Dikirim",OR(X410="",Z410="")),"Isi bukti dan waktu kirim",IF(AND(AA410="Disetujui",OR(Y410&lt;&gt;"Dikirim",AB410="",AC410="")),"Lengkapi pemeriksaan",IF(AND(AA410="Perlu Perbaikan",OR(AD410="",AB410="",AC410="")),"Isi pemeriksa dan catatan perbaikan","OK")))))))))))))))),"")</f>
        <v/>
      </c>
    </row>
    <row r="411" spans="1:38" ht="24.95" customHeight="1">
      <c r="A411" s="8"/>
      <c r="B411" s="6"/>
      <c r="C411" s="15" t="str">
        <f>IF(COUNTIFS(Master_PIC!$A$8:$A$73,$B411)=1,IF(VLOOKUP($B411,Master_PIC!$A$8:$G$73,2,FALSE)="","",VLOOKUP($B411,Master_PIC!$A$8:$G$73,2,FALSE)),"")</f>
        <v/>
      </c>
      <c r="D411" s="15" t="str">
        <f>IF(COUNTIFS(Master_PIC!$A$8:$A$73,$B411)=1,IF(VLOOKUP($B411,Master_PIC!$A$8:$G$73,4,FALSE)="","",VLOOKUP($B411,Master_PIC!$A$8:$G$73,4,FALSE)),"")</f>
        <v/>
      </c>
      <c r="E411" s="15" t="str">
        <f>IF(COUNTIFS(Master_PIC!$A$8:$A$73,$B411)=1,IF(VLOOKUP($B411,Master_PIC!$A$8:$G$73,5,FALSE)="","",VLOOKUP($B411,Master_PIC!$A$8:$G$73,5,FALSE)),"")</f>
        <v/>
      </c>
      <c r="F411" s="15" t="str">
        <f>IF(COUNTIFS(Master_PIC!$A$8:$A$73,$B411)=1,IF(VLOOKUP($B411,Master_PIC!$A$8:$G$73,6,FALSE)="","",VLOOKUP($B411,Master_PIC!$A$8:$G$73,6,FALSE)),"")</f>
        <v/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8"/>
      <c r="X411" s="5"/>
      <c r="Y411" s="5"/>
      <c r="Z411" s="9"/>
      <c r="AA411" s="5"/>
      <c r="AB411" s="5"/>
      <c r="AC411" s="9"/>
      <c r="AD411" s="5"/>
      <c r="AE411" s="7" t="str">
        <f t="shared" si="42"/>
        <v/>
      </c>
      <c r="AF411" s="7" t="str">
        <f t="shared" si="43"/>
        <v/>
      </c>
      <c r="AG411" s="7" t="str">
        <f t="shared" si="44"/>
        <v/>
      </c>
      <c r="AH411" s="7" t="str">
        <f t="shared" si="45"/>
        <v/>
      </c>
      <c r="AI411" s="7" t="str">
        <f t="shared" si="46"/>
        <v/>
      </c>
      <c r="AJ411" s="7" t="str">
        <f t="shared" si="47"/>
        <v/>
      </c>
      <c r="AK411" s="10" t="str">
        <f t="shared" si="48"/>
        <v/>
      </c>
      <c r="AL411" s="15" t="str">
        <f>IF(OR($A411&lt;&gt;"",$B411&lt;&gt;""),IF(OR($A411="",$B411=""),"Isi tanggal dan ID PIC",IF(NOT(ISNUMBER($A411)),"Tanggal harus berupa tanggal Excel",IF(COUNTIFS(Master_PIC!$A$8:$A$73,$B411)&lt;&gt;1,"ID PIC tidak unik/terdaftar",IF(VLOOKUP($B411,Master_PIC!$A$8:$G$73,3,FALSE)&lt;&gt;"SPV","Jabatan tidak sesuai sheet",IF(OR($C411="",$D411="",$E411="",$F411=""),"Lengkapi master PIC",IF(COUNTIFS($A$8:$A$507,$A411,$B$8:$B$507,$B411)&gt;1,"Laporan ganda",IF(COUNTIFS(G411:O411,"Tidak Berlaku")&gt;0,"N/A hanya untuk kegiatan bersyarat",IF(SUM(AF411,AG411,AH411,AI411,AJ411)&lt;&gt;13,"Status kegiatan tidak valid",IF(AJ411&gt;0,"Lengkapi status kegiatan",IF(AND(AI411&gt;0,T411=""),"Isi alasan Tidak Berlaku",IF(AND(SUM(AG411,AH411)&gt;0,OR(T411="",U411="",V411="",W411="")),"Isi kendala dan tindak lanjut",IF(AND(Y411&lt;&gt;"Draft",Y411&lt;&gt;"Dikirim"),"Isi status laporan yang valid",IF(AND(AA411&lt;&gt;"",AA411&lt;&gt;"Belum Diperiksa",AA411&lt;&gt;"Disetujui",AA411&lt;&gt;"Perlu Perbaikan"),"Hasil review tidak valid",IF(AND(Y411="Dikirim",OR(X411="",Z411="")),"Isi bukti dan waktu kirim",IF(AND(AA411="Disetujui",OR(Y411&lt;&gt;"Dikirim",AB411="",AC411="")),"Lengkapi pemeriksaan",IF(AND(AA411="Perlu Perbaikan",OR(AD411="",AB411="",AC411="")),"Isi pemeriksa dan catatan perbaikan","OK")))))))))))))))),"")</f>
        <v/>
      </c>
    </row>
    <row r="412" spans="1:38" ht="24.95" customHeight="1">
      <c r="A412" s="8"/>
      <c r="B412" s="6"/>
      <c r="C412" s="15" t="str">
        <f>IF(COUNTIFS(Master_PIC!$A$8:$A$73,$B412)=1,IF(VLOOKUP($B412,Master_PIC!$A$8:$G$73,2,FALSE)="","",VLOOKUP($B412,Master_PIC!$A$8:$G$73,2,FALSE)),"")</f>
        <v/>
      </c>
      <c r="D412" s="15" t="str">
        <f>IF(COUNTIFS(Master_PIC!$A$8:$A$73,$B412)=1,IF(VLOOKUP($B412,Master_PIC!$A$8:$G$73,4,FALSE)="","",VLOOKUP($B412,Master_PIC!$A$8:$G$73,4,FALSE)),"")</f>
        <v/>
      </c>
      <c r="E412" s="15" t="str">
        <f>IF(COUNTIFS(Master_PIC!$A$8:$A$73,$B412)=1,IF(VLOOKUP($B412,Master_PIC!$A$8:$G$73,5,FALSE)="","",VLOOKUP($B412,Master_PIC!$A$8:$G$73,5,FALSE)),"")</f>
        <v/>
      </c>
      <c r="F412" s="15" t="str">
        <f>IF(COUNTIFS(Master_PIC!$A$8:$A$73,$B412)=1,IF(VLOOKUP($B412,Master_PIC!$A$8:$G$73,6,FALSE)="","",VLOOKUP($B412,Master_PIC!$A$8:$G$73,6,FALSE)),"")</f>
        <v/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8"/>
      <c r="X412" s="5"/>
      <c r="Y412" s="5"/>
      <c r="Z412" s="9"/>
      <c r="AA412" s="5"/>
      <c r="AB412" s="5"/>
      <c r="AC412" s="9"/>
      <c r="AD412" s="5"/>
      <c r="AE412" s="7" t="str">
        <f t="shared" si="42"/>
        <v/>
      </c>
      <c r="AF412" s="7" t="str">
        <f t="shared" si="43"/>
        <v/>
      </c>
      <c r="AG412" s="7" t="str">
        <f t="shared" si="44"/>
        <v/>
      </c>
      <c r="AH412" s="7" t="str">
        <f t="shared" si="45"/>
        <v/>
      </c>
      <c r="AI412" s="7" t="str">
        <f t="shared" si="46"/>
        <v/>
      </c>
      <c r="AJ412" s="7" t="str">
        <f t="shared" si="47"/>
        <v/>
      </c>
      <c r="AK412" s="10" t="str">
        <f t="shared" si="48"/>
        <v/>
      </c>
      <c r="AL412" s="15" t="str">
        <f>IF(OR($A412&lt;&gt;"",$B412&lt;&gt;""),IF(OR($A412="",$B412=""),"Isi tanggal dan ID PIC",IF(NOT(ISNUMBER($A412)),"Tanggal harus berupa tanggal Excel",IF(COUNTIFS(Master_PIC!$A$8:$A$73,$B412)&lt;&gt;1,"ID PIC tidak unik/terdaftar",IF(VLOOKUP($B412,Master_PIC!$A$8:$G$73,3,FALSE)&lt;&gt;"SPV","Jabatan tidak sesuai sheet",IF(OR($C412="",$D412="",$E412="",$F412=""),"Lengkapi master PIC",IF(COUNTIFS($A$8:$A$507,$A412,$B$8:$B$507,$B412)&gt;1,"Laporan ganda",IF(COUNTIFS(G412:O412,"Tidak Berlaku")&gt;0,"N/A hanya untuk kegiatan bersyarat",IF(SUM(AF412,AG412,AH412,AI412,AJ412)&lt;&gt;13,"Status kegiatan tidak valid",IF(AJ412&gt;0,"Lengkapi status kegiatan",IF(AND(AI412&gt;0,T412=""),"Isi alasan Tidak Berlaku",IF(AND(SUM(AG412,AH412)&gt;0,OR(T412="",U412="",V412="",W412="")),"Isi kendala dan tindak lanjut",IF(AND(Y412&lt;&gt;"Draft",Y412&lt;&gt;"Dikirim"),"Isi status laporan yang valid",IF(AND(AA412&lt;&gt;"",AA412&lt;&gt;"Belum Diperiksa",AA412&lt;&gt;"Disetujui",AA412&lt;&gt;"Perlu Perbaikan"),"Hasil review tidak valid",IF(AND(Y412="Dikirim",OR(X412="",Z412="")),"Isi bukti dan waktu kirim",IF(AND(AA412="Disetujui",OR(Y412&lt;&gt;"Dikirim",AB412="",AC412="")),"Lengkapi pemeriksaan",IF(AND(AA412="Perlu Perbaikan",OR(AD412="",AB412="",AC412="")),"Isi pemeriksa dan catatan perbaikan","OK")))))))))))))))),"")</f>
        <v/>
      </c>
    </row>
    <row r="413" spans="1:38" ht="24.95" customHeight="1">
      <c r="A413" s="8"/>
      <c r="B413" s="6"/>
      <c r="C413" s="15" t="str">
        <f>IF(COUNTIFS(Master_PIC!$A$8:$A$73,$B413)=1,IF(VLOOKUP($B413,Master_PIC!$A$8:$G$73,2,FALSE)="","",VLOOKUP($B413,Master_PIC!$A$8:$G$73,2,FALSE)),"")</f>
        <v/>
      </c>
      <c r="D413" s="15" t="str">
        <f>IF(COUNTIFS(Master_PIC!$A$8:$A$73,$B413)=1,IF(VLOOKUP($B413,Master_PIC!$A$8:$G$73,4,FALSE)="","",VLOOKUP($B413,Master_PIC!$A$8:$G$73,4,FALSE)),"")</f>
        <v/>
      </c>
      <c r="E413" s="15" t="str">
        <f>IF(COUNTIFS(Master_PIC!$A$8:$A$73,$B413)=1,IF(VLOOKUP($B413,Master_PIC!$A$8:$G$73,5,FALSE)="","",VLOOKUP($B413,Master_PIC!$A$8:$G$73,5,FALSE)),"")</f>
        <v/>
      </c>
      <c r="F413" s="15" t="str">
        <f>IF(COUNTIFS(Master_PIC!$A$8:$A$73,$B413)=1,IF(VLOOKUP($B413,Master_PIC!$A$8:$G$73,6,FALSE)="","",VLOOKUP($B413,Master_PIC!$A$8:$G$73,6,FALSE)),"")</f>
        <v/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8"/>
      <c r="X413" s="5"/>
      <c r="Y413" s="5"/>
      <c r="Z413" s="9"/>
      <c r="AA413" s="5"/>
      <c r="AB413" s="5"/>
      <c r="AC413" s="9"/>
      <c r="AD413" s="5"/>
      <c r="AE413" s="7" t="str">
        <f t="shared" si="42"/>
        <v/>
      </c>
      <c r="AF413" s="7" t="str">
        <f t="shared" si="43"/>
        <v/>
      </c>
      <c r="AG413" s="7" t="str">
        <f t="shared" si="44"/>
        <v/>
      </c>
      <c r="AH413" s="7" t="str">
        <f t="shared" si="45"/>
        <v/>
      </c>
      <c r="AI413" s="7" t="str">
        <f t="shared" si="46"/>
        <v/>
      </c>
      <c r="AJ413" s="7" t="str">
        <f t="shared" si="47"/>
        <v/>
      </c>
      <c r="AK413" s="10" t="str">
        <f t="shared" si="48"/>
        <v/>
      </c>
      <c r="AL413" s="15" t="str">
        <f>IF(OR($A413&lt;&gt;"",$B413&lt;&gt;""),IF(OR($A413="",$B413=""),"Isi tanggal dan ID PIC",IF(NOT(ISNUMBER($A413)),"Tanggal harus berupa tanggal Excel",IF(COUNTIFS(Master_PIC!$A$8:$A$73,$B413)&lt;&gt;1,"ID PIC tidak unik/terdaftar",IF(VLOOKUP($B413,Master_PIC!$A$8:$G$73,3,FALSE)&lt;&gt;"SPV","Jabatan tidak sesuai sheet",IF(OR($C413="",$D413="",$E413="",$F413=""),"Lengkapi master PIC",IF(COUNTIFS($A$8:$A$507,$A413,$B$8:$B$507,$B413)&gt;1,"Laporan ganda",IF(COUNTIFS(G413:O413,"Tidak Berlaku")&gt;0,"N/A hanya untuk kegiatan bersyarat",IF(SUM(AF413,AG413,AH413,AI413,AJ413)&lt;&gt;13,"Status kegiatan tidak valid",IF(AJ413&gt;0,"Lengkapi status kegiatan",IF(AND(AI413&gt;0,T413=""),"Isi alasan Tidak Berlaku",IF(AND(SUM(AG413,AH413)&gt;0,OR(T413="",U413="",V413="",W413="")),"Isi kendala dan tindak lanjut",IF(AND(Y413&lt;&gt;"Draft",Y413&lt;&gt;"Dikirim"),"Isi status laporan yang valid",IF(AND(AA413&lt;&gt;"",AA413&lt;&gt;"Belum Diperiksa",AA413&lt;&gt;"Disetujui",AA413&lt;&gt;"Perlu Perbaikan"),"Hasil review tidak valid",IF(AND(Y413="Dikirim",OR(X413="",Z413="")),"Isi bukti dan waktu kirim",IF(AND(AA413="Disetujui",OR(Y413&lt;&gt;"Dikirim",AB413="",AC413="")),"Lengkapi pemeriksaan",IF(AND(AA413="Perlu Perbaikan",OR(AD413="",AB413="",AC413="")),"Isi pemeriksa dan catatan perbaikan","OK")))))))))))))))),"")</f>
        <v/>
      </c>
    </row>
    <row r="414" spans="1:38" ht="24.95" customHeight="1">
      <c r="A414" s="8"/>
      <c r="B414" s="6"/>
      <c r="C414" s="15" t="str">
        <f>IF(COUNTIFS(Master_PIC!$A$8:$A$73,$B414)=1,IF(VLOOKUP($B414,Master_PIC!$A$8:$G$73,2,FALSE)="","",VLOOKUP($B414,Master_PIC!$A$8:$G$73,2,FALSE)),"")</f>
        <v/>
      </c>
      <c r="D414" s="15" t="str">
        <f>IF(COUNTIFS(Master_PIC!$A$8:$A$73,$B414)=1,IF(VLOOKUP($B414,Master_PIC!$A$8:$G$73,4,FALSE)="","",VLOOKUP($B414,Master_PIC!$A$8:$G$73,4,FALSE)),"")</f>
        <v/>
      </c>
      <c r="E414" s="15" t="str">
        <f>IF(COUNTIFS(Master_PIC!$A$8:$A$73,$B414)=1,IF(VLOOKUP($B414,Master_PIC!$A$8:$G$73,5,FALSE)="","",VLOOKUP($B414,Master_PIC!$A$8:$G$73,5,FALSE)),"")</f>
        <v/>
      </c>
      <c r="F414" s="15" t="str">
        <f>IF(COUNTIFS(Master_PIC!$A$8:$A$73,$B414)=1,IF(VLOOKUP($B414,Master_PIC!$A$8:$G$73,6,FALSE)="","",VLOOKUP($B414,Master_PIC!$A$8:$G$73,6,FALSE)),"")</f>
        <v/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8"/>
      <c r="X414" s="5"/>
      <c r="Y414" s="5"/>
      <c r="Z414" s="9"/>
      <c r="AA414" s="5"/>
      <c r="AB414" s="5"/>
      <c r="AC414" s="9"/>
      <c r="AD414" s="5"/>
      <c r="AE414" s="7" t="str">
        <f t="shared" si="42"/>
        <v/>
      </c>
      <c r="AF414" s="7" t="str">
        <f t="shared" si="43"/>
        <v/>
      </c>
      <c r="AG414" s="7" t="str">
        <f t="shared" si="44"/>
        <v/>
      </c>
      <c r="AH414" s="7" t="str">
        <f t="shared" si="45"/>
        <v/>
      </c>
      <c r="AI414" s="7" t="str">
        <f t="shared" si="46"/>
        <v/>
      </c>
      <c r="AJ414" s="7" t="str">
        <f t="shared" si="47"/>
        <v/>
      </c>
      <c r="AK414" s="10" t="str">
        <f t="shared" si="48"/>
        <v/>
      </c>
      <c r="AL414" s="15" t="str">
        <f>IF(OR($A414&lt;&gt;"",$B414&lt;&gt;""),IF(OR($A414="",$B414=""),"Isi tanggal dan ID PIC",IF(NOT(ISNUMBER($A414)),"Tanggal harus berupa tanggal Excel",IF(COUNTIFS(Master_PIC!$A$8:$A$73,$B414)&lt;&gt;1,"ID PIC tidak unik/terdaftar",IF(VLOOKUP($B414,Master_PIC!$A$8:$G$73,3,FALSE)&lt;&gt;"SPV","Jabatan tidak sesuai sheet",IF(OR($C414="",$D414="",$E414="",$F414=""),"Lengkapi master PIC",IF(COUNTIFS($A$8:$A$507,$A414,$B$8:$B$507,$B414)&gt;1,"Laporan ganda",IF(COUNTIFS(G414:O414,"Tidak Berlaku")&gt;0,"N/A hanya untuk kegiatan bersyarat",IF(SUM(AF414,AG414,AH414,AI414,AJ414)&lt;&gt;13,"Status kegiatan tidak valid",IF(AJ414&gt;0,"Lengkapi status kegiatan",IF(AND(AI414&gt;0,T414=""),"Isi alasan Tidak Berlaku",IF(AND(SUM(AG414,AH414)&gt;0,OR(T414="",U414="",V414="",W414="")),"Isi kendala dan tindak lanjut",IF(AND(Y414&lt;&gt;"Draft",Y414&lt;&gt;"Dikirim"),"Isi status laporan yang valid",IF(AND(AA414&lt;&gt;"",AA414&lt;&gt;"Belum Diperiksa",AA414&lt;&gt;"Disetujui",AA414&lt;&gt;"Perlu Perbaikan"),"Hasil review tidak valid",IF(AND(Y414="Dikirim",OR(X414="",Z414="")),"Isi bukti dan waktu kirim",IF(AND(AA414="Disetujui",OR(Y414&lt;&gt;"Dikirim",AB414="",AC414="")),"Lengkapi pemeriksaan",IF(AND(AA414="Perlu Perbaikan",OR(AD414="",AB414="",AC414="")),"Isi pemeriksa dan catatan perbaikan","OK")))))))))))))))),"")</f>
        <v/>
      </c>
    </row>
    <row r="415" spans="1:38" ht="24.95" customHeight="1">
      <c r="A415" s="8"/>
      <c r="B415" s="6"/>
      <c r="C415" s="15" t="str">
        <f>IF(COUNTIFS(Master_PIC!$A$8:$A$73,$B415)=1,IF(VLOOKUP($B415,Master_PIC!$A$8:$G$73,2,FALSE)="","",VLOOKUP($B415,Master_PIC!$A$8:$G$73,2,FALSE)),"")</f>
        <v/>
      </c>
      <c r="D415" s="15" t="str">
        <f>IF(COUNTIFS(Master_PIC!$A$8:$A$73,$B415)=1,IF(VLOOKUP($B415,Master_PIC!$A$8:$G$73,4,FALSE)="","",VLOOKUP($B415,Master_PIC!$A$8:$G$73,4,FALSE)),"")</f>
        <v/>
      </c>
      <c r="E415" s="15" t="str">
        <f>IF(COUNTIFS(Master_PIC!$A$8:$A$73,$B415)=1,IF(VLOOKUP($B415,Master_PIC!$A$8:$G$73,5,FALSE)="","",VLOOKUP($B415,Master_PIC!$A$8:$G$73,5,FALSE)),"")</f>
        <v/>
      </c>
      <c r="F415" s="15" t="str">
        <f>IF(COUNTIFS(Master_PIC!$A$8:$A$73,$B415)=1,IF(VLOOKUP($B415,Master_PIC!$A$8:$G$73,6,FALSE)="","",VLOOKUP($B415,Master_PIC!$A$8:$G$73,6,FALSE)),"")</f>
        <v/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8"/>
      <c r="X415" s="5"/>
      <c r="Y415" s="5"/>
      <c r="Z415" s="9"/>
      <c r="AA415" s="5"/>
      <c r="AB415" s="5"/>
      <c r="AC415" s="9"/>
      <c r="AD415" s="5"/>
      <c r="AE415" s="7" t="str">
        <f t="shared" si="42"/>
        <v/>
      </c>
      <c r="AF415" s="7" t="str">
        <f t="shared" si="43"/>
        <v/>
      </c>
      <c r="AG415" s="7" t="str">
        <f t="shared" si="44"/>
        <v/>
      </c>
      <c r="AH415" s="7" t="str">
        <f t="shared" si="45"/>
        <v/>
      </c>
      <c r="AI415" s="7" t="str">
        <f t="shared" si="46"/>
        <v/>
      </c>
      <c r="AJ415" s="7" t="str">
        <f t="shared" si="47"/>
        <v/>
      </c>
      <c r="AK415" s="10" t="str">
        <f t="shared" si="48"/>
        <v/>
      </c>
      <c r="AL415" s="15" t="str">
        <f>IF(OR($A415&lt;&gt;"",$B415&lt;&gt;""),IF(OR($A415="",$B415=""),"Isi tanggal dan ID PIC",IF(NOT(ISNUMBER($A415)),"Tanggal harus berupa tanggal Excel",IF(COUNTIFS(Master_PIC!$A$8:$A$73,$B415)&lt;&gt;1,"ID PIC tidak unik/terdaftar",IF(VLOOKUP($B415,Master_PIC!$A$8:$G$73,3,FALSE)&lt;&gt;"SPV","Jabatan tidak sesuai sheet",IF(OR($C415="",$D415="",$E415="",$F415=""),"Lengkapi master PIC",IF(COUNTIFS($A$8:$A$507,$A415,$B$8:$B$507,$B415)&gt;1,"Laporan ganda",IF(COUNTIFS(G415:O415,"Tidak Berlaku")&gt;0,"N/A hanya untuk kegiatan bersyarat",IF(SUM(AF415,AG415,AH415,AI415,AJ415)&lt;&gt;13,"Status kegiatan tidak valid",IF(AJ415&gt;0,"Lengkapi status kegiatan",IF(AND(AI415&gt;0,T415=""),"Isi alasan Tidak Berlaku",IF(AND(SUM(AG415,AH415)&gt;0,OR(T415="",U415="",V415="",W415="")),"Isi kendala dan tindak lanjut",IF(AND(Y415&lt;&gt;"Draft",Y415&lt;&gt;"Dikirim"),"Isi status laporan yang valid",IF(AND(AA415&lt;&gt;"",AA415&lt;&gt;"Belum Diperiksa",AA415&lt;&gt;"Disetujui",AA415&lt;&gt;"Perlu Perbaikan"),"Hasil review tidak valid",IF(AND(Y415="Dikirim",OR(X415="",Z415="")),"Isi bukti dan waktu kirim",IF(AND(AA415="Disetujui",OR(Y415&lt;&gt;"Dikirim",AB415="",AC415="")),"Lengkapi pemeriksaan",IF(AND(AA415="Perlu Perbaikan",OR(AD415="",AB415="",AC415="")),"Isi pemeriksa dan catatan perbaikan","OK")))))))))))))))),"")</f>
        <v/>
      </c>
    </row>
    <row r="416" spans="1:38" ht="24.95" customHeight="1">
      <c r="A416" s="8"/>
      <c r="B416" s="6"/>
      <c r="C416" s="15" t="str">
        <f>IF(COUNTIFS(Master_PIC!$A$8:$A$73,$B416)=1,IF(VLOOKUP($B416,Master_PIC!$A$8:$G$73,2,FALSE)="","",VLOOKUP($B416,Master_PIC!$A$8:$G$73,2,FALSE)),"")</f>
        <v/>
      </c>
      <c r="D416" s="15" t="str">
        <f>IF(COUNTIFS(Master_PIC!$A$8:$A$73,$B416)=1,IF(VLOOKUP($B416,Master_PIC!$A$8:$G$73,4,FALSE)="","",VLOOKUP($B416,Master_PIC!$A$8:$G$73,4,FALSE)),"")</f>
        <v/>
      </c>
      <c r="E416" s="15" t="str">
        <f>IF(COUNTIFS(Master_PIC!$A$8:$A$73,$B416)=1,IF(VLOOKUP($B416,Master_PIC!$A$8:$G$73,5,FALSE)="","",VLOOKUP($B416,Master_PIC!$A$8:$G$73,5,FALSE)),"")</f>
        <v/>
      </c>
      <c r="F416" s="15" t="str">
        <f>IF(COUNTIFS(Master_PIC!$A$8:$A$73,$B416)=1,IF(VLOOKUP($B416,Master_PIC!$A$8:$G$73,6,FALSE)="","",VLOOKUP($B416,Master_PIC!$A$8:$G$73,6,FALSE)),"")</f>
        <v/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8"/>
      <c r="X416" s="5"/>
      <c r="Y416" s="5"/>
      <c r="Z416" s="9"/>
      <c r="AA416" s="5"/>
      <c r="AB416" s="5"/>
      <c r="AC416" s="9"/>
      <c r="AD416" s="5"/>
      <c r="AE416" s="7" t="str">
        <f t="shared" si="42"/>
        <v/>
      </c>
      <c r="AF416" s="7" t="str">
        <f t="shared" si="43"/>
        <v/>
      </c>
      <c r="AG416" s="7" t="str">
        <f t="shared" si="44"/>
        <v/>
      </c>
      <c r="AH416" s="7" t="str">
        <f t="shared" si="45"/>
        <v/>
      </c>
      <c r="AI416" s="7" t="str">
        <f t="shared" si="46"/>
        <v/>
      </c>
      <c r="AJ416" s="7" t="str">
        <f t="shared" si="47"/>
        <v/>
      </c>
      <c r="AK416" s="10" t="str">
        <f t="shared" si="48"/>
        <v/>
      </c>
      <c r="AL416" s="15" t="str">
        <f>IF(OR($A416&lt;&gt;"",$B416&lt;&gt;""),IF(OR($A416="",$B416=""),"Isi tanggal dan ID PIC",IF(NOT(ISNUMBER($A416)),"Tanggal harus berupa tanggal Excel",IF(COUNTIFS(Master_PIC!$A$8:$A$73,$B416)&lt;&gt;1,"ID PIC tidak unik/terdaftar",IF(VLOOKUP($B416,Master_PIC!$A$8:$G$73,3,FALSE)&lt;&gt;"SPV","Jabatan tidak sesuai sheet",IF(OR($C416="",$D416="",$E416="",$F416=""),"Lengkapi master PIC",IF(COUNTIFS($A$8:$A$507,$A416,$B$8:$B$507,$B416)&gt;1,"Laporan ganda",IF(COUNTIFS(G416:O416,"Tidak Berlaku")&gt;0,"N/A hanya untuk kegiatan bersyarat",IF(SUM(AF416,AG416,AH416,AI416,AJ416)&lt;&gt;13,"Status kegiatan tidak valid",IF(AJ416&gt;0,"Lengkapi status kegiatan",IF(AND(AI416&gt;0,T416=""),"Isi alasan Tidak Berlaku",IF(AND(SUM(AG416,AH416)&gt;0,OR(T416="",U416="",V416="",W416="")),"Isi kendala dan tindak lanjut",IF(AND(Y416&lt;&gt;"Draft",Y416&lt;&gt;"Dikirim"),"Isi status laporan yang valid",IF(AND(AA416&lt;&gt;"",AA416&lt;&gt;"Belum Diperiksa",AA416&lt;&gt;"Disetujui",AA416&lt;&gt;"Perlu Perbaikan"),"Hasil review tidak valid",IF(AND(Y416="Dikirim",OR(X416="",Z416="")),"Isi bukti dan waktu kirim",IF(AND(AA416="Disetujui",OR(Y416&lt;&gt;"Dikirim",AB416="",AC416="")),"Lengkapi pemeriksaan",IF(AND(AA416="Perlu Perbaikan",OR(AD416="",AB416="",AC416="")),"Isi pemeriksa dan catatan perbaikan","OK")))))))))))))))),"")</f>
        <v/>
      </c>
    </row>
    <row r="417" spans="1:38" ht="24.95" customHeight="1">
      <c r="A417" s="8"/>
      <c r="B417" s="6"/>
      <c r="C417" s="15" t="str">
        <f>IF(COUNTIFS(Master_PIC!$A$8:$A$73,$B417)=1,IF(VLOOKUP($B417,Master_PIC!$A$8:$G$73,2,FALSE)="","",VLOOKUP($B417,Master_PIC!$A$8:$G$73,2,FALSE)),"")</f>
        <v/>
      </c>
      <c r="D417" s="15" t="str">
        <f>IF(COUNTIFS(Master_PIC!$A$8:$A$73,$B417)=1,IF(VLOOKUP($B417,Master_PIC!$A$8:$G$73,4,FALSE)="","",VLOOKUP($B417,Master_PIC!$A$8:$G$73,4,FALSE)),"")</f>
        <v/>
      </c>
      <c r="E417" s="15" t="str">
        <f>IF(COUNTIFS(Master_PIC!$A$8:$A$73,$B417)=1,IF(VLOOKUP($B417,Master_PIC!$A$8:$G$73,5,FALSE)="","",VLOOKUP($B417,Master_PIC!$A$8:$G$73,5,FALSE)),"")</f>
        <v/>
      </c>
      <c r="F417" s="15" t="str">
        <f>IF(COUNTIFS(Master_PIC!$A$8:$A$73,$B417)=1,IF(VLOOKUP($B417,Master_PIC!$A$8:$G$73,6,FALSE)="","",VLOOKUP($B417,Master_PIC!$A$8:$G$73,6,FALSE)),"")</f>
        <v/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8"/>
      <c r="X417" s="5"/>
      <c r="Y417" s="5"/>
      <c r="Z417" s="9"/>
      <c r="AA417" s="5"/>
      <c r="AB417" s="5"/>
      <c r="AC417" s="9"/>
      <c r="AD417" s="5"/>
      <c r="AE417" s="7" t="str">
        <f t="shared" si="42"/>
        <v/>
      </c>
      <c r="AF417" s="7" t="str">
        <f t="shared" si="43"/>
        <v/>
      </c>
      <c r="AG417" s="7" t="str">
        <f t="shared" si="44"/>
        <v/>
      </c>
      <c r="AH417" s="7" t="str">
        <f t="shared" si="45"/>
        <v/>
      </c>
      <c r="AI417" s="7" t="str">
        <f t="shared" si="46"/>
        <v/>
      </c>
      <c r="AJ417" s="7" t="str">
        <f t="shared" si="47"/>
        <v/>
      </c>
      <c r="AK417" s="10" t="str">
        <f t="shared" si="48"/>
        <v/>
      </c>
      <c r="AL417" s="15" t="str">
        <f>IF(OR($A417&lt;&gt;"",$B417&lt;&gt;""),IF(OR($A417="",$B417=""),"Isi tanggal dan ID PIC",IF(NOT(ISNUMBER($A417)),"Tanggal harus berupa tanggal Excel",IF(COUNTIFS(Master_PIC!$A$8:$A$73,$B417)&lt;&gt;1,"ID PIC tidak unik/terdaftar",IF(VLOOKUP($B417,Master_PIC!$A$8:$G$73,3,FALSE)&lt;&gt;"SPV","Jabatan tidak sesuai sheet",IF(OR($C417="",$D417="",$E417="",$F417=""),"Lengkapi master PIC",IF(COUNTIFS($A$8:$A$507,$A417,$B$8:$B$507,$B417)&gt;1,"Laporan ganda",IF(COUNTIFS(G417:O417,"Tidak Berlaku")&gt;0,"N/A hanya untuk kegiatan bersyarat",IF(SUM(AF417,AG417,AH417,AI417,AJ417)&lt;&gt;13,"Status kegiatan tidak valid",IF(AJ417&gt;0,"Lengkapi status kegiatan",IF(AND(AI417&gt;0,T417=""),"Isi alasan Tidak Berlaku",IF(AND(SUM(AG417,AH417)&gt;0,OR(T417="",U417="",V417="",W417="")),"Isi kendala dan tindak lanjut",IF(AND(Y417&lt;&gt;"Draft",Y417&lt;&gt;"Dikirim"),"Isi status laporan yang valid",IF(AND(AA417&lt;&gt;"",AA417&lt;&gt;"Belum Diperiksa",AA417&lt;&gt;"Disetujui",AA417&lt;&gt;"Perlu Perbaikan"),"Hasil review tidak valid",IF(AND(Y417="Dikirim",OR(X417="",Z417="")),"Isi bukti dan waktu kirim",IF(AND(AA417="Disetujui",OR(Y417&lt;&gt;"Dikirim",AB417="",AC417="")),"Lengkapi pemeriksaan",IF(AND(AA417="Perlu Perbaikan",OR(AD417="",AB417="",AC417="")),"Isi pemeriksa dan catatan perbaikan","OK")))))))))))))))),"")</f>
        <v/>
      </c>
    </row>
    <row r="418" spans="1:38" ht="24.95" customHeight="1">
      <c r="A418" s="8"/>
      <c r="B418" s="6"/>
      <c r="C418" s="15" t="str">
        <f>IF(COUNTIFS(Master_PIC!$A$8:$A$73,$B418)=1,IF(VLOOKUP($B418,Master_PIC!$A$8:$G$73,2,FALSE)="","",VLOOKUP($B418,Master_PIC!$A$8:$G$73,2,FALSE)),"")</f>
        <v/>
      </c>
      <c r="D418" s="15" t="str">
        <f>IF(COUNTIFS(Master_PIC!$A$8:$A$73,$B418)=1,IF(VLOOKUP($B418,Master_PIC!$A$8:$G$73,4,FALSE)="","",VLOOKUP($B418,Master_PIC!$A$8:$G$73,4,FALSE)),"")</f>
        <v/>
      </c>
      <c r="E418" s="15" t="str">
        <f>IF(COUNTIFS(Master_PIC!$A$8:$A$73,$B418)=1,IF(VLOOKUP($B418,Master_PIC!$A$8:$G$73,5,FALSE)="","",VLOOKUP($B418,Master_PIC!$A$8:$G$73,5,FALSE)),"")</f>
        <v/>
      </c>
      <c r="F418" s="15" t="str">
        <f>IF(COUNTIFS(Master_PIC!$A$8:$A$73,$B418)=1,IF(VLOOKUP($B418,Master_PIC!$A$8:$G$73,6,FALSE)="","",VLOOKUP($B418,Master_PIC!$A$8:$G$73,6,FALSE)),"")</f>
        <v/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8"/>
      <c r="X418" s="5"/>
      <c r="Y418" s="5"/>
      <c r="Z418" s="9"/>
      <c r="AA418" s="5"/>
      <c r="AB418" s="5"/>
      <c r="AC418" s="9"/>
      <c r="AD418" s="5"/>
      <c r="AE418" s="7" t="str">
        <f t="shared" si="42"/>
        <v/>
      </c>
      <c r="AF418" s="7" t="str">
        <f t="shared" si="43"/>
        <v/>
      </c>
      <c r="AG418" s="7" t="str">
        <f t="shared" si="44"/>
        <v/>
      </c>
      <c r="AH418" s="7" t="str">
        <f t="shared" si="45"/>
        <v/>
      </c>
      <c r="AI418" s="7" t="str">
        <f t="shared" si="46"/>
        <v/>
      </c>
      <c r="AJ418" s="7" t="str">
        <f t="shared" si="47"/>
        <v/>
      </c>
      <c r="AK418" s="10" t="str">
        <f t="shared" si="48"/>
        <v/>
      </c>
      <c r="AL418" s="15" t="str">
        <f>IF(OR($A418&lt;&gt;"",$B418&lt;&gt;""),IF(OR($A418="",$B418=""),"Isi tanggal dan ID PIC",IF(NOT(ISNUMBER($A418)),"Tanggal harus berupa tanggal Excel",IF(COUNTIFS(Master_PIC!$A$8:$A$73,$B418)&lt;&gt;1,"ID PIC tidak unik/terdaftar",IF(VLOOKUP($B418,Master_PIC!$A$8:$G$73,3,FALSE)&lt;&gt;"SPV","Jabatan tidak sesuai sheet",IF(OR($C418="",$D418="",$E418="",$F418=""),"Lengkapi master PIC",IF(COUNTIFS($A$8:$A$507,$A418,$B$8:$B$507,$B418)&gt;1,"Laporan ganda",IF(COUNTIFS(G418:O418,"Tidak Berlaku")&gt;0,"N/A hanya untuk kegiatan bersyarat",IF(SUM(AF418,AG418,AH418,AI418,AJ418)&lt;&gt;13,"Status kegiatan tidak valid",IF(AJ418&gt;0,"Lengkapi status kegiatan",IF(AND(AI418&gt;0,T418=""),"Isi alasan Tidak Berlaku",IF(AND(SUM(AG418,AH418)&gt;0,OR(T418="",U418="",V418="",W418="")),"Isi kendala dan tindak lanjut",IF(AND(Y418&lt;&gt;"Draft",Y418&lt;&gt;"Dikirim"),"Isi status laporan yang valid",IF(AND(AA418&lt;&gt;"",AA418&lt;&gt;"Belum Diperiksa",AA418&lt;&gt;"Disetujui",AA418&lt;&gt;"Perlu Perbaikan"),"Hasil review tidak valid",IF(AND(Y418="Dikirim",OR(X418="",Z418="")),"Isi bukti dan waktu kirim",IF(AND(AA418="Disetujui",OR(Y418&lt;&gt;"Dikirim",AB418="",AC418="")),"Lengkapi pemeriksaan",IF(AND(AA418="Perlu Perbaikan",OR(AD418="",AB418="",AC418="")),"Isi pemeriksa dan catatan perbaikan","OK")))))))))))))))),"")</f>
        <v/>
      </c>
    </row>
    <row r="419" spans="1:38" ht="24.95" customHeight="1">
      <c r="A419" s="8"/>
      <c r="B419" s="6"/>
      <c r="C419" s="15" t="str">
        <f>IF(COUNTIFS(Master_PIC!$A$8:$A$73,$B419)=1,IF(VLOOKUP($B419,Master_PIC!$A$8:$G$73,2,FALSE)="","",VLOOKUP($B419,Master_PIC!$A$8:$G$73,2,FALSE)),"")</f>
        <v/>
      </c>
      <c r="D419" s="15" t="str">
        <f>IF(COUNTIFS(Master_PIC!$A$8:$A$73,$B419)=1,IF(VLOOKUP($B419,Master_PIC!$A$8:$G$73,4,FALSE)="","",VLOOKUP($B419,Master_PIC!$A$8:$G$73,4,FALSE)),"")</f>
        <v/>
      </c>
      <c r="E419" s="15" t="str">
        <f>IF(COUNTIFS(Master_PIC!$A$8:$A$73,$B419)=1,IF(VLOOKUP($B419,Master_PIC!$A$8:$G$73,5,FALSE)="","",VLOOKUP($B419,Master_PIC!$A$8:$G$73,5,FALSE)),"")</f>
        <v/>
      </c>
      <c r="F419" s="15" t="str">
        <f>IF(COUNTIFS(Master_PIC!$A$8:$A$73,$B419)=1,IF(VLOOKUP($B419,Master_PIC!$A$8:$G$73,6,FALSE)="","",VLOOKUP($B419,Master_PIC!$A$8:$G$73,6,FALSE)),"")</f>
        <v/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8"/>
      <c r="X419" s="5"/>
      <c r="Y419" s="5"/>
      <c r="Z419" s="9"/>
      <c r="AA419" s="5"/>
      <c r="AB419" s="5"/>
      <c r="AC419" s="9"/>
      <c r="AD419" s="5"/>
      <c r="AE419" s="7" t="str">
        <f t="shared" si="42"/>
        <v/>
      </c>
      <c r="AF419" s="7" t="str">
        <f t="shared" si="43"/>
        <v/>
      </c>
      <c r="AG419" s="7" t="str">
        <f t="shared" si="44"/>
        <v/>
      </c>
      <c r="AH419" s="7" t="str">
        <f t="shared" si="45"/>
        <v/>
      </c>
      <c r="AI419" s="7" t="str">
        <f t="shared" si="46"/>
        <v/>
      </c>
      <c r="AJ419" s="7" t="str">
        <f t="shared" si="47"/>
        <v/>
      </c>
      <c r="AK419" s="10" t="str">
        <f t="shared" si="48"/>
        <v/>
      </c>
      <c r="AL419" s="15" t="str">
        <f>IF(OR($A419&lt;&gt;"",$B419&lt;&gt;""),IF(OR($A419="",$B419=""),"Isi tanggal dan ID PIC",IF(NOT(ISNUMBER($A419)),"Tanggal harus berupa tanggal Excel",IF(COUNTIFS(Master_PIC!$A$8:$A$73,$B419)&lt;&gt;1,"ID PIC tidak unik/terdaftar",IF(VLOOKUP($B419,Master_PIC!$A$8:$G$73,3,FALSE)&lt;&gt;"SPV","Jabatan tidak sesuai sheet",IF(OR($C419="",$D419="",$E419="",$F419=""),"Lengkapi master PIC",IF(COUNTIFS($A$8:$A$507,$A419,$B$8:$B$507,$B419)&gt;1,"Laporan ganda",IF(COUNTIFS(G419:O419,"Tidak Berlaku")&gt;0,"N/A hanya untuk kegiatan bersyarat",IF(SUM(AF419,AG419,AH419,AI419,AJ419)&lt;&gt;13,"Status kegiatan tidak valid",IF(AJ419&gt;0,"Lengkapi status kegiatan",IF(AND(AI419&gt;0,T419=""),"Isi alasan Tidak Berlaku",IF(AND(SUM(AG419,AH419)&gt;0,OR(T419="",U419="",V419="",W419="")),"Isi kendala dan tindak lanjut",IF(AND(Y419&lt;&gt;"Draft",Y419&lt;&gt;"Dikirim"),"Isi status laporan yang valid",IF(AND(AA419&lt;&gt;"",AA419&lt;&gt;"Belum Diperiksa",AA419&lt;&gt;"Disetujui",AA419&lt;&gt;"Perlu Perbaikan"),"Hasil review tidak valid",IF(AND(Y419="Dikirim",OR(X419="",Z419="")),"Isi bukti dan waktu kirim",IF(AND(AA419="Disetujui",OR(Y419&lt;&gt;"Dikirim",AB419="",AC419="")),"Lengkapi pemeriksaan",IF(AND(AA419="Perlu Perbaikan",OR(AD419="",AB419="",AC419="")),"Isi pemeriksa dan catatan perbaikan","OK")))))))))))))))),"")</f>
        <v/>
      </c>
    </row>
    <row r="420" spans="1:38" ht="24.95" customHeight="1">
      <c r="A420" s="8"/>
      <c r="B420" s="6"/>
      <c r="C420" s="15" t="str">
        <f>IF(COUNTIFS(Master_PIC!$A$8:$A$73,$B420)=1,IF(VLOOKUP($B420,Master_PIC!$A$8:$G$73,2,FALSE)="","",VLOOKUP($B420,Master_PIC!$A$8:$G$73,2,FALSE)),"")</f>
        <v/>
      </c>
      <c r="D420" s="15" t="str">
        <f>IF(COUNTIFS(Master_PIC!$A$8:$A$73,$B420)=1,IF(VLOOKUP($B420,Master_PIC!$A$8:$G$73,4,FALSE)="","",VLOOKUP($B420,Master_PIC!$A$8:$G$73,4,FALSE)),"")</f>
        <v/>
      </c>
      <c r="E420" s="15" t="str">
        <f>IF(COUNTIFS(Master_PIC!$A$8:$A$73,$B420)=1,IF(VLOOKUP($B420,Master_PIC!$A$8:$G$73,5,FALSE)="","",VLOOKUP($B420,Master_PIC!$A$8:$G$73,5,FALSE)),"")</f>
        <v/>
      </c>
      <c r="F420" s="15" t="str">
        <f>IF(COUNTIFS(Master_PIC!$A$8:$A$73,$B420)=1,IF(VLOOKUP($B420,Master_PIC!$A$8:$G$73,6,FALSE)="","",VLOOKUP($B420,Master_PIC!$A$8:$G$73,6,FALSE)),"")</f>
        <v/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8"/>
      <c r="X420" s="5"/>
      <c r="Y420" s="5"/>
      <c r="Z420" s="9"/>
      <c r="AA420" s="5"/>
      <c r="AB420" s="5"/>
      <c r="AC420" s="9"/>
      <c r="AD420" s="5"/>
      <c r="AE420" s="7" t="str">
        <f t="shared" si="42"/>
        <v/>
      </c>
      <c r="AF420" s="7" t="str">
        <f t="shared" si="43"/>
        <v/>
      </c>
      <c r="AG420" s="7" t="str">
        <f t="shared" si="44"/>
        <v/>
      </c>
      <c r="AH420" s="7" t="str">
        <f t="shared" si="45"/>
        <v/>
      </c>
      <c r="AI420" s="7" t="str">
        <f t="shared" si="46"/>
        <v/>
      </c>
      <c r="AJ420" s="7" t="str">
        <f t="shared" si="47"/>
        <v/>
      </c>
      <c r="AK420" s="10" t="str">
        <f t="shared" si="48"/>
        <v/>
      </c>
      <c r="AL420" s="15" t="str">
        <f>IF(OR($A420&lt;&gt;"",$B420&lt;&gt;""),IF(OR($A420="",$B420=""),"Isi tanggal dan ID PIC",IF(NOT(ISNUMBER($A420)),"Tanggal harus berupa tanggal Excel",IF(COUNTIFS(Master_PIC!$A$8:$A$73,$B420)&lt;&gt;1,"ID PIC tidak unik/terdaftar",IF(VLOOKUP($B420,Master_PIC!$A$8:$G$73,3,FALSE)&lt;&gt;"SPV","Jabatan tidak sesuai sheet",IF(OR($C420="",$D420="",$E420="",$F420=""),"Lengkapi master PIC",IF(COUNTIFS($A$8:$A$507,$A420,$B$8:$B$507,$B420)&gt;1,"Laporan ganda",IF(COUNTIFS(G420:O420,"Tidak Berlaku")&gt;0,"N/A hanya untuk kegiatan bersyarat",IF(SUM(AF420,AG420,AH420,AI420,AJ420)&lt;&gt;13,"Status kegiatan tidak valid",IF(AJ420&gt;0,"Lengkapi status kegiatan",IF(AND(AI420&gt;0,T420=""),"Isi alasan Tidak Berlaku",IF(AND(SUM(AG420,AH420)&gt;0,OR(T420="",U420="",V420="",W420="")),"Isi kendala dan tindak lanjut",IF(AND(Y420&lt;&gt;"Draft",Y420&lt;&gt;"Dikirim"),"Isi status laporan yang valid",IF(AND(AA420&lt;&gt;"",AA420&lt;&gt;"Belum Diperiksa",AA420&lt;&gt;"Disetujui",AA420&lt;&gt;"Perlu Perbaikan"),"Hasil review tidak valid",IF(AND(Y420="Dikirim",OR(X420="",Z420="")),"Isi bukti dan waktu kirim",IF(AND(AA420="Disetujui",OR(Y420&lt;&gt;"Dikirim",AB420="",AC420="")),"Lengkapi pemeriksaan",IF(AND(AA420="Perlu Perbaikan",OR(AD420="",AB420="",AC420="")),"Isi pemeriksa dan catatan perbaikan","OK")))))))))))))))),"")</f>
        <v/>
      </c>
    </row>
    <row r="421" spans="1:38" ht="24.95" customHeight="1">
      <c r="A421" s="8"/>
      <c r="B421" s="6"/>
      <c r="C421" s="15" t="str">
        <f>IF(COUNTIFS(Master_PIC!$A$8:$A$73,$B421)=1,IF(VLOOKUP($B421,Master_PIC!$A$8:$G$73,2,FALSE)="","",VLOOKUP($B421,Master_PIC!$A$8:$G$73,2,FALSE)),"")</f>
        <v/>
      </c>
      <c r="D421" s="15" t="str">
        <f>IF(COUNTIFS(Master_PIC!$A$8:$A$73,$B421)=1,IF(VLOOKUP($B421,Master_PIC!$A$8:$G$73,4,FALSE)="","",VLOOKUP($B421,Master_PIC!$A$8:$G$73,4,FALSE)),"")</f>
        <v/>
      </c>
      <c r="E421" s="15" t="str">
        <f>IF(COUNTIFS(Master_PIC!$A$8:$A$73,$B421)=1,IF(VLOOKUP($B421,Master_PIC!$A$8:$G$73,5,FALSE)="","",VLOOKUP($B421,Master_PIC!$A$8:$G$73,5,FALSE)),"")</f>
        <v/>
      </c>
      <c r="F421" s="15" t="str">
        <f>IF(COUNTIFS(Master_PIC!$A$8:$A$73,$B421)=1,IF(VLOOKUP($B421,Master_PIC!$A$8:$G$73,6,FALSE)="","",VLOOKUP($B421,Master_PIC!$A$8:$G$73,6,FALSE)),"")</f>
        <v/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8"/>
      <c r="X421" s="5"/>
      <c r="Y421" s="5"/>
      <c r="Z421" s="9"/>
      <c r="AA421" s="5"/>
      <c r="AB421" s="5"/>
      <c r="AC421" s="9"/>
      <c r="AD421" s="5"/>
      <c r="AE421" s="7" t="str">
        <f t="shared" si="42"/>
        <v/>
      </c>
      <c r="AF421" s="7" t="str">
        <f t="shared" si="43"/>
        <v/>
      </c>
      <c r="AG421" s="7" t="str">
        <f t="shared" si="44"/>
        <v/>
      </c>
      <c r="AH421" s="7" t="str">
        <f t="shared" si="45"/>
        <v/>
      </c>
      <c r="AI421" s="7" t="str">
        <f t="shared" si="46"/>
        <v/>
      </c>
      <c r="AJ421" s="7" t="str">
        <f t="shared" si="47"/>
        <v/>
      </c>
      <c r="AK421" s="10" t="str">
        <f t="shared" si="48"/>
        <v/>
      </c>
      <c r="AL421" s="15" t="str">
        <f>IF(OR($A421&lt;&gt;"",$B421&lt;&gt;""),IF(OR($A421="",$B421=""),"Isi tanggal dan ID PIC",IF(NOT(ISNUMBER($A421)),"Tanggal harus berupa tanggal Excel",IF(COUNTIFS(Master_PIC!$A$8:$A$73,$B421)&lt;&gt;1,"ID PIC tidak unik/terdaftar",IF(VLOOKUP($B421,Master_PIC!$A$8:$G$73,3,FALSE)&lt;&gt;"SPV","Jabatan tidak sesuai sheet",IF(OR($C421="",$D421="",$E421="",$F421=""),"Lengkapi master PIC",IF(COUNTIFS($A$8:$A$507,$A421,$B$8:$B$507,$B421)&gt;1,"Laporan ganda",IF(COUNTIFS(G421:O421,"Tidak Berlaku")&gt;0,"N/A hanya untuk kegiatan bersyarat",IF(SUM(AF421,AG421,AH421,AI421,AJ421)&lt;&gt;13,"Status kegiatan tidak valid",IF(AJ421&gt;0,"Lengkapi status kegiatan",IF(AND(AI421&gt;0,T421=""),"Isi alasan Tidak Berlaku",IF(AND(SUM(AG421,AH421)&gt;0,OR(T421="",U421="",V421="",W421="")),"Isi kendala dan tindak lanjut",IF(AND(Y421&lt;&gt;"Draft",Y421&lt;&gt;"Dikirim"),"Isi status laporan yang valid",IF(AND(AA421&lt;&gt;"",AA421&lt;&gt;"Belum Diperiksa",AA421&lt;&gt;"Disetujui",AA421&lt;&gt;"Perlu Perbaikan"),"Hasil review tidak valid",IF(AND(Y421="Dikirim",OR(X421="",Z421="")),"Isi bukti dan waktu kirim",IF(AND(AA421="Disetujui",OR(Y421&lt;&gt;"Dikirim",AB421="",AC421="")),"Lengkapi pemeriksaan",IF(AND(AA421="Perlu Perbaikan",OR(AD421="",AB421="",AC421="")),"Isi pemeriksa dan catatan perbaikan","OK")))))))))))))))),"")</f>
        <v/>
      </c>
    </row>
    <row r="422" spans="1:38" ht="24.95" customHeight="1">
      <c r="A422" s="8"/>
      <c r="B422" s="6"/>
      <c r="C422" s="15" t="str">
        <f>IF(COUNTIFS(Master_PIC!$A$8:$A$73,$B422)=1,IF(VLOOKUP($B422,Master_PIC!$A$8:$G$73,2,FALSE)="","",VLOOKUP($B422,Master_PIC!$A$8:$G$73,2,FALSE)),"")</f>
        <v/>
      </c>
      <c r="D422" s="15" t="str">
        <f>IF(COUNTIFS(Master_PIC!$A$8:$A$73,$B422)=1,IF(VLOOKUP($B422,Master_PIC!$A$8:$G$73,4,FALSE)="","",VLOOKUP($B422,Master_PIC!$A$8:$G$73,4,FALSE)),"")</f>
        <v/>
      </c>
      <c r="E422" s="15" t="str">
        <f>IF(COUNTIFS(Master_PIC!$A$8:$A$73,$B422)=1,IF(VLOOKUP($B422,Master_PIC!$A$8:$G$73,5,FALSE)="","",VLOOKUP($B422,Master_PIC!$A$8:$G$73,5,FALSE)),"")</f>
        <v/>
      </c>
      <c r="F422" s="15" t="str">
        <f>IF(COUNTIFS(Master_PIC!$A$8:$A$73,$B422)=1,IF(VLOOKUP($B422,Master_PIC!$A$8:$G$73,6,FALSE)="","",VLOOKUP($B422,Master_PIC!$A$8:$G$73,6,FALSE)),"")</f>
        <v/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8"/>
      <c r="X422" s="5"/>
      <c r="Y422" s="5"/>
      <c r="Z422" s="9"/>
      <c r="AA422" s="5"/>
      <c r="AB422" s="5"/>
      <c r="AC422" s="9"/>
      <c r="AD422" s="5"/>
      <c r="AE422" s="7" t="str">
        <f t="shared" si="42"/>
        <v/>
      </c>
      <c r="AF422" s="7" t="str">
        <f t="shared" si="43"/>
        <v/>
      </c>
      <c r="AG422" s="7" t="str">
        <f t="shared" si="44"/>
        <v/>
      </c>
      <c r="AH422" s="7" t="str">
        <f t="shared" si="45"/>
        <v/>
      </c>
      <c r="AI422" s="7" t="str">
        <f t="shared" si="46"/>
        <v/>
      </c>
      <c r="AJ422" s="7" t="str">
        <f t="shared" si="47"/>
        <v/>
      </c>
      <c r="AK422" s="10" t="str">
        <f t="shared" si="48"/>
        <v/>
      </c>
      <c r="AL422" s="15" t="str">
        <f>IF(OR($A422&lt;&gt;"",$B422&lt;&gt;""),IF(OR($A422="",$B422=""),"Isi tanggal dan ID PIC",IF(NOT(ISNUMBER($A422)),"Tanggal harus berupa tanggal Excel",IF(COUNTIFS(Master_PIC!$A$8:$A$73,$B422)&lt;&gt;1,"ID PIC tidak unik/terdaftar",IF(VLOOKUP($B422,Master_PIC!$A$8:$G$73,3,FALSE)&lt;&gt;"SPV","Jabatan tidak sesuai sheet",IF(OR($C422="",$D422="",$E422="",$F422=""),"Lengkapi master PIC",IF(COUNTIFS($A$8:$A$507,$A422,$B$8:$B$507,$B422)&gt;1,"Laporan ganda",IF(COUNTIFS(G422:O422,"Tidak Berlaku")&gt;0,"N/A hanya untuk kegiatan bersyarat",IF(SUM(AF422,AG422,AH422,AI422,AJ422)&lt;&gt;13,"Status kegiatan tidak valid",IF(AJ422&gt;0,"Lengkapi status kegiatan",IF(AND(AI422&gt;0,T422=""),"Isi alasan Tidak Berlaku",IF(AND(SUM(AG422,AH422)&gt;0,OR(T422="",U422="",V422="",W422="")),"Isi kendala dan tindak lanjut",IF(AND(Y422&lt;&gt;"Draft",Y422&lt;&gt;"Dikirim"),"Isi status laporan yang valid",IF(AND(AA422&lt;&gt;"",AA422&lt;&gt;"Belum Diperiksa",AA422&lt;&gt;"Disetujui",AA422&lt;&gt;"Perlu Perbaikan"),"Hasil review tidak valid",IF(AND(Y422="Dikirim",OR(X422="",Z422="")),"Isi bukti dan waktu kirim",IF(AND(AA422="Disetujui",OR(Y422&lt;&gt;"Dikirim",AB422="",AC422="")),"Lengkapi pemeriksaan",IF(AND(AA422="Perlu Perbaikan",OR(AD422="",AB422="",AC422="")),"Isi pemeriksa dan catatan perbaikan","OK")))))))))))))))),"")</f>
        <v/>
      </c>
    </row>
    <row r="423" spans="1:38" ht="24.95" customHeight="1">
      <c r="A423" s="8"/>
      <c r="B423" s="6"/>
      <c r="C423" s="15" t="str">
        <f>IF(COUNTIFS(Master_PIC!$A$8:$A$73,$B423)=1,IF(VLOOKUP($B423,Master_PIC!$A$8:$G$73,2,FALSE)="","",VLOOKUP($B423,Master_PIC!$A$8:$G$73,2,FALSE)),"")</f>
        <v/>
      </c>
      <c r="D423" s="15" t="str">
        <f>IF(COUNTIFS(Master_PIC!$A$8:$A$73,$B423)=1,IF(VLOOKUP($B423,Master_PIC!$A$8:$G$73,4,FALSE)="","",VLOOKUP($B423,Master_PIC!$A$8:$G$73,4,FALSE)),"")</f>
        <v/>
      </c>
      <c r="E423" s="15" t="str">
        <f>IF(COUNTIFS(Master_PIC!$A$8:$A$73,$B423)=1,IF(VLOOKUP($B423,Master_PIC!$A$8:$G$73,5,FALSE)="","",VLOOKUP($B423,Master_PIC!$A$8:$G$73,5,FALSE)),"")</f>
        <v/>
      </c>
      <c r="F423" s="15" t="str">
        <f>IF(COUNTIFS(Master_PIC!$A$8:$A$73,$B423)=1,IF(VLOOKUP($B423,Master_PIC!$A$8:$G$73,6,FALSE)="","",VLOOKUP($B423,Master_PIC!$A$8:$G$73,6,FALSE)),"")</f>
        <v/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8"/>
      <c r="X423" s="5"/>
      <c r="Y423" s="5"/>
      <c r="Z423" s="9"/>
      <c r="AA423" s="5"/>
      <c r="AB423" s="5"/>
      <c r="AC423" s="9"/>
      <c r="AD423" s="5"/>
      <c r="AE423" s="7" t="str">
        <f t="shared" si="42"/>
        <v/>
      </c>
      <c r="AF423" s="7" t="str">
        <f t="shared" si="43"/>
        <v/>
      </c>
      <c r="AG423" s="7" t="str">
        <f t="shared" si="44"/>
        <v/>
      </c>
      <c r="AH423" s="7" t="str">
        <f t="shared" si="45"/>
        <v/>
      </c>
      <c r="AI423" s="7" t="str">
        <f t="shared" si="46"/>
        <v/>
      </c>
      <c r="AJ423" s="7" t="str">
        <f t="shared" si="47"/>
        <v/>
      </c>
      <c r="AK423" s="10" t="str">
        <f t="shared" si="48"/>
        <v/>
      </c>
      <c r="AL423" s="15" t="str">
        <f>IF(OR($A423&lt;&gt;"",$B423&lt;&gt;""),IF(OR($A423="",$B423=""),"Isi tanggal dan ID PIC",IF(NOT(ISNUMBER($A423)),"Tanggal harus berupa tanggal Excel",IF(COUNTIFS(Master_PIC!$A$8:$A$73,$B423)&lt;&gt;1,"ID PIC tidak unik/terdaftar",IF(VLOOKUP($B423,Master_PIC!$A$8:$G$73,3,FALSE)&lt;&gt;"SPV","Jabatan tidak sesuai sheet",IF(OR($C423="",$D423="",$E423="",$F423=""),"Lengkapi master PIC",IF(COUNTIFS($A$8:$A$507,$A423,$B$8:$B$507,$B423)&gt;1,"Laporan ganda",IF(COUNTIFS(G423:O423,"Tidak Berlaku")&gt;0,"N/A hanya untuk kegiatan bersyarat",IF(SUM(AF423,AG423,AH423,AI423,AJ423)&lt;&gt;13,"Status kegiatan tidak valid",IF(AJ423&gt;0,"Lengkapi status kegiatan",IF(AND(AI423&gt;0,T423=""),"Isi alasan Tidak Berlaku",IF(AND(SUM(AG423,AH423)&gt;0,OR(T423="",U423="",V423="",W423="")),"Isi kendala dan tindak lanjut",IF(AND(Y423&lt;&gt;"Draft",Y423&lt;&gt;"Dikirim"),"Isi status laporan yang valid",IF(AND(AA423&lt;&gt;"",AA423&lt;&gt;"Belum Diperiksa",AA423&lt;&gt;"Disetujui",AA423&lt;&gt;"Perlu Perbaikan"),"Hasil review tidak valid",IF(AND(Y423="Dikirim",OR(X423="",Z423="")),"Isi bukti dan waktu kirim",IF(AND(AA423="Disetujui",OR(Y423&lt;&gt;"Dikirim",AB423="",AC423="")),"Lengkapi pemeriksaan",IF(AND(AA423="Perlu Perbaikan",OR(AD423="",AB423="",AC423="")),"Isi pemeriksa dan catatan perbaikan","OK")))))))))))))))),"")</f>
        <v/>
      </c>
    </row>
    <row r="424" spans="1:38" ht="24.95" customHeight="1">
      <c r="A424" s="8"/>
      <c r="B424" s="6"/>
      <c r="C424" s="15" t="str">
        <f>IF(COUNTIFS(Master_PIC!$A$8:$A$73,$B424)=1,IF(VLOOKUP($B424,Master_PIC!$A$8:$G$73,2,FALSE)="","",VLOOKUP($B424,Master_PIC!$A$8:$G$73,2,FALSE)),"")</f>
        <v/>
      </c>
      <c r="D424" s="15" t="str">
        <f>IF(COUNTIFS(Master_PIC!$A$8:$A$73,$B424)=1,IF(VLOOKUP($B424,Master_PIC!$A$8:$G$73,4,FALSE)="","",VLOOKUP($B424,Master_PIC!$A$8:$G$73,4,FALSE)),"")</f>
        <v/>
      </c>
      <c r="E424" s="15" t="str">
        <f>IF(COUNTIFS(Master_PIC!$A$8:$A$73,$B424)=1,IF(VLOOKUP($B424,Master_PIC!$A$8:$G$73,5,FALSE)="","",VLOOKUP($B424,Master_PIC!$A$8:$G$73,5,FALSE)),"")</f>
        <v/>
      </c>
      <c r="F424" s="15" t="str">
        <f>IF(COUNTIFS(Master_PIC!$A$8:$A$73,$B424)=1,IF(VLOOKUP($B424,Master_PIC!$A$8:$G$73,6,FALSE)="","",VLOOKUP($B424,Master_PIC!$A$8:$G$73,6,FALSE)),"")</f>
        <v/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8"/>
      <c r="X424" s="5"/>
      <c r="Y424" s="5"/>
      <c r="Z424" s="9"/>
      <c r="AA424" s="5"/>
      <c r="AB424" s="5"/>
      <c r="AC424" s="9"/>
      <c r="AD424" s="5"/>
      <c r="AE424" s="7" t="str">
        <f t="shared" si="42"/>
        <v/>
      </c>
      <c r="AF424" s="7" t="str">
        <f t="shared" si="43"/>
        <v/>
      </c>
      <c r="AG424" s="7" t="str">
        <f t="shared" si="44"/>
        <v/>
      </c>
      <c r="AH424" s="7" t="str">
        <f t="shared" si="45"/>
        <v/>
      </c>
      <c r="AI424" s="7" t="str">
        <f t="shared" si="46"/>
        <v/>
      </c>
      <c r="AJ424" s="7" t="str">
        <f t="shared" si="47"/>
        <v/>
      </c>
      <c r="AK424" s="10" t="str">
        <f t="shared" si="48"/>
        <v/>
      </c>
      <c r="AL424" s="15" t="str">
        <f>IF(OR($A424&lt;&gt;"",$B424&lt;&gt;""),IF(OR($A424="",$B424=""),"Isi tanggal dan ID PIC",IF(NOT(ISNUMBER($A424)),"Tanggal harus berupa tanggal Excel",IF(COUNTIFS(Master_PIC!$A$8:$A$73,$B424)&lt;&gt;1,"ID PIC tidak unik/terdaftar",IF(VLOOKUP($B424,Master_PIC!$A$8:$G$73,3,FALSE)&lt;&gt;"SPV","Jabatan tidak sesuai sheet",IF(OR($C424="",$D424="",$E424="",$F424=""),"Lengkapi master PIC",IF(COUNTIFS($A$8:$A$507,$A424,$B$8:$B$507,$B424)&gt;1,"Laporan ganda",IF(COUNTIFS(G424:O424,"Tidak Berlaku")&gt;0,"N/A hanya untuk kegiatan bersyarat",IF(SUM(AF424,AG424,AH424,AI424,AJ424)&lt;&gt;13,"Status kegiatan tidak valid",IF(AJ424&gt;0,"Lengkapi status kegiatan",IF(AND(AI424&gt;0,T424=""),"Isi alasan Tidak Berlaku",IF(AND(SUM(AG424,AH424)&gt;0,OR(T424="",U424="",V424="",W424="")),"Isi kendala dan tindak lanjut",IF(AND(Y424&lt;&gt;"Draft",Y424&lt;&gt;"Dikirim"),"Isi status laporan yang valid",IF(AND(AA424&lt;&gt;"",AA424&lt;&gt;"Belum Diperiksa",AA424&lt;&gt;"Disetujui",AA424&lt;&gt;"Perlu Perbaikan"),"Hasil review tidak valid",IF(AND(Y424="Dikirim",OR(X424="",Z424="")),"Isi bukti dan waktu kirim",IF(AND(AA424="Disetujui",OR(Y424&lt;&gt;"Dikirim",AB424="",AC424="")),"Lengkapi pemeriksaan",IF(AND(AA424="Perlu Perbaikan",OR(AD424="",AB424="",AC424="")),"Isi pemeriksa dan catatan perbaikan","OK")))))))))))))))),"")</f>
        <v/>
      </c>
    </row>
    <row r="425" spans="1:38" ht="24.95" customHeight="1">
      <c r="A425" s="8"/>
      <c r="B425" s="6"/>
      <c r="C425" s="15" t="str">
        <f>IF(COUNTIFS(Master_PIC!$A$8:$A$73,$B425)=1,IF(VLOOKUP($B425,Master_PIC!$A$8:$G$73,2,FALSE)="","",VLOOKUP($B425,Master_PIC!$A$8:$G$73,2,FALSE)),"")</f>
        <v/>
      </c>
      <c r="D425" s="15" t="str">
        <f>IF(COUNTIFS(Master_PIC!$A$8:$A$73,$B425)=1,IF(VLOOKUP($B425,Master_PIC!$A$8:$G$73,4,FALSE)="","",VLOOKUP($B425,Master_PIC!$A$8:$G$73,4,FALSE)),"")</f>
        <v/>
      </c>
      <c r="E425" s="15" t="str">
        <f>IF(COUNTIFS(Master_PIC!$A$8:$A$73,$B425)=1,IF(VLOOKUP($B425,Master_PIC!$A$8:$G$73,5,FALSE)="","",VLOOKUP($B425,Master_PIC!$A$8:$G$73,5,FALSE)),"")</f>
        <v/>
      </c>
      <c r="F425" s="15" t="str">
        <f>IF(COUNTIFS(Master_PIC!$A$8:$A$73,$B425)=1,IF(VLOOKUP($B425,Master_PIC!$A$8:$G$73,6,FALSE)="","",VLOOKUP($B425,Master_PIC!$A$8:$G$73,6,FALSE)),"")</f>
        <v/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8"/>
      <c r="X425" s="5"/>
      <c r="Y425" s="5"/>
      <c r="Z425" s="9"/>
      <c r="AA425" s="5"/>
      <c r="AB425" s="5"/>
      <c r="AC425" s="9"/>
      <c r="AD425" s="5"/>
      <c r="AE425" s="7" t="str">
        <f t="shared" si="42"/>
        <v/>
      </c>
      <c r="AF425" s="7" t="str">
        <f t="shared" si="43"/>
        <v/>
      </c>
      <c r="AG425" s="7" t="str">
        <f t="shared" si="44"/>
        <v/>
      </c>
      <c r="AH425" s="7" t="str">
        <f t="shared" si="45"/>
        <v/>
      </c>
      <c r="AI425" s="7" t="str">
        <f t="shared" si="46"/>
        <v/>
      </c>
      <c r="AJ425" s="7" t="str">
        <f t="shared" si="47"/>
        <v/>
      </c>
      <c r="AK425" s="10" t="str">
        <f t="shared" si="48"/>
        <v/>
      </c>
      <c r="AL425" s="15" t="str">
        <f>IF(OR($A425&lt;&gt;"",$B425&lt;&gt;""),IF(OR($A425="",$B425=""),"Isi tanggal dan ID PIC",IF(NOT(ISNUMBER($A425)),"Tanggal harus berupa tanggal Excel",IF(COUNTIFS(Master_PIC!$A$8:$A$73,$B425)&lt;&gt;1,"ID PIC tidak unik/terdaftar",IF(VLOOKUP($B425,Master_PIC!$A$8:$G$73,3,FALSE)&lt;&gt;"SPV","Jabatan tidak sesuai sheet",IF(OR($C425="",$D425="",$E425="",$F425=""),"Lengkapi master PIC",IF(COUNTIFS($A$8:$A$507,$A425,$B$8:$B$507,$B425)&gt;1,"Laporan ganda",IF(COUNTIFS(G425:O425,"Tidak Berlaku")&gt;0,"N/A hanya untuk kegiatan bersyarat",IF(SUM(AF425,AG425,AH425,AI425,AJ425)&lt;&gt;13,"Status kegiatan tidak valid",IF(AJ425&gt;0,"Lengkapi status kegiatan",IF(AND(AI425&gt;0,T425=""),"Isi alasan Tidak Berlaku",IF(AND(SUM(AG425,AH425)&gt;0,OR(T425="",U425="",V425="",W425="")),"Isi kendala dan tindak lanjut",IF(AND(Y425&lt;&gt;"Draft",Y425&lt;&gt;"Dikirim"),"Isi status laporan yang valid",IF(AND(AA425&lt;&gt;"",AA425&lt;&gt;"Belum Diperiksa",AA425&lt;&gt;"Disetujui",AA425&lt;&gt;"Perlu Perbaikan"),"Hasil review tidak valid",IF(AND(Y425="Dikirim",OR(X425="",Z425="")),"Isi bukti dan waktu kirim",IF(AND(AA425="Disetujui",OR(Y425&lt;&gt;"Dikirim",AB425="",AC425="")),"Lengkapi pemeriksaan",IF(AND(AA425="Perlu Perbaikan",OR(AD425="",AB425="",AC425="")),"Isi pemeriksa dan catatan perbaikan","OK")))))))))))))))),"")</f>
        <v/>
      </c>
    </row>
    <row r="426" spans="1:38" ht="24.95" customHeight="1">
      <c r="A426" s="8"/>
      <c r="B426" s="6"/>
      <c r="C426" s="15" t="str">
        <f>IF(COUNTIFS(Master_PIC!$A$8:$A$73,$B426)=1,IF(VLOOKUP($B426,Master_PIC!$A$8:$G$73,2,FALSE)="","",VLOOKUP($B426,Master_PIC!$A$8:$G$73,2,FALSE)),"")</f>
        <v/>
      </c>
      <c r="D426" s="15" t="str">
        <f>IF(COUNTIFS(Master_PIC!$A$8:$A$73,$B426)=1,IF(VLOOKUP($B426,Master_PIC!$A$8:$G$73,4,FALSE)="","",VLOOKUP($B426,Master_PIC!$A$8:$G$73,4,FALSE)),"")</f>
        <v/>
      </c>
      <c r="E426" s="15" t="str">
        <f>IF(COUNTIFS(Master_PIC!$A$8:$A$73,$B426)=1,IF(VLOOKUP($B426,Master_PIC!$A$8:$G$73,5,FALSE)="","",VLOOKUP($B426,Master_PIC!$A$8:$G$73,5,FALSE)),"")</f>
        <v/>
      </c>
      <c r="F426" s="15" t="str">
        <f>IF(COUNTIFS(Master_PIC!$A$8:$A$73,$B426)=1,IF(VLOOKUP($B426,Master_PIC!$A$8:$G$73,6,FALSE)="","",VLOOKUP($B426,Master_PIC!$A$8:$G$73,6,FALSE)),"")</f>
        <v/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8"/>
      <c r="X426" s="5"/>
      <c r="Y426" s="5"/>
      <c r="Z426" s="9"/>
      <c r="AA426" s="5"/>
      <c r="AB426" s="5"/>
      <c r="AC426" s="9"/>
      <c r="AD426" s="5"/>
      <c r="AE426" s="7" t="str">
        <f t="shared" si="42"/>
        <v/>
      </c>
      <c r="AF426" s="7" t="str">
        <f t="shared" si="43"/>
        <v/>
      </c>
      <c r="AG426" s="7" t="str">
        <f t="shared" si="44"/>
        <v/>
      </c>
      <c r="AH426" s="7" t="str">
        <f t="shared" si="45"/>
        <v/>
      </c>
      <c r="AI426" s="7" t="str">
        <f t="shared" si="46"/>
        <v/>
      </c>
      <c r="AJ426" s="7" t="str">
        <f t="shared" si="47"/>
        <v/>
      </c>
      <c r="AK426" s="10" t="str">
        <f t="shared" si="48"/>
        <v/>
      </c>
      <c r="AL426" s="15" t="str">
        <f>IF(OR($A426&lt;&gt;"",$B426&lt;&gt;""),IF(OR($A426="",$B426=""),"Isi tanggal dan ID PIC",IF(NOT(ISNUMBER($A426)),"Tanggal harus berupa tanggal Excel",IF(COUNTIFS(Master_PIC!$A$8:$A$73,$B426)&lt;&gt;1,"ID PIC tidak unik/terdaftar",IF(VLOOKUP($B426,Master_PIC!$A$8:$G$73,3,FALSE)&lt;&gt;"SPV","Jabatan tidak sesuai sheet",IF(OR($C426="",$D426="",$E426="",$F426=""),"Lengkapi master PIC",IF(COUNTIFS($A$8:$A$507,$A426,$B$8:$B$507,$B426)&gt;1,"Laporan ganda",IF(COUNTIFS(G426:O426,"Tidak Berlaku")&gt;0,"N/A hanya untuk kegiatan bersyarat",IF(SUM(AF426,AG426,AH426,AI426,AJ426)&lt;&gt;13,"Status kegiatan tidak valid",IF(AJ426&gt;0,"Lengkapi status kegiatan",IF(AND(AI426&gt;0,T426=""),"Isi alasan Tidak Berlaku",IF(AND(SUM(AG426,AH426)&gt;0,OR(T426="",U426="",V426="",W426="")),"Isi kendala dan tindak lanjut",IF(AND(Y426&lt;&gt;"Draft",Y426&lt;&gt;"Dikirim"),"Isi status laporan yang valid",IF(AND(AA426&lt;&gt;"",AA426&lt;&gt;"Belum Diperiksa",AA426&lt;&gt;"Disetujui",AA426&lt;&gt;"Perlu Perbaikan"),"Hasil review tidak valid",IF(AND(Y426="Dikirim",OR(X426="",Z426="")),"Isi bukti dan waktu kirim",IF(AND(AA426="Disetujui",OR(Y426&lt;&gt;"Dikirim",AB426="",AC426="")),"Lengkapi pemeriksaan",IF(AND(AA426="Perlu Perbaikan",OR(AD426="",AB426="",AC426="")),"Isi pemeriksa dan catatan perbaikan","OK")))))))))))))))),"")</f>
        <v/>
      </c>
    </row>
    <row r="427" spans="1:38" ht="24.95" customHeight="1">
      <c r="A427" s="8"/>
      <c r="B427" s="6"/>
      <c r="C427" s="15" t="str">
        <f>IF(COUNTIFS(Master_PIC!$A$8:$A$73,$B427)=1,IF(VLOOKUP($B427,Master_PIC!$A$8:$G$73,2,FALSE)="","",VLOOKUP($B427,Master_PIC!$A$8:$G$73,2,FALSE)),"")</f>
        <v/>
      </c>
      <c r="D427" s="15" t="str">
        <f>IF(COUNTIFS(Master_PIC!$A$8:$A$73,$B427)=1,IF(VLOOKUP($B427,Master_PIC!$A$8:$G$73,4,FALSE)="","",VLOOKUP($B427,Master_PIC!$A$8:$G$73,4,FALSE)),"")</f>
        <v/>
      </c>
      <c r="E427" s="15" t="str">
        <f>IF(COUNTIFS(Master_PIC!$A$8:$A$73,$B427)=1,IF(VLOOKUP($B427,Master_PIC!$A$8:$G$73,5,FALSE)="","",VLOOKUP($B427,Master_PIC!$A$8:$G$73,5,FALSE)),"")</f>
        <v/>
      </c>
      <c r="F427" s="15" t="str">
        <f>IF(COUNTIFS(Master_PIC!$A$8:$A$73,$B427)=1,IF(VLOOKUP($B427,Master_PIC!$A$8:$G$73,6,FALSE)="","",VLOOKUP($B427,Master_PIC!$A$8:$G$73,6,FALSE)),"")</f>
        <v/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8"/>
      <c r="X427" s="5"/>
      <c r="Y427" s="5"/>
      <c r="Z427" s="9"/>
      <c r="AA427" s="5"/>
      <c r="AB427" s="5"/>
      <c r="AC427" s="9"/>
      <c r="AD427" s="5"/>
      <c r="AE427" s="7" t="str">
        <f t="shared" si="42"/>
        <v/>
      </c>
      <c r="AF427" s="7" t="str">
        <f t="shared" si="43"/>
        <v/>
      </c>
      <c r="AG427" s="7" t="str">
        <f t="shared" si="44"/>
        <v/>
      </c>
      <c r="AH427" s="7" t="str">
        <f t="shared" si="45"/>
        <v/>
      </c>
      <c r="AI427" s="7" t="str">
        <f t="shared" si="46"/>
        <v/>
      </c>
      <c r="AJ427" s="7" t="str">
        <f t="shared" si="47"/>
        <v/>
      </c>
      <c r="AK427" s="10" t="str">
        <f t="shared" si="48"/>
        <v/>
      </c>
      <c r="AL427" s="15" t="str">
        <f>IF(OR($A427&lt;&gt;"",$B427&lt;&gt;""),IF(OR($A427="",$B427=""),"Isi tanggal dan ID PIC",IF(NOT(ISNUMBER($A427)),"Tanggal harus berupa tanggal Excel",IF(COUNTIFS(Master_PIC!$A$8:$A$73,$B427)&lt;&gt;1,"ID PIC tidak unik/terdaftar",IF(VLOOKUP($B427,Master_PIC!$A$8:$G$73,3,FALSE)&lt;&gt;"SPV","Jabatan tidak sesuai sheet",IF(OR($C427="",$D427="",$E427="",$F427=""),"Lengkapi master PIC",IF(COUNTIFS($A$8:$A$507,$A427,$B$8:$B$507,$B427)&gt;1,"Laporan ganda",IF(COUNTIFS(G427:O427,"Tidak Berlaku")&gt;0,"N/A hanya untuk kegiatan bersyarat",IF(SUM(AF427,AG427,AH427,AI427,AJ427)&lt;&gt;13,"Status kegiatan tidak valid",IF(AJ427&gt;0,"Lengkapi status kegiatan",IF(AND(AI427&gt;0,T427=""),"Isi alasan Tidak Berlaku",IF(AND(SUM(AG427,AH427)&gt;0,OR(T427="",U427="",V427="",W427="")),"Isi kendala dan tindak lanjut",IF(AND(Y427&lt;&gt;"Draft",Y427&lt;&gt;"Dikirim"),"Isi status laporan yang valid",IF(AND(AA427&lt;&gt;"",AA427&lt;&gt;"Belum Diperiksa",AA427&lt;&gt;"Disetujui",AA427&lt;&gt;"Perlu Perbaikan"),"Hasil review tidak valid",IF(AND(Y427="Dikirim",OR(X427="",Z427="")),"Isi bukti dan waktu kirim",IF(AND(AA427="Disetujui",OR(Y427&lt;&gt;"Dikirim",AB427="",AC427="")),"Lengkapi pemeriksaan",IF(AND(AA427="Perlu Perbaikan",OR(AD427="",AB427="",AC427="")),"Isi pemeriksa dan catatan perbaikan","OK")))))))))))))))),"")</f>
        <v/>
      </c>
    </row>
    <row r="428" spans="1:38" ht="24.95" customHeight="1">
      <c r="A428" s="8"/>
      <c r="B428" s="6"/>
      <c r="C428" s="15" t="str">
        <f>IF(COUNTIFS(Master_PIC!$A$8:$A$73,$B428)=1,IF(VLOOKUP($B428,Master_PIC!$A$8:$G$73,2,FALSE)="","",VLOOKUP($B428,Master_PIC!$A$8:$G$73,2,FALSE)),"")</f>
        <v/>
      </c>
      <c r="D428" s="15" t="str">
        <f>IF(COUNTIFS(Master_PIC!$A$8:$A$73,$B428)=1,IF(VLOOKUP($B428,Master_PIC!$A$8:$G$73,4,FALSE)="","",VLOOKUP($B428,Master_PIC!$A$8:$G$73,4,FALSE)),"")</f>
        <v/>
      </c>
      <c r="E428" s="15" t="str">
        <f>IF(COUNTIFS(Master_PIC!$A$8:$A$73,$B428)=1,IF(VLOOKUP($B428,Master_PIC!$A$8:$G$73,5,FALSE)="","",VLOOKUP($B428,Master_PIC!$A$8:$G$73,5,FALSE)),"")</f>
        <v/>
      </c>
      <c r="F428" s="15" t="str">
        <f>IF(COUNTIFS(Master_PIC!$A$8:$A$73,$B428)=1,IF(VLOOKUP($B428,Master_PIC!$A$8:$G$73,6,FALSE)="","",VLOOKUP($B428,Master_PIC!$A$8:$G$73,6,FALSE)),"")</f>
        <v/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8"/>
      <c r="X428" s="5"/>
      <c r="Y428" s="5"/>
      <c r="Z428" s="9"/>
      <c r="AA428" s="5"/>
      <c r="AB428" s="5"/>
      <c r="AC428" s="9"/>
      <c r="AD428" s="5"/>
      <c r="AE428" s="7" t="str">
        <f t="shared" si="42"/>
        <v/>
      </c>
      <c r="AF428" s="7" t="str">
        <f t="shared" si="43"/>
        <v/>
      </c>
      <c r="AG428" s="7" t="str">
        <f t="shared" si="44"/>
        <v/>
      </c>
      <c r="AH428" s="7" t="str">
        <f t="shared" si="45"/>
        <v/>
      </c>
      <c r="AI428" s="7" t="str">
        <f t="shared" si="46"/>
        <v/>
      </c>
      <c r="AJ428" s="7" t="str">
        <f t="shared" si="47"/>
        <v/>
      </c>
      <c r="AK428" s="10" t="str">
        <f t="shared" si="48"/>
        <v/>
      </c>
      <c r="AL428" s="15" t="str">
        <f>IF(OR($A428&lt;&gt;"",$B428&lt;&gt;""),IF(OR($A428="",$B428=""),"Isi tanggal dan ID PIC",IF(NOT(ISNUMBER($A428)),"Tanggal harus berupa tanggal Excel",IF(COUNTIFS(Master_PIC!$A$8:$A$73,$B428)&lt;&gt;1,"ID PIC tidak unik/terdaftar",IF(VLOOKUP($B428,Master_PIC!$A$8:$G$73,3,FALSE)&lt;&gt;"SPV","Jabatan tidak sesuai sheet",IF(OR($C428="",$D428="",$E428="",$F428=""),"Lengkapi master PIC",IF(COUNTIFS($A$8:$A$507,$A428,$B$8:$B$507,$B428)&gt;1,"Laporan ganda",IF(COUNTIFS(G428:O428,"Tidak Berlaku")&gt;0,"N/A hanya untuk kegiatan bersyarat",IF(SUM(AF428,AG428,AH428,AI428,AJ428)&lt;&gt;13,"Status kegiatan tidak valid",IF(AJ428&gt;0,"Lengkapi status kegiatan",IF(AND(AI428&gt;0,T428=""),"Isi alasan Tidak Berlaku",IF(AND(SUM(AG428,AH428)&gt;0,OR(T428="",U428="",V428="",W428="")),"Isi kendala dan tindak lanjut",IF(AND(Y428&lt;&gt;"Draft",Y428&lt;&gt;"Dikirim"),"Isi status laporan yang valid",IF(AND(AA428&lt;&gt;"",AA428&lt;&gt;"Belum Diperiksa",AA428&lt;&gt;"Disetujui",AA428&lt;&gt;"Perlu Perbaikan"),"Hasil review tidak valid",IF(AND(Y428="Dikirim",OR(X428="",Z428="")),"Isi bukti dan waktu kirim",IF(AND(AA428="Disetujui",OR(Y428&lt;&gt;"Dikirim",AB428="",AC428="")),"Lengkapi pemeriksaan",IF(AND(AA428="Perlu Perbaikan",OR(AD428="",AB428="",AC428="")),"Isi pemeriksa dan catatan perbaikan","OK")))))))))))))))),"")</f>
        <v/>
      </c>
    </row>
    <row r="429" spans="1:38" ht="24.95" customHeight="1">
      <c r="A429" s="8"/>
      <c r="B429" s="6"/>
      <c r="C429" s="15" t="str">
        <f>IF(COUNTIFS(Master_PIC!$A$8:$A$73,$B429)=1,IF(VLOOKUP($B429,Master_PIC!$A$8:$G$73,2,FALSE)="","",VLOOKUP($B429,Master_PIC!$A$8:$G$73,2,FALSE)),"")</f>
        <v/>
      </c>
      <c r="D429" s="15" t="str">
        <f>IF(COUNTIFS(Master_PIC!$A$8:$A$73,$B429)=1,IF(VLOOKUP($B429,Master_PIC!$A$8:$G$73,4,FALSE)="","",VLOOKUP($B429,Master_PIC!$A$8:$G$73,4,FALSE)),"")</f>
        <v/>
      </c>
      <c r="E429" s="15" t="str">
        <f>IF(COUNTIFS(Master_PIC!$A$8:$A$73,$B429)=1,IF(VLOOKUP($B429,Master_PIC!$A$8:$G$73,5,FALSE)="","",VLOOKUP($B429,Master_PIC!$A$8:$G$73,5,FALSE)),"")</f>
        <v/>
      </c>
      <c r="F429" s="15" t="str">
        <f>IF(COUNTIFS(Master_PIC!$A$8:$A$73,$B429)=1,IF(VLOOKUP($B429,Master_PIC!$A$8:$G$73,6,FALSE)="","",VLOOKUP($B429,Master_PIC!$A$8:$G$73,6,FALSE)),"")</f>
        <v/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8"/>
      <c r="X429" s="5"/>
      <c r="Y429" s="5"/>
      <c r="Z429" s="9"/>
      <c r="AA429" s="5"/>
      <c r="AB429" s="5"/>
      <c r="AC429" s="9"/>
      <c r="AD429" s="5"/>
      <c r="AE429" s="7" t="str">
        <f t="shared" si="42"/>
        <v/>
      </c>
      <c r="AF429" s="7" t="str">
        <f t="shared" si="43"/>
        <v/>
      </c>
      <c r="AG429" s="7" t="str">
        <f t="shared" si="44"/>
        <v/>
      </c>
      <c r="AH429" s="7" t="str">
        <f t="shared" si="45"/>
        <v/>
      </c>
      <c r="AI429" s="7" t="str">
        <f t="shared" si="46"/>
        <v/>
      </c>
      <c r="AJ429" s="7" t="str">
        <f t="shared" si="47"/>
        <v/>
      </c>
      <c r="AK429" s="10" t="str">
        <f t="shared" si="48"/>
        <v/>
      </c>
      <c r="AL429" s="15" t="str">
        <f>IF(OR($A429&lt;&gt;"",$B429&lt;&gt;""),IF(OR($A429="",$B429=""),"Isi tanggal dan ID PIC",IF(NOT(ISNUMBER($A429)),"Tanggal harus berupa tanggal Excel",IF(COUNTIFS(Master_PIC!$A$8:$A$73,$B429)&lt;&gt;1,"ID PIC tidak unik/terdaftar",IF(VLOOKUP($B429,Master_PIC!$A$8:$G$73,3,FALSE)&lt;&gt;"SPV","Jabatan tidak sesuai sheet",IF(OR($C429="",$D429="",$E429="",$F429=""),"Lengkapi master PIC",IF(COUNTIFS($A$8:$A$507,$A429,$B$8:$B$507,$B429)&gt;1,"Laporan ganda",IF(COUNTIFS(G429:O429,"Tidak Berlaku")&gt;0,"N/A hanya untuk kegiatan bersyarat",IF(SUM(AF429,AG429,AH429,AI429,AJ429)&lt;&gt;13,"Status kegiatan tidak valid",IF(AJ429&gt;0,"Lengkapi status kegiatan",IF(AND(AI429&gt;0,T429=""),"Isi alasan Tidak Berlaku",IF(AND(SUM(AG429,AH429)&gt;0,OR(T429="",U429="",V429="",W429="")),"Isi kendala dan tindak lanjut",IF(AND(Y429&lt;&gt;"Draft",Y429&lt;&gt;"Dikirim"),"Isi status laporan yang valid",IF(AND(AA429&lt;&gt;"",AA429&lt;&gt;"Belum Diperiksa",AA429&lt;&gt;"Disetujui",AA429&lt;&gt;"Perlu Perbaikan"),"Hasil review tidak valid",IF(AND(Y429="Dikirim",OR(X429="",Z429="")),"Isi bukti dan waktu kirim",IF(AND(AA429="Disetujui",OR(Y429&lt;&gt;"Dikirim",AB429="",AC429="")),"Lengkapi pemeriksaan",IF(AND(AA429="Perlu Perbaikan",OR(AD429="",AB429="",AC429="")),"Isi pemeriksa dan catatan perbaikan","OK")))))))))))))))),"")</f>
        <v/>
      </c>
    </row>
    <row r="430" spans="1:38" ht="24.95" customHeight="1">
      <c r="A430" s="8"/>
      <c r="B430" s="6"/>
      <c r="C430" s="15" t="str">
        <f>IF(COUNTIFS(Master_PIC!$A$8:$A$73,$B430)=1,IF(VLOOKUP($B430,Master_PIC!$A$8:$G$73,2,FALSE)="","",VLOOKUP($B430,Master_PIC!$A$8:$G$73,2,FALSE)),"")</f>
        <v/>
      </c>
      <c r="D430" s="15" t="str">
        <f>IF(COUNTIFS(Master_PIC!$A$8:$A$73,$B430)=1,IF(VLOOKUP($B430,Master_PIC!$A$8:$G$73,4,FALSE)="","",VLOOKUP($B430,Master_PIC!$A$8:$G$73,4,FALSE)),"")</f>
        <v/>
      </c>
      <c r="E430" s="15" t="str">
        <f>IF(COUNTIFS(Master_PIC!$A$8:$A$73,$B430)=1,IF(VLOOKUP($B430,Master_PIC!$A$8:$G$73,5,FALSE)="","",VLOOKUP($B430,Master_PIC!$A$8:$G$73,5,FALSE)),"")</f>
        <v/>
      </c>
      <c r="F430" s="15" t="str">
        <f>IF(COUNTIFS(Master_PIC!$A$8:$A$73,$B430)=1,IF(VLOOKUP($B430,Master_PIC!$A$8:$G$73,6,FALSE)="","",VLOOKUP($B430,Master_PIC!$A$8:$G$73,6,FALSE)),"")</f>
        <v/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8"/>
      <c r="X430" s="5"/>
      <c r="Y430" s="5"/>
      <c r="Z430" s="9"/>
      <c r="AA430" s="5"/>
      <c r="AB430" s="5"/>
      <c r="AC430" s="9"/>
      <c r="AD430" s="5"/>
      <c r="AE430" s="7" t="str">
        <f t="shared" si="42"/>
        <v/>
      </c>
      <c r="AF430" s="7" t="str">
        <f t="shared" si="43"/>
        <v/>
      </c>
      <c r="AG430" s="7" t="str">
        <f t="shared" si="44"/>
        <v/>
      </c>
      <c r="AH430" s="7" t="str">
        <f t="shared" si="45"/>
        <v/>
      </c>
      <c r="AI430" s="7" t="str">
        <f t="shared" si="46"/>
        <v/>
      </c>
      <c r="AJ430" s="7" t="str">
        <f t="shared" si="47"/>
        <v/>
      </c>
      <c r="AK430" s="10" t="str">
        <f t="shared" si="48"/>
        <v/>
      </c>
      <c r="AL430" s="15" t="str">
        <f>IF(OR($A430&lt;&gt;"",$B430&lt;&gt;""),IF(OR($A430="",$B430=""),"Isi tanggal dan ID PIC",IF(NOT(ISNUMBER($A430)),"Tanggal harus berupa tanggal Excel",IF(COUNTIFS(Master_PIC!$A$8:$A$73,$B430)&lt;&gt;1,"ID PIC tidak unik/terdaftar",IF(VLOOKUP($B430,Master_PIC!$A$8:$G$73,3,FALSE)&lt;&gt;"SPV","Jabatan tidak sesuai sheet",IF(OR($C430="",$D430="",$E430="",$F430=""),"Lengkapi master PIC",IF(COUNTIFS($A$8:$A$507,$A430,$B$8:$B$507,$B430)&gt;1,"Laporan ganda",IF(COUNTIFS(G430:O430,"Tidak Berlaku")&gt;0,"N/A hanya untuk kegiatan bersyarat",IF(SUM(AF430,AG430,AH430,AI430,AJ430)&lt;&gt;13,"Status kegiatan tidak valid",IF(AJ430&gt;0,"Lengkapi status kegiatan",IF(AND(AI430&gt;0,T430=""),"Isi alasan Tidak Berlaku",IF(AND(SUM(AG430,AH430)&gt;0,OR(T430="",U430="",V430="",W430="")),"Isi kendala dan tindak lanjut",IF(AND(Y430&lt;&gt;"Draft",Y430&lt;&gt;"Dikirim"),"Isi status laporan yang valid",IF(AND(AA430&lt;&gt;"",AA430&lt;&gt;"Belum Diperiksa",AA430&lt;&gt;"Disetujui",AA430&lt;&gt;"Perlu Perbaikan"),"Hasil review tidak valid",IF(AND(Y430="Dikirim",OR(X430="",Z430="")),"Isi bukti dan waktu kirim",IF(AND(AA430="Disetujui",OR(Y430&lt;&gt;"Dikirim",AB430="",AC430="")),"Lengkapi pemeriksaan",IF(AND(AA430="Perlu Perbaikan",OR(AD430="",AB430="",AC430="")),"Isi pemeriksa dan catatan perbaikan","OK")))))))))))))))),"")</f>
        <v/>
      </c>
    </row>
    <row r="431" spans="1:38" ht="24.95" customHeight="1">
      <c r="A431" s="8"/>
      <c r="B431" s="6"/>
      <c r="C431" s="15" t="str">
        <f>IF(COUNTIFS(Master_PIC!$A$8:$A$73,$B431)=1,IF(VLOOKUP($B431,Master_PIC!$A$8:$G$73,2,FALSE)="","",VLOOKUP($B431,Master_PIC!$A$8:$G$73,2,FALSE)),"")</f>
        <v/>
      </c>
      <c r="D431" s="15" t="str">
        <f>IF(COUNTIFS(Master_PIC!$A$8:$A$73,$B431)=1,IF(VLOOKUP($B431,Master_PIC!$A$8:$G$73,4,FALSE)="","",VLOOKUP($B431,Master_PIC!$A$8:$G$73,4,FALSE)),"")</f>
        <v/>
      </c>
      <c r="E431" s="15" t="str">
        <f>IF(COUNTIFS(Master_PIC!$A$8:$A$73,$B431)=1,IF(VLOOKUP($B431,Master_PIC!$A$8:$G$73,5,FALSE)="","",VLOOKUP($B431,Master_PIC!$A$8:$G$73,5,FALSE)),"")</f>
        <v/>
      </c>
      <c r="F431" s="15" t="str">
        <f>IF(COUNTIFS(Master_PIC!$A$8:$A$73,$B431)=1,IF(VLOOKUP($B431,Master_PIC!$A$8:$G$73,6,FALSE)="","",VLOOKUP($B431,Master_PIC!$A$8:$G$73,6,FALSE)),"")</f>
        <v/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8"/>
      <c r="X431" s="5"/>
      <c r="Y431" s="5"/>
      <c r="Z431" s="9"/>
      <c r="AA431" s="5"/>
      <c r="AB431" s="5"/>
      <c r="AC431" s="9"/>
      <c r="AD431" s="5"/>
      <c r="AE431" s="7" t="str">
        <f t="shared" si="42"/>
        <v/>
      </c>
      <c r="AF431" s="7" t="str">
        <f t="shared" si="43"/>
        <v/>
      </c>
      <c r="AG431" s="7" t="str">
        <f t="shared" si="44"/>
        <v/>
      </c>
      <c r="AH431" s="7" t="str">
        <f t="shared" si="45"/>
        <v/>
      </c>
      <c r="AI431" s="7" t="str">
        <f t="shared" si="46"/>
        <v/>
      </c>
      <c r="AJ431" s="7" t="str">
        <f t="shared" si="47"/>
        <v/>
      </c>
      <c r="AK431" s="10" t="str">
        <f t="shared" si="48"/>
        <v/>
      </c>
      <c r="AL431" s="15" t="str">
        <f>IF(OR($A431&lt;&gt;"",$B431&lt;&gt;""),IF(OR($A431="",$B431=""),"Isi tanggal dan ID PIC",IF(NOT(ISNUMBER($A431)),"Tanggal harus berupa tanggal Excel",IF(COUNTIFS(Master_PIC!$A$8:$A$73,$B431)&lt;&gt;1,"ID PIC tidak unik/terdaftar",IF(VLOOKUP($B431,Master_PIC!$A$8:$G$73,3,FALSE)&lt;&gt;"SPV","Jabatan tidak sesuai sheet",IF(OR($C431="",$D431="",$E431="",$F431=""),"Lengkapi master PIC",IF(COUNTIFS($A$8:$A$507,$A431,$B$8:$B$507,$B431)&gt;1,"Laporan ganda",IF(COUNTIFS(G431:O431,"Tidak Berlaku")&gt;0,"N/A hanya untuk kegiatan bersyarat",IF(SUM(AF431,AG431,AH431,AI431,AJ431)&lt;&gt;13,"Status kegiatan tidak valid",IF(AJ431&gt;0,"Lengkapi status kegiatan",IF(AND(AI431&gt;0,T431=""),"Isi alasan Tidak Berlaku",IF(AND(SUM(AG431,AH431)&gt;0,OR(T431="",U431="",V431="",W431="")),"Isi kendala dan tindak lanjut",IF(AND(Y431&lt;&gt;"Draft",Y431&lt;&gt;"Dikirim"),"Isi status laporan yang valid",IF(AND(AA431&lt;&gt;"",AA431&lt;&gt;"Belum Diperiksa",AA431&lt;&gt;"Disetujui",AA431&lt;&gt;"Perlu Perbaikan"),"Hasil review tidak valid",IF(AND(Y431="Dikirim",OR(X431="",Z431="")),"Isi bukti dan waktu kirim",IF(AND(AA431="Disetujui",OR(Y431&lt;&gt;"Dikirim",AB431="",AC431="")),"Lengkapi pemeriksaan",IF(AND(AA431="Perlu Perbaikan",OR(AD431="",AB431="",AC431="")),"Isi pemeriksa dan catatan perbaikan","OK")))))))))))))))),"")</f>
        <v/>
      </c>
    </row>
    <row r="432" spans="1:38" ht="24.95" customHeight="1">
      <c r="A432" s="8"/>
      <c r="B432" s="6"/>
      <c r="C432" s="15" t="str">
        <f>IF(COUNTIFS(Master_PIC!$A$8:$A$73,$B432)=1,IF(VLOOKUP($B432,Master_PIC!$A$8:$G$73,2,FALSE)="","",VLOOKUP($B432,Master_PIC!$A$8:$G$73,2,FALSE)),"")</f>
        <v/>
      </c>
      <c r="D432" s="15" t="str">
        <f>IF(COUNTIFS(Master_PIC!$A$8:$A$73,$B432)=1,IF(VLOOKUP($B432,Master_PIC!$A$8:$G$73,4,FALSE)="","",VLOOKUP($B432,Master_PIC!$A$8:$G$73,4,FALSE)),"")</f>
        <v/>
      </c>
      <c r="E432" s="15" t="str">
        <f>IF(COUNTIFS(Master_PIC!$A$8:$A$73,$B432)=1,IF(VLOOKUP($B432,Master_PIC!$A$8:$G$73,5,FALSE)="","",VLOOKUP($B432,Master_PIC!$A$8:$G$73,5,FALSE)),"")</f>
        <v/>
      </c>
      <c r="F432" s="15" t="str">
        <f>IF(COUNTIFS(Master_PIC!$A$8:$A$73,$B432)=1,IF(VLOOKUP($B432,Master_PIC!$A$8:$G$73,6,FALSE)="","",VLOOKUP($B432,Master_PIC!$A$8:$G$73,6,FALSE)),"")</f>
        <v/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8"/>
      <c r="X432" s="5"/>
      <c r="Y432" s="5"/>
      <c r="Z432" s="9"/>
      <c r="AA432" s="5"/>
      <c r="AB432" s="5"/>
      <c r="AC432" s="9"/>
      <c r="AD432" s="5"/>
      <c r="AE432" s="7" t="str">
        <f t="shared" si="42"/>
        <v/>
      </c>
      <c r="AF432" s="7" t="str">
        <f t="shared" si="43"/>
        <v/>
      </c>
      <c r="AG432" s="7" t="str">
        <f t="shared" si="44"/>
        <v/>
      </c>
      <c r="AH432" s="7" t="str">
        <f t="shared" si="45"/>
        <v/>
      </c>
      <c r="AI432" s="7" t="str">
        <f t="shared" si="46"/>
        <v/>
      </c>
      <c r="AJ432" s="7" t="str">
        <f t="shared" si="47"/>
        <v/>
      </c>
      <c r="AK432" s="10" t="str">
        <f t="shared" si="48"/>
        <v/>
      </c>
      <c r="AL432" s="15" t="str">
        <f>IF(OR($A432&lt;&gt;"",$B432&lt;&gt;""),IF(OR($A432="",$B432=""),"Isi tanggal dan ID PIC",IF(NOT(ISNUMBER($A432)),"Tanggal harus berupa tanggal Excel",IF(COUNTIFS(Master_PIC!$A$8:$A$73,$B432)&lt;&gt;1,"ID PIC tidak unik/terdaftar",IF(VLOOKUP($B432,Master_PIC!$A$8:$G$73,3,FALSE)&lt;&gt;"SPV","Jabatan tidak sesuai sheet",IF(OR($C432="",$D432="",$E432="",$F432=""),"Lengkapi master PIC",IF(COUNTIFS($A$8:$A$507,$A432,$B$8:$B$507,$B432)&gt;1,"Laporan ganda",IF(COUNTIFS(G432:O432,"Tidak Berlaku")&gt;0,"N/A hanya untuk kegiatan bersyarat",IF(SUM(AF432,AG432,AH432,AI432,AJ432)&lt;&gt;13,"Status kegiatan tidak valid",IF(AJ432&gt;0,"Lengkapi status kegiatan",IF(AND(AI432&gt;0,T432=""),"Isi alasan Tidak Berlaku",IF(AND(SUM(AG432,AH432)&gt;0,OR(T432="",U432="",V432="",W432="")),"Isi kendala dan tindak lanjut",IF(AND(Y432&lt;&gt;"Draft",Y432&lt;&gt;"Dikirim"),"Isi status laporan yang valid",IF(AND(AA432&lt;&gt;"",AA432&lt;&gt;"Belum Diperiksa",AA432&lt;&gt;"Disetujui",AA432&lt;&gt;"Perlu Perbaikan"),"Hasil review tidak valid",IF(AND(Y432="Dikirim",OR(X432="",Z432="")),"Isi bukti dan waktu kirim",IF(AND(AA432="Disetujui",OR(Y432&lt;&gt;"Dikirim",AB432="",AC432="")),"Lengkapi pemeriksaan",IF(AND(AA432="Perlu Perbaikan",OR(AD432="",AB432="",AC432="")),"Isi pemeriksa dan catatan perbaikan","OK")))))))))))))))),"")</f>
        <v/>
      </c>
    </row>
    <row r="433" spans="1:38" ht="24.95" customHeight="1">
      <c r="A433" s="8"/>
      <c r="B433" s="6"/>
      <c r="C433" s="15" t="str">
        <f>IF(COUNTIFS(Master_PIC!$A$8:$A$73,$B433)=1,IF(VLOOKUP($B433,Master_PIC!$A$8:$G$73,2,FALSE)="","",VLOOKUP($B433,Master_PIC!$A$8:$G$73,2,FALSE)),"")</f>
        <v/>
      </c>
      <c r="D433" s="15" t="str">
        <f>IF(COUNTIFS(Master_PIC!$A$8:$A$73,$B433)=1,IF(VLOOKUP($B433,Master_PIC!$A$8:$G$73,4,FALSE)="","",VLOOKUP($B433,Master_PIC!$A$8:$G$73,4,FALSE)),"")</f>
        <v/>
      </c>
      <c r="E433" s="15" t="str">
        <f>IF(COUNTIFS(Master_PIC!$A$8:$A$73,$B433)=1,IF(VLOOKUP($B433,Master_PIC!$A$8:$G$73,5,FALSE)="","",VLOOKUP($B433,Master_PIC!$A$8:$G$73,5,FALSE)),"")</f>
        <v/>
      </c>
      <c r="F433" s="15" t="str">
        <f>IF(COUNTIFS(Master_PIC!$A$8:$A$73,$B433)=1,IF(VLOOKUP($B433,Master_PIC!$A$8:$G$73,6,FALSE)="","",VLOOKUP($B433,Master_PIC!$A$8:$G$73,6,FALSE)),"")</f>
        <v/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8"/>
      <c r="X433" s="5"/>
      <c r="Y433" s="5"/>
      <c r="Z433" s="9"/>
      <c r="AA433" s="5"/>
      <c r="AB433" s="5"/>
      <c r="AC433" s="9"/>
      <c r="AD433" s="5"/>
      <c r="AE433" s="7" t="str">
        <f t="shared" si="42"/>
        <v/>
      </c>
      <c r="AF433" s="7" t="str">
        <f t="shared" si="43"/>
        <v/>
      </c>
      <c r="AG433" s="7" t="str">
        <f t="shared" si="44"/>
        <v/>
      </c>
      <c r="AH433" s="7" t="str">
        <f t="shared" si="45"/>
        <v/>
      </c>
      <c r="AI433" s="7" t="str">
        <f t="shared" si="46"/>
        <v/>
      </c>
      <c r="AJ433" s="7" t="str">
        <f t="shared" si="47"/>
        <v/>
      </c>
      <c r="AK433" s="10" t="str">
        <f t="shared" si="48"/>
        <v/>
      </c>
      <c r="AL433" s="15" t="str">
        <f>IF(OR($A433&lt;&gt;"",$B433&lt;&gt;""),IF(OR($A433="",$B433=""),"Isi tanggal dan ID PIC",IF(NOT(ISNUMBER($A433)),"Tanggal harus berupa tanggal Excel",IF(COUNTIFS(Master_PIC!$A$8:$A$73,$B433)&lt;&gt;1,"ID PIC tidak unik/terdaftar",IF(VLOOKUP($B433,Master_PIC!$A$8:$G$73,3,FALSE)&lt;&gt;"SPV","Jabatan tidak sesuai sheet",IF(OR($C433="",$D433="",$E433="",$F433=""),"Lengkapi master PIC",IF(COUNTIFS($A$8:$A$507,$A433,$B$8:$B$507,$B433)&gt;1,"Laporan ganda",IF(COUNTIFS(G433:O433,"Tidak Berlaku")&gt;0,"N/A hanya untuk kegiatan bersyarat",IF(SUM(AF433,AG433,AH433,AI433,AJ433)&lt;&gt;13,"Status kegiatan tidak valid",IF(AJ433&gt;0,"Lengkapi status kegiatan",IF(AND(AI433&gt;0,T433=""),"Isi alasan Tidak Berlaku",IF(AND(SUM(AG433,AH433)&gt;0,OR(T433="",U433="",V433="",W433="")),"Isi kendala dan tindak lanjut",IF(AND(Y433&lt;&gt;"Draft",Y433&lt;&gt;"Dikirim"),"Isi status laporan yang valid",IF(AND(AA433&lt;&gt;"",AA433&lt;&gt;"Belum Diperiksa",AA433&lt;&gt;"Disetujui",AA433&lt;&gt;"Perlu Perbaikan"),"Hasil review tidak valid",IF(AND(Y433="Dikirim",OR(X433="",Z433="")),"Isi bukti dan waktu kirim",IF(AND(AA433="Disetujui",OR(Y433&lt;&gt;"Dikirim",AB433="",AC433="")),"Lengkapi pemeriksaan",IF(AND(AA433="Perlu Perbaikan",OR(AD433="",AB433="",AC433="")),"Isi pemeriksa dan catatan perbaikan","OK")))))))))))))))),"")</f>
        <v/>
      </c>
    </row>
    <row r="434" spans="1:38" ht="24.95" customHeight="1">
      <c r="A434" s="8"/>
      <c r="B434" s="6"/>
      <c r="C434" s="15" t="str">
        <f>IF(COUNTIFS(Master_PIC!$A$8:$A$73,$B434)=1,IF(VLOOKUP($B434,Master_PIC!$A$8:$G$73,2,FALSE)="","",VLOOKUP($B434,Master_PIC!$A$8:$G$73,2,FALSE)),"")</f>
        <v/>
      </c>
      <c r="D434" s="15" t="str">
        <f>IF(COUNTIFS(Master_PIC!$A$8:$A$73,$B434)=1,IF(VLOOKUP($B434,Master_PIC!$A$8:$G$73,4,FALSE)="","",VLOOKUP($B434,Master_PIC!$A$8:$G$73,4,FALSE)),"")</f>
        <v/>
      </c>
      <c r="E434" s="15" t="str">
        <f>IF(COUNTIFS(Master_PIC!$A$8:$A$73,$B434)=1,IF(VLOOKUP($B434,Master_PIC!$A$8:$G$73,5,FALSE)="","",VLOOKUP($B434,Master_PIC!$A$8:$G$73,5,FALSE)),"")</f>
        <v/>
      </c>
      <c r="F434" s="15" t="str">
        <f>IF(COUNTIFS(Master_PIC!$A$8:$A$73,$B434)=1,IF(VLOOKUP($B434,Master_PIC!$A$8:$G$73,6,FALSE)="","",VLOOKUP($B434,Master_PIC!$A$8:$G$73,6,FALSE)),"")</f>
        <v/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8"/>
      <c r="X434" s="5"/>
      <c r="Y434" s="5"/>
      <c r="Z434" s="9"/>
      <c r="AA434" s="5"/>
      <c r="AB434" s="5"/>
      <c r="AC434" s="9"/>
      <c r="AD434" s="5"/>
      <c r="AE434" s="7" t="str">
        <f t="shared" si="42"/>
        <v/>
      </c>
      <c r="AF434" s="7" t="str">
        <f t="shared" si="43"/>
        <v/>
      </c>
      <c r="AG434" s="7" t="str">
        <f t="shared" si="44"/>
        <v/>
      </c>
      <c r="AH434" s="7" t="str">
        <f t="shared" si="45"/>
        <v/>
      </c>
      <c r="AI434" s="7" t="str">
        <f t="shared" si="46"/>
        <v/>
      </c>
      <c r="AJ434" s="7" t="str">
        <f t="shared" si="47"/>
        <v/>
      </c>
      <c r="AK434" s="10" t="str">
        <f t="shared" si="48"/>
        <v/>
      </c>
      <c r="AL434" s="15" t="str">
        <f>IF(OR($A434&lt;&gt;"",$B434&lt;&gt;""),IF(OR($A434="",$B434=""),"Isi tanggal dan ID PIC",IF(NOT(ISNUMBER($A434)),"Tanggal harus berupa tanggal Excel",IF(COUNTIFS(Master_PIC!$A$8:$A$73,$B434)&lt;&gt;1,"ID PIC tidak unik/terdaftar",IF(VLOOKUP($B434,Master_PIC!$A$8:$G$73,3,FALSE)&lt;&gt;"SPV","Jabatan tidak sesuai sheet",IF(OR($C434="",$D434="",$E434="",$F434=""),"Lengkapi master PIC",IF(COUNTIFS($A$8:$A$507,$A434,$B$8:$B$507,$B434)&gt;1,"Laporan ganda",IF(COUNTIFS(G434:O434,"Tidak Berlaku")&gt;0,"N/A hanya untuk kegiatan bersyarat",IF(SUM(AF434,AG434,AH434,AI434,AJ434)&lt;&gt;13,"Status kegiatan tidak valid",IF(AJ434&gt;0,"Lengkapi status kegiatan",IF(AND(AI434&gt;0,T434=""),"Isi alasan Tidak Berlaku",IF(AND(SUM(AG434,AH434)&gt;0,OR(T434="",U434="",V434="",W434="")),"Isi kendala dan tindak lanjut",IF(AND(Y434&lt;&gt;"Draft",Y434&lt;&gt;"Dikirim"),"Isi status laporan yang valid",IF(AND(AA434&lt;&gt;"",AA434&lt;&gt;"Belum Diperiksa",AA434&lt;&gt;"Disetujui",AA434&lt;&gt;"Perlu Perbaikan"),"Hasil review tidak valid",IF(AND(Y434="Dikirim",OR(X434="",Z434="")),"Isi bukti dan waktu kirim",IF(AND(AA434="Disetujui",OR(Y434&lt;&gt;"Dikirim",AB434="",AC434="")),"Lengkapi pemeriksaan",IF(AND(AA434="Perlu Perbaikan",OR(AD434="",AB434="",AC434="")),"Isi pemeriksa dan catatan perbaikan","OK")))))))))))))))),"")</f>
        <v/>
      </c>
    </row>
    <row r="435" spans="1:38" ht="24.95" customHeight="1">
      <c r="A435" s="8"/>
      <c r="B435" s="6"/>
      <c r="C435" s="15" t="str">
        <f>IF(COUNTIFS(Master_PIC!$A$8:$A$73,$B435)=1,IF(VLOOKUP($B435,Master_PIC!$A$8:$G$73,2,FALSE)="","",VLOOKUP($B435,Master_PIC!$A$8:$G$73,2,FALSE)),"")</f>
        <v/>
      </c>
      <c r="D435" s="15" t="str">
        <f>IF(COUNTIFS(Master_PIC!$A$8:$A$73,$B435)=1,IF(VLOOKUP($B435,Master_PIC!$A$8:$G$73,4,FALSE)="","",VLOOKUP($B435,Master_PIC!$A$8:$G$73,4,FALSE)),"")</f>
        <v/>
      </c>
      <c r="E435" s="15" t="str">
        <f>IF(COUNTIFS(Master_PIC!$A$8:$A$73,$B435)=1,IF(VLOOKUP($B435,Master_PIC!$A$8:$G$73,5,FALSE)="","",VLOOKUP($B435,Master_PIC!$A$8:$G$73,5,FALSE)),"")</f>
        <v/>
      </c>
      <c r="F435" s="15" t="str">
        <f>IF(COUNTIFS(Master_PIC!$A$8:$A$73,$B435)=1,IF(VLOOKUP($B435,Master_PIC!$A$8:$G$73,6,FALSE)="","",VLOOKUP($B435,Master_PIC!$A$8:$G$73,6,FALSE)),"")</f>
        <v/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8"/>
      <c r="X435" s="5"/>
      <c r="Y435" s="5"/>
      <c r="Z435" s="9"/>
      <c r="AA435" s="5"/>
      <c r="AB435" s="5"/>
      <c r="AC435" s="9"/>
      <c r="AD435" s="5"/>
      <c r="AE435" s="7" t="str">
        <f t="shared" si="42"/>
        <v/>
      </c>
      <c r="AF435" s="7" t="str">
        <f t="shared" si="43"/>
        <v/>
      </c>
      <c r="AG435" s="7" t="str">
        <f t="shared" si="44"/>
        <v/>
      </c>
      <c r="AH435" s="7" t="str">
        <f t="shared" si="45"/>
        <v/>
      </c>
      <c r="AI435" s="7" t="str">
        <f t="shared" si="46"/>
        <v/>
      </c>
      <c r="AJ435" s="7" t="str">
        <f t="shared" si="47"/>
        <v/>
      </c>
      <c r="AK435" s="10" t="str">
        <f t="shared" si="48"/>
        <v/>
      </c>
      <c r="AL435" s="15" t="str">
        <f>IF(OR($A435&lt;&gt;"",$B435&lt;&gt;""),IF(OR($A435="",$B435=""),"Isi tanggal dan ID PIC",IF(NOT(ISNUMBER($A435)),"Tanggal harus berupa tanggal Excel",IF(COUNTIFS(Master_PIC!$A$8:$A$73,$B435)&lt;&gt;1,"ID PIC tidak unik/terdaftar",IF(VLOOKUP($B435,Master_PIC!$A$8:$G$73,3,FALSE)&lt;&gt;"SPV","Jabatan tidak sesuai sheet",IF(OR($C435="",$D435="",$E435="",$F435=""),"Lengkapi master PIC",IF(COUNTIFS($A$8:$A$507,$A435,$B$8:$B$507,$B435)&gt;1,"Laporan ganda",IF(COUNTIFS(G435:O435,"Tidak Berlaku")&gt;0,"N/A hanya untuk kegiatan bersyarat",IF(SUM(AF435,AG435,AH435,AI435,AJ435)&lt;&gt;13,"Status kegiatan tidak valid",IF(AJ435&gt;0,"Lengkapi status kegiatan",IF(AND(AI435&gt;0,T435=""),"Isi alasan Tidak Berlaku",IF(AND(SUM(AG435,AH435)&gt;0,OR(T435="",U435="",V435="",W435="")),"Isi kendala dan tindak lanjut",IF(AND(Y435&lt;&gt;"Draft",Y435&lt;&gt;"Dikirim"),"Isi status laporan yang valid",IF(AND(AA435&lt;&gt;"",AA435&lt;&gt;"Belum Diperiksa",AA435&lt;&gt;"Disetujui",AA435&lt;&gt;"Perlu Perbaikan"),"Hasil review tidak valid",IF(AND(Y435="Dikirim",OR(X435="",Z435="")),"Isi bukti dan waktu kirim",IF(AND(AA435="Disetujui",OR(Y435&lt;&gt;"Dikirim",AB435="",AC435="")),"Lengkapi pemeriksaan",IF(AND(AA435="Perlu Perbaikan",OR(AD435="",AB435="",AC435="")),"Isi pemeriksa dan catatan perbaikan","OK")))))))))))))))),"")</f>
        <v/>
      </c>
    </row>
    <row r="436" spans="1:38" ht="24.95" customHeight="1">
      <c r="A436" s="8"/>
      <c r="B436" s="6"/>
      <c r="C436" s="15" t="str">
        <f>IF(COUNTIFS(Master_PIC!$A$8:$A$73,$B436)=1,IF(VLOOKUP($B436,Master_PIC!$A$8:$G$73,2,FALSE)="","",VLOOKUP($B436,Master_PIC!$A$8:$G$73,2,FALSE)),"")</f>
        <v/>
      </c>
      <c r="D436" s="15" t="str">
        <f>IF(COUNTIFS(Master_PIC!$A$8:$A$73,$B436)=1,IF(VLOOKUP($B436,Master_PIC!$A$8:$G$73,4,FALSE)="","",VLOOKUP($B436,Master_PIC!$A$8:$G$73,4,FALSE)),"")</f>
        <v/>
      </c>
      <c r="E436" s="15" t="str">
        <f>IF(COUNTIFS(Master_PIC!$A$8:$A$73,$B436)=1,IF(VLOOKUP($B436,Master_PIC!$A$8:$G$73,5,FALSE)="","",VLOOKUP($B436,Master_PIC!$A$8:$G$73,5,FALSE)),"")</f>
        <v/>
      </c>
      <c r="F436" s="15" t="str">
        <f>IF(COUNTIFS(Master_PIC!$A$8:$A$73,$B436)=1,IF(VLOOKUP($B436,Master_PIC!$A$8:$G$73,6,FALSE)="","",VLOOKUP($B436,Master_PIC!$A$8:$G$73,6,FALSE)),"")</f>
        <v/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8"/>
      <c r="X436" s="5"/>
      <c r="Y436" s="5"/>
      <c r="Z436" s="9"/>
      <c r="AA436" s="5"/>
      <c r="AB436" s="5"/>
      <c r="AC436" s="9"/>
      <c r="AD436" s="5"/>
      <c r="AE436" s="7" t="str">
        <f t="shared" si="42"/>
        <v/>
      </c>
      <c r="AF436" s="7" t="str">
        <f t="shared" si="43"/>
        <v/>
      </c>
      <c r="AG436" s="7" t="str">
        <f t="shared" si="44"/>
        <v/>
      </c>
      <c r="AH436" s="7" t="str">
        <f t="shared" si="45"/>
        <v/>
      </c>
      <c r="AI436" s="7" t="str">
        <f t="shared" si="46"/>
        <v/>
      </c>
      <c r="AJ436" s="7" t="str">
        <f t="shared" si="47"/>
        <v/>
      </c>
      <c r="AK436" s="10" t="str">
        <f t="shared" si="48"/>
        <v/>
      </c>
      <c r="AL436" s="15" t="str">
        <f>IF(OR($A436&lt;&gt;"",$B436&lt;&gt;""),IF(OR($A436="",$B436=""),"Isi tanggal dan ID PIC",IF(NOT(ISNUMBER($A436)),"Tanggal harus berupa tanggal Excel",IF(COUNTIFS(Master_PIC!$A$8:$A$73,$B436)&lt;&gt;1,"ID PIC tidak unik/terdaftar",IF(VLOOKUP($B436,Master_PIC!$A$8:$G$73,3,FALSE)&lt;&gt;"SPV","Jabatan tidak sesuai sheet",IF(OR($C436="",$D436="",$E436="",$F436=""),"Lengkapi master PIC",IF(COUNTIFS($A$8:$A$507,$A436,$B$8:$B$507,$B436)&gt;1,"Laporan ganda",IF(COUNTIFS(G436:O436,"Tidak Berlaku")&gt;0,"N/A hanya untuk kegiatan bersyarat",IF(SUM(AF436,AG436,AH436,AI436,AJ436)&lt;&gt;13,"Status kegiatan tidak valid",IF(AJ436&gt;0,"Lengkapi status kegiatan",IF(AND(AI436&gt;0,T436=""),"Isi alasan Tidak Berlaku",IF(AND(SUM(AG436,AH436)&gt;0,OR(T436="",U436="",V436="",W436="")),"Isi kendala dan tindak lanjut",IF(AND(Y436&lt;&gt;"Draft",Y436&lt;&gt;"Dikirim"),"Isi status laporan yang valid",IF(AND(AA436&lt;&gt;"",AA436&lt;&gt;"Belum Diperiksa",AA436&lt;&gt;"Disetujui",AA436&lt;&gt;"Perlu Perbaikan"),"Hasil review tidak valid",IF(AND(Y436="Dikirim",OR(X436="",Z436="")),"Isi bukti dan waktu kirim",IF(AND(AA436="Disetujui",OR(Y436&lt;&gt;"Dikirim",AB436="",AC436="")),"Lengkapi pemeriksaan",IF(AND(AA436="Perlu Perbaikan",OR(AD436="",AB436="",AC436="")),"Isi pemeriksa dan catatan perbaikan","OK")))))))))))))))),"")</f>
        <v/>
      </c>
    </row>
    <row r="437" spans="1:38" ht="24.95" customHeight="1">
      <c r="A437" s="8"/>
      <c r="B437" s="6"/>
      <c r="C437" s="15" t="str">
        <f>IF(COUNTIFS(Master_PIC!$A$8:$A$73,$B437)=1,IF(VLOOKUP($B437,Master_PIC!$A$8:$G$73,2,FALSE)="","",VLOOKUP($B437,Master_PIC!$A$8:$G$73,2,FALSE)),"")</f>
        <v/>
      </c>
      <c r="D437" s="15" t="str">
        <f>IF(COUNTIFS(Master_PIC!$A$8:$A$73,$B437)=1,IF(VLOOKUP($B437,Master_PIC!$A$8:$G$73,4,FALSE)="","",VLOOKUP($B437,Master_PIC!$A$8:$G$73,4,FALSE)),"")</f>
        <v/>
      </c>
      <c r="E437" s="15" t="str">
        <f>IF(COUNTIFS(Master_PIC!$A$8:$A$73,$B437)=1,IF(VLOOKUP($B437,Master_PIC!$A$8:$G$73,5,FALSE)="","",VLOOKUP($B437,Master_PIC!$A$8:$G$73,5,FALSE)),"")</f>
        <v/>
      </c>
      <c r="F437" s="15" t="str">
        <f>IF(COUNTIFS(Master_PIC!$A$8:$A$73,$B437)=1,IF(VLOOKUP($B437,Master_PIC!$A$8:$G$73,6,FALSE)="","",VLOOKUP($B437,Master_PIC!$A$8:$G$73,6,FALSE)),"")</f>
        <v/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8"/>
      <c r="X437" s="5"/>
      <c r="Y437" s="5"/>
      <c r="Z437" s="9"/>
      <c r="AA437" s="5"/>
      <c r="AB437" s="5"/>
      <c r="AC437" s="9"/>
      <c r="AD437" s="5"/>
      <c r="AE437" s="7" t="str">
        <f t="shared" si="42"/>
        <v/>
      </c>
      <c r="AF437" s="7" t="str">
        <f t="shared" si="43"/>
        <v/>
      </c>
      <c r="AG437" s="7" t="str">
        <f t="shared" si="44"/>
        <v/>
      </c>
      <c r="AH437" s="7" t="str">
        <f t="shared" si="45"/>
        <v/>
      </c>
      <c r="AI437" s="7" t="str">
        <f t="shared" si="46"/>
        <v/>
      </c>
      <c r="AJ437" s="7" t="str">
        <f t="shared" si="47"/>
        <v/>
      </c>
      <c r="AK437" s="10" t="str">
        <f t="shared" si="48"/>
        <v/>
      </c>
      <c r="AL437" s="15" t="str">
        <f>IF(OR($A437&lt;&gt;"",$B437&lt;&gt;""),IF(OR($A437="",$B437=""),"Isi tanggal dan ID PIC",IF(NOT(ISNUMBER($A437)),"Tanggal harus berupa tanggal Excel",IF(COUNTIFS(Master_PIC!$A$8:$A$73,$B437)&lt;&gt;1,"ID PIC tidak unik/terdaftar",IF(VLOOKUP($B437,Master_PIC!$A$8:$G$73,3,FALSE)&lt;&gt;"SPV","Jabatan tidak sesuai sheet",IF(OR($C437="",$D437="",$E437="",$F437=""),"Lengkapi master PIC",IF(COUNTIFS($A$8:$A$507,$A437,$B$8:$B$507,$B437)&gt;1,"Laporan ganda",IF(COUNTIFS(G437:O437,"Tidak Berlaku")&gt;0,"N/A hanya untuk kegiatan bersyarat",IF(SUM(AF437,AG437,AH437,AI437,AJ437)&lt;&gt;13,"Status kegiatan tidak valid",IF(AJ437&gt;0,"Lengkapi status kegiatan",IF(AND(AI437&gt;0,T437=""),"Isi alasan Tidak Berlaku",IF(AND(SUM(AG437,AH437)&gt;0,OR(T437="",U437="",V437="",W437="")),"Isi kendala dan tindak lanjut",IF(AND(Y437&lt;&gt;"Draft",Y437&lt;&gt;"Dikirim"),"Isi status laporan yang valid",IF(AND(AA437&lt;&gt;"",AA437&lt;&gt;"Belum Diperiksa",AA437&lt;&gt;"Disetujui",AA437&lt;&gt;"Perlu Perbaikan"),"Hasil review tidak valid",IF(AND(Y437="Dikirim",OR(X437="",Z437="")),"Isi bukti dan waktu kirim",IF(AND(AA437="Disetujui",OR(Y437&lt;&gt;"Dikirim",AB437="",AC437="")),"Lengkapi pemeriksaan",IF(AND(AA437="Perlu Perbaikan",OR(AD437="",AB437="",AC437="")),"Isi pemeriksa dan catatan perbaikan","OK")))))))))))))))),"")</f>
        <v/>
      </c>
    </row>
    <row r="438" spans="1:38" ht="24.95" customHeight="1">
      <c r="A438" s="8"/>
      <c r="B438" s="6"/>
      <c r="C438" s="15" t="str">
        <f>IF(COUNTIFS(Master_PIC!$A$8:$A$73,$B438)=1,IF(VLOOKUP($B438,Master_PIC!$A$8:$G$73,2,FALSE)="","",VLOOKUP($B438,Master_PIC!$A$8:$G$73,2,FALSE)),"")</f>
        <v/>
      </c>
      <c r="D438" s="15" t="str">
        <f>IF(COUNTIFS(Master_PIC!$A$8:$A$73,$B438)=1,IF(VLOOKUP($B438,Master_PIC!$A$8:$G$73,4,FALSE)="","",VLOOKUP($B438,Master_PIC!$A$8:$G$73,4,FALSE)),"")</f>
        <v/>
      </c>
      <c r="E438" s="15" t="str">
        <f>IF(COUNTIFS(Master_PIC!$A$8:$A$73,$B438)=1,IF(VLOOKUP($B438,Master_PIC!$A$8:$G$73,5,FALSE)="","",VLOOKUP($B438,Master_PIC!$A$8:$G$73,5,FALSE)),"")</f>
        <v/>
      </c>
      <c r="F438" s="15" t="str">
        <f>IF(COUNTIFS(Master_PIC!$A$8:$A$73,$B438)=1,IF(VLOOKUP($B438,Master_PIC!$A$8:$G$73,6,FALSE)="","",VLOOKUP($B438,Master_PIC!$A$8:$G$73,6,FALSE)),"")</f>
        <v/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8"/>
      <c r="X438" s="5"/>
      <c r="Y438" s="5"/>
      <c r="Z438" s="9"/>
      <c r="AA438" s="5"/>
      <c r="AB438" s="5"/>
      <c r="AC438" s="9"/>
      <c r="AD438" s="5"/>
      <c r="AE438" s="7" t="str">
        <f t="shared" si="42"/>
        <v/>
      </c>
      <c r="AF438" s="7" t="str">
        <f t="shared" si="43"/>
        <v/>
      </c>
      <c r="AG438" s="7" t="str">
        <f t="shared" si="44"/>
        <v/>
      </c>
      <c r="AH438" s="7" t="str">
        <f t="shared" si="45"/>
        <v/>
      </c>
      <c r="AI438" s="7" t="str">
        <f t="shared" si="46"/>
        <v/>
      </c>
      <c r="AJ438" s="7" t="str">
        <f t="shared" si="47"/>
        <v/>
      </c>
      <c r="AK438" s="10" t="str">
        <f t="shared" si="48"/>
        <v/>
      </c>
      <c r="AL438" s="15" t="str">
        <f>IF(OR($A438&lt;&gt;"",$B438&lt;&gt;""),IF(OR($A438="",$B438=""),"Isi tanggal dan ID PIC",IF(NOT(ISNUMBER($A438)),"Tanggal harus berupa tanggal Excel",IF(COUNTIFS(Master_PIC!$A$8:$A$73,$B438)&lt;&gt;1,"ID PIC tidak unik/terdaftar",IF(VLOOKUP($B438,Master_PIC!$A$8:$G$73,3,FALSE)&lt;&gt;"SPV","Jabatan tidak sesuai sheet",IF(OR($C438="",$D438="",$E438="",$F438=""),"Lengkapi master PIC",IF(COUNTIFS($A$8:$A$507,$A438,$B$8:$B$507,$B438)&gt;1,"Laporan ganda",IF(COUNTIFS(G438:O438,"Tidak Berlaku")&gt;0,"N/A hanya untuk kegiatan bersyarat",IF(SUM(AF438,AG438,AH438,AI438,AJ438)&lt;&gt;13,"Status kegiatan tidak valid",IF(AJ438&gt;0,"Lengkapi status kegiatan",IF(AND(AI438&gt;0,T438=""),"Isi alasan Tidak Berlaku",IF(AND(SUM(AG438,AH438)&gt;0,OR(T438="",U438="",V438="",W438="")),"Isi kendala dan tindak lanjut",IF(AND(Y438&lt;&gt;"Draft",Y438&lt;&gt;"Dikirim"),"Isi status laporan yang valid",IF(AND(AA438&lt;&gt;"",AA438&lt;&gt;"Belum Diperiksa",AA438&lt;&gt;"Disetujui",AA438&lt;&gt;"Perlu Perbaikan"),"Hasil review tidak valid",IF(AND(Y438="Dikirim",OR(X438="",Z438="")),"Isi bukti dan waktu kirim",IF(AND(AA438="Disetujui",OR(Y438&lt;&gt;"Dikirim",AB438="",AC438="")),"Lengkapi pemeriksaan",IF(AND(AA438="Perlu Perbaikan",OR(AD438="",AB438="",AC438="")),"Isi pemeriksa dan catatan perbaikan","OK")))))))))))))))),"")</f>
        <v/>
      </c>
    </row>
    <row r="439" spans="1:38" ht="24.95" customHeight="1">
      <c r="A439" s="8"/>
      <c r="B439" s="6"/>
      <c r="C439" s="15" t="str">
        <f>IF(COUNTIFS(Master_PIC!$A$8:$A$73,$B439)=1,IF(VLOOKUP($B439,Master_PIC!$A$8:$G$73,2,FALSE)="","",VLOOKUP($B439,Master_PIC!$A$8:$G$73,2,FALSE)),"")</f>
        <v/>
      </c>
      <c r="D439" s="15" t="str">
        <f>IF(COUNTIFS(Master_PIC!$A$8:$A$73,$B439)=1,IF(VLOOKUP($B439,Master_PIC!$A$8:$G$73,4,FALSE)="","",VLOOKUP($B439,Master_PIC!$A$8:$G$73,4,FALSE)),"")</f>
        <v/>
      </c>
      <c r="E439" s="15" t="str">
        <f>IF(COUNTIFS(Master_PIC!$A$8:$A$73,$B439)=1,IF(VLOOKUP($B439,Master_PIC!$A$8:$G$73,5,FALSE)="","",VLOOKUP($B439,Master_PIC!$A$8:$G$73,5,FALSE)),"")</f>
        <v/>
      </c>
      <c r="F439" s="15" t="str">
        <f>IF(COUNTIFS(Master_PIC!$A$8:$A$73,$B439)=1,IF(VLOOKUP($B439,Master_PIC!$A$8:$G$73,6,FALSE)="","",VLOOKUP($B439,Master_PIC!$A$8:$G$73,6,FALSE)),"")</f>
        <v/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8"/>
      <c r="X439" s="5"/>
      <c r="Y439" s="5"/>
      <c r="Z439" s="9"/>
      <c r="AA439" s="5"/>
      <c r="AB439" s="5"/>
      <c r="AC439" s="9"/>
      <c r="AD439" s="5"/>
      <c r="AE439" s="7" t="str">
        <f t="shared" si="42"/>
        <v/>
      </c>
      <c r="AF439" s="7" t="str">
        <f t="shared" si="43"/>
        <v/>
      </c>
      <c r="AG439" s="7" t="str">
        <f t="shared" si="44"/>
        <v/>
      </c>
      <c r="AH439" s="7" t="str">
        <f t="shared" si="45"/>
        <v/>
      </c>
      <c r="AI439" s="7" t="str">
        <f t="shared" si="46"/>
        <v/>
      </c>
      <c r="AJ439" s="7" t="str">
        <f t="shared" si="47"/>
        <v/>
      </c>
      <c r="AK439" s="10" t="str">
        <f t="shared" si="48"/>
        <v/>
      </c>
      <c r="AL439" s="15" t="str">
        <f>IF(OR($A439&lt;&gt;"",$B439&lt;&gt;""),IF(OR($A439="",$B439=""),"Isi tanggal dan ID PIC",IF(NOT(ISNUMBER($A439)),"Tanggal harus berupa tanggal Excel",IF(COUNTIFS(Master_PIC!$A$8:$A$73,$B439)&lt;&gt;1,"ID PIC tidak unik/terdaftar",IF(VLOOKUP($B439,Master_PIC!$A$8:$G$73,3,FALSE)&lt;&gt;"SPV","Jabatan tidak sesuai sheet",IF(OR($C439="",$D439="",$E439="",$F439=""),"Lengkapi master PIC",IF(COUNTIFS($A$8:$A$507,$A439,$B$8:$B$507,$B439)&gt;1,"Laporan ganda",IF(COUNTIFS(G439:O439,"Tidak Berlaku")&gt;0,"N/A hanya untuk kegiatan bersyarat",IF(SUM(AF439,AG439,AH439,AI439,AJ439)&lt;&gt;13,"Status kegiatan tidak valid",IF(AJ439&gt;0,"Lengkapi status kegiatan",IF(AND(AI439&gt;0,T439=""),"Isi alasan Tidak Berlaku",IF(AND(SUM(AG439,AH439)&gt;0,OR(T439="",U439="",V439="",W439="")),"Isi kendala dan tindak lanjut",IF(AND(Y439&lt;&gt;"Draft",Y439&lt;&gt;"Dikirim"),"Isi status laporan yang valid",IF(AND(AA439&lt;&gt;"",AA439&lt;&gt;"Belum Diperiksa",AA439&lt;&gt;"Disetujui",AA439&lt;&gt;"Perlu Perbaikan"),"Hasil review tidak valid",IF(AND(Y439="Dikirim",OR(X439="",Z439="")),"Isi bukti dan waktu kirim",IF(AND(AA439="Disetujui",OR(Y439&lt;&gt;"Dikirim",AB439="",AC439="")),"Lengkapi pemeriksaan",IF(AND(AA439="Perlu Perbaikan",OR(AD439="",AB439="",AC439="")),"Isi pemeriksa dan catatan perbaikan","OK")))))))))))))))),"")</f>
        <v/>
      </c>
    </row>
    <row r="440" spans="1:38" ht="24.95" customHeight="1">
      <c r="A440" s="8"/>
      <c r="B440" s="6"/>
      <c r="C440" s="15" t="str">
        <f>IF(COUNTIFS(Master_PIC!$A$8:$A$73,$B440)=1,IF(VLOOKUP($B440,Master_PIC!$A$8:$G$73,2,FALSE)="","",VLOOKUP($B440,Master_PIC!$A$8:$G$73,2,FALSE)),"")</f>
        <v/>
      </c>
      <c r="D440" s="15" t="str">
        <f>IF(COUNTIFS(Master_PIC!$A$8:$A$73,$B440)=1,IF(VLOOKUP($B440,Master_PIC!$A$8:$G$73,4,FALSE)="","",VLOOKUP($B440,Master_PIC!$A$8:$G$73,4,FALSE)),"")</f>
        <v/>
      </c>
      <c r="E440" s="15" t="str">
        <f>IF(COUNTIFS(Master_PIC!$A$8:$A$73,$B440)=1,IF(VLOOKUP($B440,Master_PIC!$A$8:$G$73,5,FALSE)="","",VLOOKUP($B440,Master_PIC!$A$8:$G$73,5,FALSE)),"")</f>
        <v/>
      </c>
      <c r="F440" s="15" t="str">
        <f>IF(COUNTIFS(Master_PIC!$A$8:$A$73,$B440)=1,IF(VLOOKUP($B440,Master_PIC!$A$8:$G$73,6,FALSE)="","",VLOOKUP($B440,Master_PIC!$A$8:$G$73,6,FALSE)),"")</f>
        <v/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8"/>
      <c r="X440" s="5"/>
      <c r="Y440" s="5"/>
      <c r="Z440" s="9"/>
      <c r="AA440" s="5"/>
      <c r="AB440" s="5"/>
      <c r="AC440" s="9"/>
      <c r="AD440" s="5"/>
      <c r="AE440" s="7" t="str">
        <f t="shared" si="42"/>
        <v/>
      </c>
      <c r="AF440" s="7" t="str">
        <f t="shared" si="43"/>
        <v/>
      </c>
      <c r="AG440" s="7" t="str">
        <f t="shared" si="44"/>
        <v/>
      </c>
      <c r="AH440" s="7" t="str">
        <f t="shared" si="45"/>
        <v/>
      </c>
      <c r="AI440" s="7" t="str">
        <f t="shared" si="46"/>
        <v/>
      </c>
      <c r="AJ440" s="7" t="str">
        <f t="shared" si="47"/>
        <v/>
      </c>
      <c r="AK440" s="10" t="str">
        <f t="shared" si="48"/>
        <v/>
      </c>
      <c r="AL440" s="15" t="str">
        <f>IF(OR($A440&lt;&gt;"",$B440&lt;&gt;""),IF(OR($A440="",$B440=""),"Isi tanggal dan ID PIC",IF(NOT(ISNUMBER($A440)),"Tanggal harus berupa tanggal Excel",IF(COUNTIFS(Master_PIC!$A$8:$A$73,$B440)&lt;&gt;1,"ID PIC tidak unik/terdaftar",IF(VLOOKUP($B440,Master_PIC!$A$8:$G$73,3,FALSE)&lt;&gt;"SPV","Jabatan tidak sesuai sheet",IF(OR($C440="",$D440="",$E440="",$F440=""),"Lengkapi master PIC",IF(COUNTIFS($A$8:$A$507,$A440,$B$8:$B$507,$B440)&gt;1,"Laporan ganda",IF(COUNTIFS(G440:O440,"Tidak Berlaku")&gt;0,"N/A hanya untuk kegiatan bersyarat",IF(SUM(AF440,AG440,AH440,AI440,AJ440)&lt;&gt;13,"Status kegiatan tidak valid",IF(AJ440&gt;0,"Lengkapi status kegiatan",IF(AND(AI440&gt;0,T440=""),"Isi alasan Tidak Berlaku",IF(AND(SUM(AG440,AH440)&gt;0,OR(T440="",U440="",V440="",W440="")),"Isi kendala dan tindak lanjut",IF(AND(Y440&lt;&gt;"Draft",Y440&lt;&gt;"Dikirim"),"Isi status laporan yang valid",IF(AND(AA440&lt;&gt;"",AA440&lt;&gt;"Belum Diperiksa",AA440&lt;&gt;"Disetujui",AA440&lt;&gt;"Perlu Perbaikan"),"Hasil review tidak valid",IF(AND(Y440="Dikirim",OR(X440="",Z440="")),"Isi bukti dan waktu kirim",IF(AND(AA440="Disetujui",OR(Y440&lt;&gt;"Dikirim",AB440="",AC440="")),"Lengkapi pemeriksaan",IF(AND(AA440="Perlu Perbaikan",OR(AD440="",AB440="",AC440="")),"Isi pemeriksa dan catatan perbaikan","OK")))))))))))))))),"")</f>
        <v/>
      </c>
    </row>
    <row r="441" spans="1:38" ht="24.95" customHeight="1">
      <c r="A441" s="8"/>
      <c r="B441" s="6"/>
      <c r="C441" s="15" t="str">
        <f>IF(COUNTIFS(Master_PIC!$A$8:$A$73,$B441)=1,IF(VLOOKUP($B441,Master_PIC!$A$8:$G$73,2,FALSE)="","",VLOOKUP($B441,Master_PIC!$A$8:$G$73,2,FALSE)),"")</f>
        <v/>
      </c>
      <c r="D441" s="15" t="str">
        <f>IF(COUNTIFS(Master_PIC!$A$8:$A$73,$B441)=1,IF(VLOOKUP($B441,Master_PIC!$A$8:$G$73,4,FALSE)="","",VLOOKUP($B441,Master_PIC!$A$8:$G$73,4,FALSE)),"")</f>
        <v/>
      </c>
      <c r="E441" s="15" t="str">
        <f>IF(COUNTIFS(Master_PIC!$A$8:$A$73,$B441)=1,IF(VLOOKUP($B441,Master_PIC!$A$8:$G$73,5,FALSE)="","",VLOOKUP($B441,Master_PIC!$A$8:$G$73,5,FALSE)),"")</f>
        <v/>
      </c>
      <c r="F441" s="15" t="str">
        <f>IF(COUNTIFS(Master_PIC!$A$8:$A$73,$B441)=1,IF(VLOOKUP($B441,Master_PIC!$A$8:$G$73,6,FALSE)="","",VLOOKUP($B441,Master_PIC!$A$8:$G$73,6,FALSE)),"")</f>
        <v/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8"/>
      <c r="X441" s="5"/>
      <c r="Y441" s="5"/>
      <c r="Z441" s="9"/>
      <c r="AA441" s="5"/>
      <c r="AB441" s="5"/>
      <c r="AC441" s="9"/>
      <c r="AD441" s="5"/>
      <c r="AE441" s="7" t="str">
        <f t="shared" si="42"/>
        <v/>
      </c>
      <c r="AF441" s="7" t="str">
        <f t="shared" si="43"/>
        <v/>
      </c>
      <c r="AG441" s="7" t="str">
        <f t="shared" si="44"/>
        <v/>
      </c>
      <c r="AH441" s="7" t="str">
        <f t="shared" si="45"/>
        <v/>
      </c>
      <c r="AI441" s="7" t="str">
        <f t="shared" si="46"/>
        <v/>
      </c>
      <c r="AJ441" s="7" t="str">
        <f t="shared" si="47"/>
        <v/>
      </c>
      <c r="AK441" s="10" t="str">
        <f t="shared" si="48"/>
        <v/>
      </c>
      <c r="AL441" s="15" t="str">
        <f>IF(OR($A441&lt;&gt;"",$B441&lt;&gt;""),IF(OR($A441="",$B441=""),"Isi tanggal dan ID PIC",IF(NOT(ISNUMBER($A441)),"Tanggal harus berupa tanggal Excel",IF(COUNTIFS(Master_PIC!$A$8:$A$73,$B441)&lt;&gt;1,"ID PIC tidak unik/terdaftar",IF(VLOOKUP($B441,Master_PIC!$A$8:$G$73,3,FALSE)&lt;&gt;"SPV","Jabatan tidak sesuai sheet",IF(OR($C441="",$D441="",$E441="",$F441=""),"Lengkapi master PIC",IF(COUNTIFS($A$8:$A$507,$A441,$B$8:$B$507,$B441)&gt;1,"Laporan ganda",IF(COUNTIFS(G441:O441,"Tidak Berlaku")&gt;0,"N/A hanya untuk kegiatan bersyarat",IF(SUM(AF441,AG441,AH441,AI441,AJ441)&lt;&gt;13,"Status kegiatan tidak valid",IF(AJ441&gt;0,"Lengkapi status kegiatan",IF(AND(AI441&gt;0,T441=""),"Isi alasan Tidak Berlaku",IF(AND(SUM(AG441,AH441)&gt;0,OR(T441="",U441="",V441="",W441="")),"Isi kendala dan tindak lanjut",IF(AND(Y441&lt;&gt;"Draft",Y441&lt;&gt;"Dikirim"),"Isi status laporan yang valid",IF(AND(AA441&lt;&gt;"",AA441&lt;&gt;"Belum Diperiksa",AA441&lt;&gt;"Disetujui",AA441&lt;&gt;"Perlu Perbaikan"),"Hasil review tidak valid",IF(AND(Y441="Dikirim",OR(X441="",Z441="")),"Isi bukti dan waktu kirim",IF(AND(AA441="Disetujui",OR(Y441&lt;&gt;"Dikirim",AB441="",AC441="")),"Lengkapi pemeriksaan",IF(AND(AA441="Perlu Perbaikan",OR(AD441="",AB441="",AC441="")),"Isi pemeriksa dan catatan perbaikan","OK")))))))))))))))),"")</f>
        <v/>
      </c>
    </row>
    <row r="442" spans="1:38" ht="24.95" customHeight="1">
      <c r="A442" s="8"/>
      <c r="B442" s="6"/>
      <c r="C442" s="15" t="str">
        <f>IF(COUNTIFS(Master_PIC!$A$8:$A$73,$B442)=1,IF(VLOOKUP($B442,Master_PIC!$A$8:$G$73,2,FALSE)="","",VLOOKUP($B442,Master_PIC!$A$8:$G$73,2,FALSE)),"")</f>
        <v/>
      </c>
      <c r="D442" s="15" t="str">
        <f>IF(COUNTIFS(Master_PIC!$A$8:$A$73,$B442)=1,IF(VLOOKUP($B442,Master_PIC!$A$8:$G$73,4,FALSE)="","",VLOOKUP($B442,Master_PIC!$A$8:$G$73,4,FALSE)),"")</f>
        <v/>
      </c>
      <c r="E442" s="15" t="str">
        <f>IF(COUNTIFS(Master_PIC!$A$8:$A$73,$B442)=1,IF(VLOOKUP($B442,Master_PIC!$A$8:$G$73,5,FALSE)="","",VLOOKUP($B442,Master_PIC!$A$8:$G$73,5,FALSE)),"")</f>
        <v/>
      </c>
      <c r="F442" s="15" t="str">
        <f>IF(COUNTIFS(Master_PIC!$A$8:$A$73,$B442)=1,IF(VLOOKUP($B442,Master_PIC!$A$8:$G$73,6,FALSE)="","",VLOOKUP($B442,Master_PIC!$A$8:$G$73,6,FALSE)),"")</f>
        <v/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8"/>
      <c r="X442" s="5"/>
      <c r="Y442" s="5"/>
      <c r="Z442" s="9"/>
      <c r="AA442" s="5"/>
      <c r="AB442" s="5"/>
      <c r="AC442" s="9"/>
      <c r="AD442" s="5"/>
      <c r="AE442" s="7" t="str">
        <f t="shared" si="42"/>
        <v/>
      </c>
      <c r="AF442" s="7" t="str">
        <f t="shared" si="43"/>
        <v/>
      </c>
      <c r="AG442" s="7" t="str">
        <f t="shared" si="44"/>
        <v/>
      </c>
      <c r="AH442" s="7" t="str">
        <f t="shared" si="45"/>
        <v/>
      </c>
      <c r="AI442" s="7" t="str">
        <f t="shared" si="46"/>
        <v/>
      </c>
      <c r="AJ442" s="7" t="str">
        <f t="shared" si="47"/>
        <v/>
      </c>
      <c r="AK442" s="10" t="str">
        <f t="shared" si="48"/>
        <v/>
      </c>
      <c r="AL442" s="15" t="str">
        <f>IF(OR($A442&lt;&gt;"",$B442&lt;&gt;""),IF(OR($A442="",$B442=""),"Isi tanggal dan ID PIC",IF(NOT(ISNUMBER($A442)),"Tanggal harus berupa tanggal Excel",IF(COUNTIFS(Master_PIC!$A$8:$A$73,$B442)&lt;&gt;1,"ID PIC tidak unik/terdaftar",IF(VLOOKUP($B442,Master_PIC!$A$8:$G$73,3,FALSE)&lt;&gt;"SPV","Jabatan tidak sesuai sheet",IF(OR($C442="",$D442="",$E442="",$F442=""),"Lengkapi master PIC",IF(COUNTIFS($A$8:$A$507,$A442,$B$8:$B$507,$B442)&gt;1,"Laporan ganda",IF(COUNTIFS(G442:O442,"Tidak Berlaku")&gt;0,"N/A hanya untuk kegiatan bersyarat",IF(SUM(AF442,AG442,AH442,AI442,AJ442)&lt;&gt;13,"Status kegiatan tidak valid",IF(AJ442&gt;0,"Lengkapi status kegiatan",IF(AND(AI442&gt;0,T442=""),"Isi alasan Tidak Berlaku",IF(AND(SUM(AG442,AH442)&gt;0,OR(T442="",U442="",V442="",W442="")),"Isi kendala dan tindak lanjut",IF(AND(Y442&lt;&gt;"Draft",Y442&lt;&gt;"Dikirim"),"Isi status laporan yang valid",IF(AND(AA442&lt;&gt;"",AA442&lt;&gt;"Belum Diperiksa",AA442&lt;&gt;"Disetujui",AA442&lt;&gt;"Perlu Perbaikan"),"Hasil review tidak valid",IF(AND(Y442="Dikirim",OR(X442="",Z442="")),"Isi bukti dan waktu kirim",IF(AND(AA442="Disetujui",OR(Y442&lt;&gt;"Dikirim",AB442="",AC442="")),"Lengkapi pemeriksaan",IF(AND(AA442="Perlu Perbaikan",OR(AD442="",AB442="",AC442="")),"Isi pemeriksa dan catatan perbaikan","OK")))))))))))))))),"")</f>
        <v/>
      </c>
    </row>
    <row r="443" spans="1:38" ht="24.95" customHeight="1">
      <c r="A443" s="8"/>
      <c r="B443" s="6"/>
      <c r="C443" s="15" t="str">
        <f>IF(COUNTIFS(Master_PIC!$A$8:$A$73,$B443)=1,IF(VLOOKUP($B443,Master_PIC!$A$8:$G$73,2,FALSE)="","",VLOOKUP($B443,Master_PIC!$A$8:$G$73,2,FALSE)),"")</f>
        <v/>
      </c>
      <c r="D443" s="15" t="str">
        <f>IF(COUNTIFS(Master_PIC!$A$8:$A$73,$B443)=1,IF(VLOOKUP($B443,Master_PIC!$A$8:$G$73,4,FALSE)="","",VLOOKUP($B443,Master_PIC!$A$8:$G$73,4,FALSE)),"")</f>
        <v/>
      </c>
      <c r="E443" s="15" t="str">
        <f>IF(COUNTIFS(Master_PIC!$A$8:$A$73,$B443)=1,IF(VLOOKUP($B443,Master_PIC!$A$8:$G$73,5,FALSE)="","",VLOOKUP($B443,Master_PIC!$A$8:$G$73,5,FALSE)),"")</f>
        <v/>
      </c>
      <c r="F443" s="15" t="str">
        <f>IF(COUNTIFS(Master_PIC!$A$8:$A$73,$B443)=1,IF(VLOOKUP($B443,Master_PIC!$A$8:$G$73,6,FALSE)="","",VLOOKUP($B443,Master_PIC!$A$8:$G$73,6,FALSE)),"")</f>
        <v/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8"/>
      <c r="X443" s="5"/>
      <c r="Y443" s="5"/>
      <c r="Z443" s="9"/>
      <c r="AA443" s="5"/>
      <c r="AB443" s="5"/>
      <c r="AC443" s="9"/>
      <c r="AD443" s="5"/>
      <c r="AE443" s="7" t="str">
        <f t="shared" si="42"/>
        <v/>
      </c>
      <c r="AF443" s="7" t="str">
        <f t="shared" si="43"/>
        <v/>
      </c>
      <c r="AG443" s="7" t="str">
        <f t="shared" si="44"/>
        <v/>
      </c>
      <c r="AH443" s="7" t="str">
        <f t="shared" si="45"/>
        <v/>
      </c>
      <c r="AI443" s="7" t="str">
        <f t="shared" si="46"/>
        <v/>
      </c>
      <c r="AJ443" s="7" t="str">
        <f t="shared" si="47"/>
        <v/>
      </c>
      <c r="AK443" s="10" t="str">
        <f t="shared" si="48"/>
        <v/>
      </c>
      <c r="AL443" s="15" t="str">
        <f>IF(OR($A443&lt;&gt;"",$B443&lt;&gt;""),IF(OR($A443="",$B443=""),"Isi tanggal dan ID PIC",IF(NOT(ISNUMBER($A443)),"Tanggal harus berupa tanggal Excel",IF(COUNTIFS(Master_PIC!$A$8:$A$73,$B443)&lt;&gt;1,"ID PIC tidak unik/terdaftar",IF(VLOOKUP($B443,Master_PIC!$A$8:$G$73,3,FALSE)&lt;&gt;"SPV","Jabatan tidak sesuai sheet",IF(OR($C443="",$D443="",$E443="",$F443=""),"Lengkapi master PIC",IF(COUNTIFS($A$8:$A$507,$A443,$B$8:$B$507,$B443)&gt;1,"Laporan ganda",IF(COUNTIFS(G443:O443,"Tidak Berlaku")&gt;0,"N/A hanya untuk kegiatan bersyarat",IF(SUM(AF443,AG443,AH443,AI443,AJ443)&lt;&gt;13,"Status kegiatan tidak valid",IF(AJ443&gt;0,"Lengkapi status kegiatan",IF(AND(AI443&gt;0,T443=""),"Isi alasan Tidak Berlaku",IF(AND(SUM(AG443,AH443)&gt;0,OR(T443="",U443="",V443="",W443="")),"Isi kendala dan tindak lanjut",IF(AND(Y443&lt;&gt;"Draft",Y443&lt;&gt;"Dikirim"),"Isi status laporan yang valid",IF(AND(AA443&lt;&gt;"",AA443&lt;&gt;"Belum Diperiksa",AA443&lt;&gt;"Disetujui",AA443&lt;&gt;"Perlu Perbaikan"),"Hasil review tidak valid",IF(AND(Y443="Dikirim",OR(X443="",Z443="")),"Isi bukti dan waktu kirim",IF(AND(AA443="Disetujui",OR(Y443&lt;&gt;"Dikirim",AB443="",AC443="")),"Lengkapi pemeriksaan",IF(AND(AA443="Perlu Perbaikan",OR(AD443="",AB443="",AC443="")),"Isi pemeriksa dan catatan perbaikan","OK")))))))))))))))),"")</f>
        <v/>
      </c>
    </row>
    <row r="444" spans="1:38" ht="24.95" customHeight="1">
      <c r="A444" s="8"/>
      <c r="B444" s="6"/>
      <c r="C444" s="15" t="str">
        <f>IF(COUNTIFS(Master_PIC!$A$8:$A$73,$B444)=1,IF(VLOOKUP($B444,Master_PIC!$A$8:$G$73,2,FALSE)="","",VLOOKUP($B444,Master_PIC!$A$8:$G$73,2,FALSE)),"")</f>
        <v/>
      </c>
      <c r="D444" s="15" t="str">
        <f>IF(COUNTIFS(Master_PIC!$A$8:$A$73,$B444)=1,IF(VLOOKUP($B444,Master_PIC!$A$8:$G$73,4,FALSE)="","",VLOOKUP($B444,Master_PIC!$A$8:$G$73,4,FALSE)),"")</f>
        <v/>
      </c>
      <c r="E444" s="15" t="str">
        <f>IF(COUNTIFS(Master_PIC!$A$8:$A$73,$B444)=1,IF(VLOOKUP($B444,Master_PIC!$A$8:$G$73,5,FALSE)="","",VLOOKUP($B444,Master_PIC!$A$8:$G$73,5,FALSE)),"")</f>
        <v/>
      </c>
      <c r="F444" s="15" t="str">
        <f>IF(COUNTIFS(Master_PIC!$A$8:$A$73,$B444)=1,IF(VLOOKUP($B444,Master_PIC!$A$8:$G$73,6,FALSE)="","",VLOOKUP($B444,Master_PIC!$A$8:$G$73,6,FALSE)),"")</f>
        <v/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8"/>
      <c r="X444" s="5"/>
      <c r="Y444" s="5"/>
      <c r="Z444" s="9"/>
      <c r="AA444" s="5"/>
      <c r="AB444" s="5"/>
      <c r="AC444" s="9"/>
      <c r="AD444" s="5"/>
      <c r="AE444" s="7" t="str">
        <f t="shared" si="42"/>
        <v/>
      </c>
      <c r="AF444" s="7" t="str">
        <f t="shared" si="43"/>
        <v/>
      </c>
      <c r="AG444" s="7" t="str">
        <f t="shared" si="44"/>
        <v/>
      </c>
      <c r="AH444" s="7" t="str">
        <f t="shared" si="45"/>
        <v/>
      </c>
      <c r="AI444" s="7" t="str">
        <f t="shared" si="46"/>
        <v/>
      </c>
      <c r="AJ444" s="7" t="str">
        <f t="shared" si="47"/>
        <v/>
      </c>
      <c r="AK444" s="10" t="str">
        <f t="shared" si="48"/>
        <v/>
      </c>
      <c r="AL444" s="15" t="str">
        <f>IF(OR($A444&lt;&gt;"",$B444&lt;&gt;""),IF(OR($A444="",$B444=""),"Isi tanggal dan ID PIC",IF(NOT(ISNUMBER($A444)),"Tanggal harus berupa tanggal Excel",IF(COUNTIFS(Master_PIC!$A$8:$A$73,$B444)&lt;&gt;1,"ID PIC tidak unik/terdaftar",IF(VLOOKUP($B444,Master_PIC!$A$8:$G$73,3,FALSE)&lt;&gt;"SPV","Jabatan tidak sesuai sheet",IF(OR($C444="",$D444="",$E444="",$F444=""),"Lengkapi master PIC",IF(COUNTIFS($A$8:$A$507,$A444,$B$8:$B$507,$B444)&gt;1,"Laporan ganda",IF(COUNTIFS(G444:O444,"Tidak Berlaku")&gt;0,"N/A hanya untuk kegiatan bersyarat",IF(SUM(AF444,AG444,AH444,AI444,AJ444)&lt;&gt;13,"Status kegiatan tidak valid",IF(AJ444&gt;0,"Lengkapi status kegiatan",IF(AND(AI444&gt;0,T444=""),"Isi alasan Tidak Berlaku",IF(AND(SUM(AG444,AH444)&gt;0,OR(T444="",U444="",V444="",W444="")),"Isi kendala dan tindak lanjut",IF(AND(Y444&lt;&gt;"Draft",Y444&lt;&gt;"Dikirim"),"Isi status laporan yang valid",IF(AND(AA444&lt;&gt;"",AA444&lt;&gt;"Belum Diperiksa",AA444&lt;&gt;"Disetujui",AA444&lt;&gt;"Perlu Perbaikan"),"Hasil review tidak valid",IF(AND(Y444="Dikirim",OR(X444="",Z444="")),"Isi bukti dan waktu kirim",IF(AND(AA444="Disetujui",OR(Y444&lt;&gt;"Dikirim",AB444="",AC444="")),"Lengkapi pemeriksaan",IF(AND(AA444="Perlu Perbaikan",OR(AD444="",AB444="",AC444="")),"Isi pemeriksa dan catatan perbaikan","OK")))))))))))))))),"")</f>
        <v/>
      </c>
    </row>
    <row r="445" spans="1:38" ht="24.95" customHeight="1">
      <c r="A445" s="8"/>
      <c r="B445" s="6"/>
      <c r="C445" s="15" t="str">
        <f>IF(COUNTIFS(Master_PIC!$A$8:$A$73,$B445)=1,IF(VLOOKUP($B445,Master_PIC!$A$8:$G$73,2,FALSE)="","",VLOOKUP($B445,Master_PIC!$A$8:$G$73,2,FALSE)),"")</f>
        <v/>
      </c>
      <c r="D445" s="15" t="str">
        <f>IF(COUNTIFS(Master_PIC!$A$8:$A$73,$B445)=1,IF(VLOOKUP($B445,Master_PIC!$A$8:$G$73,4,FALSE)="","",VLOOKUP($B445,Master_PIC!$A$8:$G$73,4,FALSE)),"")</f>
        <v/>
      </c>
      <c r="E445" s="15" t="str">
        <f>IF(COUNTIFS(Master_PIC!$A$8:$A$73,$B445)=1,IF(VLOOKUP($B445,Master_PIC!$A$8:$G$73,5,FALSE)="","",VLOOKUP($B445,Master_PIC!$A$8:$G$73,5,FALSE)),"")</f>
        <v/>
      </c>
      <c r="F445" s="15" t="str">
        <f>IF(COUNTIFS(Master_PIC!$A$8:$A$73,$B445)=1,IF(VLOOKUP($B445,Master_PIC!$A$8:$G$73,6,FALSE)="","",VLOOKUP($B445,Master_PIC!$A$8:$G$73,6,FALSE)),"")</f>
        <v/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8"/>
      <c r="X445" s="5"/>
      <c r="Y445" s="5"/>
      <c r="Z445" s="9"/>
      <c r="AA445" s="5"/>
      <c r="AB445" s="5"/>
      <c r="AC445" s="9"/>
      <c r="AD445" s="5"/>
      <c r="AE445" s="7" t="str">
        <f t="shared" si="42"/>
        <v/>
      </c>
      <c r="AF445" s="7" t="str">
        <f t="shared" si="43"/>
        <v/>
      </c>
      <c r="AG445" s="7" t="str">
        <f t="shared" si="44"/>
        <v/>
      </c>
      <c r="AH445" s="7" t="str">
        <f t="shared" si="45"/>
        <v/>
      </c>
      <c r="AI445" s="7" t="str">
        <f t="shared" si="46"/>
        <v/>
      </c>
      <c r="AJ445" s="7" t="str">
        <f t="shared" si="47"/>
        <v/>
      </c>
      <c r="AK445" s="10" t="str">
        <f t="shared" si="48"/>
        <v/>
      </c>
      <c r="AL445" s="15" t="str">
        <f>IF(OR($A445&lt;&gt;"",$B445&lt;&gt;""),IF(OR($A445="",$B445=""),"Isi tanggal dan ID PIC",IF(NOT(ISNUMBER($A445)),"Tanggal harus berupa tanggal Excel",IF(COUNTIFS(Master_PIC!$A$8:$A$73,$B445)&lt;&gt;1,"ID PIC tidak unik/terdaftar",IF(VLOOKUP($B445,Master_PIC!$A$8:$G$73,3,FALSE)&lt;&gt;"SPV","Jabatan tidak sesuai sheet",IF(OR($C445="",$D445="",$E445="",$F445=""),"Lengkapi master PIC",IF(COUNTIFS($A$8:$A$507,$A445,$B$8:$B$507,$B445)&gt;1,"Laporan ganda",IF(COUNTIFS(G445:O445,"Tidak Berlaku")&gt;0,"N/A hanya untuk kegiatan bersyarat",IF(SUM(AF445,AG445,AH445,AI445,AJ445)&lt;&gt;13,"Status kegiatan tidak valid",IF(AJ445&gt;0,"Lengkapi status kegiatan",IF(AND(AI445&gt;0,T445=""),"Isi alasan Tidak Berlaku",IF(AND(SUM(AG445,AH445)&gt;0,OR(T445="",U445="",V445="",W445="")),"Isi kendala dan tindak lanjut",IF(AND(Y445&lt;&gt;"Draft",Y445&lt;&gt;"Dikirim"),"Isi status laporan yang valid",IF(AND(AA445&lt;&gt;"",AA445&lt;&gt;"Belum Diperiksa",AA445&lt;&gt;"Disetujui",AA445&lt;&gt;"Perlu Perbaikan"),"Hasil review tidak valid",IF(AND(Y445="Dikirim",OR(X445="",Z445="")),"Isi bukti dan waktu kirim",IF(AND(AA445="Disetujui",OR(Y445&lt;&gt;"Dikirim",AB445="",AC445="")),"Lengkapi pemeriksaan",IF(AND(AA445="Perlu Perbaikan",OR(AD445="",AB445="",AC445="")),"Isi pemeriksa dan catatan perbaikan","OK")))))))))))))))),"")</f>
        <v/>
      </c>
    </row>
    <row r="446" spans="1:38" ht="24.95" customHeight="1">
      <c r="A446" s="8"/>
      <c r="B446" s="6"/>
      <c r="C446" s="15" t="str">
        <f>IF(COUNTIFS(Master_PIC!$A$8:$A$73,$B446)=1,IF(VLOOKUP($B446,Master_PIC!$A$8:$G$73,2,FALSE)="","",VLOOKUP($B446,Master_PIC!$A$8:$G$73,2,FALSE)),"")</f>
        <v/>
      </c>
      <c r="D446" s="15" t="str">
        <f>IF(COUNTIFS(Master_PIC!$A$8:$A$73,$B446)=1,IF(VLOOKUP($B446,Master_PIC!$A$8:$G$73,4,FALSE)="","",VLOOKUP($B446,Master_PIC!$A$8:$G$73,4,FALSE)),"")</f>
        <v/>
      </c>
      <c r="E446" s="15" t="str">
        <f>IF(COUNTIFS(Master_PIC!$A$8:$A$73,$B446)=1,IF(VLOOKUP($B446,Master_PIC!$A$8:$G$73,5,FALSE)="","",VLOOKUP($B446,Master_PIC!$A$8:$G$73,5,FALSE)),"")</f>
        <v/>
      </c>
      <c r="F446" s="15" t="str">
        <f>IF(COUNTIFS(Master_PIC!$A$8:$A$73,$B446)=1,IF(VLOOKUP($B446,Master_PIC!$A$8:$G$73,6,FALSE)="","",VLOOKUP($B446,Master_PIC!$A$8:$G$73,6,FALSE)),"")</f>
        <v/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8"/>
      <c r="X446" s="5"/>
      <c r="Y446" s="5"/>
      <c r="Z446" s="9"/>
      <c r="AA446" s="5"/>
      <c r="AB446" s="5"/>
      <c r="AC446" s="9"/>
      <c r="AD446" s="5"/>
      <c r="AE446" s="7" t="str">
        <f t="shared" si="42"/>
        <v/>
      </c>
      <c r="AF446" s="7" t="str">
        <f t="shared" si="43"/>
        <v/>
      </c>
      <c r="AG446" s="7" t="str">
        <f t="shared" si="44"/>
        <v/>
      </c>
      <c r="AH446" s="7" t="str">
        <f t="shared" si="45"/>
        <v/>
      </c>
      <c r="AI446" s="7" t="str">
        <f t="shared" si="46"/>
        <v/>
      </c>
      <c r="AJ446" s="7" t="str">
        <f t="shared" si="47"/>
        <v/>
      </c>
      <c r="AK446" s="10" t="str">
        <f t="shared" si="48"/>
        <v/>
      </c>
      <c r="AL446" s="15" t="str">
        <f>IF(OR($A446&lt;&gt;"",$B446&lt;&gt;""),IF(OR($A446="",$B446=""),"Isi tanggal dan ID PIC",IF(NOT(ISNUMBER($A446)),"Tanggal harus berupa tanggal Excel",IF(COUNTIFS(Master_PIC!$A$8:$A$73,$B446)&lt;&gt;1,"ID PIC tidak unik/terdaftar",IF(VLOOKUP($B446,Master_PIC!$A$8:$G$73,3,FALSE)&lt;&gt;"SPV","Jabatan tidak sesuai sheet",IF(OR($C446="",$D446="",$E446="",$F446=""),"Lengkapi master PIC",IF(COUNTIFS($A$8:$A$507,$A446,$B$8:$B$507,$B446)&gt;1,"Laporan ganda",IF(COUNTIFS(G446:O446,"Tidak Berlaku")&gt;0,"N/A hanya untuk kegiatan bersyarat",IF(SUM(AF446,AG446,AH446,AI446,AJ446)&lt;&gt;13,"Status kegiatan tidak valid",IF(AJ446&gt;0,"Lengkapi status kegiatan",IF(AND(AI446&gt;0,T446=""),"Isi alasan Tidak Berlaku",IF(AND(SUM(AG446,AH446)&gt;0,OR(T446="",U446="",V446="",W446="")),"Isi kendala dan tindak lanjut",IF(AND(Y446&lt;&gt;"Draft",Y446&lt;&gt;"Dikirim"),"Isi status laporan yang valid",IF(AND(AA446&lt;&gt;"",AA446&lt;&gt;"Belum Diperiksa",AA446&lt;&gt;"Disetujui",AA446&lt;&gt;"Perlu Perbaikan"),"Hasil review tidak valid",IF(AND(Y446="Dikirim",OR(X446="",Z446="")),"Isi bukti dan waktu kirim",IF(AND(AA446="Disetujui",OR(Y446&lt;&gt;"Dikirim",AB446="",AC446="")),"Lengkapi pemeriksaan",IF(AND(AA446="Perlu Perbaikan",OR(AD446="",AB446="",AC446="")),"Isi pemeriksa dan catatan perbaikan","OK")))))))))))))))),"")</f>
        <v/>
      </c>
    </row>
    <row r="447" spans="1:38" ht="24.95" customHeight="1">
      <c r="A447" s="8"/>
      <c r="B447" s="6"/>
      <c r="C447" s="15" t="str">
        <f>IF(COUNTIFS(Master_PIC!$A$8:$A$73,$B447)=1,IF(VLOOKUP($B447,Master_PIC!$A$8:$G$73,2,FALSE)="","",VLOOKUP($B447,Master_PIC!$A$8:$G$73,2,FALSE)),"")</f>
        <v/>
      </c>
      <c r="D447" s="15" t="str">
        <f>IF(COUNTIFS(Master_PIC!$A$8:$A$73,$B447)=1,IF(VLOOKUP($B447,Master_PIC!$A$8:$G$73,4,FALSE)="","",VLOOKUP($B447,Master_PIC!$A$8:$G$73,4,FALSE)),"")</f>
        <v/>
      </c>
      <c r="E447" s="15" t="str">
        <f>IF(COUNTIFS(Master_PIC!$A$8:$A$73,$B447)=1,IF(VLOOKUP($B447,Master_PIC!$A$8:$G$73,5,FALSE)="","",VLOOKUP($B447,Master_PIC!$A$8:$G$73,5,FALSE)),"")</f>
        <v/>
      </c>
      <c r="F447" s="15" t="str">
        <f>IF(COUNTIFS(Master_PIC!$A$8:$A$73,$B447)=1,IF(VLOOKUP($B447,Master_PIC!$A$8:$G$73,6,FALSE)="","",VLOOKUP($B447,Master_PIC!$A$8:$G$73,6,FALSE)),"")</f>
        <v/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8"/>
      <c r="X447" s="5"/>
      <c r="Y447" s="5"/>
      <c r="Z447" s="9"/>
      <c r="AA447" s="5"/>
      <c r="AB447" s="5"/>
      <c r="AC447" s="9"/>
      <c r="AD447" s="5"/>
      <c r="AE447" s="7" t="str">
        <f t="shared" si="42"/>
        <v/>
      </c>
      <c r="AF447" s="7" t="str">
        <f t="shared" si="43"/>
        <v/>
      </c>
      <c r="AG447" s="7" t="str">
        <f t="shared" si="44"/>
        <v/>
      </c>
      <c r="AH447" s="7" t="str">
        <f t="shared" si="45"/>
        <v/>
      </c>
      <c r="AI447" s="7" t="str">
        <f t="shared" si="46"/>
        <v/>
      </c>
      <c r="AJ447" s="7" t="str">
        <f t="shared" si="47"/>
        <v/>
      </c>
      <c r="AK447" s="10" t="str">
        <f t="shared" si="48"/>
        <v/>
      </c>
      <c r="AL447" s="15" t="str">
        <f>IF(OR($A447&lt;&gt;"",$B447&lt;&gt;""),IF(OR($A447="",$B447=""),"Isi tanggal dan ID PIC",IF(NOT(ISNUMBER($A447)),"Tanggal harus berupa tanggal Excel",IF(COUNTIFS(Master_PIC!$A$8:$A$73,$B447)&lt;&gt;1,"ID PIC tidak unik/terdaftar",IF(VLOOKUP($B447,Master_PIC!$A$8:$G$73,3,FALSE)&lt;&gt;"SPV","Jabatan tidak sesuai sheet",IF(OR($C447="",$D447="",$E447="",$F447=""),"Lengkapi master PIC",IF(COUNTIFS($A$8:$A$507,$A447,$B$8:$B$507,$B447)&gt;1,"Laporan ganda",IF(COUNTIFS(G447:O447,"Tidak Berlaku")&gt;0,"N/A hanya untuk kegiatan bersyarat",IF(SUM(AF447,AG447,AH447,AI447,AJ447)&lt;&gt;13,"Status kegiatan tidak valid",IF(AJ447&gt;0,"Lengkapi status kegiatan",IF(AND(AI447&gt;0,T447=""),"Isi alasan Tidak Berlaku",IF(AND(SUM(AG447,AH447)&gt;0,OR(T447="",U447="",V447="",W447="")),"Isi kendala dan tindak lanjut",IF(AND(Y447&lt;&gt;"Draft",Y447&lt;&gt;"Dikirim"),"Isi status laporan yang valid",IF(AND(AA447&lt;&gt;"",AA447&lt;&gt;"Belum Diperiksa",AA447&lt;&gt;"Disetujui",AA447&lt;&gt;"Perlu Perbaikan"),"Hasil review tidak valid",IF(AND(Y447="Dikirim",OR(X447="",Z447="")),"Isi bukti dan waktu kirim",IF(AND(AA447="Disetujui",OR(Y447&lt;&gt;"Dikirim",AB447="",AC447="")),"Lengkapi pemeriksaan",IF(AND(AA447="Perlu Perbaikan",OR(AD447="",AB447="",AC447="")),"Isi pemeriksa dan catatan perbaikan","OK")))))))))))))))),"")</f>
        <v/>
      </c>
    </row>
    <row r="448" spans="1:38" ht="24.95" customHeight="1">
      <c r="A448" s="8"/>
      <c r="B448" s="6"/>
      <c r="C448" s="15" t="str">
        <f>IF(COUNTIFS(Master_PIC!$A$8:$A$73,$B448)=1,IF(VLOOKUP($B448,Master_PIC!$A$8:$G$73,2,FALSE)="","",VLOOKUP($B448,Master_PIC!$A$8:$G$73,2,FALSE)),"")</f>
        <v/>
      </c>
      <c r="D448" s="15" t="str">
        <f>IF(COUNTIFS(Master_PIC!$A$8:$A$73,$B448)=1,IF(VLOOKUP($B448,Master_PIC!$A$8:$G$73,4,FALSE)="","",VLOOKUP($B448,Master_PIC!$A$8:$G$73,4,FALSE)),"")</f>
        <v/>
      </c>
      <c r="E448" s="15" t="str">
        <f>IF(COUNTIFS(Master_PIC!$A$8:$A$73,$B448)=1,IF(VLOOKUP($B448,Master_PIC!$A$8:$G$73,5,FALSE)="","",VLOOKUP($B448,Master_PIC!$A$8:$G$73,5,FALSE)),"")</f>
        <v/>
      </c>
      <c r="F448" s="15" t="str">
        <f>IF(COUNTIFS(Master_PIC!$A$8:$A$73,$B448)=1,IF(VLOOKUP($B448,Master_PIC!$A$8:$G$73,6,FALSE)="","",VLOOKUP($B448,Master_PIC!$A$8:$G$73,6,FALSE)),"")</f>
        <v/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8"/>
      <c r="X448" s="5"/>
      <c r="Y448" s="5"/>
      <c r="Z448" s="9"/>
      <c r="AA448" s="5"/>
      <c r="AB448" s="5"/>
      <c r="AC448" s="9"/>
      <c r="AD448" s="5"/>
      <c r="AE448" s="7" t="str">
        <f t="shared" si="42"/>
        <v/>
      </c>
      <c r="AF448" s="7" t="str">
        <f t="shared" si="43"/>
        <v/>
      </c>
      <c r="AG448" s="7" t="str">
        <f t="shared" si="44"/>
        <v/>
      </c>
      <c r="AH448" s="7" t="str">
        <f t="shared" si="45"/>
        <v/>
      </c>
      <c r="AI448" s="7" t="str">
        <f t="shared" si="46"/>
        <v/>
      </c>
      <c r="AJ448" s="7" t="str">
        <f t="shared" si="47"/>
        <v/>
      </c>
      <c r="AK448" s="10" t="str">
        <f t="shared" si="48"/>
        <v/>
      </c>
      <c r="AL448" s="15" t="str">
        <f>IF(OR($A448&lt;&gt;"",$B448&lt;&gt;""),IF(OR($A448="",$B448=""),"Isi tanggal dan ID PIC",IF(NOT(ISNUMBER($A448)),"Tanggal harus berupa tanggal Excel",IF(COUNTIFS(Master_PIC!$A$8:$A$73,$B448)&lt;&gt;1,"ID PIC tidak unik/terdaftar",IF(VLOOKUP($B448,Master_PIC!$A$8:$G$73,3,FALSE)&lt;&gt;"SPV","Jabatan tidak sesuai sheet",IF(OR($C448="",$D448="",$E448="",$F448=""),"Lengkapi master PIC",IF(COUNTIFS($A$8:$A$507,$A448,$B$8:$B$507,$B448)&gt;1,"Laporan ganda",IF(COUNTIFS(G448:O448,"Tidak Berlaku")&gt;0,"N/A hanya untuk kegiatan bersyarat",IF(SUM(AF448,AG448,AH448,AI448,AJ448)&lt;&gt;13,"Status kegiatan tidak valid",IF(AJ448&gt;0,"Lengkapi status kegiatan",IF(AND(AI448&gt;0,T448=""),"Isi alasan Tidak Berlaku",IF(AND(SUM(AG448,AH448)&gt;0,OR(T448="",U448="",V448="",W448="")),"Isi kendala dan tindak lanjut",IF(AND(Y448&lt;&gt;"Draft",Y448&lt;&gt;"Dikirim"),"Isi status laporan yang valid",IF(AND(AA448&lt;&gt;"",AA448&lt;&gt;"Belum Diperiksa",AA448&lt;&gt;"Disetujui",AA448&lt;&gt;"Perlu Perbaikan"),"Hasil review tidak valid",IF(AND(Y448="Dikirim",OR(X448="",Z448="")),"Isi bukti dan waktu kirim",IF(AND(AA448="Disetujui",OR(Y448&lt;&gt;"Dikirim",AB448="",AC448="")),"Lengkapi pemeriksaan",IF(AND(AA448="Perlu Perbaikan",OR(AD448="",AB448="",AC448="")),"Isi pemeriksa dan catatan perbaikan","OK")))))))))))))))),"")</f>
        <v/>
      </c>
    </row>
    <row r="449" spans="1:38" ht="24.95" customHeight="1">
      <c r="A449" s="8"/>
      <c r="B449" s="6"/>
      <c r="C449" s="15" t="str">
        <f>IF(COUNTIFS(Master_PIC!$A$8:$A$73,$B449)=1,IF(VLOOKUP($B449,Master_PIC!$A$8:$G$73,2,FALSE)="","",VLOOKUP($B449,Master_PIC!$A$8:$G$73,2,FALSE)),"")</f>
        <v/>
      </c>
      <c r="D449" s="15" t="str">
        <f>IF(COUNTIFS(Master_PIC!$A$8:$A$73,$B449)=1,IF(VLOOKUP($B449,Master_PIC!$A$8:$G$73,4,FALSE)="","",VLOOKUP($B449,Master_PIC!$A$8:$G$73,4,FALSE)),"")</f>
        <v/>
      </c>
      <c r="E449" s="15" t="str">
        <f>IF(COUNTIFS(Master_PIC!$A$8:$A$73,$B449)=1,IF(VLOOKUP($B449,Master_PIC!$A$8:$G$73,5,FALSE)="","",VLOOKUP($B449,Master_PIC!$A$8:$G$73,5,FALSE)),"")</f>
        <v/>
      </c>
      <c r="F449" s="15" t="str">
        <f>IF(COUNTIFS(Master_PIC!$A$8:$A$73,$B449)=1,IF(VLOOKUP($B449,Master_PIC!$A$8:$G$73,6,FALSE)="","",VLOOKUP($B449,Master_PIC!$A$8:$G$73,6,FALSE)),"")</f>
        <v/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8"/>
      <c r="X449" s="5"/>
      <c r="Y449" s="5"/>
      <c r="Z449" s="9"/>
      <c r="AA449" s="5"/>
      <c r="AB449" s="5"/>
      <c r="AC449" s="9"/>
      <c r="AD449" s="5"/>
      <c r="AE449" s="7" t="str">
        <f t="shared" si="42"/>
        <v/>
      </c>
      <c r="AF449" s="7" t="str">
        <f t="shared" si="43"/>
        <v/>
      </c>
      <c r="AG449" s="7" t="str">
        <f t="shared" si="44"/>
        <v/>
      </c>
      <c r="AH449" s="7" t="str">
        <f t="shared" si="45"/>
        <v/>
      </c>
      <c r="AI449" s="7" t="str">
        <f t="shared" si="46"/>
        <v/>
      </c>
      <c r="AJ449" s="7" t="str">
        <f t="shared" si="47"/>
        <v/>
      </c>
      <c r="AK449" s="10" t="str">
        <f t="shared" si="48"/>
        <v/>
      </c>
      <c r="AL449" s="15" t="str">
        <f>IF(OR($A449&lt;&gt;"",$B449&lt;&gt;""),IF(OR($A449="",$B449=""),"Isi tanggal dan ID PIC",IF(NOT(ISNUMBER($A449)),"Tanggal harus berupa tanggal Excel",IF(COUNTIFS(Master_PIC!$A$8:$A$73,$B449)&lt;&gt;1,"ID PIC tidak unik/terdaftar",IF(VLOOKUP($B449,Master_PIC!$A$8:$G$73,3,FALSE)&lt;&gt;"SPV","Jabatan tidak sesuai sheet",IF(OR($C449="",$D449="",$E449="",$F449=""),"Lengkapi master PIC",IF(COUNTIFS($A$8:$A$507,$A449,$B$8:$B$507,$B449)&gt;1,"Laporan ganda",IF(COUNTIFS(G449:O449,"Tidak Berlaku")&gt;0,"N/A hanya untuk kegiatan bersyarat",IF(SUM(AF449,AG449,AH449,AI449,AJ449)&lt;&gt;13,"Status kegiatan tidak valid",IF(AJ449&gt;0,"Lengkapi status kegiatan",IF(AND(AI449&gt;0,T449=""),"Isi alasan Tidak Berlaku",IF(AND(SUM(AG449,AH449)&gt;0,OR(T449="",U449="",V449="",W449="")),"Isi kendala dan tindak lanjut",IF(AND(Y449&lt;&gt;"Draft",Y449&lt;&gt;"Dikirim"),"Isi status laporan yang valid",IF(AND(AA449&lt;&gt;"",AA449&lt;&gt;"Belum Diperiksa",AA449&lt;&gt;"Disetujui",AA449&lt;&gt;"Perlu Perbaikan"),"Hasil review tidak valid",IF(AND(Y449="Dikirim",OR(X449="",Z449="")),"Isi bukti dan waktu kirim",IF(AND(AA449="Disetujui",OR(Y449&lt;&gt;"Dikirim",AB449="",AC449="")),"Lengkapi pemeriksaan",IF(AND(AA449="Perlu Perbaikan",OR(AD449="",AB449="",AC449="")),"Isi pemeriksa dan catatan perbaikan","OK")))))))))))))))),"")</f>
        <v/>
      </c>
    </row>
    <row r="450" spans="1:38" ht="24.95" customHeight="1">
      <c r="A450" s="8"/>
      <c r="B450" s="6"/>
      <c r="C450" s="15" t="str">
        <f>IF(COUNTIFS(Master_PIC!$A$8:$A$73,$B450)=1,IF(VLOOKUP($B450,Master_PIC!$A$8:$G$73,2,FALSE)="","",VLOOKUP($B450,Master_PIC!$A$8:$G$73,2,FALSE)),"")</f>
        <v/>
      </c>
      <c r="D450" s="15" t="str">
        <f>IF(COUNTIFS(Master_PIC!$A$8:$A$73,$B450)=1,IF(VLOOKUP($B450,Master_PIC!$A$8:$G$73,4,FALSE)="","",VLOOKUP($B450,Master_PIC!$A$8:$G$73,4,FALSE)),"")</f>
        <v/>
      </c>
      <c r="E450" s="15" t="str">
        <f>IF(COUNTIFS(Master_PIC!$A$8:$A$73,$B450)=1,IF(VLOOKUP($B450,Master_PIC!$A$8:$G$73,5,FALSE)="","",VLOOKUP($B450,Master_PIC!$A$8:$G$73,5,FALSE)),"")</f>
        <v/>
      </c>
      <c r="F450" s="15" t="str">
        <f>IF(COUNTIFS(Master_PIC!$A$8:$A$73,$B450)=1,IF(VLOOKUP($B450,Master_PIC!$A$8:$G$73,6,FALSE)="","",VLOOKUP($B450,Master_PIC!$A$8:$G$73,6,FALSE)),"")</f>
        <v/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8"/>
      <c r="X450" s="5"/>
      <c r="Y450" s="5"/>
      <c r="Z450" s="9"/>
      <c r="AA450" s="5"/>
      <c r="AB450" s="5"/>
      <c r="AC450" s="9"/>
      <c r="AD450" s="5"/>
      <c r="AE450" s="7" t="str">
        <f t="shared" si="42"/>
        <v/>
      </c>
      <c r="AF450" s="7" t="str">
        <f t="shared" si="43"/>
        <v/>
      </c>
      <c r="AG450" s="7" t="str">
        <f t="shared" si="44"/>
        <v/>
      </c>
      <c r="AH450" s="7" t="str">
        <f t="shared" si="45"/>
        <v/>
      </c>
      <c r="AI450" s="7" t="str">
        <f t="shared" si="46"/>
        <v/>
      </c>
      <c r="AJ450" s="7" t="str">
        <f t="shared" si="47"/>
        <v/>
      </c>
      <c r="AK450" s="10" t="str">
        <f t="shared" si="48"/>
        <v/>
      </c>
      <c r="AL450" s="15" t="str">
        <f>IF(OR($A450&lt;&gt;"",$B450&lt;&gt;""),IF(OR($A450="",$B450=""),"Isi tanggal dan ID PIC",IF(NOT(ISNUMBER($A450)),"Tanggal harus berupa tanggal Excel",IF(COUNTIFS(Master_PIC!$A$8:$A$73,$B450)&lt;&gt;1,"ID PIC tidak unik/terdaftar",IF(VLOOKUP($B450,Master_PIC!$A$8:$G$73,3,FALSE)&lt;&gt;"SPV","Jabatan tidak sesuai sheet",IF(OR($C450="",$D450="",$E450="",$F450=""),"Lengkapi master PIC",IF(COUNTIFS($A$8:$A$507,$A450,$B$8:$B$507,$B450)&gt;1,"Laporan ganda",IF(COUNTIFS(G450:O450,"Tidak Berlaku")&gt;0,"N/A hanya untuk kegiatan bersyarat",IF(SUM(AF450,AG450,AH450,AI450,AJ450)&lt;&gt;13,"Status kegiatan tidak valid",IF(AJ450&gt;0,"Lengkapi status kegiatan",IF(AND(AI450&gt;0,T450=""),"Isi alasan Tidak Berlaku",IF(AND(SUM(AG450,AH450)&gt;0,OR(T450="",U450="",V450="",W450="")),"Isi kendala dan tindak lanjut",IF(AND(Y450&lt;&gt;"Draft",Y450&lt;&gt;"Dikirim"),"Isi status laporan yang valid",IF(AND(AA450&lt;&gt;"",AA450&lt;&gt;"Belum Diperiksa",AA450&lt;&gt;"Disetujui",AA450&lt;&gt;"Perlu Perbaikan"),"Hasil review tidak valid",IF(AND(Y450="Dikirim",OR(X450="",Z450="")),"Isi bukti dan waktu kirim",IF(AND(AA450="Disetujui",OR(Y450&lt;&gt;"Dikirim",AB450="",AC450="")),"Lengkapi pemeriksaan",IF(AND(AA450="Perlu Perbaikan",OR(AD450="",AB450="",AC450="")),"Isi pemeriksa dan catatan perbaikan","OK")))))))))))))))),"")</f>
        <v/>
      </c>
    </row>
    <row r="451" spans="1:38" ht="24.95" customHeight="1">
      <c r="A451" s="8"/>
      <c r="B451" s="6"/>
      <c r="C451" s="15" t="str">
        <f>IF(COUNTIFS(Master_PIC!$A$8:$A$73,$B451)=1,IF(VLOOKUP($B451,Master_PIC!$A$8:$G$73,2,FALSE)="","",VLOOKUP($B451,Master_PIC!$A$8:$G$73,2,FALSE)),"")</f>
        <v/>
      </c>
      <c r="D451" s="15" t="str">
        <f>IF(COUNTIFS(Master_PIC!$A$8:$A$73,$B451)=1,IF(VLOOKUP($B451,Master_PIC!$A$8:$G$73,4,FALSE)="","",VLOOKUP($B451,Master_PIC!$A$8:$G$73,4,FALSE)),"")</f>
        <v/>
      </c>
      <c r="E451" s="15" t="str">
        <f>IF(COUNTIFS(Master_PIC!$A$8:$A$73,$B451)=1,IF(VLOOKUP($B451,Master_PIC!$A$8:$G$73,5,FALSE)="","",VLOOKUP($B451,Master_PIC!$A$8:$G$73,5,FALSE)),"")</f>
        <v/>
      </c>
      <c r="F451" s="15" t="str">
        <f>IF(COUNTIFS(Master_PIC!$A$8:$A$73,$B451)=1,IF(VLOOKUP($B451,Master_PIC!$A$8:$G$73,6,FALSE)="","",VLOOKUP($B451,Master_PIC!$A$8:$G$73,6,FALSE)),"")</f>
        <v/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8"/>
      <c r="X451" s="5"/>
      <c r="Y451" s="5"/>
      <c r="Z451" s="9"/>
      <c r="AA451" s="5"/>
      <c r="AB451" s="5"/>
      <c r="AC451" s="9"/>
      <c r="AD451" s="5"/>
      <c r="AE451" s="7" t="str">
        <f t="shared" si="42"/>
        <v/>
      </c>
      <c r="AF451" s="7" t="str">
        <f t="shared" si="43"/>
        <v/>
      </c>
      <c r="AG451" s="7" t="str">
        <f t="shared" si="44"/>
        <v/>
      </c>
      <c r="AH451" s="7" t="str">
        <f t="shared" si="45"/>
        <v/>
      </c>
      <c r="AI451" s="7" t="str">
        <f t="shared" si="46"/>
        <v/>
      </c>
      <c r="AJ451" s="7" t="str">
        <f t="shared" si="47"/>
        <v/>
      </c>
      <c r="AK451" s="10" t="str">
        <f t="shared" si="48"/>
        <v/>
      </c>
      <c r="AL451" s="15" t="str">
        <f>IF(OR($A451&lt;&gt;"",$B451&lt;&gt;""),IF(OR($A451="",$B451=""),"Isi tanggal dan ID PIC",IF(NOT(ISNUMBER($A451)),"Tanggal harus berupa tanggal Excel",IF(COUNTIFS(Master_PIC!$A$8:$A$73,$B451)&lt;&gt;1,"ID PIC tidak unik/terdaftar",IF(VLOOKUP($B451,Master_PIC!$A$8:$G$73,3,FALSE)&lt;&gt;"SPV","Jabatan tidak sesuai sheet",IF(OR($C451="",$D451="",$E451="",$F451=""),"Lengkapi master PIC",IF(COUNTIFS($A$8:$A$507,$A451,$B$8:$B$507,$B451)&gt;1,"Laporan ganda",IF(COUNTIFS(G451:O451,"Tidak Berlaku")&gt;0,"N/A hanya untuk kegiatan bersyarat",IF(SUM(AF451,AG451,AH451,AI451,AJ451)&lt;&gt;13,"Status kegiatan tidak valid",IF(AJ451&gt;0,"Lengkapi status kegiatan",IF(AND(AI451&gt;0,T451=""),"Isi alasan Tidak Berlaku",IF(AND(SUM(AG451,AH451)&gt;0,OR(T451="",U451="",V451="",W451="")),"Isi kendala dan tindak lanjut",IF(AND(Y451&lt;&gt;"Draft",Y451&lt;&gt;"Dikirim"),"Isi status laporan yang valid",IF(AND(AA451&lt;&gt;"",AA451&lt;&gt;"Belum Diperiksa",AA451&lt;&gt;"Disetujui",AA451&lt;&gt;"Perlu Perbaikan"),"Hasil review tidak valid",IF(AND(Y451="Dikirim",OR(X451="",Z451="")),"Isi bukti dan waktu kirim",IF(AND(AA451="Disetujui",OR(Y451&lt;&gt;"Dikirim",AB451="",AC451="")),"Lengkapi pemeriksaan",IF(AND(AA451="Perlu Perbaikan",OR(AD451="",AB451="",AC451="")),"Isi pemeriksa dan catatan perbaikan","OK")))))))))))))))),"")</f>
        <v/>
      </c>
    </row>
    <row r="452" spans="1:38" ht="24.95" customHeight="1">
      <c r="A452" s="8"/>
      <c r="B452" s="6"/>
      <c r="C452" s="15" t="str">
        <f>IF(COUNTIFS(Master_PIC!$A$8:$A$73,$B452)=1,IF(VLOOKUP($B452,Master_PIC!$A$8:$G$73,2,FALSE)="","",VLOOKUP($B452,Master_PIC!$A$8:$G$73,2,FALSE)),"")</f>
        <v/>
      </c>
      <c r="D452" s="15" t="str">
        <f>IF(COUNTIFS(Master_PIC!$A$8:$A$73,$B452)=1,IF(VLOOKUP($B452,Master_PIC!$A$8:$G$73,4,FALSE)="","",VLOOKUP($B452,Master_PIC!$A$8:$G$73,4,FALSE)),"")</f>
        <v/>
      </c>
      <c r="E452" s="15" t="str">
        <f>IF(COUNTIFS(Master_PIC!$A$8:$A$73,$B452)=1,IF(VLOOKUP($B452,Master_PIC!$A$8:$G$73,5,FALSE)="","",VLOOKUP($B452,Master_PIC!$A$8:$G$73,5,FALSE)),"")</f>
        <v/>
      </c>
      <c r="F452" s="15" t="str">
        <f>IF(COUNTIFS(Master_PIC!$A$8:$A$73,$B452)=1,IF(VLOOKUP($B452,Master_PIC!$A$8:$G$73,6,FALSE)="","",VLOOKUP($B452,Master_PIC!$A$8:$G$73,6,FALSE)),"")</f>
        <v/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8"/>
      <c r="X452" s="5"/>
      <c r="Y452" s="5"/>
      <c r="Z452" s="9"/>
      <c r="AA452" s="5"/>
      <c r="AB452" s="5"/>
      <c r="AC452" s="9"/>
      <c r="AD452" s="5"/>
      <c r="AE452" s="7" t="str">
        <f t="shared" si="42"/>
        <v/>
      </c>
      <c r="AF452" s="7" t="str">
        <f t="shared" si="43"/>
        <v/>
      </c>
      <c r="AG452" s="7" t="str">
        <f t="shared" si="44"/>
        <v/>
      </c>
      <c r="AH452" s="7" t="str">
        <f t="shared" si="45"/>
        <v/>
      </c>
      <c r="AI452" s="7" t="str">
        <f t="shared" si="46"/>
        <v/>
      </c>
      <c r="AJ452" s="7" t="str">
        <f t="shared" si="47"/>
        <v/>
      </c>
      <c r="AK452" s="10" t="str">
        <f t="shared" si="48"/>
        <v/>
      </c>
      <c r="AL452" s="15" t="str">
        <f>IF(OR($A452&lt;&gt;"",$B452&lt;&gt;""),IF(OR($A452="",$B452=""),"Isi tanggal dan ID PIC",IF(NOT(ISNUMBER($A452)),"Tanggal harus berupa tanggal Excel",IF(COUNTIFS(Master_PIC!$A$8:$A$73,$B452)&lt;&gt;1,"ID PIC tidak unik/terdaftar",IF(VLOOKUP($B452,Master_PIC!$A$8:$G$73,3,FALSE)&lt;&gt;"SPV","Jabatan tidak sesuai sheet",IF(OR($C452="",$D452="",$E452="",$F452=""),"Lengkapi master PIC",IF(COUNTIFS($A$8:$A$507,$A452,$B$8:$B$507,$B452)&gt;1,"Laporan ganda",IF(COUNTIFS(G452:O452,"Tidak Berlaku")&gt;0,"N/A hanya untuk kegiatan bersyarat",IF(SUM(AF452,AG452,AH452,AI452,AJ452)&lt;&gt;13,"Status kegiatan tidak valid",IF(AJ452&gt;0,"Lengkapi status kegiatan",IF(AND(AI452&gt;0,T452=""),"Isi alasan Tidak Berlaku",IF(AND(SUM(AG452,AH452)&gt;0,OR(T452="",U452="",V452="",W452="")),"Isi kendala dan tindak lanjut",IF(AND(Y452&lt;&gt;"Draft",Y452&lt;&gt;"Dikirim"),"Isi status laporan yang valid",IF(AND(AA452&lt;&gt;"",AA452&lt;&gt;"Belum Diperiksa",AA452&lt;&gt;"Disetujui",AA452&lt;&gt;"Perlu Perbaikan"),"Hasil review tidak valid",IF(AND(Y452="Dikirim",OR(X452="",Z452="")),"Isi bukti dan waktu kirim",IF(AND(AA452="Disetujui",OR(Y452&lt;&gt;"Dikirim",AB452="",AC452="")),"Lengkapi pemeriksaan",IF(AND(AA452="Perlu Perbaikan",OR(AD452="",AB452="",AC452="")),"Isi pemeriksa dan catatan perbaikan","OK")))))))))))))))),"")</f>
        <v/>
      </c>
    </row>
    <row r="453" spans="1:38" ht="24.95" customHeight="1">
      <c r="A453" s="8"/>
      <c r="B453" s="6"/>
      <c r="C453" s="15" t="str">
        <f>IF(COUNTIFS(Master_PIC!$A$8:$A$73,$B453)=1,IF(VLOOKUP($B453,Master_PIC!$A$8:$G$73,2,FALSE)="","",VLOOKUP($B453,Master_PIC!$A$8:$G$73,2,FALSE)),"")</f>
        <v/>
      </c>
      <c r="D453" s="15" t="str">
        <f>IF(COUNTIFS(Master_PIC!$A$8:$A$73,$B453)=1,IF(VLOOKUP($B453,Master_PIC!$A$8:$G$73,4,FALSE)="","",VLOOKUP($B453,Master_PIC!$A$8:$G$73,4,FALSE)),"")</f>
        <v/>
      </c>
      <c r="E453" s="15" t="str">
        <f>IF(COUNTIFS(Master_PIC!$A$8:$A$73,$B453)=1,IF(VLOOKUP($B453,Master_PIC!$A$8:$G$73,5,FALSE)="","",VLOOKUP($B453,Master_PIC!$A$8:$G$73,5,FALSE)),"")</f>
        <v/>
      </c>
      <c r="F453" s="15" t="str">
        <f>IF(COUNTIFS(Master_PIC!$A$8:$A$73,$B453)=1,IF(VLOOKUP($B453,Master_PIC!$A$8:$G$73,6,FALSE)="","",VLOOKUP($B453,Master_PIC!$A$8:$G$73,6,FALSE)),"")</f>
        <v/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8"/>
      <c r="X453" s="5"/>
      <c r="Y453" s="5"/>
      <c r="Z453" s="9"/>
      <c r="AA453" s="5"/>
      <c r="AB453" s="5"/>
      <c r="AC453" s="9"/>
      <c r="AD453" s="5"/>
      <c r="AE453" s="7" t="str">
        <f t="shared" si="42"/>
        <v/>
      </c>
      <c r="AF453" s="7" t="str">
        <f t="shared" si="43"/>
        <v/>
      </c>
      <c r="AG453" s="7" t="str">
        <f t="shared" si="44"/>
        <v/>
      </c>
      <c r="AH453" s="7" t="str">
        <f t="shared" si="45"/>
        <v/>
      </c>
      <c r="AI453" s="7" t="str">
        <f t="shared" si="46"/>
        <v/>
      </c>
      <c r="AJ453" s="7" t="str">
        <f t="shared" si="47"/>
        <v/>
      </c>
      <c r="AK453" s="10" t="str">
        <f t="shared" si="48"/>
        <v/>
      </c>
      <c r="AL453" s="15" t="str">
        <f>IF(OR($A453&lt;&gt;"",$B453&lt;&gt;""),IF(OR($A453="",$B453=""),"Isi tanggal dan ID PIC",IF(NOT(ISNUMBER($A453)),"Tanggal harus berupa tanggal Excel",IF(COUNTIFS(Master_PIC!$A$8:$A$73,$B453)&lt;&gt;1,"ID PIC tidak unik/terdaftar",IF(VLOOKUP($B453,Master_PIC!$A$8:$G$73,3,FALSE)&lt;&gt;"SPV","Jabatan tidak sesuai sheet",IF(OR($C453="",$D453="",$E453="",$F453=""),"Lengkapi master PIC",IF(COUNTIFS($A$8:$A$507,$A453,$B$8:$B$507,$B453)&gt;1,"Laporan ganda",IF(COUNTIFS(G453:O453,"Tidak Berlaku")&gt;0,"N/A hanya untuk kegiatan bersyarat",IF(SUM(AF453,AG453,AH453,AI453,AJ453)&lt;&gt;13,"Status kegiatan tidak valid",IF(AJ453&gt;0,"Lengkapi status kegiatan",IF(AND(AI453&gt;0,T453=""),"Isi alasan Tidak Berlaku",IF(AND(SUM(AG453,AH453)&gt;0,OR(T453="",U453="",V453="",W453="")),"Isi kendala dan tindak lanjut",IF(AND(Y453&lt;&gt;"Draft",Y453&lt;&gt;"Dikirim"),"Isi status laporan yang valid",IF(AND(AA453&lt;&gt;"",AA453&lt;&gt;"Belum Diperiksa",AA453&lt;&gt;"Disetujui",AA453&lt;&gt;"Perlu Perbaikan"),"Hasil review tidak valid",IF(AND(Y453="Dikirim",OR(X453="",Z453="")),"Isi bukti dan waktu kirim",IF(AND(AA453="Disetujui",OR(Y453&lt;&gt;"Dikirim",AB453="",AC453="")),"Lengkapi pemeriksaan",IF(AND(AA453="Perlu Perbaikan",OR(AD453="",AB453="",AC453="")),"Isi pemeriksa dan catatan perbaikan","OK")))))))))))))))),"")</f>
        <v/>
      </c>
    </row>
    <row r="454" spans="1:38" ht="24.95" customHeight="1">
      <c r="A454" s="8"/>
      <c r="B454" s="6"/>
      <c r="C454" s="15" t="str">
        <f>IF(COUNTIFS(Master_PIC!$A$8:$A$73,$B454)=1,IF(VLOOKUP($B454,Master_PIC!$A$8:$G$73,2,FALSE)="","",VLOOKUP($B454,Master_PIC!$A$8:$G$73,2,FALSE)),"")</f>
        <v/>
      </c>
      <c r="D454" s="15" t="str">
        <f>IF(COUNTIFS(Master_PIC!$A$8:$A$73,$B454)=1,IF(VLOOKUP($B454,Master_PIC!$A$8:$G$73,4,FALSE)="","",VLOOKUP($B454,Master_PIC!$A$8:$G$73,4,FALSE)),"")</f>
        <v/>
      </c>
      <c r="E454" s="15" t="str">
        <f>IF(COUNTIFS(Master_PIC!$A$8:$A$73,$B454)=1,IF(VLOOKUP($B454,Master_PIC!$A$8:$G$73,5,FALSE)="","",VLOOKUP($B454,Master_PIC!$A$8:$G$73,5,FALSE)),"")</f>
        <v/>
      </c>
      <c r="F454" s="15" t="str">
        <f>IF(COUNTIFS(Master_PIC!$A$8:$A$73,$B454)=1,IF(VLOOKUP($B454,Master_PIC!$A$8:$G$73,6,FALSE)="","",VLOOKUP($B454,Master_PIC!$A$8:$G$73,6,FALSE)),"")</f>
        <v/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8"/>
      <c r="X454" s="5"/>
      <c r="Y454" s="5"/>
      <c r="Z454" s="9"/>
      <c r="AA454" s="5"/>
      <c r="AB454" s="5"/>
      <c r="AC454" s="9"/>
      <c r="AD454" s="5"/>
      <c r="AE454" s="7" t="str">
        <f t="shared" si="42"/>
        <v/>
      </c>
      <c r="AF454" s="7" t="str">
        <f t="shared" si="43"/>
        <v/>
      </c>
      <c r="AG454" s="7" t="str">
        <f t="shared" si="44"/>
        <v/>
      </c>
      <c r="AH454" s="7" t="str">
        <f t="shared" si="45"/>
        <v/>
      </c>
      <c r="AI454" s="7" t="str">
        <f t="shared" si="46"/>
        <v/>
      </c>
      <c r="AJ454" s="7" t="str">
        <f t="shared" si="47"/>
        <v/>
      </c>
      <c r="AK454" s="10" t="str">
        <f t="shared" si="48"/>
        <v/>
      </c>
      <c r="AL454" s="15" t="str">
        <f>IF(OR($A454&lt;&gt;"",$B454&lt;&gt;""),IF(OR($A454="",$B454=""),"Isi tanggal dan ID PIC",IF(NOT(ISNUMBER($A454)),"Tanggal harus berupa tanggal Excel",IF(COUNTIFS(Master_PIC!$A$8:$A$73,$B454)&lt;&gt;1,"ID PIC tidak unik/terdaftar",IF(VLOOKUP($B454,Master_PIC!$A$8:$G$73,3,FALSE)&lt;&gt;"SPV","Jabatan tidak sesuai sheet",IF(OR($C454="",$D454="",$E454="",$F454=""),"Lengkapi master PIC",IF(COUNTIFS($A$8:$A$507,$A454,$B$8:$B$507,$B454)&gt;1,"Laporan ganda",IF(COUNTIFS(G454:O454,"Tidak Berlaku")&gt;0,"N/A hanya untuk kegiatan bersyarat",IF(SUM(AF454,AG454,AH454,AI454,AJ454)&lt;&gt;13,"Status kegiatan tidak valid",IF(AJ454&gt;0,"Lengkapi status kegiatan",IF(AND(AI454&gt;0,T454=""),"Isi alasan Tidak Berlaku",IF(AND(SUM(AG454,AH454)&gt;0,OR(T454="",U454="",V454="",W454="")),"Isi kendala dan tindak lanjut",IF(AND(Y454&lt;&gt;"Draft",Y454&lt;&gt;"Dikirim"),"Isi status laporan yang valid",IF(AND(AA454&lt;&gt;"",AA454&lt;&gt;"Belum Diperiksa",AA454&lt;&gt;"Disetujui",AA454&lt;&gt;"Perlu Perbaikan"),"Hasil review tidak valid",IF(AND(Y454="Dikirim",OR(X454="",Z454="")),"Isi bukti dan waktu kirim",IF(AND(AA454="Disetujui",OR(Y454&lt;&gt;"Dikirim",AB454="",AC454="")),"Lengkapi pemeriksaan",IF(AND(AA454="Perlu Perbaikan",OR(AD454="",AB454="",AC454="")),"Isi pemeriksa dan catatan perbaikan","OK")))))))))))))))),"")</f>
        <v/>
      </c>
    </row>
    <row r="455" spans="1:38" ht="24.95" customHeight="1">
      <c r="A455" s="8"/>
      <c r="B455" s="6"/>
      <c r="C455" s="15" t="str">
        <f>IF(COUNTIFS(Master_PIC!$A$8:$A$73,$B455)=1,IF(VLOOKUP($B455,Master_PIC!$A$8:$G$73,2,FALSE)="","",VLOOKUP($B455,Master_PIC!$A$8:$G$73,2,FALSE)),"")</f>
        <v/>
      </c>
      <c r="D455" s="15" t="str">
        <f>IF(COUNTIFS(Master_PIC!$A$8:$A$73,$B455)=1,IF(VLOOKUP($B455,Master_PIC!$A$8:$G$73,4,FALSE)="","",VLOOKUP($B455,Master_PIC!$A$8:$G$73,4,FALSE)),"")</f>
        <v/>
      </c>
      <c r="E455" s="15" t="str">
        <f>IF(COUNTIFS(Master_PIC!$A$8:$A$73,$B455)=1,IF(VLOOKUP($B455,Master_PIC!$A$8:$G$73,5,FALSE)="","",VLOOKUP($B455,Master_PIC!$A$8:$G$73,5,FALSE)),"")</f>
        <v/>
      </c>
      <c r="F455" s="15" t="str">
        <f>IF(COUNTIFS(Master_PIC!$A$8:$A$73,$B455)=1,IF(VLOOKUP($B455,Master_PIC!$A$8:$G$73,6,FALSE)="","",VLOOKUP($B455,Master_PIC!$A$8:$G$73,6,FALSE)),"")</f>
        <v/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8"/>
      <c r="X455" s="5"/>
      <c r="Y455" s="5"/>
      <c r="Z455" s="9"/>
      <c r="AA455" s="5"/>
      <c r="AB455" s="5"/>
      <c r="AC455" s="9"/>
      <c r="AD455" s="5"/>
      <c r="AE455" s="7" t="str">
        <f t="shared" si="42"/>
        <v/>
      </c>
      <c r="AF455" s="7" t="str">
        <f t="shared" si="43"/>
        <v/>
      </c>
      <c r="AG455" s="7" t="str">
        <f t="shared" si="44"/>
        <v/>
      </c>
      <c r="AH455" s="7" t="str">
        <f t="shared" si="45"/>
        <v/>
      </c>
      <c r="AI455" s="7" t="str">
        <f t="shared" si="46"/>
        <v/>
      </c>
      <c r="AJ455" s="7" t="str">
        <f t="shared" si="47"/>
        <v/>
      </c>
      <c r="AK455" s="10" t="str">
        <f t="shared" si="48"/>
        <v/>
      </c>
      <c r="AL455" s="15" t="str">
        <f>IF(OR($A455&lt;&gt;"",$B455&lt;&gt;""),IF(OR($A455="",$B455=""),"Isi tanggal dan ID PIC",IF(NOT(ISNUMBER($A455)),"Tanggal harus berupa tanggal Excel",IF(COUNTIFS(Master_PIC!$A$8:$A$73,$B455)&lt;&gt;1,"ID PIC tidak unik/terdaftar",IF(VLOOKUP($B455,Master_PIC!$A$8:$G$73,3,FALSE)&lt;&gt;"SPV","Jabatan tidak sesuai sheet",IF(OR($C455="",$D455="",$E455="",$F455=""),"Lengkapi master PIC",IF(COUNTIFS($A$8:$A$507,$A455,$B$8:$B$507,$B455)&gt;1,"Laporan ganda",IF(COUNTIFS(G455:O455,"Tidak Berlaku")&gt;0,"N/A hanya untuk kegiatan bersyarat",IF(SUM(AF455,AG455,AH455,AI455,AJ455)&lt;&gt;13,"Status kegiatan tidak valid",IF(AJ455&gt;0,"Lengkapi status kegiatan",IF(AND(AI455&gt;0,T455=""),"Isi alasan Tidak Berlaku",IF(AND(SUM(AG455,AH455)&gt;0,OR(T455="",U455="",V455="",W455="")),"Isi kendala dan tindak lanjut",IF(AND(Y455&lt;&gt;"Draft",Y455&lt;&gt;"Dikirim"),"Isi status laporan yang valid",IF(AND(AA455&lt;&gt;"",AA455&lt;&gt;"Belum Diperiksa",AA455&lt;&gt;"Disetujui",AA455&lt;&gt;"Perlu Perbaikan"),"Hasil review tidak valid",IF(AND(Y455="Dikirim",OR(X455="",Z455="")),"Isi bukti dan waktu kirim",IF(AND(AA455="Disetujui",OR(Y455&lt;&gt;"Dikirim",AB455="",AC455="")),"Lengkapi pemeriksaan",IF(AND(AA455="Perlu Perbaikan",OR(AD455="",AB455="",AC455="")),"Isi pemeriksa dan catatan perbaikan","OK")))))))))))))))),"")</f>
        <v/>
      </c>
    </row>
    <row r="456" spans="1:38" ht="24.95" customHeight="1">
      <c r="A456" s="8"/>
      <c r="B456" s="6"/>
      <c r="C456" s="15" t="str">
        <f>IF(COUNTIFS(Master_PIC!$A$8:$A$73,$B456)=1,IF(VLOOKUP($B456,Master_PIC!$A$8:$G$73,2,FALSE)="","",VLOOKUP($B456,Master_PIC!$A$8:$G$73,2,FALSE)),"")</f>
        <v/>
      </c>
      <c r="D456" s="15" t="str">
        <f>IF(COUNTIFS(Master_PIC!$A$8:$A$73,$B456)=1,IF(VLOOKUP($B456,Master_PIC!$A$8:$G$73,4,FALSE)="","",VLOOKUP($B456,Master_PIC!$A$8:$G$73,4,FALSE)),"")</f>
        <v/>
      </c>
      <c r="E456" s="15" t="str">
        <f>IF(COUNTIFS(Master_PIC!$A$8:$A$73,$B456)=1,IF(VLOOKUP($B456,Master_PIC!$A$8:$G$73,5,FALSE)="","",VLOOKUP($B456,Master_PIC!$A$8:$G$73,5,FALSE)),"")</f>
        <v/>
      </c>
      <c r="F456" s="15" t="str">
        <f>IF(COUNTIFS(Master_PIC!$A$8:$A$73,$B456)=1,IF(VLOOKUP($B456,Master_PIC!$A$8:$G$73,6,FALSE)="","",VLOOKUP($B456,Master_PIC!$A$8:$G$73,6,FALSE)),"")</f>
        <v/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8"/>
      <c r="X456" s="5"/>
      <c r="Y456" s="5"/>
      <c r="Z456" s="9"/>
      <c r="AA456" s="5"/>
      <c r="AB456" s="5"/>
      <c r="AC456" s="9"/>
      <c r="AD456" s="5"/>
      <c r="AE456" s="7" t="str">
        <f t="shared" ref="AE456:AE507" si="49">IF(OR($A456&lt;&gt;"",$B456&lt;&gt;""),13-AI456,"")</f>
        <v/>
      </c>
      <c r="AF456" s="7" t="str">
        <f t="shared" ref="AF456:AF507" si="50">IF(OR($A456&lt;&gt;"",$B456&lt;&gt;""),COUNTIFS(G456:S456,"Selesai"),"")</f>
        <v/>
      </c>
      <c r="AG456" s="7" t="str">
        <f t="shared" ref="AG456:AG507" si="51">IF(OR($A456&lt;&gt;"",$B456&lt;&gt;""),COUNTIFS(G456:S456,"Proses"),"")</f>
        <v/>
      </c>
      <c r="AH456" s="7" t="str">
        <f t="shared" ref="AH456:AH507" si="52">IF(OR($A456&lt;&gt;"",$B456&lt;&gt;""),COUNTIFS(G456:S456,"Belum"),"")</f>
        <v/>
      </c>
      <c r="AI456" s="7" t="str">
        <f t="shared" ref="AI456:AI507" si="53">IF(OR($A456&lt;&gt;"",$B456&lt;&gt;""),COUNTIFS(G456:S456,"Tidak Berlaku"),"")</f>
        <v/>
      </c>
      <c r="AJ456" s="7" t="str">
        <f t="shared" ref="AJ456:AJ507" si="54">IF(OR($A456&lt;&gt;"",$B456&lt;&gt;""),COUNTBLANK(G456:S456),"")</f>
        <v/>
      </c>
      <c r="AK456" s="10" t="str">
        <f t="shared" ref="AK456:AK507" si="55">IF(OR($A456&lt;&gt;"",$B456&lt;&gt;""),IF(AE456=0,"n.a.",AF456/AE456),"")</f>
        <v/>
      </c>
      <c r="AL456" s="15" t="str">
        <f>IF(OR($A456&lt;&gt;"",$B456&lt;&gt;""),IF(OR($A456="",$B456=""),"Isi tanggal dan ID PIC",IF(NOT(ISNUMBER($A456)),"Tanggal harus berupa tanggal Excel",IF(COUNTIFS(Master_PIC!$A$8:$A$73,$B456)&lt;&gt;1,"ID PIC tidak unik/terdaftar",IF(VLOOKUP($B456,Master_PIC!$A$8:$G$73,3,FALSE)&lt;&gt;"SPV","Jabatan tidak sesuai sheet",IF(OR($C456="",$D456="",$E456="",$F456=""),"Lengkapi master PIC",IF(COUNTIFS($A$8:$A$507,$A456,$B$8:$B$507,$B456)&gt;1,"Laporan ganda",IF(COUNTIFS(G456:O456,"Tidak Berlaku")&gt;0,"N/A hanya untuk kegiatan bersyarat",IF(SUM(AF456,AG456,AH456,AI456,AJ456)&lt;&gt;13,"Status kegiatan tidak valid",IF(AJ456&gt;0,"Lengkapi status kegiatan",IF(AND(AI456&gt;0,T456=""),"Isi alasan Tidak Berlaku",IF(AND(SUM(AG456,AH456)&gt;0,OR(T456="",U456="",V456="",W456="")),"Isi kendala dan tindak lanjut",IF(AND(Y456&lt;&gt;"Draft",Y456&lt;&gt;"Dikirim"),"Isi status laporan yang valid",IF(AND(AA456&lt;&gt;"",AA456&lt;&gt;"Belum Diperiksa",AA456&lt;&gt;"Disetujui",AA456&lt;&gt;"Perlu Perbaikan"),"Hasil review tidak valid",IF(AND(Y456="Dikirim",OR(X456="",Z456="")),"Isi bukti dan waktu kirim",IF(AND(AA456="Disetujui",OR(Y456&lt;&gt;"Dikirim",AB456="",AC456="")),"Lengkapi pemeriksaan",IF(AND(AA456="Perlu Perbaikan",OR(AD456="",AB456="",AC456="")),"Isi pemeriksa dan catatan perbaikan","OK")))))))))))))))),"")</f>
        <v/>
      </c>
    </row>
    <row r="457" spans="1:38" ht="24.95" customHeight="1">
      <c r="A457" s="8"/>
      <c r="B457" s="6"/>
      <c r="C457" s="15" t="str">
        <f>IF(COUNTIFS(Master_PIC!$A$8:$A$73,$B457)=1,IF(VLOOKUP($B457,Master_PIC!$A$8:$G$73,2,FALSE)="","",VLOOKUP($B457,Master_PIC!$A$8:$G$73,2,FALSE)),"")</f>
        <v/>
      </c>
      <c r="D457" s="15" t="str">
        <f>IF(COUNTIFS(Master_PIC!$A$8:$A$73,$B457)=1,IF(VLOOKUP($B457,Master_PIC!$A$8:$G$73,4,FALSE)="","",VLOOKUP($B457,Master_PIC!$A$8:$G$73,4,FALSE)),"")</f>
        <v/>
      </c>
      <c r="E457" s="15" t="str">
        <f>IF(COUNTIFS(Master_PIC!$A$8:$A$73,$B457)=1,IF(VLOOKUP($B457,Master_PIC!$A$8:$G$73,5,FALSE)="","",VLOOKUP($B457,Master_PIC!$A$8:$G$73,5,FALSE)),"")</f>
        <v/>
      </c>
      <c r="F457" s="15" t="str">
        <f>IF(COUNTIFS(Master_PIC!$A$8:$A$73,$B457)=1,IF(VLOOKUP($B457,Master_PIC!$A$8:$G$73,6,FALSE)="","",VLOOKUP($B457,Master_PIC!$A$8:$G$73,6,FALSE)),"")</f>
        <v/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8"/>
      <c r="X457" s="5"/>
      <c r="Y457" s="5"/>
      <c r="Z457" s="9"/>
      <c r="AA457" s="5"/>
      <c r="AB457" s="5"/>
      <c r="AC457" s="9"/>
      <c r="AD457" s="5"/>
      <c r="AE457" s="7" t="str">
        <f t="shared" si="49"/>
        <v/>
      </c>
      <c r="AF457" s="7" t="str">
        <f t="shared" si="50"/>
        <v/>
      </c>
      <c r="AG457" s="7" t="str">
        <f t="shared" si="51"/>
        <v/>
      </c>
      <c r="AH457" s="7" t="str">
        <f t="shared" si="52"/>
        <v/>
      </c>
      <c r="AI457" s="7" t="str">
        <f t="shared" si="53"/>
        <v/>
      </c>
      <c r="AJ457" s="7" t="str">
        <f t="shared" si="54"/>
        <v/>
      </c>
      <c r="AK457" s="10" t="str">
        <f t="shared" si="55"/>
        <v/>
      </c>
      <c r="AL457" s="15" t="str">
        <f>IF(OR($A457&lt;&gt;"",$B457&lt;&gt;""),IF(OR($A457="",$B457=""),"Isi tanggal dan ID PIC",IF(NOT(ISNUMBER($A457)),"Tanggal harus berupa tanggal Excel",IF(COUNTIFS(Master_PIC!$A$8:$A$73,$B457)&lt;&gt;1,"ID PIC tidak unik/terdaftar",IF(VLOOKUP($B457,Master_PIC!$A$8:$G$73,3,FALSE)&lt;&gt;"SPV","Jabatan tidak sesuai sheet",IF(OR($C457="",$D457="",$E457="",$F457=""),"Lengkapi master PIC",IF(COUNTIFS($A$8:$A$507,$A457,$B$8:$B$507,$B457)&gt;1,"Laporan ganda",IF(COUNTIFS(G457:O457,"Tidak Berlaku")&gt;0,"N/A hanya untuk kegiatan bersyarat",IF(SUM(AF457,AG457,AH457,AI457,AJ457)&lt;&gt;13,"Status kegiatan tidak valid",IF(AJ457&gt;0,"Lengkapi status kegiatan",IF(AND(AI457&gt;0,T457=""),"Isi alasan Tidak Berlaku",IF(AND(SUM(AG457,AH457)&gt;0,OR(T457="",U457="",V457="",W457="")),"Isi kendala dan tindak lanjut",IF(AND(Y457&lt;&gt;"Draft",Y457&lt;&gt;"Dikirim"),"Isi status laporan yang valid",IF(AND(AA457&lt;&gt;"",AA457&lt;&gt;"Belum Diperiksa",AA457&lt;&gt;"Disetujui",AA457&lt;&gt;"Perlu Perbaikan"),"Hasil review tidak valid",IF(AND(Y457="Dikirim",OR(X457="",Z457="")),"Isi bukti dan waktu kirim",IF(AND(AA457="Disetujui",OR(Y457&lt;&gt;"Dikirim",AB457="",AC457="")),"Lengkapi pemeriksaan",IF(AND(AA457="Perlu Perbaikan",OR(AD457="",AB457="",AC457="")),"Isi pemeriksa dan catatan perbaikan","OK")))))))))))))))),"")</f>
        <v/>
      </c>
    </row>
    <row r="458" spans="1:38" ht="24.95" customHeight="1">
      <c r="A458" s="8"/>
      <c r="B458" s="6"/>
      <c r="C458" s="15" t="str">
        <f>IF(COUNTIFS(Master_PIC!$A$8:$A$73,$B458)=1,IF(VLOOKUP($B458,Master_PIC!$A$8:$G$73,2,FALSE)="","",VLOOKUP($B458,Master_PIC!$A$8:$G$73,2,FALSE)),"")</f>
        <v/>
      </c>
      <c r="D458" s="15" t="str">
        <f>IF(COUNTIFS(Master_PIC!$A$8:$A$73,$B458)=1,IF(VLOOKUP($B458,Master_PIC!$A$8:$G$73,4,FALSE)="","",VLOOKUP($B458,Master_PIC!$A$8:$G$73,4,FALSE)),"")</f>
        <v/>
      </c>
      <c r="E458" s="15" t="str">
        <f>IF(COUNTIFS(Master_PIC!$A$8:$A$73,$B458)=1,IF(VLOOKUP($B458,Master_PIC!$A$8:$G$73,5,FALSE)="","",VLOOKUP($B458,Master_PIC!$A$8:$G$73,5,FALSE)),"")</f>
        <v/>
      </c>
      <c r="F458" s="15" t="str">
        <f>IF(COUNTIFS(Master_PIC!$A$8:$A$73,$B458)=1,IF(VLOOKUP($B458,Master_PIC!$A$8:$G$73,6,FALSE)="","",VLOOKUP($B458,Master_PIC!$A$8:$G$73,6,FALSE)),"")</f>
        <v/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8"/>
      <c r="X458" s="5"/>
      <c r="Y458" s="5"/>
      <c r="Z458" s="9"/>
      <c r="AA458" s="5"/>
      <c r="AB458" s="5"/>
      <c r="AC458" s="9"/>
      <c r="AD458" s="5"/>
      <c r="AE458" s="7" t="str">
        <f t="shared" si="49"/>
        <v/>
      </c>
      <c r="AF458" s="7" t="str">
        <f t="shared" si="50"/>
        <v/>
      </c>
      <c r="AG458" s="7" t="str">
        <f t="shared" si="51"/>
        <v/>
      </c>
      <c r="AH458" s="7" t="str">
        <f t="shared" si="52"/>
        <v/>
      </c>
      <c r="AI458" s="7" t="str">
        <f t="shared" si="53"/>
        <v/>
      </c>
      <c r="AJ458" s="7" t="str">
        <f t="shared" si="54"/>
        <v/>
      </c>
      <c r="AK458" s="10" t="str">
        <f t="shared" si="55"/>
        <v/>
      </c>
      <c r="AL458" s="15" t="str">
        <f>IF(OR($A458&lt;&gt;"",$B458&lt;&gt;""),IF(OR($A458="",$B458=""),"Isi tanggal dan ID PIC",IF(NOT(ISNUMBER($A458)),"Tanggal harus berupa tanggal Excel",IF(COUNTIFS(Master_PIC!$A$8:$A$73,$B458)&lt;&gt;1,"ID PIC tidak unik/terdaftar",IF(VLOOKUP($B458,Master_PIC!$A$8:$G$73,3,FALSE)&lt;&gt;"SPV","Jabatan tidak sesuai sheet",IF(OR($C458="",$D458="",$E458="",$F458=""),"Lengkapi master PIC",IF(COUNTIFS($A$8:$A$507,$A458,$B$8:$B$507,$B458)&gt;1,"Laporan ganda",IF(COUNTIFS(G458:O458,"Tidak Berlaku")&gt;0,"N/A hanya untuk kegiatan bersyarat",IF(SUM(AF458,AG458,AH458,AI458,AJ458)&lt;&gt;13,"Status kegiatan tidak valid",IF(AJ458&gt;0,"Lengkapi status kegiatan",IF(AND(AI458&gt;0,T458=""),"Isi alasan Tidak Berlaku",IF(AND(SUM(AG458,AH458)&gt;0,OR(T458="",U458="",V458="",W458="")),"Isi kendala dan tindak lanjut",IF(AND(Y458&lt;&gt;"Draft",Y458&lt;&gt;"Dikirim"),"Isi status laporan yang valid",IF(AND(AA458&lt;&gt;"",AA458&lt;&gt;"Belum Diperiksa",AA458&lt;&gt;"Disetujui",AA458&lt;&gt;"Perlu Perbaikan"),"Hasil review tidak valid",IF(AND(Y458="Dikirim",OR(X458="",Z458="")),"Isi bukti dan waktu kirim",IF(AND(AA458="Disetujui",OR(Y458&lt;&gt;"Dikirim",AB458="",AC458="")),"Lengkapi pemeriksaan",IF(AND(AA458="Perlu Perbaikan",OR(AD458="",AB458="",AC458="")),"Isi pemeriksa dan catatan perbaikan","OK")))))))))))))))),"")</f>
        <v/>
      </c>
    </row>
    <row r="459" spans="1:38" ht="24.95" customHeight="1">
      <c r="A459" s="8"/>
      <c r="B459" s="6"/>
      <c r="C459" s="15" t="str">
        <f>IF(COUNTIFS(Master_PIC!$A$8:$A$73,$B459)=1,IF(VLOOKUP($B459,Master_PIC!$A$8:$G$73,2,FALSE)="","",VLOOKUP($B459,Master_PIC!$A$8:$G$73,2,FALSE)),"")</f>
        <v/>
      </c>
      <c r="D459" s="15" t="str">
        <f>IF(COUNTIFS(Master_PIC!$A$8:$A$73,$B459)=1,IF(VLOOKUP($B459,Master_PIC!$A$8:$G$73,4,FALSE)="","",VLOOKUP($B459,Master_PIC!$A$8:$G$73,4,FALSE)),"")</f>
        <v/>
      </c>
      <c r="E459" s="15" t="str">
        <f>IF(COUNTIFS(Master_PIC!$A$8:$A$73,$B459)=1,IF(VLOOKUP($B459,Master_PIC!$A$8:$G$73,5,FALSE)="","",VLOOKUP($B459,Master_PIC!$A$8:$G$73,5,FALSE)),"")</f>
        <v/>
      </c>
      <c r="F459" s="15" t="str">
        <f>IF(COUNTIFS(Master_PIC!$A$8:$A$73,$B459)=1,IF(VLOOKUP($B459,Master_PIC!$A$8:$G$73,6,FALSE)="","",VLOOKUP($B459,Master_PIC!$A$8:$G$73,6,FALSE)),"")</f>
        <v/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8"/>
      <c r="X459" s="5"/>
      <c r="Y459" s="5"/>
      <c r="Z459" s="9"/>
      <c r="AA459" s="5"/>
      <c r="AB459" s="5"/>
      <c r="AC459" s="9"/>
      <c r="AD459" s="5"/>
      <c r="AE459" s="7" t="str">
        <f t="shared" si="49"/>
        <v/>
      </c>
      <c r="AF459" s="7" t="str">
        <f t="shared" si="50"/>
        <v/>
      </c>
      <c r="AG459" s="7" t="str">
        <f t="shared" si="51"/>
        <v/>
      </c>
      <c r="AH459" s="7" t="str">
        <f t="shared" si="52"/>
        <v/>
      </c>
      <c r="AI459" s="7" t="str">
        <f t="shared" si="53"/>
        <v/>
      </c>
      <c r="AJ459" s="7" t="str">
        <f t="shared" si="54"/>
        <v/>
      </c>
      <c r="AK459" s="10" t="str">
        <f t="shared" si="55"/>
        <v/>
      </c>
      <c r="AL459" s="15" t="str">
        <f>IF(OR($A459&lt;&gt;"",$B459&lt;&gt;""),IF(OR($A459="",$B459=""),"Isi tanggal dan ID PIC",IF(NOT(ISNUMBER($A459)),"Tanggal harus berupa tanggal Excel",IF(COUNTIFS(Master_PIC!$A$8:$A$73,$B459)&lt;&gt;1,"ID PIC tidak unik/terdaftar",IF(VLOOKUP($B459,Master_PIC!$A$8:$G$73,3,FALSE)&lt;&gt;"SPV","Jabatan tidak sesuai sheet",IF(OR($C459="",$D459="",$E459="",$F459=""),"Lengkapi master PIC",IF(COUNTIFS($A$8:$A$507,$A459,$B$8:$B$507,$B459)&gt;1,"Laporan ganda",IF(COUNTIFS(G459:O459,"Tidak Berlaku")&gt;0,"N/A hanya untuk kegiatan bersyarat",IF(SUM(AF459,AG459,AH459,AI459,AJ459)&lt;&gt;13,"Status kegiatan tidak valid",IF(AJ459&gt;0,"Lengkapi status kegiatan",IF(AND(AI459&gt;0,T459=""),"Isi alasan Tidak Berlaku",IF(AND(SUM(AG459,AH459)&gt;0,OR(T459="",U459="",V459="",W459="")),"Isi kendala dan tindak lanjut",IF(AND(Y459&lt;&gt;"Draft",Y459&lt;&gt;"Dikirim"),"Isi status laporan yang valid",IF(AND(AA459&lt;&gt;"",AA459&lt;&gt;"Belum Diperiksa",AA459&lt;&gt;"Disetujui",AA459&lt;&gt;"Perlu Perbaikan"),"Hasil review tidak valid",IF(AND(Y459="Dikirim",OR(X459="",Z459="")),"Isi bukti dan waktu kirim",IF(AND(AA459="Disetujui",OR(Y459&lt;&gt;"Dikirim",AB459="",AC459="")),"Lengkapi pemeriksaan",IF(AND(AA459="Perlu Perbaikan",OR(AD459="",AB459="",AC459="")),"Isi pemeriksa dan catatan perbaikan","OK")))))))))))))))),"")</f>
        <v/>
      </c>
    </row>
    <row r="460" spans="1:38" ht="24.95" customHeight="1">
      <c r="A460" s="8"/>
      <c r="B460" s="6"/>
      <c r="C460" s="15" t="str">
        <f>IF(COUNTIFS(Master_PIC!$A$8:$A$73,$B460)=1,IF(VLOOKUP($B460,Master_PIC!$A$8:$G$73,2,FALSE)="","",VLOOKUP($B460,Master_PIC!$A$8:$G$73,2,FALSE)),"")</f>
        <v/>
      </c>
      <c r="D460" s="15" t="str">
        <f>IF(COUNTIFS(Master_PIC!$A$8:$A$73,$B460)=1,IF(VLOOKUP($B460,Master_PIC!$A$8:$G$73,4,FALSE)="","",VLOOKUP($B460,Master_PIC!$A$8:$G$73,4,FALSE)),"")</f>
        <v/>
      </c>
      <c r="E460" s="15" t="str">
        <f>IF(COUNTIFS(Master_PIC!$A$8:$A$73,$B460)=1,IF(VLOOKUP($B460,Master_PIC!$A$8:$G$73,5,FALSE)="","",VLOOKUP($B460,Master_PIC!$A$8:$G$73,5,FALSE)),"")</f>
        <v/>
      </c>
      <c r="F460" s="15" t="str">
        <f>IF(COUNTIFS(Master_PIC!$A$8:$A$73,$B460)=1,IF(VLOOKUP($B460,Master_PIC!$A$8:$G$73,6,FALSE)="","",VLOOKUP($B460,Master_PIC!$A$8:$G$73,6,FALSE)),"")</f>
        <v/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8"/>
      <c r="X460" s="5"/>
      <c r="Y460" s="5"/>
      <c r="Z460" s="9"/>
      <c r="AA460" s="5"/>
      <c r="AB460" s="5"/>
      <c r="AC460" s="9"/>
      <c r="AD460" s="5"/>
      <c r="AE460" s="7" t="str">
        <f t="shared" si="49"/>
        <v/>
      </c>
      <c r="AF460" s="7" t="str">
        <f t="shared" si="50"/>
        <v/>
      </c>
      <c r="AG460" s="7" t="str">
        <f t="shared" si="51"/>
        <v/>
      </c>
      <c r="AH460" s="7" t="str">
        <f t="shared" si="52"/>
        <v/>
      </c>
      <c r="AI460" s="7" t="str">
        <f t="shared" si="53"/>
        <v/>
      </c>
      <c r="AJ460" s="7" t="str">
        <f t="shared" si="54"/>
        <v/>
      </c>
      <c r="AK460" s="10" t="str">
        <f t="shared" si="55"/>
        <v/>
      </c>
      <c r="AL460" s="15" t="str">
        <f>IF(OR($A460&lt;&gt;"",$B460&lt;&gt;""),IF(OR($A460="",$B460=""),"Isi tanggal dan ID PIC",IF(NOT(ISNUMBER($A460)),"Tanggal harus berupa tanggal Excel",IF(COUNTIFS(Master_PIC!$A$8:$A$73,$B460)&lt;&gt;1,"ID PIC tidak unik/terdaftar",IF(VLOOKUP($B460,Master_PIC!$A$8:$G$73,3,FALSE)&lt;&gt;"SPV","Jabatan tidak sesuai sheet",IF(OR($C460="",$D460="",$E460="",$F460=""),"Lengkapi master PIC",IF(COUNTIFS($A$8:$A$507,$A460,$B$8:$B$507,$B460)&gt;1,"Laporan ganda",IF(COUNTIFS(G460:O460,"Tidak Berlaku")&gt;0,"N/A hanya untuk kegiatan bersyarat",IF(SUM(AF460,AG460,AH460,AI460,AJ460)&lt;&gt;13,"Status kegiatan tidak valid",IF(AJ460&gt;0,"Lengkapi status kegiatan",IF(AND(AI460&gt;0,T460=""),"Isi alasan Tidak Berlaku",IF(AND(SUM(AG460,AH460)&gt;0,OR(T460="",U460="",V460="",W460="")),"Isi kendala dan tindak lanjut",IF(AND(Y460&lt;&gt;"Draft",Y460&lt;&gt;"Dikirim"),"Isi status laporan yang valid",IF(AND(AA460&lt;&gt;"",AA460&lt;&gt;"Belum Diperiksa",AA460&lt;&gt;"Disetujui",AA460&lt;&gt;"Perlu Perbaikan"),"Hasil review tidak valid",IF(AND(Y460="Dikirim",OR(X460="",Z460="")),"Isi bukti dan waktu kirim",IF(AND(AA460="Disetujui",OR(Y460&lt;&gt;"Dikirim",AB460="",AC460="")),"Lengkapi pemeriksaan",IF(AND(AA460="Perlu Perbaikan",OR(AD460="",AB460="",AC460="")),"Isi pemeriksa dan catatan perbaikan","OK")))))))))))))))),"")</f>
        <v/>
      </c>
    </row>
    <row r="461" spans="1:38" ht="24.95" customHeight="1">
      <c r="A461" s="8"/>
      <c r="B461" s="6"/>
      <c r="C461" s="15" t="str">
        <f>IF(COUNTIFS(Master_PIC!$A$8:$A$73,$B461)=1,IF(VLOOKUP($B461,Master_PIC!$A$8:$G$73,2,FALSE)="","",VLOOKUP($B461,Master_PIC!$A$8:$G$73,2,FALSE)),"")</f>
        <v/>
      </c>
      <c r="D461" s="15" t="str">
        <f>IF(COUNTIFS(Master_PIC!$A$8:$A$73,$B461)=1,IF(VLOOKUP($B461,Master_PIC!$A$8:$G$73,4,FALSE)="","",VLOOKUP($B461,Master_PIC!$A$8:$G$73,4,FALSE)),"")</f>
        <v/>
      </c>
      <c r="E461" s="15" t="str">
        <f>IF(COUNTIFS(Master_PIC!$A$8:$A$73,$B461)=1,IF(VLOOKUP($B461,Master_PIC!$A$8:$G$73,5,FALSE)="","",VLOOKUP($B461,Master_PIC!$A$8:$G$73,5,FALSE)),"")</f>
        <v/>
      </c>
      <c r="F461" s="15" t="str">
        <f>IF(COUNTIFS(Master_PIC!$A$8:$A$73,$B461)=1,IF(VLOOKUP($B461,Master_PIC!$A$8:$G$73,6,FALSE)="","",VLOOKUP($B461,Master_PIC!$A$8:$G$73,6,FALSE)),"")</f>
        <v/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8"/>
      <c r="X461" s="5"/>
      <c r="Y461" s="5"/>
      <c r="Z461" s="9"/>
      <c r="AA461" s="5"/>
      <c r="AB461" s="5"/>
      <c r="AC461" s="9"/>
      <c r="AD461" s="5"/>
      <c r="AE461" s="7" t="str">
        <f t="shared" si="49"/>
        <v/>
      </c>
      <c r="AF461" s="7" t="str">
        <f t="shared" si="50"/>
        <v/>
      </c>
      <c r="AG461" s="7" t="str">
        <f t="shared" si="51"/>
        <v/>
      </c>
      <c r="AH461" s="7" t="str">
        <f t="shared" si="52"/>
        <v/>
      </c>
      <c r="AI461" s="7" t="str">
        <f t="shared" si="53"/>
        <v/>
      </c>
      <c r="AJ461" s="7" t="str">
        <f t="shared" si="54"/>
        <v/>
      </c>
      <c r="AK461" s="10" t="str">
        <f t="shared" si="55"/>
        <v/>
      </c>
      <c r="AL461" s="15" t="str">
        <f>IF(OR($A461&lt;&gt;"",$B461&lt;&gt;""),IF(OR($A461="",$B461=""),"Isi tanggal dan ID PIC",IF(NOT(ISNUMBER($A461)),"Tanggal harus berupa tanggal Excel",IF(COUNTIFS(Master_PIC!$A$8:$A$73,$B461)&lt;&gt;1,"ID PIC tidak unik/terdaftar",IF(VLOOKUP($B461,Master_PIC!$A$8:$G$73,3,FALSE)&lt;&gt;"SPV","Jabatan tidak sesuai sheet",IF(OR($C461="",$D461="",$E461="",$F461=""),"Lengkapi master PIC",IF(COUNTIFS($A$8:$A$507,$A461,$B$8:$B$507,$B461)&gt;1,"Laporan ganda",IF(COUNTIFS(G461:O461,"Tidak Berlaku")&gt;0,"N/A hanya untuk kegiatan bersyarat",IF(SUM(AF461,AG461,AH461,AI461,AJ461)&lt;&gt;13,"Status kegiatan tidak valid",IF(AJ461&gt;0,"Lengkapi status kegiatan",IF(AND(AI461&gt;0,T461=""),"Isi alasan Tidak Berlaku",IF(AND(SUM(AG461,AH461)&gt;0,OR(T461="",U461="",V461="",W461="")),"Isi kendala dan tindak lanjut",IF(AND(Y461&lt;&gt;"Draft",Y461&lt;&gt;"Dikirim"),"Isi status laporan yang valid",IF(AND(AA461&lt;&gt;"",AA461&lt;&gt;"Belum Diperiksa",AA461&lt;&gt;"Disetujui",AA461&lt;&gt;"Perlu Perbaikan"),"Hasil review tidak valid",IF(AND(Y461="Dikirim",OR(X461="",Z461="")),"Isi bukti dan waktu kirim",IF(AND(AA461="Disetujui",OR(Y461&lt;&gt;"Dikirim",AB461="",AC461="")),"Lengkapi pemeriksaan",IF(AND(AA461="Perlu Perbaikan",OR(AD461="",AB461="",AC461="")),"Isi pemeriksa dan catatan perbaikan","OK")))))))))))))))),"")</f>
        <v/>
      </c>
    </row>
    <row r="462" spans="1:38" ht="24.95" customHeight="1">
      <c r="A462" s="8"/>
      <c r="B462" s="6"/>
      <c r="C462" s="15" t="str">
        <f>IF(COUNTIFS(Master_PIC!$A$8:$A$73,$B462)=1,IF(VLOOKUP($B462,Master_PIC!$A$8:$G$73,2,FALSE)="","",VLOOKUP($B462,Master_PIC!$A$8:$G$73,2,FALSE)),"")</f>
        <v/>
      </c>
      <c r="D462" s="15" t="str">
        <f>IF(COUNTIFS(Master_PIC!$A$8:$A$73,$B462)=1,IF(VLOOKUP($B462,Master_PIC!$A$8:$G$73,4,FALSE)="","",VLOOKUP($B462,Master_PIC!$A$8:$G$73,4,FALSE)),"")</f>
        <v/>
      </c>
      <c r="E462" s="15" t="str">
        <f>IF(COUNTIFS(Master_PIC!$A$8:$A$73,$B462)=1,IF(VLOOKUP($B462,Master_PIC!$A$8:$G$73,5,FALSE)="","",VLOOKUP($B462,Master_PIC!$A$8:$G$73,5,FALSE)),"")</f>
        <v/>
      </c>
      <c r="F462" s="15" t="str">
        <f>IF(COUNTIFS(Master_PIC!$A$8:$A$73,$B462)=1,IF(VLOOKUP($B462,Master_PIC!$A$8:$G$73,6,FALSE)="","",VLOOKUP($B462,Master_PIC!$A$8:$G$73,6,FALSE)),"")</f>
        <v/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8"/>
      <c r="X462" s="5"/>
      <c r="Y462" s="5"/>
      <c r="Z462" s="9"/>
      <c r="AA462" s="5"/>
      <c r="AB462" s="5"/>
      <c r="AC462" s="9"/>
      <c r="AD462" s="5"/>
      <c r="AE462" s="7" t="str">
        <f t="shared" si="49"/>
        <v/>
      </c>
      <c r="AF462" s="7" t="str">
        <f t="shared" si="50"/>
        <v/>
      </c>
      <c r="AG462" s="7" t="str">
        <f t="shared" si="51"/>
        <v/>
      </c>
      <c r="AH462" s="7" t="str">
        <f t="shared" si="52"/>
        <v/>
      </c>
      <c r="AI462" s="7" t="str">
        <f t="shared" si="53"/>
        <v/>
      </c>
      <c r="AJ462" s="7" t="str">
        <f t="shared" si="54"/>
        <v/>
      </c>
      <c r="AK462" s="10" t="str">
        <f t="shared" si="55"/>
        <v/>
      </c>
      <c r="AL462" s="15" t="str">
        <f>IF(OR($A462&lt;&gt;"",$B462&lt;&gt;""),IF(OR($A462="",$B462=""),"Isi tanggal dan ID PIC",IF(NOT(ISNUMBER($A462)),"Tanggal harus berupa tanggal Excel",IF(COUNTIFS(Master_PIC!$A$8:$A$73,$B462)&lt;&gt;1,"ID PIC tidak unik/terdaftar",IF(VLOOKUP($B462,Master_PIC!$A$8:$G$73,3,FALSE)&lt;&gt;"SPV","Jabatan tidak sesuai sheet",IF(OR($C462="",$D462="",$E462="",$F462=""),"Lengkapi master PIC",IF(COUNTIFS($A$8:$A$507,$A462,$B$8:$B$507,$B462)&gt;1,"Laporan ganda",IF(COUNTIFS(G462:O462,"Tidak Berlaku")&gt;0,"N/A hanya untuk kegiatan bersyarat",IF(SUM(AF462,AG462,AH462,AI462,AJ462)&lt;&gt;13,"Status kegiatan tidak valid",IF(AJ462&gt;0,"Lengkapi status kegiatan",IF(AND(AI462&gt;0,T462=""),"Isi alasan Tidak Berlaku",IF(AND(SUM(AG462,AH462)&gt;0,OR(T462="",U462="",V462="",W462="")),"Isi kendala dan tindak lanjut",IF(AND(Y462&lt;&gt;"Draft",Y462&lt;&gt;"Dikirim"),"Isi status laporan yang valid",IF(AND(AA462&lt;&gt;"",AA462&lt;&gt;"Belum Diperiksa",AA462&lt;&gt;"Disetujui",AA462&lt;&gt;"Perlu Perbaikan"),"Hasil review tidak valid",IF(AND(Y462="Dikirim",OR(X462="",Z462="")),"Isi bukti dan waktu kirim",IF(AND(AA462="Disetujui",OR(Y462&lt;&gt;"Dikirim",AB462="",AC462="")),"Lengkapi pemeriksaan",IF(AND(AA462="Perlu Perbaikan",OR(AD462="",AB462="",AC462="")),"Isi pemeriksa dan catatan perbaikan","OK")))))))))))))))),"")</f>
        <v/>
      </c>
    </row>
    <row r="463" spans="1:38" ht="24.95" customHeight="1">
      <c r="A463" s="8"/>
      <c r="B463" s="6"/>
      <c r="C463" s="15" t="str">
        <f>IF(COUNTIFS(Master_PIC!$A$8:$A$73,$B463)=1,IF(VLOOKUP($B463,Master_PIC!$A$8:$G$73,2,FALSE)="","",VLOOKUP($B463,Master_PIC!$A$8:$G$73,2,FALSE)),"")</f>
        <v/>
      </c>
      <c r="D463" s="15" t="str">
        <f>IF(COUNTIFS(Master_PIC!$A$8:$A$73,$B463)=1,IF(VLOOKUP($B463,Master_PIC!$A$8:$G$73,4,FALSE)="","",VLOOKUP($B463,Master_PIC!$A$8:$G$73,4,FALSE)),"")</f>
        <v/>
      </c>
      <c r="E463" s="15" t="str">
        <f>IF(COUNTIFS(Master_PIC!$A$8:$A$73,$B463)=1,IF(VLOOKUP($B463,Master_PIC!$A$8:$G$73,5,FALSE)="","",VLOOKUP($B463,Master_PIC!$A$8:$G$73,5,FALSE)),"")</f>
        <v/>
      </c>
      <c r="F463" s="15" t="str">
        <f>IF(COUNTIFS(Master_PIC!$A$8:$A$73,$B463)=1,IF(VLOOKUP($B463,Master_PIC!$A$8:$G$73,6,FALSE)="","",VLOOKUP($B463,Master_PIC!$A$8:$G$73,6,FALSE)),"")</f>
        <v/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8"/>
      <c r="X463" s="5"/>
      <c r="Y463" s="5"/>
      <c r="Z463" s="9"/>
      <c r="AA463" s="5"/>
      <c r="AB463" s="5"/>
      <c r="AC463" s="9"/>
      <c r="AD463" s="5"/>
      <c r="AE463" s="7" t="str">
        <f t="shared" si="49"/>
        <v/>
      </c>
      <c r="AF463" s="7" t="str">
        <f t="shared" si="50"/>
        <v/>
      </c>
      <c r="AG463" s="7" t="str">
        <f t="shared" si="51"/>
        <v/>
      </c>
      <c r="AH463" s="7" t="str">
        <f t="shared" si="52"/>
        <v/>
      </c>
      <c r="AI463" s="7" t="str">
        <f t="shared" si="53"/>
        <v/>
      </c>
      <c r="AJ463" s="7" t="str">
        <f t="shared" si="54"/>
        <v/>
      </c>
      <c r="AK463" s="10" t="str">
        <f t="shared" si="55"/>
        <v/>
      </c>
      <c r="AL463" s="15" t="str">
        <f>IF(OR($A463&lt;&gt;"",$B463&lt;&gt;""),IF(OR($A463="",$B463=""),"Isi tanggal dan ID PIC",IF(NOT(ISNUMBER($A463)),"Tanggal harus berupa tanggal Excel",IF(COUNTIFS(Master_PIC!$A$8:$A$73,$B463)&lt;&gt;1,"ID PIC tidak unik/terdaftar",IF(VLOOKUP($B463,Master_PIC!$A$8:$G$73,3,FALSE)&lt;&gt;"SPV","Jabatan tidak sesuai sheet",IF(OR($C463="",$D463="",$E463="",$F463=""),"Lengkapi master PIC",IF(COUNTIFS($A$8:$A$507,$A463,$B$8:$B$507,$B463)&gt;1,"Laporan ganda",IF(COUNTIFS(G463:O463,"Tidak Berlaku")&gt;0,"N/A hanya untuk kegiatan bersyarat",IF(SUM(AF463,AG463,AH463,AI463,AJ463)&lt;&gt;13,"Status kegiatan tidak valid",IF(AJ463&gt;0,"Lengkapi status kegiatan",IF(AND(AI463&gt;0,T463=""),"Isi alasan Tidak Berlaku",IF(AND(SUM(AG463,AH463)&gt;0,OR(T463="",U463="",V463="",W463="")),"Isi kendala dan tindak lanjut",IF(AND(Y463&lt;&gt;"Draft",Y463&lt;&gt;"Dikirim"),"Isi status laporan yang valid",IF(AND(AA463&lt;&gt;"",AA463&lt;&gt;"Belum Diperiksa",AA463&lt;&gt;"Disetujui",AA463&lt;&gt;"Perlu Perbaikan"),"Hasil review tidak valid",IF(AND(Y463="Dikirim",OR(X463="",Z463="")),"Isi bukti dan waktu kirim",IF(AND(AA463="Disetujui",OR(Y463&lt;&gt;"Dikirim",AB463="",AC463="")),"Lengkapi pemeriksaan",IF(AND(AA463="Perlu Perbaikan",OR(AD463="",AB463="",AC463="")),"Isi pemeriksa dan catatan perbaikan","OK")))))))))))))))),"")</f>
        <v/>
      </c>
    </row>
    <row r="464" spans="1:38" ht="24.95" customHeight="1">
      <c r="A464" s="8"/>
      <c r="B464" s="6"/>
      <c r="C464" s="15" t="str">
        <f>IF(COUNTIFS(Master_PIC!$A$8:$A$73,$B464)=1,IF(VLOOKUP($B464,Master_PIC!$A$8:$G$73,2,FALSE)="","",VLOOKUP($B464,Master_PIC!$A$8:$G$73,2,FALSE)),"")</f>
        <v/>
      </c>
      <c r="D464" s="15" t="str">
        <f>IF(COUNTIFS(Master_PIC!$A$8:$A$73,$B464)=1,IF(VLOOKUP($B464,Master_PIC!$A$8:$G$73,4,FALSE)="","",VLOOKUP($B464,Master_PIC!$A$8:$G$73,4,FALSE)),"")</f>
        <v/>
      </c>
      <c r="E464" s="15" t="str">
        <f>IF(COUNTIFS(Master_PIC!$A$8:$A$73,$B464)=1,IF(VLOOKUP($B464,Master_PIC!$A$8:$G$73,5,FALSE)="","",VLOOKUP($B464,Master_PIC!$A$8:$G$73,5,FALSE)),"")</f>
        <v/>
      </c>
      <c r="F464" s="15" t="str">
        <f>IF(COUNTIFS(Master_PIC!$A$8:$A$73,$B464)=1,IF(VLOOKUP($B464,Master_PIC!$A$8:$G$73,6,FALSE)="","",VLOOKUP($B464,Master_PIC!$A$8:$G$73,6,FALSE)),"")</f>
        <v/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8"/>
      <c r="X464" s="5"/>
      <c r="Y464" s="5"/>
      <c r="Z464" s="9"/>
      <c r="AA464" s="5"/>
      <c r="AB464" s="5"/>
      <c r="AC464" s="9"/>
      <c r="AD464" s="5"/>
      <c r="AE464" s="7" t="str">
        <f t="shared" si="49"/>
        <v/>
      </c>
      <c r="AF464" s="7" t="str">
        <f t="shared" si="50"/>
        <v/>
      </c>
      <c r="AG464" s="7" t="str">
        <f t="shared" si="51"/>
        <v/>
      </c>
      <c r="AH464" s="7" t="str">
        <f t="shared" si="52"/>
        <v/>
      </c>
      <c r="AI464" s="7" t="str">
        <f t="shared" si="53"/>
        <v/>
      </c>
      <c r="AJ464" s="7" t="str">
        <f t="shared" si="54"/>
        <v/>
      </c>
      <c r="AK464" s="10" t="str">
        <f t="shared" si="55"/>
        <v/>
      </c>
      <c r="AL464" s="15" t="str">
        <f>IF(OR($A464&lt;&gt;"",$B464&lt;&gt;""),IF(OR($A464="",$B464=""),"Isi tanggal dan ID PIC",IF(NOT(ISNUMBER($A464)),"Tanggal harus berupa tanggal Excel",IF(COUNTIFS(Master_PIC!$A$8:$A$73,$B464)&lt;&gt;1,"ID PIC tidak unik/terdaftar",IF(VLOOKUP($B464,Master_PIC!$A$8:$G$73,3,FALSE)&lt;&gt;"SPV","Jabatan tidak sesuai sheet",IF(OR($C464="",$D464="",$E464="",$F464=""),"Lengkapi master PIC",IF(COUNTIFS($A$8:$A$507,$A464,$B$8:$B$507,$B464)&gt;1,"Laporan ganda",IF(COUNTIFS(G464:O464,"Tidak Berlaku")&gt;0,"N/A hanya untuk kegiatan bersyarat",IF(SUM(AF464,AG464,AH464,AI464,AJ464)&lt;&gt;13,"Status kegiatan tidak valid",IF(AJ464&gt;0,"Lengkapi status kegiatan",IF(AND(AI464&gt;0,T464=""),"Isi alasan Tidak Berlaku",IF(AND(SUM(AG464,AH464)&gt;0,OR(T464="",U464="",V464="",W464="")),"Isi kendala dan tindak lanjut",IF(AND(Y464&lt;&gt;"Draft",Y464&lt;&gt;"Dikirim"),"Isi status laporan yang valid",IF(AND(AA464&lt;&gt;"",AA464&lt;&gt;"Belum Diperiksa",AA464&lt;&gt;"Disetujui",AA464&lt;&gt;"Perlu Perbaikan"),"Hasil review tidak valid",IF(AND(Y464="Dikirim",OR(X464="",Z464="")),"Isi bukti dan waktu kirim",IF(AND(AA464="Disetujui",OR(Y464&lt;&gt;"Dikirim",AB464="",AC464="")),"Lengkapi pemeriksaan",IF(AND(AA464="Perlu Perbaikan",OR(AD464="",AB464="",AC464="")),"Isi pemeriksa dan catatan perbaikan","OK")))))))))))))))),"")</f>
        <v/>
      </c>
    </row>
    <row r="465" spans="1:38" ht="24.95" customHeight="1">
      <c r="A465" s="8"/>
      <c r="B465" s="6"/>
      <c r="C465" s="15" t="str">
        <f>IF(COUNTIFS(Master_PIC!$A$8:$A$73,$B465)=1,IF(VLOOKUP($B465,Master_PIC!$A$8:$G$73,2,FALSE)="","",VLOOKUP($B465,Master_PIC!$A$8:$G$73,2,FALSE)),"")</f>
        <v/>
      </c>
      <c r="D465" s="15" t="str">
        <f>IF(COUNTIFS(Master_PIC!$A$8:$A$73,$B465)=1,IF(VLOOKUP($B465,Master_PIC!$A$8:$G$73,4,FALSE)="","",VLOOKUP($B465,Master_PIC!$A$8:$G$73,4,FALSE)),"")</f>
        <v/>
      </c>
      <c r="E465" s="15" t="str">
        <f>IF(COUNTIFS(Master_PIC!$A$8:$A$73,$B465)=1,IF(VLOOKUP($B465,Master_PIC!$A$8:$G$73,5,FALSE)="","",VLOOKUP($B465,Master_PIC!$A$8:$G$73,5,FALSE)),"")</f>
        <v/>
      </c>
      <c r="F465" s="15" t="str">
        <f>IF(COUNTIFS(Master_PIC!$A$8:$A$73,$B465)=1,IF(VLOOKUP($B465,Master_PIC!$A$8:$G$73,6,FALSE)="","",VLOOKUP($B465,Master_PIC!$A$8:$G$73,6,FALSE)),"")</f>
        <v/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8"/>
      <c r="X465" s="5"/>
      <c r="Y465" s="5"/>
      <c r="Z465" s="9"/>
      <c r="AA465" s="5"/>
      <c r="AB465" s="5"/>
      <c r="AC465" s="9"/>
      <c r="AD465" s="5"/>
      <c r="AE465" s="7" t="str">
        <f t="shared" si="49"/>
        <v/>
      </c>
      <c r="AF465" s="7" t="str">
        <f t="shared" si="50"/>
        <v/>
      </c>
      <c r="AG465" s="7" t="str">
        <f t="shared" si="51"/>
        <v/>
      </c>
      <c r="AH465" s="7" t="str">
        <f t="shared" si="52"/>
        <v/>
      </c>
      <c r="AI465" s="7" t="str">
        <f t="shared" si="53"/>
        <v/>
      </c>
      <c r="AJ465" s="7" t="str">
        <f t="shared" si="54"/>
        <v/>
      </c>
      <c r="AK465" s="10" t="str">
        <f t="shared" si="55"/>
        <v/>
      </c>
      <c r="AL465" s="15" t="str">
        <f>IF(OR($A465&lt;&gt;"",$B465&lt;&gt;""),IF(OR($A465="",$B465=""),"Isi tanggal dan ID PIC",IF(NOT(ISNUMBER($A465)),"Tanggal harus berupa tanggal Excel",IF(COUNTIFS(Master_PIC!$A$8:$A$73,$B465)&lt;&gt;1,"ID PIC tidak unik/terdaftar",IF(VLOOKUP($B465,Master_PIC!$A$8:$G$73,3,FALSE)&lt;&gt;"SPV","Jabatan tidak sesuai sheet",IF(OR($C465="",$D465="",$E465="",$F465=""),"Lengkapi master PIC",IF(COUNTIFS($A$8:$A$507,$A465,$B$8:$B$507,$B465)&gt;1,"Laporan ganda",IF(COUNTIFS(G465:O465,"Tidak Berlaku")&gt;0,"N/A hanya untuk kegiatan bersyarat",IF(SUM(AF465,AG465,AH465,AI465,AJ465)&lt;&gt;13,"Status kegiatan tidak valid",IF(AJ465&gt;0,"Lengkapi status kegiatan",IF(AND(AI465&gt;0,T465=""),"Isi alasan Tidak Berlaku",IF(AND(SUM(AG465,AH465)&gt;0,OR(T465="",U465="",V465="",W465="")),"Isi kendala dan tindak lanjut",IF(AND(Y465&lt;&gt;"Draft",Y465&lt;&gt;"Dikirim"),"Isi status laporan yang valid",IF(AND(AA465&lt;&gt;"",AA465&lt;&gt;"Belum Diperiksa",AA465&lt;&gt;"Disetujui",AA465&lt;&gt;"Perlu Perbaikan"),"Hasil review tidak valid",IF(AND(Y465="Dikirim",OR(X465="",Z465="")),"Isi bukti dan waktu kirim",IF(AND(AA465="Disetujui",OR(Y465&lt;&gt;"Dikirim",AB465="",AC465="")),"Lengkapi pemeriksaan",IF(AND(AA465="Perlu Perbaikan",OR(AD465="",AB465="",AC465="")),"Isi pemeriksa dan catatan perbaikan","OK")))))))))))))))),"")</f>
        <v/>
      </c>
    </row>
    <row r="466" spans="1:38" ht="24.95" customHeight="1">
      <c r="A466" s="8"/>
      <c r="B466" s="6"/>
      <c r="C466" s="15" t="str">
        <f>IF(COUNTIFS(Master_PIC!$A$8:$A$73,$B466)=1,IF(VLOOKUP($B466,Master_PIC!$A$8:$G$73,2,FALSE)="","",VLOOKUP($B466,Master_PIC!$A$8:$G$73,2,FALSE)),"")</f>
        <v/>
      </c>
      <c r="D466" s="15" t="str">
        <f>IF(COUNTIFS(Master_PIC!$A$8:$A$73,$B466)=1,IF(VLOOKUP($B466,Master_PIC!$A$8:$G$73,4,FALSE)="","",VLOOKUP($B466,Master_PIC!$A$8:$G$73,4,FALSE)),"")</f>
        <v/>
      </c>
      <c r="E466" s="15" t="str">
        <f>IF(COUNTIFS(Master_PIC!$A$8:$A$73,$B466)=1,IF(VLOOKUP($B466,Master_PIC!$A$8:$G$73,5,FALSE)="","",VLOOKUP($B466,Master_PIC!$A$8:$G$73,5,FALSE)),"")</f>
        <v/>
      </c>
      <c r="F466" s="15" t="str">
        <f>IF(COUNTIFS(Master_PIC!$A$8:$A$73,$B466)=1,IF(VLOOKUP($B466,Master_PIC!$A$8:$G$73,6,FALSE)="","",VLOOKUP($B466,Master_PIC!$A$8:$G$73,6,FALSE)),"")</f>
        <v/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8"/>
      <c r="X466" s="5"/>
      <c r="Y466" s="5"/>
      <c r="Z466" s="9"/>
      <c r="AA466" s="5"/>
      <c r="AB466" s="5"/>
      <c r="AC466" s="9"/>
      <c r="AD466" s="5"/>
      <c r="AE466" s="7" t="str">
        <f t="shared" si="49"/>
        <v/>
      </c>
      <c r="AF466" s="7" t="str">
        <f t="shared" si="50"/>
        <v/>
      </c>
      <c r="AG466" s="7" t="str">
        <f t="shared" si="51"/>
        <v/>
      </c>
      <c r="AH466" s="7" t="str">
        <f t="shared" si="52"/>
        <v/>
      </c>
      <c r="AI466" s="7" t="str">
        <f t="shared" si="53"/>
        <v/>
      </c>
      <c r="AJ466" s="7" t="str">
        <f t="shared" si="54"/>
        <v/>
      </c>
      <c r="AK466" s="10" t="str">
        <f t="shared" si="55"/>
        <v/>
      </c>
      <c r="AL466" s="15" t="str">
        <f>IF(OR($A466&lt;&gt;"",$B466&lt;&gt;""),IF(OR($A466="",$B466=""),"Isi tanggal dan ID PIC",IF(NOT(ISNUMBER($A466)),"Tanggal harus berupa tanggal Excel",IF(COUNTIFS(Master_PIC!$A$8:$A$73,$B466)&lt;&gt;1,"ID PIC tidak unik/terdaftar",IF(VLOOKUP($B466,Master_PIC!$A$8:$G$73,3,FALSE)&lt;&gt;"SPV","Jabatan tidak sesuai sheet",IF(OR($C466="",$D466="",$E466="",$F466=""),"Lengkapi master PIC",IF(COUNTIFS($A$8:$A$507,$A466,$B$8:$B$507,$B466)&gt;1,"Laporan ganda",IF(COUNTIFS(G466:O466,"Tidak Berlaku")&gt;0,"N/A hanya untuk kegiatan bersyarat",IF(SUM(AF466,AG466,AH466,AI466,AJ466)&lt;&gt;13,"Status kegiatan tidak valid",IF(AJ466&gt;0,"Lengkapi status kegiatan",IF(AND(AI466&gt;0,T466=""),"Isi alasan Tidak Berlaku",IF(AND(SUM(AG466,AH466)&gt;0,OR(T466="",U466="",V466="",W466="")),"Isi kendala dan tindak lanjut",IF(AND(Y466&lt;&gt;"Draft",Y466&lt;&gt;"Dikirim"),"Isi status laporan yang valid",IF(AND(AA466&lt;&gt;"",AA466&lt;&gt;"Belum Diperiksa",AA466&lt;&gt;"Disetujui",AA466&lt;&gt;"Perlu Perbaikan"),"Hasil review tidak valid",IF(AND(Y466="Dikirim",OR(X466="",Z466="")),"Isi bukti dan waktu kirim",IF(AND(AA466="Disetujui",OR(Y466&lt;&gt;"Dikirim",AB466="",AC466="")),"Lengkapi pemeriksaan",IF(AND(AA466="Perlu Perbaikan",OR(AD466="",AB466="",AC466="")),"Isi pemeriksa dan catatan perbaikan","OK")))))))))))))))),"")</f>
        <v/>
      </c>
    </row>
    <row r="467" spans="1:38" ht="24.95" customHeight="1">
      <c r="A467" s="8"/>
      <c r="B467" s="6"/>
      <c r="C467" s="15" t="str">
        <f>IF(COUNTIFS(Master_PIC!$A$8:$A$73,$B467)=1,IF(VLOOKUP($B467,Master_PIC!$A$8:$G$73,2,FALSE)="","",VLOOKUP($B467,Master_PIC!$A$8:$G$73,2,FALSE)),"")</f>
        <v/>
      </c>
      <c r="D467" s="15" t="str">
        <f>IF(COUNTIFS(Master_PIC!$A$8:$A$73,$B467)=1,IF(VLOOKUP($B467,Master_PIC!$A$8:$G$73,4,FALSE)="","",VLOOKUP($B467,Master_PIC!$A$8:$G$73,4,FALSE)),"")</f>
        <v/>
      </c>
      <c r="E467" s="15" t="str">
        <f>IF(COUNTIFS(Master_PIC!$A$8:$A$73,$B467)=1,IF(VLOOKUP($B467,Master_PIC!$A$8:$G$73,5,FALSE)="","",VLOOKUP($B467,Master_PIC!$A$8:$G$73,5,FALSE)),"")</f>
        <v/>
      </c>
      <c r="F467" s="15" t="str">
        <f>IF(COUNTIFS(Master_PIC!$A$8:$A$73,$B467)=1,IF(VLOOKUP($B467,Master_PIC!$A$8:$G$73,6,FALSE)="","",VLOOKUP($B467,Master_PIC!$A$8:$G$73,6,FALSE)),"")</f>
        <v/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8"/>
      <c r="X467" s="5"/>
      <c r="Y467" s="5"/>
      <c r="Z467" s="9"/>
      <c r="AA467" s="5"/>
      <c r="AB467" s="5"/>
      <c r="AC467" s="9"/>
      <c r="AD467" s="5"/>
      <c r="AE467" s="7" t="str">
        <f t="shared" si="49"/>
        <v/>
      </c>
      <c r="AF467" s="7" t="str">
        <f t="shared" si="50"/>
        <v/>
      </c>
      <c r="AG467" s="7" t="str">
        <f t="shared" si="51"/>
        <v/>
      </c>
      <c r="AH467" s="7" t="str">
        <f t="shared" si="52"/>
        <v/>
      </c>
      <c r="AI467" s="7" t="str">
        <f t="shared" si="53"/>
        <v/>
      </c>
      <c r="AJ467" s="7" t="str">
        <f t="shared" si="54"/>
        <v/>
      </c>
      <c r="AK467" s="10" t="str">
        <f t="shared" si="55"/>
        <v/>
      </c>
      <c r="AL467" s="15" t="str">
        <f>IF(OR($A467&lt;&gt;"",$B467&lt;&gt;""),IF(OR($A467="",$B467=""),"Isi tanggal dan ID PIC",IF(NOT(ISNUMBER($A467)),"Tanggal harus berupa tanggal Excel",IF(COUNTIFS(Master_PIC!$A$8:$A$73,$B467)&lt;&gt;1,"ID PIC tidak unik/terdaftar",IF(VLOOKUP($B467,Master_PIC!$A$8:$G$73,3,FALSE)&lt;&gt;"SPV","Jabatan tidak sesuai sheet",IF(OR($C467="",$D467="",$E467="",$F467=""),"Lengkapi master PIC",IF(COUNTIFS($A$8:$A$507,$A467,$B$8:$B$507,$B467)&gt;1,"Laporan ganda",IF(COUNTIFS(G467:O467,"Tidak Berlaku")&gt;0,"N/A hanya untuk kegiatan bersyarat",IF(SUM(AF467,AG467,AH467,AI467,AJ467)&lt;&gt;13,"Status kegiatan tidak valid",IF(AJ467&gt;0,"Lengkapi status kegiatan",IF(AND(AI467&gt;0,T467=""),"Isi alasan Tidak Berlaku",IF(AND(SUM(AG467,AH467)&gt;0,OR(T467="",U467="",V467="",W467="")),"Isi kendala dan tindak lanjut",IF(AND(Y467&lt;&gt;"Draft",Y467&lt;&gt;"Dikirim"),"Isi status laporan yang valid",IF(AND(AA467&lt;&gt;"",AA467&lt;&gt;"Belum Diperiksa",AA467&lt;&gt;"Disetujui",AA467&lt;&gt;"Perlu Perbaikan"),"Hasil review tidak valid",IF(AND(Y467="Dikirim",OR(X467="",Z467="")),"Isi bukti dan waktu kirim",IF(AND(AA467="Disetujui",OR(Y467&lt;&gt;"Dikirim",AB467="",AC467="")),"Lengkapi pemeriksaan",IF(AND(AA467="Perlu Perbaikan",OR(AD467="",AB467="",AC467="")),"Isi pemeriksa dan catatan perbaikan","OK")))))))))))))))),"")</f>
        <v/>
      </c>
    </row>
    <row r="468" spans="1:38" ht="24.95" customHeight="1">
      <c r="A468" s="8"/>
      <c r="B468" s="6"/>
      <c r="C468" s="15" t="str">
        <f>IF(COUNTIFS(Master_PIC!$A$8:$A$73,$B468)=1,IF(VLOOKUP($B468,Master_PIC!$A$8:$G$73,2,FALSE)="","",VLOOKUP($B468,Master_PIC!$A$8:$G$73,2,FALSE)),"")</f>
        <v/>
      </c>
      <c r="D468" s="15" t="str">
        <f>IF(COUNTIFS(Master_PIC!$A$8:$A$73,$B468)=1,IF(VLOOKUP($B468,Master_PIC!$A$8:$G$73,4,FALSE)="","",VLOOKUP($B468,Master_PIC!$A$8:$G$73,4,FALSE)),"")</f>
        <v/>
      </c>
      <c r="E468" s="15" t="str">
        <f>IF(COUNTIFS(Master_PIC!$A$8:$A$73,$B468)=1,IF(VLOOKUP($B468,Master_PIC!$A$8:$G$73,5,FALSE)="","",VLOOKUP($B468,Master_PIC!$A$8:$G$73,5,FALSE)),"")</f>
        <v/>
      </c>
      <c r="F468" s="15" t="str">
        <f>IF(COUNTIFS(Master_PIC!$A$8:$A$73,$B468)=1,IF(VLOOKUP($B468,Master_PIC!$A$8:$G$73,6,FALSE)="","",VLOOKUP($B468,Master_PIC!$A$8:$G$73,6,FALSE)),"")</f>
        <v/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8"/>
      <c r="X468" s="5"/>
      <c r="Y468" s="5"/>
      <c r="Z468" s="9"/>
      <c r="AA468" s="5"/>
      <c r="AB468" s="5"/>
      <c r="AC468" s="9"/>
      <c r="AD468" s="5"/>
      <c r="AE468" s="7" t="str">
        <f t="shared" si="49"/>
        <v/>
      </c>
      <c r="AF468" s="7" t="str">
        <f t="shared" si="50"/>
        <v/>
      </c>
      <c r="AG468" s="7" t="str">
        <f t="shared" si="51"/>
        <v/>
      </c>
      <c r="AH468" s="7" t="str">
        <f t="shared" si="52"/>
        <v/>
      </c>
      <c r="AI468" s="7" t="str">
        <f t="shared" si="53"/>
        <v/>
      </c>
      <c r="AJ468" s="7" t="str">
        <f t="shared" si="54"/>
        <v/>
      </c>
      <c r="AK468" s="10" t="str">
        <f t="shared" si="55"/>
        <v/>
      </c>
      <c r="AL468" s="15" t="str">
        <f>IF(OR($A468&lt;&gt;"",$B468&lt;&gt;""),IF(OR($A468="",$B468=""),"Isi tanggal dan ID PIC",IF(NOT(ISNUMBER($A468)),"Tanggal harus berupa tanggal Excel",IF(COUNTIFS(Master_PIC!$A$8:$A$73,$B468)&lt;&gt;1,"ID PIC tidak unik/terdaftar",IF(VLOOKUP($B468,Master_PIC!$A$8:$G$73,3,FALSE)&lt;&gt;"SPV","Jabatan tidak sesuai sheet",IF(OR($C468="",$D468="",$E468="",$F468=""),"Lengkapi master PIC",IF(COUNTIFS($A$8:$A$507,$A468,$B$8:$B$507,$B468)&gt;1,"Laporan ganda",IF(COUNTIFS(G468:O468,"Tidak Berlaku")&gt;0,"N/A hanya untuk kegiatan bersyarat",IF(SUM(AF468,AG468,AH468,AI468,AJ468)&lt;&gt;13,"Status kegiatan tidak valid",IF(AJ468&gt;0,"Lengkapi status kegiatan",IF(AND(AI468&gt;0,T468=""),"Isi alasan Tidak Berlaku",IF(AND(SUM(AG468,AH468)&gt;0,OR(T468="",U468="",V468="",W468="")),"Isi kendala dan tindak lanjut",IF(AND(Y468&lt;&gt;"Draft",Y468&lt;&gt;"Dikirim"),"Isi status laporan yang valid",IF(AND(AA468&lt;&gt;"",AA468&lt;&gt;"Belum Diperiksa",AA468&lt;&gt;"Disetujui",AA468&lt;&gt;"Perlu Perbaikan"),"Hasil review tidak valid",IF(AND(Y468="Dikirim",OR(X468="",Z468="")),"Isi bukti dan waktu kirim",IF(AND(AA468="Disetujui",OR(Y468&lt;&gt;"Dikirim",AB468="",AC468="")),"Lengkapi pemeriksaan",IF(AND(AA468="Perlu Perbaikan",OR(AD468="",AB468="",AC468="")),"Isi pemeriksa dan catatan perbaikan","OK")))))))))))))))),"")</f>
        <v/>
      </c>
    </row>
    <row r="469" spans="1:38" ht="24.95" customHeight="1">
      <c r="A469" s="8"/>
      <c r="B469" s="6"/>
      <c r="C469" s="15" t="str">
        <f>IF(COUNTIFS(Master_PIC!$A$8:$A$73,$B469)=1,IF(VLOOKUP($B469,Master_PIC!$A$8:$G$73,2,FALSE)="","",VLOOKUP($B469,Master_PIC!$A$8:$G$73,2,FALSE)),"")</f>
        <v/>
      </c>
      <c r="D469" s="15" t="str">
        <f>IF(COUNTIFS(Master_PIC!$A$8:$A$73,$B469)=1,IF(VLOOKUP($B469,Master_PIC!$A$8:$G$73,4,FALSE)="","",VLOOKUP($B469,Master_PIC!$A$8:$G$73,4,FALSE)),"")</f>
        <v/>
      </c>
      <c r="E469" s="15" t="str">
        <f>IF(COUNTIFS(Master_PIC!$A$8:$A$73,$B469)=1,IF(VLOOKUP($B469,Master_PIC!$A$8:$G$73,5,FALSE)="","",VLOOKUP($B469,Master_PIC!$A$8:$G$73,5,FALSE)),"")</f>
        <v/>
      </c>
      <c r="F469" s="15" t="str">
        <f>IF(COUNTIFS(Master_PIC!$A$8:$A$73,$B469)=1,IF(VLOOKUP($B469,Master_PIC!$A$8:$G$73,6,FALSE)="","",VLOOKUP($B469,Master_PIC!$A$8:$G$73,6,FALSE)),"")</f>
        <v/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8"/>
      <c r="X469" s="5"/>
      <c r="Y469" s="5"/>
      <c r="Z469" s="9"/>
      <c r="AA469" s="5"/>
      <c r="AB469" s="5"/>
      <c r="AC469" s="9"/>
      <c r="AD469" s="5"/>
      <c r="AE469" s="7" t="str">
        <f t="shared" si="49"/>
        <v/>
      </c>
      <c r="AF469" s="7" t="str">
        <f t="shared" si="50"/>
        <v/>
      </c>
      <c r="AG469" s="7" t="str">
        <f t="shared" si="51"/>
        <v/>
      </c>
      <c r="AH469" s="7" t="str">
        <f t="shared" si="52"/>
        <v/>
      </c>
      <c r="AI469" s="7" t="str">
        <f t="shared" si="53"/>
        <v/>
      </c>
      <c r="AJ469" s="7" t="str">
        <f t="shared" si="54"/>
        <v/>
      </c>
      <c r="AK469" s="10" t="str">
        <f t="shared" si="55"/>
        <v/>
      </c>
      <c r="AL469" s="15" t="str">
        <f>IF(OR($A469&lt;&gt;"",$B469&lt;&gt;""),IF(OR($A469="",$B469=""),"Isi tanggal dan ID PIC",IF(NOT(ISNUMBER($A469)),"Tanggal harus berupa tanggal Excel",IF(COUNTIFS(Master_PIC!$A$8:$A$73,$B469)&lt;&gt;1,"ID PIC tidak unik/terdaftar",IF(VLOOKUP($B469,Master_PIC!$A$8:$G$73,3,FALSE)&lt;&gt;"SPV","Jabatan tidak sesuai sheet",IF(OR($C469="",$D469="",$E469="",$F469=""),"Lengkapi master PIC",IF(COUNTIFS($A$8:$A$507,$A469,$B$8:$B$507,$B469)&gt;1,"Laporan ganda",IF(COUNTIFS(G469:O469,"Tidak Berlaku")&gt;0,"N/A hanya untuk kegiatan bersyarat",IF(SUM(AF469,AG469,AH469,AI469,AJ469)&lt;&gt;13,"Status kegiatan tidak valid",IF(AJ469&gt;0,"Lengkapi status kegiatan",IF(AND(AI469&gt;0,T469=""),"Isi alasan Tidak Berlaku",IF(AND(SUM(AG469,AH469)&gt;0,OR(T469="",U469="",V469="",W469="")),"Isi kendala dan tindak lanjut",IF(AND(Y469&lt;&gt;"Draft",Y469&lt;&gt;"Dikirim"),"Isi status laporan yang valid",IF(AND(AA469&lt;&gt;"",AA469&lt;&gt;"Belum Diperiksa",AA469&lt;&gt;"Disetujui",AA469&lt;&gt;"Perlu Perbaikan"),"Hasil review tidak valid",IF(AND(Y469="Dikirim",OR(X469="",Z469="")),"Isi bukti dan waktu kirim",IF(AND(AA469="Disetujui",OR(Y469&lt;&gt;"Dikirim",AB469="",AC469="")),"Lengkapi pemeriksaan",IF(AND(AA469="Perlu Perbaikan",OR(AD469="",AB469="",AC469="")),"Isi pemeriksa dan catatan perbaikan","OK")))))))))))))))),"")</f>
        <v/>
      </c>
    </row>
    <row r="470" spans="1:38" ht="24.95" customHeight="1">
      <c r="A470" s="8"/>
      <c r="B470" s="6"/>
      <c r="C470" s="15" t="str">
        <f>IF(COUNTIFS(Master_PIC!$A$8:$A$73,$B470)=1,IF(VLOOKUP($B470,Master_PIC!$A$8:$G$73,2,FALSE)="","",VLOOKUP($B470,Master_PIC!$A$8:$G$73,2,FALSE)),"")</f>
        <v/>
      </c>
      <c r="D470" s="15" t="str">
        <f>IF(COUNTIFS(Master_PIC!$A$8:$A$73,$B470)=1,IF(VLOOKUP($B470,Master_PIC!$A$8:$G$73,4,FALSE)="","",VLOOKUP($B470,Master_PIC!$A$8:$G$73,4,FALSE)),"")</f>
        <v/>
      </c>
      <c r="E470" s="15" t="str">
        <f>IF(COUNTIFS(Master_PIC!$A$8:$A$73,$B470)=1,IF(VLOOKUP($B470,Master_PIC!$A$8:$G$73,5,FALSE)="","",VLOOKUP($B470,Master_PIC!$A$8:$G$73,5,FALSE)),"")</f>
        <v/>
      </c>
      <c r="F470" s="15" t="str">
        <f>IF(COUNTIFS(Master_PIC!$A$8:$A$73,$B470)=1,IF(VLOOKUP($B470,Master_PIC!$A$8:$G$73,6,FALSE)="","",VLOOKUP($B470,Master_PIC!$A$8:$G$73,6,FALSE)),"")</f>
        <v/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8"/>
      <c r="X470" s="5"/>
      <c r="Y470" s="5"/>
      <c r="Z470" s="9"/>
      <c r="AA470" s="5"/>
      <c r="AB470" s="5"/>
      <c r="AC470" s="9"/>
      <c r="AD470" s="5"/>
      <c r="AE470" s="7" t="str">
        <f t="shared" si="49"/>
        <v/>
      </c>
      <c r="AF470" s="7" t="str">
        <f t="shared" si="50"/>
        <v/>
      </c>
      <c r="AG470" s="7" t="str">
        <f t="shared" si="51"/>
        <v/>
      </c>
      <c r="AH470" s="7" t="str">
        <f t="shared" si="52"/>
        <v/>
      </c>
      <c r="AI470" s="7" t="str">
        <f t="shared" si="53"/>
        <v/>
      </c>
      <c r="AJ470" s="7" t="str">
        <f t="shared" si="54"/>
        <v/>
      </c>
      <c r="AK470" s="10" t="str">
        <f t="shared" si="55"/>
        <v/>
      </c>
      <c r="AL470" s="15" t="str">
        <f>IF(OR($A470&lt;&gt;"",$B470&lt;&gt;""),IF(OR($A470="",$B470=""),"Isi tanggal dan ID PIC",IF(NOT(ISNUMBER($A470)),"Tanggal harus berupa tanggal Excel",IF(COUNTIFS(Master_PIC!$A$8:$A$73,$B470)&lt;&gt;1,"ID PIC tidak unik/terdaftar",IF(VLOOKUP($B470,Master_PIC!$A$8:$G$73,3,FALSE)&lt;&gt;"SPV","Jabatan tidak sesuai sheet",IF(OR($C470="",$D470="",$E470="",$F470=""),"Lengkapi master PIC",IF(COUNTIFS($A$8:$A$507,$A470,$B$8:$B$507,$B470)&gt;1,"Laporan ganda",IF(COUNTIFS(G470:O470,"Tidak Berlaku")&gt;0,"N/A hanya untuk kegiatan bersyarat",IF(SUM(AF470,AG470,AH470,AI470,AJ470)&lt;&gt;13,"Status kegiatan tidak valid",IF(AJ470&gt;0,"Lengkapi status kegiatan",IF(AND(AI470&gt;0,T470=""),"Isi alasan Tidak Berlaku",IF(AND(SUM(AG470,AH470)&gt;0,OR(T470="",U470="",V470="",W470="")),"Isi kendala dan tindak lanjut",IF(AND(Y470&lt;&gt;"Draft",Y470&lt;&gt;"Dikirim"),"Isi status laporan yang valid",IF(AND(AA470&lt;&gt;"",AA470&lt;&gt;"Belum Diperiksa",AA470&lt;&gt;"Disetujui",AA470&lt;&gt;"Perlu Perbaikan"),"Hasil review tidak valid",IF(AND(Y470="Dikirim",OR(X470="",Z470="")),"Isi bukti dan waktu kirim",IF(AND(AA470="Disetujui",OR(Y470&lt;&gt;"Dikirim",AB470="",AC470="")),"Lengkapi pemeriksaan",IF(AND(AA470="Perlu Perbaikan",OR(AD470="",AB470="",AC470="")),"Isi pemeriksa dan catatan perbaikan","OK")))))))))))))))),"")</f>
        <v/>
      </c>
    </row>
    <row r="471" spans="1:38" ht="24.95" customHeight="1">
      <c r="A471" s="8"/>
      <c r="B471" s="6"/>
      <c r="C471" s="15" t="str">
        <f>IF(COUNTIFS(Master_PIC!$A$8:$A$73,$B471)=1,IF(VLOOKUP($B471,Master_PIC!$A$8:$G$73,2,FALSE)="","",VLOOKUP($B471,Master_PIC!$A$8:$G$73,2,FALSE)),"")</f>
        <v/>
      </c>
      <c r="D471" s="15" t="str">
        <f>IF(COUNTIFS(Master_PIC!$A$8:$A$73,$B471)=1,IF(VLOOKUP($B471,Master_PIC!$A$8:$G$73,4,FALSE)="","",VLOOKUP($B471,Master_PIC!$A$8:$G$73,4,FALSE)),"")</f>
        <v/>
      </c>
      <c r="E471" s="15" t="str">
        <f>IF(COUNTIFS(Master_PIC!$A$8:$A$73,$B471)=1,IF(VLOOKUP($B471,Master_PIC!$A$8:$G$73,5,FALSE)="","",VLOOKUP($B471,Master_PIC!$A$8:$G$73,5,FALSE)),"")</f>
        <v/>
      </c>
      <c r="F471" s="15" t="str">
        <f>IF(COUNTIFS(Master_PIC!$A$8:$A$73,$B471)=1,IF(VLOOKUP($B471,Master_PIC!$A$8:$G$73,6,FALSE)="","",VLOOKUP($B471,Master_PIC!$A$8:$G$73,6,FALSE)),"")</f>
        <v/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8"/>
      <c r="X471" s="5"/>
      <c r="Y471" s="5"/>
      <c r="Z471" s="9"/>
      <c r="AA471" s="5"/>
      <c r="AB471" s="5"/>
      <c r="AC471" s="9"/>
      <c r="AD471" s="5"/>
      <c r="AE471" s="7" t="str">
        <f t="shared" si="49"/>
        <v/>
      </c>
      <c r="AF471" s="7" t="str">
        <f t="shared" si="50"/>
        <v/>
      </c>
      <c r="AG471" s="7" t="str">
        <f t="shared" si="51"/>
        <v/>
      </c>
      <c r="AH471" s="7" t="str">
        <f t="shared" si="52"/>
        <v/>
      </c>
      <c r="AI471" s="7" t="str">
        <f t="shared" si="53"/>
        <v/>
      </c>
      <c r="AJ471" s="7" t="str">
        <f t="shared" si="54"/>
        <v/>
      </c>
      <c r="AK471" s="10" t="str">
        <f t="shared" si="55"/>
        <v/>
      </c>
      <c r="AL471" s="15" t="str">
        <f>IF(OR($A471&lt;&gt;"",$B471&lt;&gt;""),IF(OR($A471="",$B471=""),"Isi tanggal dan ID PIC",IF(NOT(ISNUMBER($A471)),"Tanggal harus berupa tanggal Excel",IF(COUNTIFS(Master_PIC!$A$8:$A$73,$B471)&lt;&gt;1,"ID PIC tidak unik/terdaftar",IF(VLOOKUP($B471,Master_PIC!$A$8:$G$73,3,FALSE)&lt;&gt;"SPV","Jabatan tidak sesuai sheet",IF(OR($C471="",$D471="",$E471="",$F471=""),"Lengkapi master PIC",IF(COUNTIFS($A$8:$A$507,$A471,$B$8:$B$507,$B471)&gt;1,"Laporan ganda",IF(COUNTIFS(G471:O471,"Tidak Berlaku")&gt;0,"N/A hanya untuk kegiatan bersyarat",IF(SUM(AF471,AG471,AH471,AI471,AJ471)&lt;&gt;13,"Status kegiatan tidak valid",IF(AJ471&gt;0,"Lengkapi status kegiatan",IF(AND(AI471&gt;0,T471=""),"Isi alasan Tidak Berlaku",IF(AND(SUM(AG471,AH471)&gt;0,OR(T471="",U471="",V471="",W471="")),"Isi kendala dan tindak lanjut",IF(AND(Y471&lt;&gt;"Draft",Y471&lt;&gt;"Dikirim"),"Isi status laporan yang valid",IF(AND(AA471&lt;&gt;"",AA471&lt;&gt;"Belum Diperiksa",AA471&lt;&gt;"Disetujui",AA471&lt;&gt;"Perlu Perbaikan"),"Hasil review tidak valid",IF(AND(Y471="Dikirim",OR(X471="",Z471="")),"Isi bukti dan waktu kirim",IF(AND(AA471="Disetujui",OR(Y471&lt;&gt;"Dikirim",AB471="",AC471="")),"Lengkapi pemeriksaan",IF(AND(AA471="Perlu Perbaikan",OR(AD471="",AB471="",AC471="")),"Isi pemeriksa dan catatan perbaikan","OK")))))))))))))))),"")</f>
        <v/>
      </c>
    </row>
    <row r="472" spans="1:38" ht="24.95" customHeight="1">
      <c r="A472" s="8"/>
      <c r="B472" s="6"/>
      <c r="C472" s="15" t="str">
        <f>IF(COUNTIFS(Master_PIC!$A$8:$A$73,$B472)=1,IF(VLOOKUP($B472,Master_PIC!$A$8:$G$73,2,FALSE)="","",VLOOKUP($B472,Master_PIC!$A$8:$G$73,2,FALSE)),"")</f>
        <v/>
      </c>
      <c r="D472" s="15" t="str">
        <f>IF(COUNTIFS(Master_PIC!$A$8:$A$73,$B472)=1,IF(VLOOKUP($B472,Master_PIC!$A$8:$G$73,4,FALSE)="","",VLOOKUP($B472,Master_PIC!$A$8:$G$73,4,FALSE)),"")</f>
        <v/>
      </c>
      <c r="E472" s="15" t="str">
        <f>IF(COUNTIFS(Master_PIC!$A$8:$A$73,$B472)=1,IF(VLOOKUP($B472,Master_PIC!$A$8:$G$73,5,FALSE)="","",VLOOKUP($B472,Master_PIC!$A$8:$G$73,5,FALSE)),"")</f>
        <v/>
      </c>
      <c r="F472" s="15" t="str">
        <f>IF(COUNTIFS(Master_PIC!$A$8:$A$73,$B472)=1,IF(VLOOKUP($B472,Master_PIC!$A$8:$G$73,6,FALSE)="","",VLOOKUP($B472,Master_PIC!$A$8:$G$73,6,FALSE)),"")</f>
        <v/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8"/>
      <c r="X472" s="5"/>
      <c r="Y472" s="5"/>
      <c r="Z472" s="9"/>
      <c r="AA472" s="5"/>
      <c r="AB472" s="5"/>
      <c r="AC472" s="9"/>
      <c r="AD472" s="5"/>
      <c r="AE472" s="7" t="str">
        <f t="shared" si="49"/>
        <v/>
      </c>
      <c r="AF472" s="7" t="str">
        <f t="shared" si="50"/>
        <v/>
      </c>
      <c r="AG472" s="7" t="str">
        <f t="shared" si="51"/>
        <v/>
      </c>
      <c r="AH472" s="7" t="str">
        <f t="shared" si="52"/>
        <v/>
      </c>
      <c r="AI472" s="7" t="str">
        <f t="shared" si="53"/>
        <v/>
      </c>
      <c r="AJ472" s="7" t="str">
        <f t="shared" si="54"/>
        <v/>
      </c>
      <c r="AK472" s="10" t="str">
        <f t="shared" si="55"/>
        <v/>
      </c>
      <c r="AL472" s="15" t="str">
        <f>IF(OR($A472&lt;&gt;"",$B472&lt;&gt;""),IF(OR($A472="",$B472=""),"Isi tanggal dan ID PIC",IF(NOT(ISNUMBER($A472)),"Tanggal harus berupa tanggal Excel",IF(COUNTIFS(Master_PIC!$A$8:$A$73,$B472)&lt;&gt;1,"ID PIC tidak unik/terdaftar",IF(VLOOKUP($B472,Master_PIC!$A$8:$G$73,3,FALSE)&lt;&gt;"SPV","Jabatan tidak sesuai sheet",IF(OR($C472="",$D472="",$E472="",$F472=""),"Lengkapi master PIC",IF(COUNTIFS($A$8:$A$507,$A472,$B$8:$B$507,$B472)&gt;1,"Laporan ganda",IF(COUNTIFS(G472:O472,"Tidak Berlaku")&gt;0,"N/A hanya untuk kegiatan bersyarat",IF(SUM(AF472,AG472,AH472,AI472,AJ472)&lt;&gt;13,"Status kegiatan tidak valid",IF(AJ472&gt;0,"Lengkapi status kegiatan",IF(AND(AI472&gt;0,T472=""),"Isi alasan Tidak Berlaku",IF(AND(SUM(AG472,AH472)&gt;0,OR(T472="",U472="",V472="",W472="")),"Isi kendala dan tindak lanjut",IF(AND(Y472&lt;&gt;"Draft",Y472&lt;&gt;"Dikirim"),"Isi status laporan yang valid",IF(AND(AA472&lt;&gt;"",AA472&lt;&gt;"Belum Diperiksa",AA472&lt;&gt;"Disetujui",AA472&lt;&gt;"Perlu Perbaikan"),"Hasil review tidak valid",IF(AND(Y472="Dikirim",OR(X472="",Z472="")),"Isi bukti dan waktu kirim",IF(AND(AA472="Disetujui",OR(Y472&lt;&gt;"Dikirim",AB472="",AC472="")),"Lengkapi pemeriksaan",IF(AND(AA472="Perlu Perbaikan",OR(AD472="",AB472="",AC472="")),"Isi pemeriksa dan catatan perbaikan","OK")))))))))))))))),"")</f>
        <v/>
      </c>
    </row>
    <row r="473" spans="1:38" ht="24.95" customHeight="1">
      <c r="A473" s="8"/>
      <c r="B473" s="6"/>
      <c r="C473" s="15" t="str">
        <f>IF(COUNTIFS(Master_PIC!$A$8:$A$73,$B473)=1,IF(VLOOKUP($B473,Master_PIC!$A$8:$G$73,2,FALSE)="","",VLOOKUP($B473,Master_PIC!$A$8:$G$73,2,FALSE)),"")</f>
        <v/>
      </c>
      <c r="D473" s="15" t="str">
        <f>IF(COUNTIFS(Master_PIC!$A$8:$A$73,$B473)=1,IF(VLOOKUP($B473,Master_PIC!$A$8:$G$73,4,FALSE)="","",VLOOKUP($B473,Master_PIC!$A$8:$G$73,4,FALSE)),"")</f>
        <v/>
      </c>
      <c r="E473" s="15" t="str">
        <f>IF(COUNTIFS(Master_PIC!$A$8:$A$73,$B473)=1,IF(VLOOKUP($B473,Master_PIC!$A$8:$G$73,5,FALSE)="","",VLOOKUP($B473,Master_PIC!$A$8:$G$73,5,FALSE)),"")</f>
        <v/>
      </c>
      <c r="F473" s="15" t="str">
        <f>IF(COUNTIFS(Master_PIC!$A$8:$A$73,$B473)=1,IF(VLOOKUP($B473,Master_PIC!$A$8:$G$73,6,FALSE)="","",VLOOKUP($B473,Master_PIC!$A$8:$G$73,6,FALSE)),"")</f>
        <v/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8"/>
      <c r="X473" s="5"/>
      <c r="Y473" s="5"/>
      <c r="Z473" s="9"/>
      <c r="AA473" s="5"/>
      <c r="AB473" s="5"/>
      <c r="AC473" s="9"/>
      <c r="AD473" s="5"/>
      <c r="AE473" s="7" t="str">
        <f t="shared" si="49"/>
        <v/>
      </c>
      <c r="AF473" s="7" t="str">
        <f t="shared" si="50"/>
        <v/>
      </c>
      <c r="AG473" s="7" t="str">
        <f t="shared" si="51"/>
        <v/>
      </c>
      <c r="AH473" s="7" t="str">
        <f t="shared" si="52"/>
        <v/>
      </c>
      <c r="AI473" s="7" t="str">
        <f t="shared" si="53"/>
        <v/>
      </c>
      <c r="AJ473" s="7" t="str">
        <f t="shared" si="54"/>
        <v/>
      </c>
      <c r="AK473" s="10" t="str">
        <f t="shared" si="55"/>
        <v/>
      </c>
      <c r="AL473" s="15" t="str">
        <f>IF(OR($A473&lt;&gt;"",$B473&lt;&gt;""),IF(OR($A473="",$B473=""),"Isi tanggal dan ID PIC",IF(NOT(ISNUMBER($A473)),"Tanggal harus berupa tanggal Excel",IF(COUNTIFS(Master_PIC!$A$8:$A$73,$B473)&lt;&gt;1,"ID PIC tidak unik/terdaftar",IF(VLOOKUP($B473,Master_PIC!$A$8:$G$73,3,FALSE)&lt;&gt;"SPV","Jabatan tidak sesuai sheet",IF(OR($C473="",$D473="",$E473="",$F473=""),"Lengkapi master PIC",IF(COUNTIFS($A$8:$A$507,$A473,$B$8:$B$507,$B473)&gt;1,"Laporan ganda",IF(COUNTIFS(G473:O473,"Tidak Berlaku")&gt;0,"N/A hanya untuk kegiatan bersyarat",IF(SUM(AF473,AG473,AH473,AI473,AJ473)&lt;&gt;13,"Status kegiatan tidak valid",IF(AJ473&gt;0,"Lengkapi status kegiatan",IF(AND(AI473&gt;0,T473=""),"Isi alasan Tidak Berlaku",IF(AND(SUM(AG473,AH473)&gt;0,OR(T473="",U473="",V473="",W473="")),"Isi kendala dan tindak lanjut",IF(AND(Y473&lt;&gt;"Draft",Y473&lt;&gt;"Dikirim"),"Isi status laporan yang valid",IF(AND(AA473&lt;&gt;"",AA473&lt;&gt;"Belum Diperiksa",AA473&lt;&gt;"Disetujui",AA473&lt;&gt;"Perlu Perbaikan"),"Hasil review tidak valid",IF(AND(Y473="Dikirim",OR(X473="",Z473="")),"Isi bukti dan waktu kirim",IF(AND(AA473="Disetujui",OR(Y473&lt;&gt;"Dikirim",AB473="",AC473="")),"Lengkapi pemeriksaan",IF(AND(AA473="Perlu Perbaikan",OR(AD473="",AB473="",AC473="")),"Isi pemeriksa dan catatan perbaikan","OK")))))))))))))))),"")</f>
        <v/>
      </c>
    </row>
    <row r="474" spans="1:38" ht="24.95" customHeight="1">
      <c r="A474" s="8"/>
      <c r="B474" s="6"/>
      <c r="C474" s="15" t="str">
        <f>IF(COUNTIFS(Master_PIC!$A$8:$A$73,$B474)=1,IF(VLOOKUP($B474,Master_PIC!$A$8:$G$73,2,FALSE)="","",VLOOKUP($B474,Master_PIC!$A$8:$G$73,2,FALSE)),"")</f>
        <v/>
      </c>
      <c r="D474" s="15" t="str">
        <f>IF(COUNTIFS(Master_PIC!$A$8:$A$73,$B474)=1,IF(VLOOKUP($B474,Master_PIC!$A$8:$G$73,4,FALSE)="","",VLOOKUP($B474,Master_PIC!$A$8:$G$73,4,FALSE)),"")</f>
        <v/>
      </c>
      <c r="E474" s="15" t="str">
        <f>IF(COUNTIFS(Master_PIC!$A$8:$A$73,$B474)=1,IF(VLOOKUP($B474,Master_PIC!$A$8:$G$73,5,FALSE)="","",VLOOKUP($B474,Master_PIC!$A$8:$G$73,5,FALSE)),"")</f>
        <v/>
      </c>
      <c r="F474" s="15" t="str">
        <f>IF(COUNTIFS(Master_PIC!$A$8:$A$73,$B474)=1,IF(VLOOKUP($B474,Master_PIC!$A$8:$G$73,6,FALSE)="","",VLOOKUP($B474,Master_PIC!$A$8:$G$73,6,FALSE)),"")</f>
        <v/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8"/>
      <c r="X474" s="5"/>
      <c r="Y474" s="5"/>
      <c r="Z474" s="9"/>
      <c r="AA474" s="5"/>
      <c r="AB474" s="5"/>
      <c r="AC474" s="9"/>
      <c r="AD474" s="5"/>
      <c r="AE474" s="7" t="str">
        <f t="shared" si="49"/>
        <v/>
      </c>
      <c r="AF474" s="7" t="str">
        <f t="shared" si="50"/>
        <v/>
      </c>
      <c r="AG474" s="7" t="str">
        <f t="shared" si="51"/>
        <v/>
      </c>
      <c r="AH474" s="7" t="str">
        <f t="shared" si="52"/>
        <v/>
      </c>
      <c r="AI474" s="7" t="str">
        <f t="shared" si="53"/>
        <v/>
      </c>
      <c r="AJ474" s="7" t="str">
        <f t="shared" si="54"/>
        <v/>
      </c>
      <c r="AK474" s="10" t="str">
        <f t="shared" si="55"/>
        <v/>
      </c>
      <c r="AL474" s="15" t="str">
        <f>IF(OR($A474&lt;&gt;"",$B474&lt;&gt;""),IF(OR($A474="",$B474=""),"Isi tanggal dan ID PIC",IF(NOT(ISNUMBER($A474)),"Tanggal harus berupa tanggal Excel",IF(COUNTIFS(Master_PIC!$A$8:$A$73,$B474)&lt;&gt;1,"ID PIC tidak unik/terdaftar",IF(VLOOKUP($B474,Master_PIC!$A$8:$G$73,3,FALSE)&lt;&gt;"SPV","Jabatan tidak sesuai sheet",IF(OR($C474="",$D474="",$E474="",$F474=""),"Lengkapi master PIC",IF(COUNTIFS($A$8:$A$507,$A474,$B$8:$B$507,$B474)&gt;1,"Laporan ganda",IF(COUNTIFS(G474:O474,"Tidak Berlaku")&gt;0,"N/A hanya untuk kegiatan bersyarat",IF(SUM(AF474,AG474,AH474,AI474,AJ474)&lt;&gt;13,"Status kegiatan tidak valid",IF(AJ474&gt;0,"Lengkapi status kegiatan",IF(AND(AI474&gt;0,T474=""),"Isi alasan Tidak Berlaku",IF(AND(SUM(AG474,AH474)&gt;0,OR(T474="",U474="",V474="",W474="")),"Isi kendala dan tindak lanjut",IF(AND(Y474&lt;&gt;"Draft",Y474&lt;&gt;"Dikirim"),"Isi status laporan yang valid",IF(AND(AA474&lt;&gt;"",AA474&lt;&gt;"Belum Diperiksa",AA474&lt;&gt;"Disetujui",AA474&lt;&gt;"Perlu Perbaikan"),"Hasil review tidak valid",IF(AND(Y474="Dikirim",OR(X474="",Z474="")),"Isi bukti dan waktu kirim",IF(AND(AA474="Disetujui",OR(Y474&lt;&gt;"Dikirim",AB474="",AC474="")),"Lengkapi pemeriksaan",IF(AND(AA474="Perlu Perbaikan",OR(AD474="",AB474="",AC474="")),"Isi pemeriksa dan catatan perbaikan","OK")))))))))))))))),"")</f>
        <v/>
      </c>
    </row>
    <row r="475" spans="1:38" ht="24.95" customHeight="1">
      <c r="A475" s="8"/>
      <c r="B475" s="6"/>
      <c r="C475" s="15" t="str">
        <f>IF(COUNTIFS(Master_PIC!$A$8:$A$73,$B475)=1,IF(VLOOKUP($B475,Master_PIC!$A$8:$G$73,2,FALSE)="","",VLOOKUP($B475,Master_PIC!$A$8:$G$73,2,FALSE)),"")</f>
        <v/>
      </c>
      <c r="D475" s="15" t="str">
        <f>IF(COUNTIFS(Master_PIC!$A$8:$A$73,$B475)=1,IF(VLOOKUP($B475,Master_PIC!$A$8:$G$73,4,FALSE)="","",VLOOKUP($B475,Master_PIC!$A$8:$G$73,4,FALSE)),"")</f>
        <v/>
      </c>
      <c r="E475" s="15" t="str">
        <f>IF(COUNTIFS(Master_PIC!$A$8:$A$73,$B475)=1,IF(VLOOKUP($B475,Master_PIC!$A$8:$G$73,5,FALSE)="","",VLOOKUP($B475,Master_PIC!$A$8:$G$73,5,FALSE)),"")</f>
        <v/>
      </c>
      <c r="F475" s="15" t="str">
        <f>IF(COUNTIFS(Master_PIC!$A$8:$A$73,$B475)=1,IF(VLOOKUP($B475,Master_PIC!$A$8:$G$73,6,FALSE)="","",VLOOKUP($B475,Master_PIC!$A$8:$G$73,6,FALSE)),"")</f>
        <v/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8"/>
      <c r="X475" s="5"/>
      <c r="Y475" s="5"/>
      <c r="Z475" s="9"/>
      <c r="AA475" s="5"/>
      <c r="AB475" s="5"/>
      <c r="AC475" s="9"/>
      <c r="AD475" s="5"/>
      <c r="AE475" s="7" t="str">
        <f t="shared" si="49"/>
        <v/>
      </c>
      <c r="AF475" s="7" t="str">
        <f t="shared" si="50"/>
        <v/>
      </c>
      <c r="AG475" s="7" t="str">
        <f t="shared" si="51"/>
        <v/>
      </c>
      <c r="AH475" s="7" t="str">
        <f t="shared" si="52"/>
        <v/>
      </c>
      <c r="AI475" s="7" t="str">
        <f t="shared" si="53"/>
        <v/>
      </c>
      <c r="AJ475" s="7" t="str">
        <f t="shared" si="54"/>
        <v/>
      </c>
      <c r="AK475" s="10" t="str">
        <f t="shared" si="55"/>
        <v/>
      </c>
      <c r="AL475" s="15" t="str">
        <f>IF(OR($A475&lt;&gt;"",$B475&lt;&gt;""),IF(OR($A475="",$B475=""),"Isi tanggal dan ID PIC",IF(NOT(ISNUMBER($A475)),"Tanggal harus berupa tanggal Excel",IF(COUNTIFS(Master_PIC!$A$8:$A$73,$B475)&lt;&gt;1,"ID PIC tidak unik/terdaftar",IF(VLOOKUP($B475,Master_PIC!$A$8:$G$73,3,FALSE)&lt;&gt;"SPV","Jabatan tidak sesuai sheet",IF(OR($C475="",$D475="",$E475="",$F475=""),"Lengkapi master PIC",IF(COUNTIFS($A$8:$A$507,$A475,$B$8:$B$507,$B475)&gt;1,"Laporan ganda",IF(COUNTIFS(G475:O475,"Tidak Berlaku")&gt;0,"N/A hanya untuk kegiatan bersyarat",IF(SUM(AF475,AG475,AH475,AI475,AJ475)&lt;&gt;13,"Status kegiatan tidak valid",IF(AJ475&gt;0,"Lengkapi status kegiatan",IF(AND(AI475&gt;0,T475=""),"Isi alasan Tidak Berlaku",IF(AND(SUM(AG475,AH475)&gt;0,OR(T475="",U475="",V475="",W475="")),"Isi kendala dan tindak lanjut",IF(AND(Y475&lt;&gt;"Draft",Y475&lt;&gt;"Dikirim"),"Isi status laporan yang valid",IF(AND(AA475&lt;&gt;"",AA475&lt;&gt;"Belum Diperiksa",AA475&lt;&gt;"Disetujui",AA475&lt;&gt;"Perlu Perbaikan"),"Hasil review tidak valid",IF(AND(Y475="Dikirim",OR(X475="",Z475="")),"Isi bukti dan waktu kirim",IF(AND(AA475="Disetujui",OR(Y475&lt;&gt;"Dikirim",AB475="",AC475="")),"Lengkapi pemeriksaan",IF(AND(AA475="Perlu Perbaikan",OR(AD475="",AB475="",AC475="")),"Isi pemeriksa dan catatan perbaikan","OK")))))))))))))))),"")</f>
        <v/>
      </c>
    </row>
    <row r="476" spans="1:38" ht="24.95" customHeight="1">
      <c r="A476" s="8"/>
      <c r="B476" s="6"/>
      <c r="C476" s="15" t="str">
        <f>IF(COUNTIFS(Master_PIC!$A$8:$A$73,$B476)=1,IF(VLOOKUP($B476,Master_PIC!$A$8:$G$73,2,FALSE)="","",VLOOKUP($B476,Master_PIC!$A$8:$G$73,2,FALSE)),"")</f>
        <v/>
      </c>
      <c r="D476" s="15" t="str">
        <f>IF(COUNTIFS(Master_PIC!$A$8:$A$73,$B476)=1,IF(VLOOKUP($B476,Master_PIC!$A$8:$G$73,4,FALSE)="","",VLOOKUP($B476,Master_PIC!$A$8:$G$73,4,FALSE)),"")</f>
        <v/>
      </c>
      <c r="E476" s="15" t="str">
        <f>IF(COUNTIFS(Master_PIC!$A$8:$A$73,$B476)=1,IF(VLOOKUP($B476,Master_PIC!$A$8:$G$73,5,FALSE)="","",VLOOKUP($B476,Master_PIC!$A$8:$G$73,5,FALSE)),"")</f>
        <v/>
      </c>
      <c r="F476" s="15" t="str">
        <f>IF(COUNTIFS(Master_PIC!$A$8:$A$73,$B476)=1,IF(VLOOKUP($B476,Master_PIC!$A$8:$G$73,6,FALSE)="","",VLOOKUP($B476,Master_PIC!$A$8:$G$73,6,FALSE)),"")</f>
        <v/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8"/>
      <c r="X476" s="5"/>
      <c r="Y476" s="5"/>
      <c r="Z476" s="9"/>
      <c r="AA476" s="5"/>
      <c r="AB476" s="5"/>
      <c r="AC476" s="9"/>
      <c r="AD476" s="5"/>
      <c r="AE476" s="7" t="str">
        <f t="shared" si="49"/>
        <v/>
      </c>
      <c r="AF476" s="7" t="str">
        <f t="shared" si="50"/>
        <v/>
      </c>
      <c r="AG476" s="7" t="str">
        <f t="shared" si="51"/>
        <v/>
      </c>
      <c r="AH476" s="7" t="str">
        <f t="shared" si="52"/>
        <v/>
      </c>
      <c r="AI476" s="7" t="str">
        <f t="shared" si="53"/>
        <v/>
      </c>
      <c r="AJ476" s="7" t="str">
        <f t="shared" si="54"/>
        <v/>
      </c>
      <c r="AK476" s="10" t="str">
        <f t="shared" si="55"/>
        <v/>
      </c>
      <c r="AL476" s="15" t="str">
        <f>IF(OR($A476&lt;&gt;"",$B476&lt;&gt;""),IF(OR($A476="",$B476=""),"Isi tanggal dan ID PIC",IF(NOT(ISNUMBER($A476)),"Tanggal harus berupa tanggal Excel",IF(COUNTIFS(Master_PIC!$A$8:$A$73,$B476)&lt;&gt;1,"ID PIC tidak unik/terdaftar",IF(VLOOKUP($B476,Master_PIC!$A$8:$G$73,3,FALSE)&lt;&gt;"SPV","Jabatan tidak sesuai sheet",IF(OR($C476="",$D476="",$E476="",$F476=""),"Lengkapi master PIC",IF(COUNTIFS($A$8:$A$507,$A476,$B$8:$B$507,$B476)&gt;1,"Laporan ganda",IF(COUNTIFS(G476:O476,"Tidak Berlaku")&gt;0,"N/A hanya untuk kegiatan bersyarat",IF(SUM(AF476,AG476,AH476,AI476,AJ476)&lt;&gt;13,"Status kegiatan tidak valid",IF(AJ476&gt;0,"Lengkapi status kegiatan",IF(AND(AI476&gt;0,T476=""),"Isi alasan Tidak Berlaku",IF(AND(SUM(AG476,AH476)&gt;0,OR(T476="",U476="",V476="",W476="")),"Isi kendala dan tindak lanjut",IF(AND(Y476&lt;&gt;"Draft",Y476&lt;&gt;"Dikirim"),"Isi status laporan yang valid",IF(AND(AA476&lt;&gt;"",AA476&lt;&gt;"Belum Diperiksa",AA476&lt;&gt;"Disetujui",AA476&lt;&gt;"Perlu Perbaikan"),"Hasil review tidak valid",IF(AND(Y476="Dikirim",OR(X476="",Z476="")),"Isi bukti dan waktu kirim",IF(AND(AA476="Disetujui",OR(Y476&lt;&gt;"Dikirim",AB476="",AC476="")),"Lengkapi pemeriksaan",IF(AND(AA476="Perlu Perbaikan",OR(AD476="",AB476="",AC476="")),"Isi pemeriksa dan catatan perbaikan","OK")))))))))))))))),"")</f>
        <v/>
      </c>
    </row>
    <row r="477" spans="1:38" ht="24.95" customHeight="1">
      <c r="A477" s="8"/>
      <c r="B477" s="6"/>
      <c r="C477" s="15" t="str">
        <f>IF(COUNTIFS(Master_PIC!$A$8:$A$73,$B477)=1,IF(VLOOKUP($B477,Master_PIC!$A$8:$G$73,2,FALSE)="","",VLOOKUP($B477,Master_PIC!$A$8:$G$73,2,FALSE)),"")</f>
        <v/>
      </c>
      <c r="D477" s="15" t="str">
        <f>IF(COUNTIFS(Master_PIC!$A$8:$A$73,$B477)=1,IF(VLOOKUP($B477,Master_PIC!$A$8:$G$73,4,FALSE)="","",VLOOKUP($B477,Master_PIC!$A$8:$G$73,4,FALSE)),"")</f>
        <v/>
      </c>
      <c r="E477" s="15" t="str">
        <f>IF(COUNTIFS(Master_PIC!$A$8:$A$73,$B477)=1,IF(VLOOKUP($B477,Master_PIC!$A$8:$G$73,5,FALSE)="","",VLOOKUP($B477,Master_PIC!$A$8:$G$73,5,FALSE)),"")</f>
        <v/>
      </c>
      <c r="F477" s="15" t="str">
        <f>IF(COUNTIFS(Master_PIC!$A$8:$A$73,$B477)=1,IF(VLOOKUP($B477,Master_PIC!$A$8:$G$73,6,FALSE)="","",VLOOKUP($B477,Master_PIC!$A$8:$G$73,6,FALSE)),"")</f>
        <v/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8"/>
      <c r="X477" s="5"/>
      <c r="Y477" s="5"/>
      <c r="Z477" s="9"/>
      <c r="AA477" s="5"/>
      <c r="AB477" s="5"/>
      <c r="AC477" s="9"/>
      <c r="AD477" s="5"/>
      <c r="AE477" s="7" t="str">
        <f t="shared" si="49"/>
        <v/>
      </c>
      <c r="AF477" s="7" t="str">
        <f t="shared" si="50"/>
        <v/>
      </c>
      <c r="AG477" s="7" t="str">
        <f t="shared" si="51"/>
        <v/>
      </c>
      <c r="AH477" s="7" t="str">
        <f t="shared" si="52"/>
        <v/>
      </c>
      <c r="AI477" s="7" t="str">
        <f t="shared" si="53"/>
        <v/>
      </c>
      <c r="AJ477" s="7" t="str">
        <f t="shared" si="54"/>
        <v/>
      </c>
      <c r="AK477" s="10" t="str">
        <f t="shared" si="55"/>
        <v/>
      </c>
      <c r="AL477" s="15" t="str">
        <f>IF(OR($A477&lt;&gt;"",$B477&lt;&gt;""),IF(OR($A477="",$B477=""),"Isi tanggal dan ID PIC",IF(NOT(ISNUMBER($A477)),"Tanggal harus berupa tanggal Excel",IF(COUNTIFS(Master_PIC!$A$8:$A$73,$B477)&lt;&gt;1,"ID PIC tidak unik/terdaftar",IF(VLOOKUP($B477,Master_PIC!$A$8:$G$73,3,FALSE)&lt;&gt;"SPV","Jabatan tidak sesuai sheet",IF(OR($C477="",$D477="",$E477="",$F477=""),"Lengkapi master PIC",IF(COUNTIFS($A$8:$A$507,$A477,$B$8:$B$507,$B477)&gt;1,"Laporan ganda",IF(COUNTIFS(G477:O477,"Tidak Berlaku")&gt;0,"N/A hanya untuk kegiatan bersyarat",IF(SUM(AF477,AG477,AH477,AI477,AJ477)&lt;&gt;13,"Status kegiatan tidak valid",IF(AJ477&gt;0,"Lengkapi status kegiatan",IF(AND(AI477&gt;0,T477=""),"Isi alasan Tidak Berlaku",IF(AND(SUM(AG477,AH477)&gt;0,OR(T477="",U477="",V477="",W477="")),"Isi kendala dan tindak lanjut",IF(AND(Y477&lt;&gt;"Draft",Y477&lt;&gt;"Dikirim"),"Isi status laporan yang valid",IF(AND(AA477&lt;&gt;"",AA477&lt;&gt;"Belum Diperiksa",AA477&lt;&gt;"Disetujui",AA477&lt;&gt;"Perlu Perbaikan"),"Hasil review tidak valid",IF(AND(Y477="Dikirim",OR(X477="",Z477="")),"Isi bukti dan waktu kirim",IF(AND(AA477="Disetujui",OR(Y477&lt;&gt;"Dikirim",AB477="",AC477="")),"Lengkapi pemeriksaan",IF(AND(AA477="Perlu Perbaikan",OR(AD477="",AB477="",AC477="")),"Isi pemeriksa dan catatan perbaikan","OK")))))))))))))))),"")</f>
        <v/>
      </c>
    </row>
    <row r="478" spans="1:38" ht="24.95" customHeight="1">
      <c r="A478" s="8"/>
      <c r="B478" s="6"/>
      <c r="C478" s="15" t="str">
        <f>IF(COUNTIFS(Master_PIC!$A$8:$A$73,$B478)=1,IF(VLOOKUP($B478,Master_PIC!$A$8:$G$73,2,FALSE)="","",VLOOKUP($B478,Master_PIC!$A$8:$G$73,2,FALSE)),"")</f>
        <v/>
      </c>
      <c r="D478" s="15" t="str">
        <f>IF(COUNTIFS(Master_PIC!$A$8:$A$73,$B478)=1,IF(VLOOKUP($B478,Master_PIC!$A$8:$G$73,4,FALSE)="","",VLOOKUP($B478,Master_PIC!$A$8:$G$73,4,FALSE)),"")</f>
        <v/>
      </c>
      <c r="E478" s="15" t="str">
        <f>IF(COUNTIFS(Master_PIC!$A$8:$A$73,$B478)=1,IF(VLOOKUP($B478,Master_PIC!$A$8:$G$73,5,FALSE)="","",VLOOKUP($B478,Master_PIC!$A$8:$G$73,5,FALSE)),"")</f>
        <v/>
      </c>
      <c r="F478" s="15" t="str">
        <f>IF(COUNTIFS(Master_PIC!$A$8:$A$73,$B478)=1,IF(VLOOKUP($B478,Master_PIC!$A$8:$G$73,6,FALSE)="","",VLOOKUP($B478,Master_PIC!$A$8:$G$73,6,FALSE)),"")</f>
        <v/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8"/>
      <c r="X478" s="5"/>
      <c r="Y478" s="5"/>
      <c r="Z478" s="9"/>
      <c r="AA478" s="5"/>
      <c r="AB478" s="5"/>
      <c r="AC478" s="9"/>
      <c r="AD478" s="5"/>
      <c r="AE478" s="7" t="str">
        <f t="shared" si="49"/>
        <v/>
      </c>
      <c r="AF478" s="7" t="str">
        <f t="shared" si="50"/>
        <v/>
      </c>
      <c r="AG478" s="7" t="str">
        <f t="shared" si="51"/>
        <v/>
      </c>
      <c r="AH478" s="7" t="str">
        <f t="shared" si="52"/>
        <v/>
      </c>
      <c r="AI478" s="7" t="str">
        <f t="shared" si="53"/>
        <v/>
      </c>
      <c r="AJ478" s="7" t="str">
        <f t="shared" si="54"/>
        <v/>
      </c>
      <c r="AK478" s="10" t="str">
        <f t="shared" si="55"/>
        <v/>
      </c>
      <c r="AL478" s="15" t="str">
        <f>IF(OR($A478&lt;&gt;"",$B478&lt;&gt;""),IF(OR($A478="",$B478=""),"Isi tanggal dan ID PIC",IF(NOT(ISNUMBER($A478)),"Tanggal harus berupa tanggal Excel",IF(COUNTIFS(Master_PIC!$A$8:$A$73,$B478)&lt;&gt;1,"ID PIC tidak unik/terdaftar",IF(VLOOKUP($B478,Master_PIC!$A$8:$G$73,3,FALSE)&lt;&gt;"SPV","Jabatan tidak sesuai sheet",IF(OR($C478="",$D478="",$E478="",$F478=""),"Lengkapi master PIC",IF(COUNTIFS($A$8:$A$507,$A478,$B$8:$B$507,$B478)&gt;1,"Laporan ganda",IF(COUNTIFS(G478:O478,"Tidak Berlaku")&gt;0,"N/A hanya untuk kegiatan bersyarat",IF(SUM(AF478,AG478,AH478,AI478,AJ478)&lt;&gt;13,"Status kegiatan tidak valid",IF(AJ478&gt;0,"Lengkapi status kegiatan",IF(AND(AI478&gt;0,T478=""),"Isi alasan Tidak Berlaku",IF(AND(SUM(AG478,AH478)&gt;0,OR(T478="",U478="",V478="",W478="")),"Isi kendala dan tindak lanjut",IF(AND(Y478&lt;&gt;"Draft",Y478&lt;&gt;"Dikirim"),"Isi status laporan yang valid",IF(AND(AA478&lt;&gt;"",AA478&lt;&gt;"Belum Diperiksa",AA478&lt;&gt;"Disetujui",AA478&lt;&gt;"Perlu Perbaikan"),"Hasil review tidak valid",IF(AND(Y478="Dikirim",OR(X478="",Z478="")),"Isi bukti dan waktu kirim",IF(AND(AA478="Disetujui",OR(Y478&lt;&gt;"Dikirim",AB478="",AC478="")),"Lengkapi pemeriksaan",IF(AND(AA478="Perlu Perbaikan",OR(AD478="",AB478="",AC478="")),"Isi pemeriksa dan catatan perbaikan","OK")))))))))))))))),"")</f>
        <v/>
      </c>
    </row>
    <row r="479" spans="1:38" ht="24.95" customHeight="1">
      <c r="A479" s="8"/>
      <c r="B479" s="6"/>
      <c r="C479" s="15" t="str">
        <f>IF(COUNTIFS(Master_PIC!$A$8:$A$73,$B479)=1,IF(VLOOKUP($B479,Master_PIC!$A$8:$G$73,2,FALSE)="","",VLOOKUP($B479,Master_PIC!$A$8:$G$73,2,FALSE)),"")</f>
        <v/>
      </c>
      <c r="D479" s="15" t="str">
        <f>IF(COUNTIFS(Master_PIC!$A$8:$A$73,$B479)=1,IF(VLOOKUP($B479,Master_PIC!$A$8:$G$73,4,FALSE)="","",VLOOKUP($B479,Master_PIC!$A$8:$G$73,4,FALSE)),"")</f>
        <v/>
      </c>
      <c r="E479" s="15" t="str">
        <f>IF(COUNTIFS(Master_PIC!$A$8:$A$73,$B479)=1,IF(VLOOKUP($B479,Master_PIC!$A$8:$G$73,5,FALSE)="","",VLOOKUP($B479,Master_PIC!$A$8:$G$73,5,FALSE)),"")</f>
        <v/>
      </c>
      <c r="F479" s="15" t="str">
        <f>IF(COUNTIFS(Master_PIC!$A$8:$A$73,$B479)=1,IF(VLOOKUP($B479,Master_PIC!$A$8:$G$73,6,FALSE)="","",VLOOKUP($B479,Master_PIC!$A$8:$G$73,6,FALSE)),"")</f>
        <v/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8"/>
      <c r="X479" s="5"/>
      <c r="Y479" s="5"/>
      <c r="Z479" s="9"/>
      <c r="AA479" s="5"/>
      <c r="AB479" s="5"/>
      <c r="AC479" s="9"/>
      <c r="AD479" s="5"/>
      <c r="AE479" s="7" t="str">
        <f t="shared" si="49"/>
        <v/>
      </c>
      <c r="AF479" s="7" t="str">
        <f t="shared" si="50"/>
        <v/>
      </c>
      <c r="AG479" s="7" t="str">
        <f t="shared" si="51"/>
        <v/>
      </c>
      <c r="AH479" s="7" t="str">
        <f t="shared" si="52"/>
        <v/>
      </c>
      <c r="AI479" s="7" t="str">
        <f t="shared" si="53"/>
        <v/>
      </c>
      <c r="AJ479" s="7" t="str">
        <f t="shared" si="54"/>
        <v/>
      </c>
      <c r="AK479" s="10" t="str">
        <f t="shared" si="55"/>
        <v/>
      </c>
      <c r="AL479" s="15" t="str">
        <f>IF(OR($A479&lt;&gt;"",$B479&lt;&gt;""),IF(OR($A479="",$B479=""),"Isi tanggal dan ID PIC",IF(NOT(ISNUMBER($A479)),"Tanggal harus berupa tanggal Excel",IF(COUNTIFS(Master_PIC!$A$8:$A$73,$B479)&lt;&gt;1,"ID PIC tidak unik/terdaftar",IF(VLOOKUP($B479,Master_PIC!$A$8:$G$73,3,FALSE)&lt;&gt;"SPV","Jabatan tidak sesuai sheet",IF(OR($C479="",$D479="",$E479="",$F479=""),"Lengkapi master PIC",IF(COUNTIFS($A$8:$A$507,$A479,$B$8:$B$507,$B479)&gt;1,"Laporan ganda",IF(COUNTIFS(G479:O479,"Tidak Berlaku")&gt;0,"N/A hanya untuk kegiatan bersyarat",IF(SUM(AF479,AG479,AH479,AI479,AJ479)&lt;&gt;13,"Status kegiatan tidak valid",IF(AJ479&gt;0,"Lengkapi status kegiatan",IF(AND(AI479&gt;0,T479=""),"Isi alasan Tidak Berlaku",IF(AND(SUM(AG479,AH479)&gt;0,OR(T479="",U479="",V479="",W479="")),"Isi kendala dan tindak lanjut",IF(AND(Y479&lt;&gt;"Draft",Y479&lt;&gt;"Dikirim"),"Isi status laporan yang valid",IF(AND(AA479&lt;&gt;"",AA479&lt;&gt;"Belum Diperiksa",AA479&lt;&gt;"Disetujui",AA479&lt;&gt;"Perlu Perbaikan"),"Hasil review tidak valid",IF(AND(Y479="Dikirim",OR(X479="",Z479="")),"Isi bukti dan waktu kirim",IF(AND(AA479="Disetujui",OR(Y479&lt;&gt;"Dikirim",AB479="",AC479="")),"Lengkapi pemeriksaan",IF(AND(AA479="Perlu Perbaikan",OR(AD479="",AB479="",AC479="")),"Isi pemeriksa dan catatan perbaikan","OK")))))))))))))))),"")</f>
        <v/>
      </c>
    </row>
    <row r="480" spans="1:38" ht="24.95" customHeight="1">
      <c r="A480" s="8"/>
      <c r="B480" s="6"/>
      <c r="C480" s="15" t="str">
        <f>IF(COUNTIFS(Master_PIC!$A$8:$A$73,$B480)=1,IF(VLOOKUP($B480,Master_PIC!$A$8:$G$73,2,FALSE)="","",VLOOKUP($B480,Master_PIC!$A$8:$G$73,2,FALSE)),"")</f>
        <v/>
      </c>
      <c r="D480" s="15" t="str">
        <f>IF(COUNTIFS(Master_PIC!$A$8:$A$73,$B480)=1,IF(VLOOKUP($B480,Master_PIC!$A$8:$G$73,4,FALSE)="","",VLOOKUP($B480,Master_PIC!$A$8:$G$73,4,FALSE)),"")</f>
        <v/>
      </c>
      <c r="E480" s="15" t="str">
        <f>IF(COUNTIFS(Master_PIC!$A$8:$A$73,$B480)=1,IF(VLOOKUP($B480,Master_PIC!$A$8:$G$73,5,FALSE)="","",VLOOKUP($B480,Master_PIC!$A$8:$G$73,5,FALSE)),"")</f>
        <v/>
      </c>
      <c r="F480" s="15" t="str">
        <f>IF(COUNTIFS(Master_PIC!$A$8:$A$73,$B480)=1,IF(VLOOKUP($B480,Master_PIC!$A$8:$G$73,6,FALSE)="","",VLOOKUP($B480,Master_PIC!$A$8:$G$73,6,FALSE)),"")</f>
        <v/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8"/>
      <c r="X480" s="5"/>
      <c r="Y480" s="5"/>
      <c r="Z480" s="9"/>
      <c r="AA480" s="5"/>
      <c r="AB480" s="5"/>
      <c r="AC480" s="9"/>
      <c r="AD480" s="5"/>
      <c r="AE480" s="7" t="str">
        <f t="shared" si="49"/>
        <v/>
      </c>
      <c r="AF480" s="7" t="str">
        <f t="shared" si="50"/>
        <v/>
      </c>
      <c r="AG480" s="7" t="str">
        <f t="shared" si="51"/>
        <v/>
      </c>
      <c r="AH480" s="7" t="str">
        <f t="shared" si="52"/>
        <v/>
      </c>
      <c r="AI480" s="7" t="str">
        <f t="shared" si="53"/>
        <v/>
      </c>
      <c r="AJ480" s="7" t="str">
        <f t="shared" si="54"/>
        <v/>
      </c>
      <c r="AK480" s="10" t="str">
        <f t="shared" si="55"/>
        <v/>
      </c>
      <c r="AL480" s="15" t="str">
        <f>IF(OR($A480&lt;&gt;"",$B480&lt;&gt;""),IF(OR($A480="",$B480=""),"Isi tanggal dan ID PIC",IF(NOT(ISNUMBER($A480)),"Tanggal harus berupa tanggal Excel",IF(COUNTIFS(Master_PIC!$A$8:$A$73,$B480)&lt;&gt;1,"ID PIC tidak unik/terdaftar",IF(VLOOKUP($B480,Master_PIC!$A$8:$G$73,3,FALSE)&lt;&gt;"SPV","Jabatan tidak sesuai sheet",IF(OR($C480="",$D480="",$E480="",$F480=""),"Lengkapi master PIC",IF(COUNTIFS($A$8:$A$507,$A480,$B$8:$B$507,$B480)&gt;1,"Laporan ganda",IF(COUNTIFS(G480:O480,"Tidak Berlaku")&gt;0,"N/A hanya untuk kegiatan bersyarat",IF(SUM(AF480,AG480,AH480,AI480,AJ480)&lt;&gt;13,"Status kegiatan tidak valid",IF(AJ480&gt;0,"Lengkapi status kegiatan",IF(AND(AI480&gt;0,T480=""),"Isi alasan Tidak Berlaku",IF(AND(SUM(AG480,AH480)&gt;0,OR(T480="",U480="",V480="",W480="")),"Isi kendala dan tindak lanjut",IF(AND(Y480&lt;&gt;"Draft",Y480&lt;&gt;"Dikirim"),"Isi status laporan yang valid",IF(AND(AA480&lt;&gt;"",AA480&lt;&gt;"Belum Diperiksa",AA480&lt;&gt;"Disetujui",AA480&lt;&gt;"Perlu Perbaikan"),"Hasil review tidak valid",IF(AND(Y480="Dikirim",OR(X480="",Z480="")),"Isi bukti dan waktu kirim",IF(AND(AA480="Disetujui",OR(Y480&lt;&gt;"Dikirim",AB480="",AC480="")),"Lengkapi pemeriksaan",IF(AND(AA480="Perlu Perbaikan",OR(AD480="",AB480="",AC480="")),"Isi pemeriksa dan catatan perbaikan","OK")))))))))))))))),"")</f>
        <v/>
      </c>
    </row>
    <row r="481" spans="1:38" ht="24.95" customHeight="1">
      <c r="A481" s="8"/>
      <c r="B481" s="6"/>
      <c r="C481" s="15" t="str">
        <f>IF(COUNTIFS(Master_PIC!$A$8:$A$73,$B481)=1,IF(VLOOKUP($B481,Master_PIC!$A$8:$G$73,2,FALSE)="","",VLOOKUP($B481,Master_PIC!$A$8:$G$73,2,FALSE)),"")</f>
        <v/>
      </c>
      <c r="D481" s="15" t="str">
        <f>IF(COUNTIFS(Master_PIC!$A$8:$A$73,$B481)=1,IF(VLOOKUP($B481,Master_PIC!$A$8:$G$73,4,FALSE)="","",VLOOKUP($B481,Master_PIC!$A$8:$G$73,4,FALSE)),"")</f>
        <v/>
      </c>
      <c r="E481" s="15" t="str">
        <f>IF(COUNTIFS(Master_PIC!$A$8:$A$73,$B481)=1,IF(VLOOKUP($B481,Master_PIC!$A$8:$G$73,5,FALSE)="","",VLOOKUP($B481,Master_PIC!$A$8:$G$73,5,FALSE)),"")</f>
        <v/>
      </c>
      <c r="F481" s="15" t="str">
        <f>IF(COUNTIFS(Master_PIC!$A$8:$A$73,$B481)=1,IF(VLOOKUP($B481,Master_PIC!$A$8:$G$73,6,FALSE)="","",VLOOKUP($B481,Master_PIC!$A$8:$G$73,6,FALSE)),"")</f>
        <v/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8"/>
      <c r="X481" s="5"/>
      <c r="Y481" s="5"/>
      <c r="Z481" s="9"/>
      <c r="AA481" s="5"/>
      <c r="AB481" s="5"/>
      <c r="AC481" s="9"/>
      <c r="AD481" s="5"/>
      <c r="AE481" s="7" t="str">
        <f t="shared" si="49"/>
        <v/>
      </c>
      <c r="AF481" s="7" t="str">
        <f t="shared" si="50"/>
        <v/>
      </c>
      <c r="AG481" s="7" t="str">
        <f t="shared" si="51"/>
        <v/>
      </c>
      <c r="AH481" s="7" t="str">
        <f t="shared" si="52"/>
        <v/>
      </c>
      <c r="AI481" s="7" t="str">
        <f t="shared" si="53"/>
        <v/>
      </c>
      <c r="AJ481" s="7" t="str">
        <f t="shared" si="54"/>
        <v/>
      </c>
      <c r="AK481" s="10" t="str">
        <f t="shared" si="55"/>
        <v/>
      </c>
      <c r="AL481" s="15" t="str">
        <f>IF(OR($A481&lt;&gt;"",$B481&lt;&gt;""),IF(OR($A481="",$B481=""),"Isi tanggal dan ID PIC",IF(NOT(ISNUMBER($A481)),"Tanggal harus berupa tanggal Excel",IF(COUNTIFS(Master_PIC!$A$8:$A$73,$B481)&lt;&gt;1,"ID PIC tidak unik/terdaftar",IF(VLOOKUP($B481,Master_PIC!$A$8:$G$73,3,FALSE)&lt;&gt;"SPV","Jabatan tidak sesuai sheet",IF(OR($C481="",$D481="",$E481="",$F481=""),"Lengkapi master PIC",IF(COUNTIFS($A$8:$A$507,$A481,$B$8:$B$507,$B481)&gt;1,"Laporan ganda",IF(COUNTIFS(G481:O481,"Tidak Berlaku")&gt;0,"N/A hanya untuk kegiatan bersyarat",IF(SUM(AF481,AG481,AH481,AI481,AJ481)&lt;&gt;13,"Status kegiatan tidak valid",IF(AJ481&gt;0,"Lengkapi status kegiatan",IF(AND(AI481&gt;0,T481=""),"Isi alasan Tidak Berlaku",IF(AND(SUM(AG481,AH481)&gt;0,OR(T481="",U481="",V481="",W481="")),"Isi kendala dan tindak lanjut",IF(AND(Y481&lt;&gt;"Draft",Y481&lt;&gt;"Dikirim"),"Isi status laporan yang valid",IF(AND(AA481&lt;&gt;"",AA481&lt;&gt;"Belum Diperiksa",AA481&lt;&gt;"Disetujui",AA481&lt;&gt;"Perlu Perbaikan"),"Hasil review tidak valid",IF(AND(Y481="Dikirim",OR(X481="",Z481="")),"Isi bukti dan waktu kirim",IF(AND(AA481="Disetujui",OR(Y481&lt;&gt;"Dikirim",AB481="",AC481="")),"Lengkapi pemeriksaan",IF(AND(AA481="Perlu Perbaikan",OR(AD481="",AB481="",AC481="")),"Isi pemeriksa dan catatan perbaikan","OK")))))))))))))))),"")</f>
        <v/>
      </c>
    </row>
    <row r="482" spans="1:38" ht="24.95" customHeight="1">
      <c r="A482" s="8"/>
      <c r="B482" s="6"/>
      <c r="C482" s="15" t="str">
        <f>IF(COUNTIFS(Master_PIC!$A$8:$A$73,$B482)=1,IF(VLOOKUP($B482,Master_PIC!$A$8:$G$73,2,FALSE)="","",VLOOKUP($B482,Master_PIC!$A$8:$G$73,2,FALSE)),"")</f>
        <v/>
      </c>
      <c r="D482" s="15" t="str">
        <f>IF(COUNTIFS(Master_PIC!$A$8:$A$73,$B482)=1,IF(VLOOKUP($B482,Master_PIC!$A$8:$G$73,4,FALSE)="","",VLOOKUP($B482,Master_PIC!$A$8:$G$73,4,FALSE)),"")</f>
        <v/>
      </c>
      <c r="E482" s="15" t="str">
        <f>IF(COUNTIFS(Master_PIC!$A$8:$A$73,$B482)=1,IF(VLOOKUP($B482,Master_PIC!$A$8:$G$73,5,FALSE)="","",VLOOKUP($B482,Master_PIC!$A$8:$G$73,5,FALSE)),"")</f>
        <v/>
      </c>
      <c r="F482" s="15" t="str">
        <f>IF(COUNTIFS(Master_PIC!$A$8:$A$73,$B482)=1,IF(VLOOKUP($B482,Master_PIC!$A$8:$G$73,6,FALSE)="","",VLOOKUP($B482,Master_PIC!$A$8:$G$73,6,FALSE)),"")</f>
        <v/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8"/>
      <c r="X482" s="5"/>
      <c r="Y482" s="5"/>
      <c r="Z482" s="9"/>
      <c r="AA482" s="5"/>
      <c r="AB482" s="5"/>
      <c r="AC482" s="9"/>
      <c r="AD482" s="5"/>
      <c r="AE482" s="7" t="str">
        <f t="shared" si="49"/>
        <v/>
      </c>
      <c r="AF482" s="7" t="str">
        <f t="shared" si="50"/>
        <v/>
      </c>
      <c r="AG482" s="7" t="str">
        <f t="shared" si="51"/>
        <v/>
      </c>
      <c r="AH482" s="7" t="str">
        <f t="shared" si="52"/>
        <v/>
      </c>
      <c r="AI482" s="7" t="str">
        <f t="shared" si="53"/>
        <v/>
      </c>
      <c r="AJ482" s="7" t="str">
        <f t="shared" si="54"/>
        <v/>
      </c>
      <c r="AK482" s="10" t="str">
        <f t="shared" si="55"/>
        <v/>
      </c>
      <c r="AL482" s="15" t="str">
        <f>IF(OR($A482&lt;&gt;"",$B482&lt;&gt;""),IF(OR($A482="",$B482=""),"Isi tanggal dan ID PIC",IF(NOT(ISNUMBER($A482)),"Tanggal harus berupa tanggal Excel",IF(COUNTIFS(Master_PIC!$A$8:$A$73,$B482)&lt;&gt;1,"ID PIC tidak unik/terdaftar",IF(VLOOKUP($B482,Master_PIC!$A$8:$G$73,3,FALSE)&lt;&gt;"SPV","Jabatan tidak sesuai sheet",IF(OR($C482="",$D482="",$E482="",$F482=""),"Lengkapi master PIC",IF(COUNTIFS($A$8:$A$507,$A482,$B$8:$B$507,$B482)&gt;1,"Laporan ganda",IF(COUNTIFS(G482:O482,"Tidak Berlaku")&gt;0,"N/A hanya untuk kegiatan bersyarat",IF(SUM(AF482,AG482,AH482,AI482,AJ482)&lt;&gt;13,"Status kegiatan tidak valid",IF(AJ482&gt;0,"Lengkapi status kegiatan",IF(AND(AI482&gt;0,T482=""),"Isi alasan Tidak Berlaku",IF(AND(SUM(AG482,AH482)&gt;0,OR(T482="",U482="",V482="",W482="")),"Isi kendala dan tindak lanjut",IF(AND(Y482&lt;&gt;"Draft",Y482&lt;&gt;"Dikirim"),"Isi status laporan yang valid",IF(AND(AA482&lt;&gt;"",AA482&lt;&gt;"Belum Diperiksa",AA482&lt;&gt;"Disetujui",AA482&lt;&gt;"Perlu Perbaikan"),"Hasil review tidak valid",IF(AND(Y482="Dikirim",OR(X482="",Z482="")),"Isi bukti dan waktu kirim",IF(AND(AA482="Disetujui",OR(Y482&lt;&gt;"Dikirim",AB482="",AC482="")),"Lengkapi pemeriksaan",IF(AND(AA482="Perlu Perbaikan",OR(AD482="",AB482="",AC482="")),"Isi pemeriksa dan catatan perbaikan","OK")))))))))))))))),"")</f>
        <v/>
      </c>
    </row>
    <row r="483" spans="1:38" ht="24.95" customHeight="1">
      <c r="A483" s="8"/>
      <c r="B483" s="6"/>
      <c r="C483" s="15" t="str">
        <f>IF(COUNTIFS(Master_PIC!$A$8:$A$73,$B483)=1,IF(VLOOKUP($B483,Master_PIC!$A$8:$G$73,2,FALSE)="","",VLOOKUP($B483,Master_PIC!$A$8:$G$73,2,FALSE)),"")</f>
        <v/>
      </c>
      <c r="D483" s="15" t="str">
        <f>IF(COUNTIFS(Master_PIC!$A$8:$A$73,$B483)=1,IF(VLOOKUP($B483,Master_PIC!$A$8:$G$73,4,FALSE)="","",VLOOKUP($B483,Master_PIC!$A$8:$G$73,4,FALSE)),"")</f>
        <v/>
      </c>
      <c r="E483" s="15" t="str">
        <f>IF(COUNTIFS(Master_PIC!$A$8:$A$73,$B483)=1,IF(VLOOKUP($B483,Master_PIC!$A$8:$G$73,5,FALSE)="","",VLOOKUP($B483,Master_PIC!$A$8:$G$73,5,FALSE)),"")</f>
        <v/>
      </c>
      <c r="F483" s="15" t="str">
        <f>IF(COUNTIFS(Master_PIC!$A$8:$A$73,$B483)=1,IF(VLOOKUP($B483,Master_PIC!$A$8:$G$73,6,FALSE)="","",VLOOKUP($B483,Master_PIC!$A$8:$G$73,6,FALSE)),"")</f>
        <v/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8"/>
      <c r="X483" s="5"/>
      <c r="Y483" s="5"/>
      <c r="Z483" s="9"/>
      <c r="AA483" s="5"/>
      <c r="AB483" s="5"/>
      <c r="AC483" s="9"/>
      <c r="AD483" s="5"/>
      <c r="AE483" s="7" t="str">
        <f t="shared" si="49"/>
        <v/>
      </c>
      <c r="AF483" s="7" t="str">
        <f t="shared" si="50"/>
        <v/>
      </c>
      <c r="AG483" s="7" t="str">
        <f t="shared" si="51"/>
        <v/>
      </c>
      <c r="AH483" s="7" t="str">
        <f t="shared" si="52"/>
        <v/>
      </c>
      <c r="AI483" s="7" t="str">
        <f t="shared" si="53"/>
        <v/>
      </c>
      <c r="AJ483" s="7" t="str">
        <f t="shared" si="54"/>
        <v/>
      </c>
      <c r="AK483" s="10" t="str">
        <f t="shared" si="55"/>
        <v/>
      </c>
      <c r="AL483" s="15" t="str">
        <f>IF(OR($A483&lt;&gt;"",$B483&lt;&gt;""),IF(OR($A483="",$B483=""),"Isi tanggal dan ID PIC",IF(NOT(ISNUMBER($A483)),"Tanggal harus berupa tanggal Excel",IF(COUNTIFS(Master_PIC!$A$8:$A$73,$B483)&lt;&gt;1,"ID PIC tidak unik/terdaftar",IF(VLOOKUP($B483,Master_PIC!$A$8:$G$73,3,FALSE)&lt;&gt;"SPV","Jabatan tidak sesuai sheet",IF(OR($C483="",$D483="",$E483="",$F483=""),"Lengkapi master PIC",IF(COUNTIFS($A$8:$A$507,$A483,$B$8:$B$507,$B483)&gt;1,"Laporan ganda",IF(COUNTIFS(G483:O483,"Tidak Berlaku")&gt;0,"N/A hanya untuk kegiatan bersyarat",IF(SUM(AF483,AG483,AH483,AI483,AJ483)&lt;&gt;13,"Status kegiatan tidak valid",IF(AJ483&gt;0,"Lengkapi status kegiatan",IF(AND(AI483&gt;0,T483=""),"Isi alasan Tidak Berlaku",IF(AND(SUM(AG483,AH483)&gt;0,OR(T483="",U483="",V483="",W483="")),"Isi kendala dan tindak lanjut",IF(AND(Y483&lt;&gt;"Draft",Y483&lt;&gt;"Dikirim"),"Isi status laporan yang valid",IF(AND(AA483&lt;&gt;"",AA483&lt;&gt;"Belum Diperiksa",AA483&lt;&gt;"Disetujui",AA483&lt;&gt;"Perlu Perbaikan"),"Hasil review tidak valid",IF(AND(Y483="Dikirim",OR(X483="",Z483="")),"Isi bukti dan waktu kirim",IF(AND(AA483="Disetujui",OR(Y483&lt;&gt;"Dikirim",AB483="",AC483="")),"Lengkapi pemeriksaan",IF(AND(AA483="Perlu Perbaikan",OR(AD483="",AB483="",AC483="")),"Isi pemeriksa dan catatan perbaikan","OK")))))))))))))))),"")</f>
        <v/>
      </c>
    </row>
    <row r="484" spans="1:38" ht="24.95" customHeight="1">
      <c r="A484" s="8"/>
      <c r="B484" s="6"/>
      <c r="C484" s="15" t="str">
        <f>IF(COUNTIFS(Master_PIC!$A$8:$A$73,$B484)=1,IF(VLOOKUP($B484,Master_PIC!$A$8:$G$73,2,FALSE)="","",VLOOKUP($B484,Master_PIC!$A$8:$G$73,2,FALSE)),"")</f>
        <v/>
      </c>
      <c r="D484" s="15" t="str">
        <f>IF(COUNTIFS(Master_PIC!$A$8:$A$73,$B484)=1,IF(VLOOKUP($B484,Master_PIC!$A$8:$G$73,4,FALSE)="","",VLOOKUP($B484,Master_PIC!$A$8:$G$73,4,FALSE)),"")</f>
        <v/>
      </c>
      <c r="E484" s="15" t="str">
        <f>IF(COUNTIFS(Master_PIC!$A$8:$A$73,$B484)=1,IF(VLOOKUP($B484,Master_PIC!$A$8:$G$73,5,FALSE)="","",VLOOKUP($B484,Master_PIC!$A$8:$G$73,5,FALSE)),"")</f>
        <v/>
      </c>
      <c r="F484" s="15" t="str">
        <f>IF(COUNTIFS(Master_PIC!$A$8:$A$73,$B484)=1,IF(VLOOKUP($B484,Master_PIC!$A$8:$G$73,6,FALSE)="","",VLOOKUP($B484,Master_PIC!$A$8:$G$73,6,FALSE)),"")</f>
        <v/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8"/>
      <c r="X484" s="5"/>
      <c r="Y484" s="5"/>
      <c r="Z484" s="9"/>
      <c r="AA484" s="5"/>
      <c r="AB484" s="5"/>
      <c r="AC484" s="9"/>
      <c r="AD484" s="5"/>
      <c r="AE484" s="7" t="str">
        <f t="shared" si="49"/>
        <v/>
      </c>
      <c r="AF484" s="7" t="str">
        <f t="shared" si="50"/>
        <v/>
      </c>
      <c r="AG484" s="7" t="str">
        <f t="shared" si="51"/>
        <v/>
      </c>
      <c r="AH484" s="7" t="str">
        <f t="shared" si="52"/>
        <v/>
      </c>
      <c r="AI484" s="7" t="str">
        <f t="shared" si="53"/>
        <v/>
      </c>
      <c r="AJ484" s="7" t="str">
        <f t="shared" si="54"/>
        <v/>
      </c>
      <c r="AK484" s="10" t="str">
        <f t="shared" si="55"/>
        <v/>
      </c>
      <c r="AL484" s="15" t="str">
        <f>IF(OR($A484&lt;&gt;"",$B484&lt;&gt;""),IF(OR($A484="",$B484=""),"Isi tanggal dan ID PIC",IF(NOT(ISNUMBER($A484)),"Tanggal harus berupa tanggal Excel",IF(COUNTIFS(Master_PIC!$A$8:$A$73,$B484)&lt;&gt;1,"ID PIC tidak unik/terdaftar",IF(VLOOKUP($B484,Master_PIC!$A$8:$G$73,3,FALSE)&lt;&gt;"SPV","Jabatan tidak sesuai sheet",IF(OR($C484="",$D484="",$E484="",$F484=""),"Lengkapi master PIC",IF(COUNTIFS($A$8:$A$507,$A484,$B$8:$B$507,$B484)&gt;1,"Laporan ganda",IF(COUNTIFS(G484:O484,"Tidak Berlaku")&gt;0,"N/A hanya untuk kegiatan bersyarat",IF(SUM(AF484,AG484,AH484,AI484,AJ484)&lt;&gt;13,"Status kegiatan tidak valid",IF(AJ484&gt;0,"Lengkapi status kegiatan",IF(AND(AI484&gt;0,T484=""),"Isi alasan Tidak Berlaku",IF(AND(SUM(AG484,AH484)&gt;0,OR(T484="",U484="",V484="",W484="")),"Isi kendala dan tindak lanjut",IF(AND(Y484&lt;&gt;"Draft",Y484&lt;&gt;"Dikirim"),"Isi status laporan yang valid",IF(AND(AA484&lt;&gt;"",AA484&lt;&gt;"Belum Diperiksa",AA484&lt;&gt;"Disetujui",AA484&lt;&gt;"Perlu Perbaikan"),"Hasil review tidak valid",IF(AND(Y484="Dikirim",OR(X484="",Z484="")),"Isi bukti dan waktu kirim",IF(AND(AA484="Disetujui",OR(Y484&lt;&gt;"Dikirim",AB484="",AC484="")),"Lengkapi pemeriksaan",IF(AND(AA484="Perlu Perbaikan",OR(AD484="",AB484="",AC484="")),"Isi pemeriksa dan catatan perbaikan","OK")))))))))))))))),"")</f>
        <v/>
      </c>
    </row>
    <row r="485" spans="1:38" ht="24.95" customHeight="1">
      <c r="A485" s="8"/>
      <c r="B485" s="6"/>
      <c r="C485" s="15" t="str">
        <f>IF(COUNTIFS(Master_PIC!$A$8:$A$73,$B485)=1,IF(VLOOKUP($B485,Master_PIC!$A$8:$G$73,2,FALSE)="","",VLOOKUP($B485,Master_PIC!$A$8:$G$73,2,FALSE)),"")</f>
        <v/>
      </c>
      <c r="D485" s="15" t="str">
        <f>IF(COUNTIFS(Master_PIC!$A$8:$A$73,$B485)=1,IF(VLOOKUP($B485,Master_PIC!$A$8:$G$73,4,FALSE)="","",VLOOKUP($B485,Master_PIC!$A$8:$G$73,4,FALSE)),"")</f>
        <v/>
      </c>
      <c r="E485" s="15" t="str">
        <f>IF(COUNTIFS(Master_PIC!$A$8:$A$73,$B485)=1,IF(VLOOKUP($B485,Master_PIC!$A$8:$G$73,5,FALSE)="","",VLOOKUP($B485,Master_PIC!$A$8:$G$73,5,FALSE)),"")</f>
        <v/>
      </c>
      <c r="F485" s="15" t="str">
        <f>IF(COUNTIFS(Master_PIC!$A$8:$A$73,$B485)=1,IF(VLOOKUP($B485,Master_PIC!$A$8:$G$73,6,FALSE)="","",VLOOKUP($B485,Master_PIC!$A$8:$G$73,6,FALSE)),"")</f>
        <v/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8"/>
      <c r="X485" s="5"/>
      <c r="Y485" s="5"/>
      <c r="Z485" s="9"/>
      <c r="AA485" s="5"/>
      <c r="AB485" s="5"/>
      <c r="AC485" s="9"/>
      <c r="AD485" s="5"/>
      <c r="AE485" s="7" t="str">
        <f t="shared" si="49"/>
        <v/>
      </c>
      <c r="AF485" s="7" t="str">
        <f t="shared" si="50"/>
        <v/>
      </c>
      <c r="AG485" s="7" t="str">
        <f t="shared" si="51"/>
        <v/>
      </c>
      <c r="AH485" s="7" t="str">
        <f t="shared" si="52"/>
        <v/>
      </c>
      <c r="AI485" s="7" t="str">
        <f t="shared" si="53"/>
        <v/>
      </c>
      <c r="AJ485" s="7" t="str">
        <f t="shared" si="54"/>
        <v/>
      </c>
      <c r="AK485" s="10" t="str">
        <f t="shared" si="55"/>
        <v/>
      </c>
      <c r="AL485" s="15" t="str">
        <f>IF(OR($A485&lt;&gt;"",$B485&lt;&gt;""),IF(OR($A485="",$B485=""),"Isi tanggal dan ID PIC",IF(NOT(ISNUMBER($A485)),"Tanggal harus berupa tanggal Excel",IF(COUNTIFS(Master_PIC!$A$8:$A$73,$B485)&lt;&gt;1,"ID PIC tidak unik/terdaftar",IF(VLOOKUP($B485,Master_PIC!$A$8:$G$73,3,FALSE)&lt;&gt;"SPV","Jabatan tidak sesuai sheet",IF(OR($C485="",$D485="",$E485="",$F485=""),"Lengkapi master PIC",IF(COUNTIFS($A$8:$A$507,$A485,$B$8:$B$507,$B485)&gt;1,"Laporan ganda",IF(COUNTIFS(G485:O485,"Tidak Berlaku")&gt;0,"N/A hanya untuk kegiatan bersyarat",IF(SUM(AF485,AG485,AH485,AI485,AJ485)&lt;&gt;13,"Status kegiatan tidak valid",IF(AJ485&gt;0,"Lengkapi status kegiatan",IF(AND(AI485&gt;0,T485=""),"Isi alasan Tidak Berlaku",IF(AND(SUM(AG485,AH485)&gt;0,OR(T485="",U485="",V485="",W485="")),"Isi kendala dan tindak lanjut",IF(AND(Y485&lt;&gt;"Draft",Y485&lt;&gt;"Dikirim"),"Isi status laporan yang valid",IF(AND(AA485&lt;&gt;"",AA485&lt;&gt;"Belum Diperiksa",AA485&lt;&gt;"Disetujui",AA485&lt;&gt;"Perlu Perbaikan"),"Hasil review tidak valid",IF(AND(Y485="Dikirim",OR(X485="",Z485="")),"Isi bukti dan waktu kirim",IF(AND(AA485="Disetujui",OR(Y485&lt;&gt;"Dikirim",AB485="",AC485="")),"Lengkapi pemeriksaan",IF(AND(AA485="Perlu Perbaikan",OR(AD485="",AB485="",AC485="")),"Isi pemeriksa dan catatan perbaikan","OK")))))))))))))))),"")</f>
        <v/>
      </c>
    </row>
    <row r="486" spans="1:38" ht="24.95" customHeight="1">
      <c r="A486" s="8"/>
      <c r="B486" s="6"/>
      <c r="C486" s="15" t="str">
        <f>IF(COUNTIFS(Master_PIC!$A$8:$A$73,$B486)=1,IF(VLOOKUP($B486,Master_PIC!$A$8:$G$73,2,FALSE)="","",VLOOKUP($B486,Master_PIC!$A$8:$G$73,2,FALSE)),"")</f>
        <v/>
      </c>
      <c r="D486" s="15" t="str">
        <f>IF(COUNTIFS(Master_PIC!$A$8:$A$73,$B486)=1,IF(VLOOKUP($B486,Master_PIC!$A$8:$G$73,4,FALSE)="","",VLOOKUP($B486,Master_PIC!$A$8:$G$73,4,FALSE)),"")</f>
        <v/>
      </c>
      <c r="E486" s="15" t="str">
        <f>IF(COUNTIFS(Master_PIC!$A$8:$A$73,$B486)=1,IF(VLOOKUP($B486,Master_PIC!$A$8:$G$73,5,FALSE)="","",VLOOKUP($B486,Master_PIC!$A$8:$G$73,5,FALSE)),"")</f>
        <v/>
      </c>
      <c r="F486" s="15" t="str">
        <f>IF(COUNTIFS(Master_PIC!$A$8:$A$73,$B486)=1,IF(VLOOKUP($B486,Master_PIC!$A$8:$G$73,6,FALSE)="","",VLOOKUP($B486,Master_PIC!$A$8:$G$73,6,FALSE)),"")</f>
        <v/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8"/>
      <c r="X486" s="5"/>
      <c r="Y486" s="5"/>
      <c r="Z486" s="9"/>
      <c r="AA486" s="5"/>
      <c r="AB486" s="5"/>
      <c r="AC486" s="9"/>
      <c r="AD486" s="5"/>
      <c r="AE486" s="7" t="str">
        <f t="shared" si="49"/>
        <v/>
      </c>
      <c r="AF486" s="7" t="str">
        <f t="shared" si="50"/>
        <v/>
      </c>
      <c r="AG486" s="7" t="str">
        <f t="shared" si="51"/>
        <v/>
      </c>
      <c r="AH486" s="7" t="str">
        <f t="shared" si="52"/>
        <v/>
      </c>
      <c r="AI486" s="7" t="str">
        <f t="shared" si="53"/>
        <v/>
      </c>
      <c r="AJ486" s="7" t="str">
        <f t="shared" si="54"/>
        <v/>
      </c>
      <c r="AK486" s="10" t="str">
        <f t="shared" si="55"/>
        <v/>
      </c>
      <c r="AL486" s="15" t="str">
        <f>IF(OR($A486&lt;&gt;"",$B486&lt;&gt;""),IF(OR($A486="",$B486=""),"Isi tanggal dan ID PIC",IF(NOT(ISNUMBER($A486)),"Tanggal harus berupa tanggal Excel",IF(COUNTIFS(Master_PIC!$A$8:$A$73,$B486)&lt;&gt;1,"ID PIC tidak unik/terdaftar",IF(VLOOKUP($B486,Master_PIC!$A$8:$G$73,3,FALSE)&lt;&gt;"SPV","Jabatan tidak sesuai sheet",IF(OR($C486="",$D486="",$E486="",$F486=""),"Lengkapi master PIC",IF(COUNTIFS($A$8:$A$507,$A486,$B$8:$B$507,$B486)&gt;1,"Laporan ganda",IF(COUNTIFS(G486:O486,"Tidak Berlaku")&gt;0,"N/A hanya untuk kegiatan bersyarat",IF(SUM(AF486,AG486,AH486,AI486,AJ486)&lt;&gt;13,"Status kegiatan tidak valid",IF(AJ486&gt;0,"Lengkapi status kegiatan",IF(AND(AI486&gt;0,T486=""),"Isi alasan Tidak Berlaku",IF(AND(SUM(AG486,AH486)&gt;0,OR(T486="",U486="",V486="",W486="")),"Isi kendala dan tindak lanjut",IF(AND(Y486&lt;&gt;"Draft",Y486&lt;&gt;"Dikirim"),"Isi status laporan yang valid",IF(AND(AA486&lt;&gt;"",AA486&lt;&gt;"Belum Diperiksa",AA486&lt;&gt;"Disetujui",AA486&lt;&gt;"Perlu Perbaikan"),"Hasil review tidak valid",IF(AND(Y486="Dikirim",OR(X486="",Z486="")),"Isi bukti dan waktu kirim",IF(AND(AA486="Disetujui",OR(Y486&lt;&gt;"Dikirim",AB486="",AC486="")),"Lengkapi pemeriksaan",IF(AND(AA486="Perlu Perbaikan",OR(AD486="",AB486="",AC486="")),"Isi pemeriksa dan catatan perbaikan","OK")))))))))))))))),"")</f>
        <v/>
      </c>
    </row>
    <row r="487" spans="1:38" ht="24.95" customHeight="1">
      <c r="A487" s="8"/>
      <c r="B487" s="6"/>
      <c r="C487" s="15" t="str">
        <f>IF(COUNTIFS(Master_PIC!$A$8:$A$73,$B487)=1,IF(VLOOKUP($B487,Master_PIC!$A$8:$G$73,2,FALSE)="","",VLOOKUP($B487,Master_PIC!$A$8:$G$73,2,FALSE)),"")</f>
        <v/>
      </c>
      <c r="D487" s="15" t="str">
        <f>IF(COUNTIFS(Master_PIC!$A$8:$A$73,$B487)=1,IF(VLOOKUP($B487,Master_PIC!$A$8:$G$73,4,FALSE)="","",VLOOKUP($B487,Master_PIC!$A$8:$G$73,4,FALSE)),"")</f>
        <v/>
      </c>
      <c r="E487" s="15" t="str">
        <f>IF(COUNTIFS(Master_PIC!$A$8:$A$73,$B487)=1,IF(VLOOKUP($B487,Master_PIC!$A$8:$G$73,5,FALSE)="","",VLOOKUP($B487,Master_PIC!$A$8:$G$73,5,FALSE)),"")</f>
        <v/>
      </c>
      <c r="F487" s="15" t="str">
        <f>IF(COUNTIFS(Master_PIC!$A$8:$A$73,$B487)=1,IF(VLOOKUP($B487,Master_PIC!$A$8:$G$73,6,FALSE)="","",VLOOKUP($B487,Master_PIC!$A$8:$G$73,6,FALSE)),"")</f>
        <v/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8"/>
      <c r="X487" s="5"/>
      <c r="Y487" s="5"/>
      <c r="Z487" s="9"/>
      <c r="AA487" s="5"/>
      <c r="AB487" s="5"/>
      <c r="AC487" s="9"/>
      <c r="AD487" s="5"/>
      <c r="AE487" s="7" t="str">
        <f t="shared" si="49"/>
        <v/>
      </c>
      <c r="AF487" s="7" t="str">
        <f t="shared" si="50"/>
        <v/>
      </c>
      <c r="AG487" s="7" t="str">
        <f t="shared" si="51"/>
        <v/>
      </c>
      <c r="AH487" s="7" t="str">
        <f t="shared" si="52"/>
        <v/>
      </c>
      <c r="AI487" s="7" t="str">
        <f t="shared" si="53"/>
        <v/>
      </c>
      <c r="AJ487" s="7" t="str">
        <f t="shared" si="54"/>
        <v/>
      </c>
      <c r="AK487" s="10" t="str">
        <f t="shared" si="55"/>
        <v/>
      </c>
      <c r="AL487" s="15" t="str">
        <f>IF(OR($A487&lt;&gt;"",$B487&lt;&gt;""),IF(OR($A487="",$B487=""),"Isi tanggal dan ID PIC",IF(NOT(ISNUMBER($A487)),"Tanggal harus berupa tanggal Excel",IF(COUNTIFS(Master_PIC!$A$8:$A$73,$B487)&lt;&gt;1,"ID PIC tidak unik/terdaftar",IF(VLOOKUP($B487,Master_PIC!$A$8:$G$73,3,FALSE)&lt;&gt;"SPV","Jabatan tidak sesuai sheet",IF(OR($C487="",$D487="",$E487="",$F487=""),"Lengkapi master PIC",IF(COUNTIFS($A$8:$A$507,$A487,$B$8:$B$507,$B487)&gt;1,"Laporan ganda",IF(COUNTIFS(G487:O487,"Tidak Berlaku")&gt;0,"N/A hanya untuk kegiatan bersyarat",IF(SUM(AF487,AG487,AH487,AI487,AJ487)&lt;&gt;13,"Status kegiatan tidak valid",IF(AJ487&gt;0,"Lengkapi status kegiatan",IF(AND(AI487&gt;0,T487=""),"Isi alasan Tidak Berlaku",IF(AND(SUM(AG487,AH487)&gt;0,OR(T487="",U487="",V487="",W487="")),"Isi kendala dan tindak lanjut",IF(AND(Y487&lt;&gt;"Draft",Y487&lt;&gt;"Dikirim"),"Isi status laporan yang valid",IF(AND(AA487&lt;&gt;"",AA487&lt;&gt;"Belum Diperiksa",AA487&lt;&gt;"Disetujui",AA487&lt;&gt;"Perlu Perbaikan"),"Hasil review tidak valid",IF(AND(Y487="Dikirim",OR(X487="",Z487="")),"Isi bukti dan waktu kirim",IF(AND(AA487="Disetujui",OR(Y487&lt;&gt;"Dikirim",AB487="",AC487="")),"Lengkapi pemeriksaan",IF(AND(AA487="Perlu Perbaikan",OR(AD487="",AB487="",AC487="")),"Isi pemeriksa dan catatan perbaikan","OK")))))))))))))))),"")</f>
        <v/>
      </c>
    </row>
    <row r="488" spans="1:38" ht="24.95" customHeight="1">
      <c r="A488" s="8"/>
      <c r="B488" s="6"/>
      <c r="C488" s="15" t="str">
        <f>IF(COUNTIFS(Master_PIC!$A$8:$A$73,$B488)=1,IF(VLOOKUP($B488,Master_PIC!$A$8:$G$73,2,FALSE)="","",VLOOKUP($B488,Master_PIC!$A$8:$G$73,2,FALSE)),"")</f>
        <v/>
      </c>
      <c r="D488" s="15" t="str">
        <f>IF(COUNTIFS(Master_PIC!$A$8:$A$73,$B488)=1,IF(VLOOKUP($B488,Master_PIC!$A$8:$G$73,4,FALSE)="","",VLOOKUP($B488,Master_PIC!$A$8:$G$73,4,FALSE)),"")</f>
        <v/>
      </c>
      <c r="E488" s="15" t="str">
        <f>IF(COUNTIFS(Master_PIC!$A$8:$A$73,$B488)=1,IF(VLOOKUP($B488,Master_PIC!$A$8:$G$73,5,FALSE)="","",VLOOKUP($B488,Master_PIC!$A$8:$G$73,5,FALSE)),"")</f>
        <v/>
      </c>
      <c r="F488" s="15" t="str">
        <f>IF(COUNTIFS(Master_PIC!$A$8:$A$73,$B488)=1,IF(VLOOKUP($B488,Master_PIC!$A$8:$G$73,6,FALSE)="","",VLOOKUP($B488,Master_PIC!$A$8:$G$73,6,FALSE)),"")</f>
        <v/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8"/>
      <c r="X488" s="5"/>
      <c r="Y488" s="5"/>
      <c r="Z488" s="9"/>
      <c r="AA488" s="5"/>
      <c r="AB488" s="5"/>
      <c r="AC488" s="9"/>
      <c r="AD488" s="5"/>
      <c r="AE488" s="7" t="str">
        <f t="shared" si="49"/>
        <v/>
      </c>
      <c r="AF488" s="7" t="str">
        <f t="shared" si="50"/>
        <v/>
      </c>
      <c r="AG488" s="7" t="str">
        <f t="shared" si="51"/>
        <v/>
      </c>
      <c r="AH488" s="7" t="str">
        <f t="shared" si="52"/>
        <v/>
      </c>
      <c r="AI488" s="7" t="str">
        <f t="shared" si="53"/>
        <v/>
      </c>
      <c r="AJ488" s="7" t="str">
        <f t="shared" si="54"/>
        <v/>
      </c>
      <c r="AK488" s="10" t="str">
        <f t="shared" si="55"/>
        <v/>
      </c>
      <c r="AL488" s="15" t="str">
        <f>IF(OR($A488&lt;&gt;"",$B488&lt;&gt;""),IF(OR($A488="",$B488=""),"Isi tanggal dan ID PIC",IF(NOT(ISNUMBER($A488)),"Tanggal harus berupa tanggal Excel",IF(COUNTIFS(Master_PIC!$A$8:$A$73,$B488)&lt;&gt;1,"ID PIC tidak unik/terdaftar",IF(VLOOKUP($B488,Master_PIC!$A$8:$G$73,3,FALSE)&lt;&gt;"SPV","Jabatan tidak sesuai sheet",IF(OR($C488="",$D488="",$E488="",$F488=""),"Lengkapi master PIC",IF(COUNTIFS($A$8:$A$507,$A488,$B$8:$B$507,$B488)&gt;1,"Laporan ganda",IF(COUNTIFS(G488:O488,"Tidak Berlaku")&gt;0,"N/A hanya untuk kegiatan bersyarat",IF(SUM(AF488,AG488,AH488,AI488,AJ488)&lt;&gt;13,"Status kegiatan tidak valid",IF(AJ488&gt;0,"Lengkapi status kegiatan",IF(AND(AI488&gt;0,T488=""),"Isi alasan Tidak Berlaku",IF(AND(SUM(AG488,AH488)&gt;0,OR(T488="",U488="",V488="",W488="")),"Isi kendala dan tindak lanjut",IF(AND(Y488&lt;&gt;"Draft",Y488&lt;&gt;"Dikirim"),"Isi status laporan yang valid",IF(AND(AA488&lt;&gt;"",AA488&lt;&gt;"Belum Diperiksa",AA488&lt;&gt;"Disetujui",AA488&lt;&gt;"Perlu Perbaikan"),"Hasil review tidak valid",IF(AND(Y488="Dikirim",OR(X488="",Z488="")),"Isi bukti dan waktu kirim",IF(AND(AA488="Disetujui",OR(Y488&lt;&gt;"Dikirim",AB488="",AC488="")),"Lengkapi pemeriksaan",IF(AND(AA488="Perlu Perbaikan",OR(AD488="",AB488="",AC488="")),"Isi pemeriksa dan catatan perbaikan","OK")))))))))))))))),"")</f>
        <v/>
      </c>
    </row>
    <row r="489" spans="1:38" ht="24.95" customHeight="1">
      <c r="A489" s="8"/>
      <c r="B489" s="6"/>
      <c r="C489" s="15" t="str">
        <f>IF(COUNTIFS(Master_PIC!$A$8:$A$73,$B489)=1,IF(VLOOKUP($B489,Master_PIC!$A$8:$G$73,2,FALSE)="","",VLOOKUP($B489,Master_PIC!$A$8:$G$73,2,FALSE)),"")</f>
        <v/>
      </c>
      <c r="D489" s="15" t="str">
        <f>IF(COUNTIFS(Master_PIC!$A$8:$A$73,$B489)=1,IF(VLOOKUP($B489,Master_PIC!$A$8:$G$73,4,FALSE)="","",VLOOKUP($B489,Master_PIC!$A$8:$G$73,4,FALSE)),"")</f>
        <v/>
      </c>
      <c r="E489" s="15" t="str">
        <f>IF(COUNTIFS(Master_PIC!$A$8:$A$73,$B489)=1,IF(VLOOKUP($B489,Master_PIC!$A$8:$G$73,5,FALSE)="","",VLOOKUP($B489,Master_PIC!$A$8:$G$73,5,FALSE)),"")</f>
        <v/>
      </c>
      <c r="F489" s="15" t="str">
        <f>IF(COUNTIFS(Master_PIC!$A$8:$A$73,$B489)=1,IF(VLOOKUP($B489,Master_PIC!$A$8:$G$73,6,FALSE)="","",VLOOKUP($B489,Master_PIC!$A$8:$G$73,6,FALSE)),"")</f>
        <v/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8"/>
      <c r="X489" s="5"/>
      <c r="Y489" s="5"/>
      <c r="Z489" s="9"/>
      <c r="AA489" s="5"/>
      <c r="AB489" s="5"/>
      <c r="AC489" s="9"/>
      <c r="AD489" s="5"/>
      <c r="AE489" s="7" t="str">
        <f t="shared" si="49"/>
        <v/>
      </c>
      <c r="AF489" s="7" t="str">
        <f t="shared" si="50"/>
        <v/>
      </c>
      <c r="AG489" s="7" t="str">
        <f t="shared" si="51"/>
        <v/>
      </c>
      <c r="AH489" s="7" t="str">
        <f t="shared" si="52"/>
        <v/>
      </c>
      <c r="AI489" s="7" t="str">
        <f t="shared" si="53"/>
        <v/>
      </c>
      <c r="AJ489" s="7" t="str">
        <f t="shared" si="54"/>
        <v/>
      </c>
      <c r="AK489" s="10" t="str">
        <f t="shared" si="55"/>
        <v/>
      </c>
      <c r="AL489" s="15" t="str">
        <f>IF(OR($A489&lt;&gt;"",$B489&lt;&gt;""),IF(OR($A489="",$B489=""),"Isi tanggal dan ID PIC",IF(NOT(ISNUMBER($A489)),"Tanggal harus berupa tanggal Excel",IF(COUNTIFS(Master_PIC!$A$8:$A$73,$B489)&lt;&gt;1,"ID PIC tidak unik/terdaftar",IF(VLOOKUP($B489,Master_PIC!$A$8:$G$73,3,FALSE)&lt;&gt;"SPV","Jabatan tidak sesuai sheet",IF(OR($C489="",$D489="",$E489="",$F489=""),"Lengkapi master PIC",IF(COUNTIFS($A$8:$A$507,$A489,$B$8:$B$507,$B489)&gt;1,"Laporan ganda",IF(COUNTIFS(G489:O489,"Tidak Berlaku")&gt;0,"N/A hanya untuk kegiatan bersyarat",IF(SUM(AF489,AG489,AH489,AI489,AJ489)&lt;&gt;13,"Status kegiatan tidak valid",IF(AJ489&gt;0,"Lengkapi status kegiatan",IF(AND(AI489&gt;0,T489=""),"Isi alasan Tidak Berlaku",IF(AND(SUM(AG489,AH489)&gt;0,OR(T489="",U489="",V489="",W489="")),"Isi kendala dan tindak lanjut",IF(AND(Y489&lt;&gt;"Draft",Y489&lt;&gt;"Dikirim"),"Isi status laporan yang valid",IF(AND(AA489&lt;&gt;"",AA489&lt;&gt;"Belum Diperiksa",AA489&lt;&gt;"Disetujui",AA489&lt;&gt;"Perlu Perbaikan"),"Hasil review tidak valid",IF(AND(Y489="Dikirim",OR(X489="",Z489="")),"Isi bukti dan waktu kirim",IF(AND(AA489="Disetujui",OR(Y489&lt;&gt;"Dikirim",AB489="",AC489="")),"Lengkapi pemeriksaan",IF(AND(AA489="Perlu Perbaikan",OR(AD489="",AB489="",AC489="")),"Isi pemeriksa dan catatan perbaikan","OK")))))))))))))))),"")</f>
        <v/>
      </c>
    </row>
    <row r="490" spans="1:38" ht="24.95" customHeight="1">
      <c r="A490" s="8"/>
      <c r="B490" s="6"/>
      <c r="C490" s="15" t="str">
        <f>IF(COUNTIFS(Master_PIC!$A$8:$A$73,$B490)=1,IF(VLOOKUP($B490,Master_PIC!$A$8:$G$73,2,FALSE)="","",VLOOKUP($B490,Master_PIC!$A$8:$G$73,2,FALSE)),"")</f>
        <v/>
      </c>
      <c r="D490" s="15" t="str">
        <f>IF(COUNTIFS(Master_PIC!$A$8:$A$73,$B490)=1,IF(VLOOKUP($B490,Master_PIC!$A$8:$G$73,4,FALSE)="","",VLOOKUP($B490,Master_PIC!$A$8:$G$73,4,FALSE)),"")</f>
        <v/>
      </c>
      <c r="E490" s="15" t="str">
        <f>IF(COUNTIFS(Master_PIC!$A$8:$A$73,$B490)=1,IF(VLOOKUP($B490,Master_PIC!$A$8:$G$73,5,FALSE)="","",VLOOKUP($B490,Master_PIC!$A$8:$G$73,5,FALSE)),"")</f>
        <v/>
      </c>
      <c r="F490" s="15" t="str">
        <f>IF(COUNTIFS(Master_PIC!$A$8:$A$73,$B490)=1,IF(VLOOKUP($B490,Master_PIC!$A$8:$G$73,6,FALSE)="","",VLOOKUP($B490,Master_PIC!$A$8:$G$73,6,FALSE)),"")</f>
        <v/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8"/>
      <c r="X490" s="5"/>
      <c r="Y490" s="5"/>
      <c r="Z490" s="9"/>
      <c r="AA490" s="5"/>
      <c r="AB490" s="5"/>
      <c r="AC490" s="9"/>
      <c r="AD490" s="5"/>
      <c r="AE490" s="7" t="str">
        <f t="shared" si="49"/>
        <v/>
      </c>
      <c r="AF490" s="7" t="str">
        <f t="shared" si="50"/>
        <v/>
      </c>
      <c r="AG490" s="7" t="str">
        <f t="shared" si="51"/>
        <v/>
      </c>
      <c r="AH490" s="7" t="str">
        <f t="shared" si="52"/>
        <v/>
      </c>
      <c r="AI490" s="7" t="str">
        <f t="shared" si="53"/>
        <v/>
      </c>
      <c r="AJ490" s="7" t="str">
        <f t="shared" si="54"/>
        <v/>
      </c>
      <c r="AK490" s="10" t="str">
        <f t="shared" si="55"/>
        <v/>
      </c>
      <c r="AL490" s="15" t="str">
        <f>IF(OR($A490&lt;&gt;"",$B490&lt;&gt;""),IF(OR($A490="",$B490=""),"Isi tanggal dan ID PIC",IF(NOT(ISNUMBER($A490)),"Tanggal harus berupa tanggal Excel",IF(COUNTIFS(Master_PIC!$A$8:$A$73,$B490)&lt;&gt;1,"ID PIC tidak unik/terdaftar",IF(VLOOKUP($B490,Master_PIC!$A$8:$G$73,3,FALSE)&lt;&gt;"SPV","Jabatan tidak sesuai sheet",IF(OR($C490="",$D490="",$E490="",$F490=""),"Lengkapi master PIC",IF(COUNTIFS($A$8:$A$507,$A490,$B$8:$B$507,$B490)&gt;1,"Laporan ganda",IF(COUNTIFS(G490:O490,"Tidak Berlaku")&gt;0,"N/A hanya untuk kegiatan bersyarat",IF(SUM(AF490,AG490,AH490,AI490,AJ490)&lt;&gt;13,"Status kegiatan tidak valid",IF(AJ490&gt;0,"Lengkapi status kegiatan",IF(AND(AI490&gt;0,T490=""),"Isi alasan Tidak Berlaku",IF(AND(SUM(AG490,AH490)&gt;0,OR(T490="",U490="",V490="",W490="")),"Isi kendala dan tindak lanjut",IF(AND(Y490&lt;&gt;"Draft",Y490&lt;&gt;"Dikirim"),"Isi status laporan yang valid",IF(AND(AA490&lt;&gt;"",AA490&lt;&gt;"Belum Diperiksa",AA490&lt;&gt;"Disetujui",AA490&lt;&gt;"Perlu Perbaikan"),"Hasil review tidak valid",IF(AND(Y490="Dikirim",OR(X490="",Z490="")),"Isi bukti dan waktu kirim",IF(AND(AA490="Disetujui",OR(Y490&lt;&gt;"Dikirim",AB490="",AC490="")),"Lengkapi pemeriksaan",IF(AND(AA490="Perlu Perbaikan",OR(AD490="",AB490="",AC490="")),"Isi pemeriksa dan catatan perbaikan","OK")))))))))))))))),"")</f>
        <v/>
      </c>
    </row>
    <row r="491" spans="1:38" ht="24.95" customHeight="1">
      <c r="A491" s="8"/>
      <c r="B491" s="6"/>
      <c r="C491" s="15" t="str">
        <f>IF(COUNTIFS(Master_PIC!$A$8:$A$73,$B491)=1,IF(VLOOKUP($B491,Master_PIC!$A$8:$G$73,2,FALSE)="","",VLOOKUP($B491,Master_PIC!$A$8:$G$73,2,FALSE)),"")</f>
        <v/>
      </c>
      <c r="D491" s="15" t="str">
        <f>IF(COUNTIFS(Master_PIC!$A$8:$A$73,$B491)=1,IF(VLOOKUP($B491,Master_PIC!$A$8:$G$73,4,FALSE)="","",VLOOKUP($B491,Master_PIC!$A$8:$G$73,4,FALSE)),"")</f>
        <v/>
      </c>
      <c r="E491" s="15" t="str">
        <f>IF(COUNTIFS(Master_PIC!$A$8:$A$73,$B491)=1,IF(VLOOKUP($B491,Master_PIC!$A$8:$G$73,5,FALSE)="","",VLOOKUP($B491,Master_PIC!$A$8:$G$73,5,FALSE)),"")</f>
        <v/>
      </c>
      <c r="F491" s="15" t="str">
        <f>IF(COUNTIFS(Master_PIC!$A$8:$A$73,$B491)=1,IF(VLOOKUP($B491,Master_PIC!$A$8:$G$73,6,FALSE)="","",VLOOKUP($B491,Master_PIC!$A$8:$G$73,6,FALSE)),"")</f>
        <v/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8"/>
      <c r="X491" s="5"/>
      <c r="Y491" s="5"/>
      <c r="Z491" s="9"/>
      <c r="AA491" s="5"/>
      <c r="AB491" s="5"/>
      <c r="AC491" s="9"/>
      <c r="AD491" s="5"/>
      <c r="AE491" s="7" t="str">
        <f t="shared" si="49"/>
        <v/>
      </c>
      <c r="AF491" s="7" t="str">
        <f t="shared" si="50"/>
        <v/>
      </c>
      <c r="AG491" s="7" t="str">
        <f t="shared" si="51"/>
        <v/>
      </c>
      <c r="AH491" s="7" t="str">
        <f t="shared" si="52"/>
        <v/>
      </c>
      <c r="AI491" s="7" t="str">
        <f t="shared" si="53"/>
        <v/>
      </c>
      <c r="AJ491" s="7" t="str">
        <f t="shared" si="54"/>
        <v/>
      </c>
      <c r="AK491" s="10" t="str">
        <f t="shared" si="55"/>
        <v/>
      </c>
      <c r="AL491" s="15" t="str">
        <f>IF(OR($A491&lt;&gt;"",$B491&lt;&gt;""),IF(OR($A491="",$B491=""),"Isi tanggal dan ID PIC",IF(NOT(ISNUMBER($A491)),"Tanggal harus berupa tanggal Excel",IF(COUNTIFS(Master_PIC!$A$8:$A$73,$B491)&lt;&gt;1,"ID PIC tidak unik/terdaftar",IF(VLOOKUP($B491,Master_PIC!$A$8:$G$73,3,FALSE)&lt;&gt;"SPV","Jabatan tidak sesuai sheet",IF(OR($C491="",$D491="",$E491="",$F491=""),"Lengkapi master PIC",IF(COUNTIFS($A$8:$A$507,$A491,$B$8:$B$507,$B491)&gt;1,"Laporan ganda",IF(COUNTIFS(G491:O491,"Tidak Berlaku")&gt;0,"N/A hanya untuk kegiatan bersyarat",IF(SUM(AF491,AG491,AH491,AI491,AJ491)&lt;&gt;13,"Status kegiatan tidak valid",IF(AJ491&gt;0,"Lengkapi status kegiatan",IF(AND(AI491&gt;0,T491=""),"Isi alasan Tidak Berlaku",IF(AND(SUM(AG491,AH491)&gt;0,OR(T491="",U491="",V491="",W491="")),"Isi kendala dan tindak lanjut",IF(AND(Y491&lt;&gt;"Draft",Y491&lt;&gt;"Dikirim"),"Isi status laporan yang valid",IF(AND(AA491&lt;&gt;"",AA491&lt;&gt;"Belum Diperiksa",AA491&lt;&gt;"Disetujui",AA491&lt;&gt;"Perlu Perbaikan"),"Hasil review tidak valid",IF(AND(Y491="Dikirim",OR(X491="",Z491="")),"Isi bukti dan waktu kirim",IF(AND(AA491="Disetujui",OR(Y491&lt;&gt;"Dikirim",AB491="",AC491="")),"Lengkapi pemeriksaan",IF(AND(AA491="Perlu Perbaikan",OR(AD491="",AB491="",AC491="")),"Isi pemeriksa dan catatan perbaikan","OK")))))))))))))))),"")</f>
        <v/>
      </c>
    </row>
    <row r="492" spans="1:38" ht="24.95" customHeight="1">
      <c r="A492" s="8"/>
      <c r="B492" s="6"/>
      <c r="C492" s="15" t="str">
        <f>IF(COUNTIFS(Master_PIC!$A$8:$A$73,$B492)=1,IF(VLOOKUP($B492,Master_PIC!$A$8:$G$73,2,FALSE)="","",VLOOKUP($B492,Master_PIC!$A$8:$G$73,2,FALSE)),"")</f>
        <v/>
      </c>
      <c r="D492" s="15" t="str">
        <f>IF(COUNTIFS(Master_PIC!$A$8:$A$73,$B492)=1,IF(VLOOKUP($B492,Master_PIC!$A$8:$G$73,4,FALSE)="","",VLOOKUP($B492,Master_PIC!$A$8:$G$73,4,FALSE)),"")</f>
        <v/>
      </c>
      <c r="E492" s="15" t="str">
        <f>IF(COUNTIFS(Master_PIC!$A$8:$A$73,$B492)=1,IF(VLOOKUP($B492,Master_PIC!$A$8:$G$73,5,FALSE)="","",VLOOKUP($B492,Master_PIC!$A$8:$G$73,5,FALSE)),"")</f>
        <v/>
      </c>
      <c r="F492" s="15" t="str">
        <f>IF(COUNTIFS(Master_PIC!$A$8:$A$73,$B492)=1,IF(VLOOKUP($B492,Master_PIC!$A$8:$G$73,6,FALSE)="","",VLOOKUP($B492,Master_PIC!$A$8:$G$73,6,FALSE)),"")</f>
        <v/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8"/>
      <c r="X492" s="5"/>
      <c r="Y492" s="5"/>
      <c r="Z492" s="9"/>
      <c r="AA492" s="5"/>
      <c r="AB492" s="5"/>
      <c r="AC492" s="9"/>
      <c r="AD492" s="5"/>
      <c r="AE492" s="7" t="str">
        <f t="shared" si="49"/>
        <v/>
      </c>
      <c r="AF492" s="7" t="str">
        <f t="shared" si="50"/>
        <v/>
      </c>
      <c r="AG492" s="7" t="str">
        <f t="shared" si="51"/>
        <v/>
      </c>
      <c r="AH492" s="7" t="str">
        <f t="shared" si="52"/>
        <v/>
      </c>
      <c r="AI492" s="7" t="str">
        <f t="shared" si="53"/>
        <v/>
      </c>
      <c r="AJ492" s="7" t="str">
        <f t="shared" si="54"/>
        <v/>
      </c>
      <c r="AK492" s="10" t="str">
        <f t="shared" si="55"/>
        <v/>
      </c>
      <c r="AL492" s="15" t="str">
        <f>IF(OR($A492&lt;&gt;"",$B492&lt;&gt;""),IF(OR($A492="",$B492=""),"Isi tanggal dan ID PIC",IF(NOT(ISNUMBER($A492)),"Tanggal harus berupa tanggal Excel",IF(COUNTIFS(Master_PIC!$A$8:$A$73,$B492)&lt;&gt;1,"ID PIC tidak unik/terdaftar",IF(VLOOKUP($B492,Master_PIC!$A$8:$G$73,3,FALSE)&lt;&gt;"SPV","Jabatan tidak sesuai sheet",IF(OR($C492="",$D492="",$E492="",$F492=""),"Lengkapi master PIC",IF(COUNTIFS($A$8:$A$507,$A492,$B$8:$B$507,$B492)&gt;1,"Laporan ganda",IF(COUNTIFS(G492:O492,"Tidak Berlaku")&gt;0,"N/A hanya untuk kegiatan bersyarat",IF(SUM(AF492,AG492,AH492,AI492,AJ492)&lt;&gt;13,"Status kegiatan tidak valid",IF(AJ492&gt;0,"Lengkapi status kegiatan",IF(AND(AI492&gt;0,T492=""),"Isi alasan Tidak Berlaku",IF(AND(SUM(AG492,AH492)&gt;0,OR(T492="",U492="",V492="",W492="")),"Isi kendala dan tindak lanjut",IF(AND(Y492&lt;&gt;"Draft",Y492&lt;&gt;"Dikirim"),"Isi status laporan yang valid",IF(AND(AA492&lt;&gt;"",AA492&lt;&gt;"Belum Diperiksa",AA492&lt;&gt;"Disetujui",AA492&lt;&gt;"Perlu Perbaikan"),"Hasil review tidak valid",IF(AND(Y492="Dikirim",OR(X492="",Z492="")),"Isi bukti dan waktu kirim",IF(AND(AA492="Disetujui",OR(Y492&lt;&gt;"Dikirim",AB492="",AC492="")),"Lengkapi pemeriksaan",IF(AND(AA492="Perlu Perbaikan",OR(AD492="",AB492="",AC492="")),"Isi pemeriksa dan catatan perbaikan","OK")))))))))))))))),"")</f>
        <v/>
      </c>
    </row>
    <row r="493" spans="1:38" ht="24.95" customHeight="1">
      <c r="A493" s="8"/>
      <c r="B493" s="6"/>
      <c r="C493" s="15" t="str">
        <f>IF(COUNTIFS(Master_PIC!$A$8:$A$73,$B493)=1,IF(VLOOKUP($B493,Master_PIC!$A$8:$G$73,2,FALSE)="","",VLOOKUP($B493,Master_PIC!$A$8:$G$73,2,FALSE)),"")</f>
        <v/>
      </c>
      <c r="D493" s="15" t="str">
        <f>IF(COUNTIFS(Master_PIC!$A$8:$A$73,$B493)=1,IF(VLOOKUP($B493,Master_PIC!$A$8:$G$73,4,FALSE)="","",VLOOKUP($B493,Master_PIC!$A$8:$G$73,4,FALSE)),"")</f>
        <v/>
      </c>
      <c r="E493" s="15" t="str">
        <f>IF(COUNTIFS(Master_PIC!$A$8:$A$73,$B493)=1,IF(VLOOKUP($B493,Master_PIC!$A$8:$G$73,5,FALSE)="","",VLOOKUP($B493,Master_PIC!$A$8:$G$73,5,FALSE)),"")</f>
        <v/>
      </c>
      <c r="F493" s="15" t="str">
        <f>IF(COUNTIFS(Master_PIC!$A$8:$A$73,$B493)=1,IF(VLOOKUP($B493,Master_PIC!$A$8:$G$73,6,FALSE)="","",VLOOKUP($B493,Master_PIC!$A$8:$G$73,6,FALSE)),"")</f>
        <v/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8"/>
      <c r="X493" s="5"/>
      <c r="Y493" s="5"/>
      <c r="Z493" s="9"/>
      <c r="AA493" s="5"/>
      <c r="AB493" s="5"/>
      <c r="AC493" s="9"/>
      <c r="AD493" s="5"/>
      <c r="AE493" s="7" t="str">
        <f t="shared" si="49"/>
        <v/>
      </c>
      <c r="AF493" s="7" t="str">
        <f t="shared" si="50"/>
        <v/>
      </c>
      <c r="AG493" s="7" t="str">
        <f t="shared" si="51"/>
        <v/>
      </c>
      <c r="AH493" s="7" t="str">
        <f t="shared" si="52"/>
        <v/>
      </c>
      <c r="AI493" s="7" t="str">
        <f t="shared" si="53"/>
        <v/>
      </c>
      <c r="AJ493" s="7" t="str">
        <f t="shared" si="54"/>
        <v/>
      </c>
      <c r="AK493" s="10" t="str">
        <f t="shared" si="55"/>
        <v/>
      </c>
      <c r="AL493" s="15" t="str">
        <f>IF(OR($A493&lt;&gt;"",$B493&lt;&gt;""),IF(OR($A493="",$B493=""),"Isi tanggal dan ID PIC",IF(NOT(ISNUMBER($A493)),"Tanggal harus berupa tanggal Excel",IF(COUNTIFS(Master_PIC!$A$8:$A$73,$B493)&lt;&gt;1,"ID PIC tidak unik/terdaftar",IF(VLOOKUP($B493,Master_PIC!$A$8:$G$73,3,FALSE)&lt;&gt;"SPV","Jabatan tidak sesuai sheet",IF(OR($C493="",$D493="",$E493="",$F493=""),"Lengkapi master PIC",IF(COUNTIFS($A$8:$A$507,$A493,$B$8:$B$507,$B493)&gt;1,"Laporan ganda",IF(COUNTIFS(G493:O493,"Tidak Berlaku")&gt;0,"N/A hanya untuk kegiatan bersyarat",IF(SUM(AF493,AG493,AH493,AI493,AJ493)&lt;&gt;13,"Status kegiatan tidak valid",IF(AJ493&gt;0,"Lengkapi status kegiatan",IF(AND(AI493&gt;0,T493=""),"Isi alasan Tidak Berlaku",IF(AND(SUM(AG493,AH493)&gt;0,OR(T493="",U493="",V493="",W493="")),"Isi kendala dan tindak lanjut",IF(AND(Y493&lt;&gt;"Draft",Y493&lt;&gt;"Dikirim"),"Isi status laporan yang valid",IF(AND(AA493&lt;&gt;"",AA493&lt;&gt;"Belum Diperiksa",AA493&lt;&gt;"Disetujui",AA493&lt;&gt;"Perlu Perbaikan"),"Hasil review tidak valid",IF(AND(Y493="Dikirim",OR(X493="",Z493="")),"Isi bukti dan waktu kirim",IF(AND(AA493="Disetujui",OR(Y493&lt;&gt;"Dikirim",AB493="",AC493="")),"Lengkapi pemeriksaan",IF(AND(AA493="Perlu Perbaikan",OR(AD493="",AB493="",AC493="")),"Isi pemeriksa dan catatan perbaikan","OK")))))))))))))))),"")</f>
        <v/>
      </c>
    </row>
    <row r="494" spans="1:38" ht="24.95" customHeight="1">
      <c r="A494" s="8"/>
      <c r="B494" s="6"/>
      <c r="C494" s="15" t="str">
        <f>IF(COUNTIFS(Master_PIC!$A$8:$A$73,$B494)=1,IF(VLOOKUP($B494,Master_PIC!$A$8:$G$73,2,FALSE)="","",VLOOKUP($B494,Master_PIC!$A$8:$G$73,2,FALSE)),"")</f>
        <v/>
      </c>
      <c r="D494" s="15" t="str">
        <f>IF(COUNTIFS(Master_PIC!$A$8:$A$73,$B494)=1,IF(VLOOKUP($B494,Master_PIC!$A$8:$G$73,4,FALSE)="","",VLOOKUP($B494,Master_PIC!$A$8:$G$73,4,FALSE)),"")</f>
        <v/>
      </c>
      <c r="E494" s="15" t="str">
        <f>IF(COUNTIFS(Master_PIC!$A$8:$A$73,$B494)=1,IF(VLOOKUP($B494,Master_PIC!$A$8:$G$73,5,FALSE)="","",VLOOKUP($B494,Master_PIC!$A$8:$G$73,5,FALSE)),"")</f>
        <v/>
      </c>
      <c r="F494" s="15" t="str">
        <f>IF(COUNTIFS(Master_PIC!$A$8:$A$73,$B494)=1,IF(VLOOKUP($B494,Master_PIC!$A$8:$G$73,6,FALSE)="","",VLOOKUP($B494,Master_PIC!$A$8:$G$73,6,FALSE)),"")</f>
        <v/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8"/>
      <c r="X494" s="5"/>
      <c r="Y494" s="5"/>
      <c r="Z494" s="9"/>
      <c r="AA494" s="5"/>
      <c r="AB494" s="5"/>
      <c r="AC494" s="9"/>
      <c r="AD494" s="5"/>
      <c r="AE494" s="7" t="str">
        <f t="shared" si="49"/>
        <v/>
      </c>
      <c r="AF494" s="7" t="str">
        <f t="shared" si="50"/>
        <v/>
      </c>
      <c r="AG494" s="7" t="str">
        <f t="shared" si="51"/>
        <v/>
      </c>
      <c r="AH494" s="7" t="str">
        <f t="shared" si="52"/>
        <v/>
      </c>
      <c r="AI494" s="7" t="str">
        <f t="shared" si="53"/>
        <v/>
      </c>
      <c r="AJ494" s="7" t="str">
        <f t="shared" si="54"/>
        <v/>
      </c>
      <c r="AK494" s="10" t="str">
        <f t="shared" si="55"/>
        <v/>
      </c>
      <c r="AL494" s="15" t="str">
        <f>IF(OR($A494&lt;&gt;"",$B494&lt;&gt;""),IF(OR($A494="",$B494=""),"Isi tanggal dan ID PIC",IF(NOT(ISNUMBER($A494)),"Tanggal harus berupa tanggal Excel",IF(COUNTIFS(Master_PIC!$A$8:$A$73,$B494)&lt;&gt;1,"ID PIC tidak unik/terdaftar",IF(VLOOKUP($B494,Master_PIC!$A$8:$G$73,3,FALSE)&lt;&gt;"SPV","Jabatan tidak sesuai sheet",IF(OR($C494="",$D494="",$E494="",$F494=""),"Lengkapi master PIC",IF(COUNTIFS($A$8:$A$507,$A494,$B$8:$B$507,$B494)&gt;1,"Laporan ganda",IF(COUNTIFS(G494:O494,"Tidak Berlaku")&gt;0,"N/A hanya untuk kegiatan bersyarat",IF(SUM(AF494,AG494,AH494,AI494,AJ494)&lt;&gt;13,"Status kegiatan tidak valid",IF(AJ494&gt;0,"Lengkapi status kegiatan",IF(AND(AI494&gt;0,T494=""),"Isi alasan Tidak Berlaku",IF(AND(SUM(AG494,AH494)&gt;0,OR(T494="",U494="",V494="",W494="")),"Isi kendala dan tindak lanjut",IF(AND(Y494&lt;&gt;"Draft",Y494&lt;&gt;"Dikirim"),"Isi status laporan yang valid",IF(AND(AA494&lt;&gt;"",AA494&lt;&gt;"Belum Diperiksa",AA494&lt;&gt;"Disetujui",AA494&lt;&gt;"Perlu Perbaikan"),"Hasil review tidak valid",IF(AND(Y494="Dikirim",OR(X494="",Z494="")),"Isi bukti dan waktu kirim",IF(AND(AA494="Disetujui",OR(Y494&lt;&gt;"Dikirim",AB494="",AC494="")),"Lengkapi pemeriksaan",IF(AND(AA494="Perlu Perbaikan",OR(AD494="",AB494="",AC494="")),"Isi pemeriksa dan catatan perbaikan","OK")))))))))))))))),"")</f>
        <v/>
      </c>
    </row>
    <row r="495" spans="1:38" ht="24.95" customHeight="1">
      <c r="A495" s="8"/>
      <c r="B495" s="6"/>
      <c r="C495" s="15" t="str">
        <f>IF(COUNTIFS(Master_PIC!$A$8:$A$73,$B495)=1,IF(VLOOKUP($B495,Master_PIC!$A$8:$G$73,2,FALSE)="","",VLOOKUP($B495,Master_PIC!$A$8:$G$73,2,FALSE)),"")</f>
        <v/>
      </c>
      <c r="D495" s="15" t="str">
        <f>IF(COUNTIFS(Master_PIC!$A$8:$A$73,$B495)=1,IF(VLOOKUP($B495,Master_PIC!$A$8:$G$73,4,FALSE)="","",VLOOKUP($B495,Master_PIC!$A$8:$G$73,4,FALSE)),"")</f>
        <v/>
      </c>
      <c r="E495" s="15" t="str">
        <f>IF(COUNTIFS(Master_PIC!$A$8:$A$73,$B495)=1,IF(VLOOKUP($B495,Master_PIC!$A$8:$G$73,5,FALSE)="","",VLOOKUP($B495,Master_PIC!$A$8:$G$73,5,FALSE)),"")</f>
        <v/>
      </c>
      <c r="F495" s="15" t="str">
        <f>IF(COUNTIFS(Master_PIC!$A$8:$A$73,$B495)=1,IF(VLOOKUP($B495,Master_PIC!$A$8:$G$73,6,FALSE)="","",VLOOKUP($B495,Master_PIC!$A$8:$G$73,6,FALSE)),"")</f>
        <v/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8"/>
      <c r="X495" s="5"/>
      <c r="Y495" s="5"/>
      <c r="Z495" s="9"/>
      <c r="AA495" s="5"/>
      <c r="AB495" s="5"/>
      <c r="AC495" s="9"/>
      <c r="AD495" s="5"/>
      <c r="AE495" s="7" t="str">
        <f t="shared" si="49"/>
        <v/>
      </c>
      <c r="AF495" s="7" t="str">
        <f t="shared" si="50"/>
        <v/>
      </c>
      <c r="AG495" s="7" t="str">
        <f t="shared" si="51"/>
        <v/>
      </c>
      <c r="AH495" s="7" t="str">
        <f t="shared" si="52"/>
        <v/>
      </c>
      <c r="AI495" s="7" t="str">
        <f t="shared" si="53"/>
        <v/>
      </c>
      <c r="AJ495" s="7" t="str">
        <f t="shared" si="54"/>
        <v/>
      </c>
      <c r="AK495" s="10" t="str">
        <f t="shared" si="55"/>
        <v/>
      </c>
      <c r="AL495" s="15" t="str">
        <f>IF(OR($A495&lt;&gt;"",$B495&lt;&gt;""),IF(OR($A495="",$B495=""),"Isi tanggal dan ID PIC",IF(NOT(ISNUMBER($A495)),"Tanggal harus berupa tanggal Excel",IF(COUNTIFS(Master_PIC!$A$8:$A$73,$B495)&lt;&gt;1,"ID PIC tidak unik/terdaftar",IF(VLOOKUP($B495,Master_PIC!$A$8:$G$73,3,FALSE)&lt;&gt;"SPV","Jabatan tidak sesuai sheet",IF(OR($C495="",$D495="",$E495="",$F495=""),"Lengkapi master PIC",IF(COUNTIFS($A$8:$A$507,$A495,$B$8:$B$507,$B495)&gt;1,"Laporan ganda",IF(COUNTIFS(G495:O495,"Tidak Berlaku")&gt;0,"N/A hanya untuk kegiatan bersyarat",IF(SUM(AF495,AG495,AH495,AI495,AJ495)&lt;&gt;13,"Status kegiatan tidak valid",IF(AJ495&gt;0,"Lengkapi status kegiatan",IF(AND(AI495&gt;0,T495=""),"Isi alasan Tidak Berlaku",IF(AND(SUM(AG495,AH495)&gt;0,OR(T495="",U495="",V495="",W495="")),"Isi kendala dan tindak lanjut",IF(AND(Y495&lt;&gt;"Draft",Y495&lt;&gt;"Dikirim"),"Isi status laporan yang valid",IF(AND(AA495&lt;&gt;"",AA495&lt;&gt;"Belum Diperiksa",AA495&lt;&gt;"Disetujui",AA495&lt;&gt;"Perlu Perbaikan"),"Hasil review tidak valid",IF(AND(Y495="Dikirim",OR(X495="",Z495="")),"Isi bukti dan waktu kirim",IF(AND(AA495="Disetujui",OR(Y495&lt;&gt;"Dikirim",AB495="",AC495="")),"Lengkapi pemeriksaan",IF(AND(AA495="Perlu Perbaikan",OR(AD495="",AB495="",AC495="")),"Isi pemeriksa dan catatan perbaikan","OK")))))))))))))))),"")</f>
        <v/>
      </c>
    </row>
    <row r="496" spans="1:38" ht="24.95" customHeight="1">
      <c r="A496" s="8"/>
      <c r="B496" s="6"/>
      <c r="C496" s="15" t="str">
        <f>IF(COUNTIFS(Master_PIC!$A$8:$A$73,$B496)=1,IF(VLOOKUP($B496,Master_PIC!$A$8:$G$73,2,FALSE)="","",VLOOKUP($B496,Master_PIC!$A$8:$G$73,2,FALSE)),"")</f>
        <v/>
      </c>
      <c r="D496" s="15" t="str">
        <f>IF(COUNTIFS(Master_PIC!$A$8:$A$73,$B496)=1,IF(VLOOKUP($B496,Master_PIC!$A$8:$G$73,4,FALSE)="","",VLOOKUP($B496,Master_PIC!$A$8:$G$73,4,FALSE)),"")</f>
        <v/>
      </c>
      <c r="E496" s="15" t="str">
        <f>IF(COUNTIFS(Master_PIC!$A$8:$A$73,$B496)=1,IF(VLOOKUP($B496,Master_PIC!$A$8:$G$73,5,FALSE)="","",VLOOKUP($B496,Master_PIC!$A$8:$G$73,5,FALSE)),"")</f>
        <v/>
      </c>
      <c r="F496" s="15" t="str">
        <f>IF(COUNTIFS(Master_PIC!$A$8:$A$73,$B496)=1,IF(VLOOKUP($B496,Master_PIC!$A$8:$G$73,6,FALSE)="","",VLOOKUP($B496,Master_PIC!$A$8:$G$73,6,FALSE)),"")</f>
        <v/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8"/>
      <c r="X496" s="5"/>
      <c r="Y496" s="5"/>
      <c r="Z496" s="9"/>
      <c r="AA496" s="5"/>
      <c r="AB496" s="5"/>
      <c r="AC496" s="9"/>
      <c r="AD496" s="5"/>
      <c r="AE496" s="7" t="str">
        <f t="shared" si="49"/>
        <v/>
      </c>
      <c r="AF496" s="7" t="str">
        <f t="shared" si="50"/>
        <v/>
      </c>
      <c r="AG496" s="7" t="str">
        <f t="shared" si="51"/>
        <v/>
      </c>
      <c r="AH496" s="7" t="str">
        <f t="shared" si="52"/>
        <v/>
      </c>
      <c r="AI496" s="7" t="str">
        <f t="shared" si="53"/>
        <v/>
      </c>
      <c r="AJ496" s="7" t="str">
        <f t="shared" si="54"/>
        <v/>
      </c>
      <c r="AK496" s="10" t="str">
        <f t="shared" si="55"/>
        <v/>
      </c>
      <c r="AL496" s="15" t="str">
        <f>IF(OR($A496&lt;&gt;"",$B496&lt;&gt;""),IF(OR($A496="",$B496=""),"Isi tanggal dan ID PIC",IF(NOT(ISNUMBER($A496)),"Tanggal harus berupa tanggal Excel",IF(COUNTIFS(Master_PIC!$A$8:$A$73,$B496)&lt;&gt;1,"ID PIC tidak unik/terdaftar",IF(VLOOKUP($B496,Master_PIC!$A$8:$G$73,3,FALSE)&lt;&gt;"SPV","Jabatan tidak sesuai sheet",IF(OR($C496="",$D496="",$E496="",$F496=""),"Lengkapi master PIC",IF(COUNTIFS($A$8:$A$507,$A496,$B$8:$B$507,$B496)&gt;1,"Laporan ganda",IF(COUNTIFS(G496:O496,"Tidak Berlaku")&gt;0,"N/A hanya untuk kegiatan bersyarat",IF(SUM(AF496,AG496,AH496,AI496,AJ496)&lt;&gt;13,"Status kegiatan tidak valid",IF(AJ496&gt;0,"Lengkapi status kegiatan",IF(AND(AI496&gt;0,T496=""),"Isi alasan Tidak Berlaku",IF(AND(SUM(AG496,AH496)&gt;0,OR(T496="",U496="",V496="",W496="")),"Isi kendala dan tindak lanjut",IF(AND(Y496&lt;&gt;"Draft",Y496&lt;&gt;"Dikirim"),"Isi status laporan yang valid",IF(AND(AA496&lt;&gt;"",AA496&lt;&gt;"Belum Diperiksa",AA496&lt;&gt;"Disetujui",AA496&lt;&gt;"Perlu Perbaikan"),"Hasil review tidak valid",IF(AND(Y496="Dikirim",OR(X496="",Z496="")),"Isi bukti dan waktu kirim",IF(AND(AA496="Disetujui",OR(Y496&lt;&gt;"Dikirim",AB496="",AC496="")),"Lengkapi pemeriksaan",IF(AND(AA496="Perlu Perbaikan",OR(AD496="",AB496="",AC496="")),"Isi pemeriksa dan catatan perbaikan","OK")))))))))))))))),"")</f>
        <v/>
      </c>
    </row>
    <row r="497" spans="1:38" ht="24.95" customHeight="1">
      <c r="A497" s="8"/>
      <c r="B497" s="6"/>
      <c r="C497" s="15" t="str">
        <f>IF(COUNTIFS(Master_PIC!$A$8:$A$73,$B497)=1,IF(VLOOKUP($B497,Master_PIC!$A$8:$G$73,2,FALSE)="","",VLOOKUP($B497,Master_PIC!$A$8:$G$73,2,FALSE)),"")</f>
        <v/>
      </c>
      <c r="D497" s="15" t="str">
        <f>IF(COUNTIFS(Master_PIC!$A$8:$A$73,$B497)=1,IF(VLOOKUP($B497,Master_PIC!$A$8:$G$73,4,FALSE)="","",VLOOKUP($B497,Master_PIC!$A$8:$G$73,4,FALSE)),"")</f>
        <v/>
      </c>
      <c r="E497" s="15" t="str">
        <f>IF(COUNTIFS(Master_PIC!$A$8:$A$73,$B497)=1,IF(VLOOKUP($B497,Master_PIC!$A$8:$G$73,5,FALSE)="","",VLOOKUP($B497,Master_PIC!$A$8:$G$73,5,FALSE)),"")</f>
        <v/>
      </c>
      <c r="F497" s="15" t="str">
        <f>IF(COUNTIFS(Master_PIC!$A$8:$A$73,$B497)=1,IF(VLOOKUP($B497,Master_PIC!$A$8:$G$73,6,FALSE)="","",VLOOKUP($B497,Master_PIC!$A$8:$G$73,6,FALSE)),"")</f>
        <v/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8"/>
      <c r="X497" s="5"/>
      <c r="Y497" s="5"/>
      <c r="Z497" s="9"/>
      <c r="AA497" s="5"/>
      <c r="AB497" s="5"/>
      <c r="AC497" s="9"/>
      <c r="AD497" s="5"/>
      <c r="AE497" s="7" t="str">
        <f t="shared" si="49"/>
        <v/>
      </c>
      <c r="AF497" s="7" t="str">
        <f t="shared" si="50"/>
        <v/>
      </c>
      <c r="AG497" s="7" t="str">
        <f t="shared" si="51"/>
        <v/>
      </c>
      <c r="AH497" s="7" t="str">
        <f t="shared" si="52"/>
        <v/>
      </c>
      <c r="AI497" s="7" t="str">
        <f t="shared" si="53"/>
        <v/>
      </c>
      <c r="AJ497" s="7" t="str">
        <f t="shared" si="54"/>
        <v/>
      </c>
      <c r="AK497" s="10" t="str">
        <f t="shared" si="55"/>
        <v/>
      </c>
      <c r="AL497" s="15" t="str">
        <f>IF(OR($A497&lt;&gt;"",$B497&lt;&gt;""),IF(OR($A497="",$B497=""),"Isi tanggal dan ID PIC",IF(NOT(ISNUMBER($A497)),"Tanggal harus berupa tanggal Excel",IF(COUNTIFS(Master_PIC!$A$8:$A$73,$B497)&lt;&gt;1,"ID PIC tidak unik/terdaftar",IF(VLOOKUP($B497,Master_PIC!$A$8:$G$73,3,FALSE)&lt;&gt;"SPV","Jabatan tidak sesuai sheet",IF(OR($C497="",$D497="",$E497="",$F497=""),"Lengkapi master PIC",IF(COUNTIFS($A$8:$A$507,$A497,$B$8:$B$507,$B497)&gt;1,"Laporan ganda",IF(COUNTIFS(G497:O497,"Tidak Berlaku")&gt;0,"N/A hanya untuk kegiatan bersyarat",IF(SUM(AF497,AG497,AH497,AI497,AJ497)&lt;&gt;13,"Status kegiatan tidak valid",IF(AJ497&gt;0,"Lengkapi status kegiatan",IF(AND(AI497&gt;0,T497=""),"Isi alasan Tidak Berlaku",IF(AND(SUM(AG497,AH497)&gt;0,OR(T497="",U497="",V497="",W497="")),"Isi kendala dan tindak lanjut",IF(AND(Y497&lt;&gt;"Draft",Y497&lt;&gt;"Dikirim"),"Isi status laporan yang valid",IF(AND(AA497&lt;&gt;"",AA497&lt;&gt;"Belum Diperiksa",AA497&lt;&gt;"Disetujui",AA497&lt;&gt;"Perlu Perbaikan"),"Hasil review tidak valid",IF(AND(Y497="Dikirim",OR(X497="",Z497="")),"Isi bukti dan waktu kirim",IF(AND(AA497="Disetujui",OR(Y497&lt;&gt;"Dikirim",AB497="",AC497="")),"Lengkapi pemeriksaan",IF(AND(AA497="Perlu Perbaikan",OR(AD497="",AB497="",AC497="")),"Isi pemeriksa dan catatan perbaikan","OK")))))))))))))))),"")</f>
        <v/>
      </c>
    </row>
    <row r="498" spans="1:38" ht="24.95" customHeight="1">
      <c r="A498" s="8"/>
      <c r="B498" s="6"/>
      <c r="C498" s="15" t="str">
        <f>IF(COUNTIFS(Master_PIC!$A$8:$A$73,$B498)=1,IF(VLOOKUP($B498,Master_PIC!$A$8:$G$73,2,FALSE)="","",VLOOKUP($B498,Master_PIC!$A$8:$G$73,2,FALSE)),"")</f>
        <v/>
      </c>
      <c r="D498" s="15" t="str">
        <f>IF(COUNTIFS(Master_PIC!$A$8:$A$73,$B498)=1,IF(VLOOKUP($B498,Master_PIC!$A$8:$G$73,4,FALSE)="","",VLOOKUP($B498,Master_PIC!$A$8:$G$73,4,FALSE)),"")</f>
        <v/>
      </c>
      <c r="E498" s="15" t="str">
        <f>IF(COUNTIFS(Master_PIC!$A$8:$A$73,$B498)=1,IF(VLOOKUP($B498,Master_PIC!$A$8:$G$73,5,FALSE)="","",VLOOKUP($B498,Master_PIC!$A$8:$G$73,5,FALSE)),"")</f>
        <v/>
      </c>
      <c r="F498" s="15" t="str">
        <f>IF(COUNTIFS(Master_PIC!$A$8:$A$73,$B498)=1,IF(VLOOKUP($B498,Master_PIC!$A$8:$G$73,6,FALSE)="","",VLOOKUP($B498,Master_PIC!$A$8:$G$73,6,FALSE)),"")</f>
        <v/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8"/>
      <c r="X498" s="5"/>
      <c r="Y498" s="5"/>
      <c r="Z498" s="9"/>
      <c r="AA498" s="5"/>
      <c r="AB498" s="5"/>
      <c r="AC498" s="9"/>
      <c r="AD498" s="5"/>
      <c r="AE498" s="7" t="str">
        <f t="shared" si="49"/>
        <v/>
      </c>
      <c r="AF498" s="7" t="str">
        <f t="shared" si="50"/>
        <v/>
      </c>
      <c r="AG498" s="7" t="str">
        <f t="shared" si="51"/>
        <v/>
      </c>
      <c r="AH498" s="7" t="str">
        <f t="shared" si="52"/>
        <v/>
      </c>
      <c r="AI498" s="7" t="str">
        <f t="shared" si="53"/>
        <v/>
      </c>
      <c r="AJ498" s="7" t="str">
        <f t="shared" si="54"/>
        <v/>
      </c>
      <c r="AK498" s="10" t="str">
        <f t="shared" si="55"/>
        <v/>
      </c>
      <c r="AL498" s="15" t="str">
        <f>IF(OR($A498&lt;&gt;"",$B498&lt;&gt;""),IF(OR($A498="",$B498=""),"Isi tanggal dan ID PIC",IF(NOT(ISNUMBER($A498)),"Tanggal harus berupa tanggal Excel",IF(COUNTIFS(Master_PIC!$A$8:$A$73,$B498)&lt;&gt;1,"ID PIC tidak unik/terdaftar",IF(VLOOKUP($B498,Master_PIC!$A$8:$G$73,3,FALSE)&lt;&gt;"SPV","Jabatan tidak sesuai sheet",IF(OR($C498="",$D498="",$E498="",$F498=""),"Lengkapi master PIC",IF(COUNTIFS($A$8:$A$507,$A498,$B$8:$B$507,$B498)&gt;1,"Laporan ganda",IF(COUNTIFS(G498:O498,"Tidak Berlaku")&gt;0,"N/A hanya untuk kegiatan bersyarat",IF(SUM(AF498,AG498,AH498,AI498,AJ498)&lt;&gt;13,"Status kegiatan tidak valid",IF(AJ498&gt;0,"Lengkapi status kegiatan",IF(AND(AI498&gt;0,T498=""),"Isi alasan Tidak Berlaku",IF(AND(SUM(AG498,AH498)&gt;0,OR(T498="",U498="",V498="",W498="")),"Isi kendala dan tindak lanjut",IF(AND(Y498&lt;&gt;"Draft",Y498&lt;&gt;"Dikirim"),"Isi status laporan yang valid",IF(AND(AA498&lt;&gt;"",AA498&lt;&gt;"Belum Diperiksa",AA498&lt;&gt;"Disetujui",AA498&lt;&gt;"Perlu Perbaikan"),"Hasil review tidak valid",IF(AND(Y498="Dikirim",OR(X498="",Z498="")),"Isi bukti dan waktu kirim",IF(AND(AA498="Disetujui",OR(Y498&lt;&gt;"Dikirim",AB498="",AC498="")),"Lengkapi pemeriksaan",IF(AND(AA498="Perlu Perbaikan",OR(AD498="",AB498="",AC498="")),"Isi pemeriksa dan catatan perbaikan","OK")))))))))))))))),"")</f>
        <v/>
      </c>
    </row>
    <row r="499" spans="1:38" ht="24.95" customHeight="1">
      <c r="A499" s="8"/>
      <c r="B499" s="6"/>
      <c r="C499" s="15" t="str">
        <f>IF(COUNTIFS(Master_PIC!$A$8:$A$73,$B499)=1,IF(VLOOKUP($B499,Master_PIC!$A$8:$G$73,2,FALSE)="","",VLOOKUP($B499,Master_PIC!$A$8:$G$73,2,FALSE)),"")</f>
        <v/>
      </c>
      <c r="D499" s="15" t="str">
        <f>IF(COUNTIFS(Master_PIC!$A$8:$A$73,$B499)=1,IF(VLOOKUP($B499,Master_PIC!$A$8:$G$73,4,FALSE)="","",VLOOKUP($B499,Master_PIC!$A$8:$G$73,4,FALSE)),"")</f>
        <v/>
      </c>
      <c r="E499" s="15" t="str">
        <f>IF(COUNTIFS(Master_PIC!$A$8:$A$73,$B499)=1,IF(VLOOKUP($B499,Master_PIC!$A$8:$G$73,5,FALSE)="","",VLOOKUP($B499,Master_PIC!$A$8:$G$73,5,FALSE)),"")</f>
        <v/>
      </c>
      <c r="F499" s="15" t="str">
        <f>IF(COUNTIFS(Master_PIC!$A$8:$A$73,$B499)=1,IF(VLOOKUP($B499,Master_PIC!$A$8:$G$73,6,FALSE)="","",VLOOKUP($B499,Master_PIC!$A$8:$G$73,6,FALSE)),"")</f>
        <v/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8"/>
      <c r="X499" s="5"/>
      <c r="Y499" s="5"/>
      <c r="Z499" s="9"/>
      <c r="AA499" s="5"/>
      <c r="AB499" s="5"/>
      <c r="AC499" s="9"/>
      <c r="AD499" s="5"/>
      <c r="AE499" s="7" t="str">
        <f t="shared" si="49"/>
        <v/>
      </c>
      <c r="AF499" s="7" t="str">
        <f t="shared" si="50"/>
        <v/>
      </c>
      <c r="AG499" s="7" t="str">
        <f t="shared" si="51"/>
        <v/>
      </c>
      <c r="AH499" s="7" t="str">
        <f t="shared" si="52"/>
        <v/>
      </c>
      <c r="AI499" s="7" t="str">
        <f t="shared" si="53"/>
        <v/>
      </c>
      <c r="AJ499" s="7" t="str">
        <f t="shared" si="54"/>
        <v/>
      </c>
      <c r="AK499" s="10" t="str">
        <f t="shared" si="55"/>
        <v/>
      </c>
      <c r="AL499" s="15" t="str">
        <f>IF(OR($A499&lt;&gt;"",$B499&lt;&gt;""),IF(OR($A499="",$B499=""),"Isi tanggal dan ID PIC",IF(NOT(ISNUMBER($A499)),"Tanggal harus berupa tanggal Excel",IF(COUNTIFS(Master_PIC!$A$8:$A$73,$B499)&lt;&gt;1,"ID PIC tidak unik/terdaftar",IF(VLOOKUP($B499,Master_PIC!$A$8:$G$73,3,FALSE)&lt;&gt;"SPV","Jabatan tidak sesuai sheet",IF(OR($C499="",$D499="",$E499="",$F499=""),"Lengkapi master PIC",IF(COUNTIFS($A$8:$A$507,$A499,$B$8:$B$507,$B499)&gt;1,"Laporan ganda",IF(COUNTIFS(G499:O499,"Tidak Berlaku")&gt;0,"N/A hanya untuk kegiatan bersyarat",IF(SUM(AF499,AG499,AH499,AI499,AJ499)&lt;&gt;13,"Status kegiatan tidak valid",IF(AJ499&gt;0,"Lengkapi status kegiatan",IF(AND(AI499&gt;0,T499=""),"Isi alasan Tidak Berlaku",IF(AND(SUM(AG499,AH499)&gt;0,OR(T499="",U499="",V499="",W499="")),"Isi kendala dan tindak lanjut",IF(AND(Y499&lt;&gt;"Draft",Y499&lt;&gt;"Dikirim"),"Isi status laporan yang valid",IF(AND(AA499&lt;&gt;"",AA499&lt;&gt;"Belum Diperiksa",AA499&lt;&gt;"Disetujui",AA499&lt;&gt;"Perlu Perbaikan"),"Hasil review tidak valid",IF(AND(Y499="Dikirim",OR(X499="",Z499="")),"Isi bukti dan waktu kirim",IF(AND(AA499="Disetujui",OR(Y499&lt;&gt;"Dikirim",AB499="",AC499="")),"Lengkapi pemeriksaan",IF(AND(AA499="Perlu Perbaikan",OR(AD499="",AB499="",AC499="")),"Isi pemeriksa dan catatan perbaikan","OK")))))))))))))))),"")</f>
        <v/>
      </c>
    </row>
    <row r="500" spans="1:38" ht="24.95" customHeight="1">
      <c r="A500" s="8"/>
      <c r="B500" s="6"/>
      <c r="C500" s="15" t="str">
        <f>IF(COUNTIFS(Master_PIC!$A$8:$A$73,$B500)=1,IF(VLOOKUP($B500,Master_PIC!$A$8:$G$73,2,FALSE)="","",VLOOKUP($B500,Master_PIC!$A$8:$G$73,2,FALSE)),"")</f>
        <v/>
      </c>
      <c r="D500" s="15" t="str">
        <f>IF(COUNTIFS(Master_PIC!$A$8:$A$73,$B500)=1,IF(VLOOKUP($B500,Master_PIC!$A$8:$G$73,4,FALSE)="","",VLOOKUP($B500,Master_PIC!$A$8:$G$73,4,FALSE)),"")</f>
        <v/>
      </c>
      <c r="E500" s="15" t="str">
        <f>IF(COUNTIFS(Master_PIC!$A$8:$A$73,$B500)=1,IF(VLOOKUP($B500,Master_PIC!$A$8:$G$73,5,FALSE)="","",VLOOKUP($B500,Master_PIC!$A$8:$G$73,5,FALSE)),"")</f>
        <v/>
      </c>
      <c r="F500" s="15" t="str">
        <f>IF(COUNTIFS(Master_PIC!$A$8:$A$73,$B500)=1,IF(VLOOKUP($B500,Master_PIC!$A$8:$G$73,6,FALSE)="","",VLOOKUP($B500,Master_PIC!$A$8:$G$73,6,FALSE)),"")</f>
        <v/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8"/>
      <c r="X500" s="5"/>
      <c r="Y500" s="5"/>
      <c r="Z500" s="9"/>
      <c r="AA500" s="5"/>
      <c r="AB500" s="5"/>
      <c r="AC500" s="9"/>
      <c r="AD500" s="5"/>
      <c r="AE500" s="7" t="str">
        <f t="shared" si="49"/>
        <v/>
      </c>
      <c r="AF500" s="7" t="str">
        <f t="shared" si="50"/>
        <v/>
      </c>
      <c r="AG500" s="7" t="str">
        <f t="shared" si="51"/>
        <v/>
      </c>
      <c r="AH500" s="7" t="str">
        <f t="shared" si="52"/>
        <v/>
      </c>
      <c r="AI500" s="7" t="str">
        <f t="shared" si="53"/>
        <v/>
      </c>
      <c r="AJ500" s="7" t="str">
        <f t="shared" si="54"/>
        <v/>
      </c>
      <c r="AK500" s="10" t="str">
        <f t="shared" si="55"/>
        <v/>
      </c>
      <c r="AL500" s="15" t="str">
        <f>IF(OR($A500&lt;&gt;"",$B500&lt;&gt;""),IF(OR($A500="",$B500=""),"Isi tanggal dan ID PIC",IF(NOT(ISNUMBER($A500)),"Tanggal harus berupa tanggal Excel",IF(COUNTIFS(Master_PIC!$A$8:$A$73,$B500)&lt;&gt;1,"ID PIC tidak unik/terdaftar",IF(VLOOKUP($B500,Master_PIC!$A$8:$G$73,3,FALSE)&lt;&gt;"SPV","Jabatan tidak sesuai sheet",IF(OR($C500="",$D500="",$E500="",$F500=""),"Lengkapi master PIC",IF(COUNTIFS($A$8:$A$507,$A500,$B$8:$B$507,$B500)&gt;1,"Laporan ganda",IF(COUNTIFS(G500:O500,"Tidak Berlaku")&gt;0,"N/A hanya untuk kegiatan bersyarat",IF(SUM(AF500,AG500,AH500,AI500,AJ500)&lt;&gt;13,"Status kegiatan tidak valid",IF(AJ500&gt;0,"Lengkapi status kegiatan",IF(AND(AI500&gt;0,T500=""),"Isi alasan Tidak Berlaku",IF(AND(SUM(AG500,AH500)&gt;0,OR(T500="",U500="",V500="",W500="")),"Isi kendala dan tindak lanjut",IF(AND(Y500&lt;&gt;"Draft",Y500&lt;&gt;"Dikirim"),"Isi status laporan yang valid",IF(AND(AA500&lt;&gt;"",AA500&lt;&gt;"Belum Diperiksa",AA500&lt;&gt;"Disetujui",AA500&lt;&gt;"Perlu Perbaikan"),"Hasil review tidak valid",IF(AND(Y500="Dikirim",OR(X500="",Z500="")),"Isi bukti dan waktu kirim",IF(AND(AA500="Disetujui",OR(Y500&lt;&gt;"Dikirim",AB500="",AC500="")),"Lengkapi pemeriksaan",IF(AND(AA500="Perlu Perbaikan",OR(AD500="",AB500="",AC500="")),"Isi pemeriksa dan catatan perbaikan","OK")))))))))))))))),"")</f>
        <v/>
      </c>
    </row>
    <row r="501" spans="1:38" ht="24.95" customHeight="1">
      <c r="A501" s="8"/>
      <c r="B501" s="6"/>
      <c r="C501" s="15" t="str">
        <f>IF(COUNTIFS(Master_PIC!$A$8:$A$73,$B501)=1,IF(VLOOKUP($B501,Master_PIC!$A$8:$G$73,2,FALSE)="","",VLOOKUP($B501,Master_PIC!$A$8:$G$73,2,FALSE)),"")</f>
        <v/>
      </c>
      <c r="D501" s="15" t="str">
        <f>IF(COUNTIFS(Master_PIC!$A$8:$A$73,$B501)=1,IF(VLOOKUP($B501,Master_PIC!$A$8:$G$73,4,FALSE)="","",VLOOKUP($B501,Master_PIC!$A$8:$G$73,4,FALSE)),"")</f>
        <v/>
      </c>
      <c r="E501" s="15" t="str">
        <f>IF(COUNTIFS(Master_PIC!$A$8:$A$73,$B501)=1,IF(VLOOKUP($B501,Master_PIC!$A$8:$G$73,5,FALSE)="","",VLOOKUP($B501,Master_PIC!$A$8:$G$73,5,FALSE)),"")</f>
        <v/>
      </c>
      <c r="F501" s="15" t="str">
        <f>IF(COUNTIFS(Master_PIC!$A$8:$A$73,$B501)=1,IF(VLOOKUP($B501,Master_PIC!$A$8:$G$73,6,FALSE)="","",VLOOKUP($B501,Master_PIC!$A$8:$G$73,6,FALSE)),"")</f>
        <v/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8"/>
      <c r="X501" s="5"/>
      <c r="Y501" s="5"/>
      <c r="Z501" s="9"/>
      <c r="AA501" s="5"/>
      <c r="AB501" s="5"/>
      <c r="AC501" s="9"/>
      <c r="AD501" s="5"/>
      <c r="AE501" s="7" t="str">
        <f t="shared" si="49"/>
        <v/>
      </c>
      <c r="AF501" s="7" t="str">
        <f t="shared" si="50"/>
        <v/>
      </c>
      <c r="AG501" s="7" t="str">
        <f t="shared" si="51"/>
        <v/>
      </c>
      <c r="AH501" s="7" t="str">
        <f t="shared" si="52"/>
        <v/>
      </c>
      <c r="AI501" s="7" t="str">
        <f t="shared" si="53"/>
        <v/>
      </c>
      <c r="AJ501" s="7" t="str">
        <f t="shared" si="54"/>
        <v/>
      </c>
      <c r="AK501" s="10" t="str">
        <f t="shared" si="55"/>
        <v/>
      </c>
      <c r="AL501" s="15" t="str">
        <f>IF(OR($A501&lt;&gt;"",$B501&lt;&gt;""),IF(OR($A501="",$B501=""),"Isi tanggal dan ID PIC",IF(NOT(ISNUMBER($A501)),"Tanggal harus berupa tanggal Excel",IF(COUNTIFS(Master_PIC!$A$8:$A$73,$B501)&lt;&gt;1,"ID PIC tidak unik/terdaftar",IF(VLOOKUP($B501,Master_PIC!$A$8:$G$73,3,FALSE)&lt;&gt;"SPV","Jabatan tidak sesuai sheet",IF(OR($C501="",$D501="",$E501="",$F501=""),"Lengkapi master PIC",IF(COUNTIFS($A$8:$A$507,$A501,$B$8:$B$507,$B501)&gt;1,"Laporan ganda",IF(COUNTIFS(G501:O501,"Tidak Berlaku")&gt;0,"N/A hanya untuk kegiatan bersyarat",IF(SUM(AF501,AG501,AH501,AI501,AJ501)&lt;&gt;13,"Status kegiatan tidak valid",IF(AJ501&gt;0,"Lengkapi status kegiatan",IF(AND(AI501&gt;0,T501=""),"Isi alasan Tidak Berlaku",IF(AND(SUM(AG501,AH501)&gt;0,OR(T501="",U501="",V501="",W501="")),"Isi kendala dan tindak lanjut",IF(AND(Y501&lt;&gt;"Draft",Y501&lt;&gt;"Dikirim"),"Isi status laporan yang valid",IF(AND(AA501&lt;&gt;"",AA501&lt;&gt;"Belum Diperiksa",AA501&lt;&gt;"Disetujui",AA501&lt;&gt;"Perlu Perbaikan"),"Hasil review tidak valid",IF(AND(Y501="Dikirim",OR(X501="",Z501="")),"Isi bukti dan waktu kirim",IF(AND(AA501="Disetujui",OR(Y501&lt;&gt;"Dikirim",AB501="",AC501="")),"Lengkapi pemeriksaan",IF(AND(AA501="Perlu Perbaikan",OR(AD501="",AB501="",AC501="")),"Isi pemeriksa dan catatan perbaikan","OK")))))))))))))))),"")</f>
        <v/>
      </c>
    </row>
    <row r="502" spans="1:38" ht="24.95" customHeight="1">
      <c r="A502" s="8"/>
      <c r="B502" s="6"/>
      <c r="C502" s="15" t="str">
        <f>IF(COUNTIFS(Master_PIC!$A$8:$A$73,$B502)=1,IF(VLOOKUP($B502,Master_PIC!$A$8:$G$73,2,FALSE)="","",VLOOKUP($B502,Master_PIC!$A$8:$G$73,2,FALSE)),"")</f>
        <v/>
      </c>
      <c r="D502" s="15" t="str">
        <f>IF(COUNTIFS(Master_PIC!$A$8:$A$73,$B502)=1,IF(VLOOKUP($B502,Master_PIC!$A$8:$G$73,4,FALSE)="","",VLOOKUP($B502,Master_PIC!$A$8:$G$73,4,FALSE)),"")</f>
        <v/>
      </c>
      <c r="E502" s="15" t="str">
        <f>IF(COUNTIFS(Master_PIC!$A$8:$A$73,$B502)=1,IF(VLOOKUP($B502,Master_PIC!$A$8:$G$73,5,FALSE)="","",VLOOKUP($B502,Master_PIC!$A$8:$G$73,5,FALSE)),"")</f>
        <v/>
      </c>
      <c r="F502" s="15" t="str">
        <f>IF(COUNTIFS(Master_PIC!$A$8:$A$73,$B502)=1,IF(VLOOKUP($B502,Master_PIC!$A$8:$G$73,6,FALSE)="","",VLOOKUP($B502,Master_PIC!$A$8:$G$73,6,FALSE)),"")</f>
        <v/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8"/>
      <c r="X502" s="5"/>
      <c r="Y502" s="5"/>
      <c r="Z502" s="9"/>
      <c r="AA502" s="5"/>
      <c r="AB502" s="5"/>
      <c r="AC502" s="9"/>
      <c r="AD502" s="5"/>
      <c r="AE502" s="7" t="str">
        <f t="shared" si="49"/>
        <v/>
      </c>
      <c r="AF502" s="7" t="str">
        <f t="shared" si="50"/>
        <v/>
      </c>
      <c r="AG502" s="7" t="str">
        <f t="shared" si="51"/>
        <v/>
      </c>
      <c r="AH502" s="7" t="str">
        <f t="shared" si="52"/>
        <v/>
      </c>
      <c r="AI502" s="7" t="str">
        <f t="shared" si="53"/>
        <v/>
      </c>
      <c r="AJ502" s="7" t="str">
        <f t="shared" si="54"/>
        <v/>
      </c>
      <c r="AK502" s="10" t="str">
        <f t="shared" si="55"/>
        <v/>
      </c>
      <c r="AL502" s="15" t="str">
        <f>IF(OR($A502&lt;&gt;"",$B502&lt;&gt;""),IF(OR($A502="",$B502=""),"Isi tanggal dan ID PIC",IF(NOT(ISNUMBER($A502)),"Tanggal harus berupa tanggal Excel",IF(COUNTIFS(Master_PIC!$A$8:$A$73,$B502)&lt;&gt;1,"ID PIC tidak unik/terdaftar",IF(VLOOKUP($B502,Master_PIC!$A$8:$G$73,3,FALSE)&lt;&gt;"SPV","Jabatan tidak sesuai sheet",IF(OR($C502="",$D502="",$E502="",$F502=""),"Lengkapi master PIC",IF(COUNTIFS($A$8:$A$507,$A502,$B$8:$B$507,$B502)&gt;1,"Laporan ganda",IF(COUNTIFS(G502:O502,"Tidak Berlaku")&gt;0,"N/A hanya untuk kegiatan bersyarat",IF(SUM(AF502,AG502,AH502,AI502,AJ502)&lt;&gt;13,"Status kegiatan tidak valid",IF(AJ502&gt;0,"Lengkapi status kegiatan",IF(AND(AI502&gt;0,T502=""),"Isi alasan Tidak Berlaku",IF(AND(SUM(AG502,AH502)&gt;0,OR(T502="",U502="",V502="",W502="")),"Isi kendala dan tindak lanjut",IF(AND(Y502&lt;&gt;"Draft",Y502&lt;&gt;"Dikirim"),"Isi status laporan yang valid",IF(AND(AA502&lt;&gt;"",AA502&lt;&gt;"Belum Diperiksa",AA502&lt;&gt;"Disetujui",AA502&lt;&gt;"Perlu Perbaikan"),"Hasil review tidak valid",IF(AND(Y502="Dikirim",OR(X502="",Z502="")),"Isi bukti dan waktu kirim",IF(AND(AA502="Disetujui",OR(Y502&lt;&gt;"Dikirim",AB502="",AC502="")),"Lengkapi pemeriksaan",IF(AND(AA502="Perlu Perbaikan",OR(AD502="",AB502="",AC502="")),"Isi pemeriksa dan catatan perbaikan","OK")))))))))))))))),"")</f>
        <v/>
      </c>
    </row>
    <row r="503" spans="1:38" ht="24.95" customHeight="1">
      <c r="A503" s="8"/>
      <c r="B503" s="6"/>
      <c r="C503" s="15" t="str">
        <f>IF(COUNTIFS(Master_PIC!$A$8:$A$73,$B503)=1,IF(VLOOKUP($B503,Master_PIC!$A$8:$G$73,2,FALSE)="","",VLOOKUP($B503,Master_PIC!$A$8:$G$73,2,FALSE)),"")</f>
        <v/>
      </c>
      <c r="D503" s="15" t="str">
        <f>IF(COUNTIFS(Master_PIC!$A$8:$A$73,$B503)=1,IF(VLOOKUP($B503,Master_PIC!$A$8:$G$73,4,FALSE)="","",VLOOKUP($B503,Master_PIC!$A$8:$G$73,4,FALSE)),"")</f>
        <v/>
      </c>
      <c r="E503" s="15" t="str">
        <f>IF(COUNTIFS(Master_PIC!$A$8:$A$73,$B503)=1,IF(VLOOKUP($B503,Master_PIC!$A$8:$G$73,5,FALSE)="","",VLOOKUP($B503,Master_PIC!$A$8:$G$73,5,FALSE)),"")</f>
        <v/>
      </c>
      <c r="F503" s="15" t="str">
        <f>IF(COUNTIFS(Master_PIC!$A$8:$A$73,$B503)=1,IF(VLOOKUP($B503,Master_PIC!$A$8:$G$73,6,FALSE)="","",VLOOKUP($B503,Master_PIC!$A$8:$G$73,6,FALSE)),"")</f>
        <v/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8"/>
      <c r="X503" s="5"/>
      <c r="Y503" s="5"/>
      <c r="Z503" s="9"/>
      <c r="AA503" s="5"/>
      <c r="AB503" s="5"/>
      <c r="AC503" s="9"/>
      <c r="AD503" s="5"/>
      <c r="AE503" s="7" t="str">
        <f t="shared" si="49"/>
        <v/>
      </c>
      <c r="AF503" s="7" t="str">
        <f t="shared" si="50"/>
        <v/>
      </c>
      <c r="AG503" s="7" t="str">
        <f t="shared" si="51"/>
        <v/>
      </c>
      <c r="AH503" s="7" t="str">
        <f t="shared" si="52"/>
        <v/>
      </c>
      <c r="AI503" s="7" t="str">
        <f t="shared" si="53"/>
        <v/>
      </c>
      <c r="AJ503" s="7" t="str">
        <f t="shared" si="54"/>
        <v/>
      </c>
      <c r="AK503" s="10" t="str">
        <f t="shared" si="55"/>
        <v/>
      </c>
      <c r="AL503" s="15" t="str">
        <f>IF(OR($A503&lt;&gt;"",$B503&lt;&gt;""),IF(OR($A503="",$B503=""),"Isi tanggal dan ID PIC",IF(NOT(ISNUMBER($A503)),"Tanggal harus berupa tanggal Excel",IF(COUNTIFS(Master_PIC!$A$8:$A$73,$B503)&lt;&gt;1,"ID PIC tidak unik/terdaftar",IF(VLOOKUP($B503,Master_PIC!$A$8:$G$73,3,FALSE)&lt;&gt;"SPV","Jabatan tidak sesuai sheet",IF(OR($C503="",$D503="",$E503="",$F503=""),"Lengkapi master PIC",IF(COUNTIFS($A$8:$A$507,$A503,$B$8:$B$507,$B503)&gt;1,"Laporan ganda",IF(COUNTIFS(G503:O503,"Tidak Berlaku")&gt;0,"N/A hanya untuk kegiatan bersyarat",IF(SUM(AF503,AG503,AH503,AI503,AJ503)&lt;&gt;13,"Status kegiatan tidak valid",IF(AJ503&gt;0,"Lengkapi status kegiatan",IF(AND(AI503&gt;0,T503=""),"Isi alasan Tidak Berlaku",IF(AND(SUM(AG503,AH503)&gt;0,OR(T503="",U503="",V503="",W503="")),"Isi kendala dan tindak lanjut",IF(AND(Y503&lt;&gt;"Draft",Y503&lt;&gt;"Dikirim"),"Isi status laporan yang valid",IF(AND(AA503&lt;&gt;"",AA503&lt;&gt;"Belum Diperiksa",AA503&lt;&gt;"Disetujui",AA503&lt;&gt;"Perlu Perbaikan"),"Hasil review tidak valid",IF(AND(Y503="Dikirim",OR(X503="",Z503="")),"Isi bukti dan waktu kirim",IF(AND(AA503="Disetujui",OR(Y503&lt;&gt;"Dikirim",AB503="",AC503="")),"Lengkapi pemeriksaan",IF(AND(AA503="Perlu Perbaikan",OR(AD503="",AB503="",AC503="")),"Isi pemeriksa dan catatan perbaikan","OK")))))))))))))))),"")</f>
        <v/>
      </c>
    </row>
    <row r="504" spans="1:38" ht="24.95" customHeight="1">
      <c r="A504" s="8"/>
      <c r="B504" s="6"/>
      <c r="C504" s="15" t="str">
        <f>IF(COUNTIFS(Master_PIC!$A$8:$A$73,$B504)=1,IF(VLOOKUP($B504,Master_PIC!$A$8:$G$73,2,FALSE)="","",VLOOKUP($B504,Master_PIC!$A$8:$G$73,2,FALSE)),"")</f>
        <v/>
      </c>
      <c r="D504" s="15" t="str">
        <f>IF(COUNTIFS(Master_PIC!$A$8:$A$73,$B504)=1,IF(VLOOKUP($B504,Master_PIC!$A$8:$G$73,4,FALSE)="","",VLOOKUP($B504,Master_PIC!$A$8:$G$73,4,FALSE)),"")</f>
        <v/>
      </c>
      <c r="E504" s="15" t="str">
        <f>IF(COUNTIFS(Master_PIC!$A$8:$A$73,$B504)=1,IF(VLOOKUP($B504,Master_PIC!$A$8:$G$73,5,FALSE)="","",VLOOKUP($B504,Master_PIC!$A$8:$G$73,5,FALSE)),"")</f>
        <v/>
      </c>
      <c r="F504" s="15" t="str">
        <f>IF(COUNTIFS(Master_PIC!$A$8:$A$73,$B504)=1,IF(VLOOKUP($B504,Master_PIC!$A$8:$G$73,6,FALSE)="","",VLOOKUP($B504,Master_PIC!$A$8:$G$73,6,FALSE)),"")</f>
        <v/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8"/>
      <c r="X504" s="5"/>
      <c r="Y504" s="5"/>
      <c r="Z504" s="9"/>
      <c r="AA504" s="5"/>
      <c r="AB504" s="5"/>
      <c r="AC504" s="9"/>
      <c r="AD504" s="5"/>
      <c r="AE504" s="7" t="str">
        <f t="shared" si="49"/>
        <v/>
      </c>
      <c r="AF504" s="7" t="str">
        <f t="shared" si="50"/>
        <v/>
      </c>
      <c r="AG504" s="7" t="str">
        <f t="shared" si="51"/>
        <v/>
      </c>
      <c r="AH504" s="7" t="str">
        <f t="shared" si="52"/>
        <v/>
      </c>
      <c r="AI504" s="7" t="str">
        <f t="shared" si="53"/>
        <v/>
      </c>
      <c r="AJ504" s="7" t="str">
        <f t="shared" si="54"/>
        <v/>
      </c>
      <c r="AK504" s="10" t="str">
        <f t="shared" si="55"/>
        <v/>
      </c>
      <c r="AL504" s="15" t="str">
        <f>IF(OR($A504&lt;&gt;"",$B504&lt;&gt;""),IF(OR($A504="",$B504=""),"Isi tanggal dan ID PIC",IF(NOT(ISNUMBER($A504)),"Tanggal harus berupa tanggal Excel",IF(COUNTIFS(Master_PIC!$A$8:$A$73,$B504)&lt;&gt;1,"ID PIC tidak unik/terdaftar",IF(VLOOKUP($B504,Master_PIC!$A$8:$G$73,3,FALSE)&lt;&gt;"SPV","Jabatan tidak sesuai sheet",IF(OR($C504="",$D504="",$E504="",$F504=""),"Lengkapi master PIC",IF(COUNTIFS($A$8:$A$507,$A504,$B$8:$B$507,$B504)&gt;1,"Laporan ganda",IF(COUNTIFS(G504:O504,"Tidak Berlaku")&gt;0,"N/A hanya untuk kegiatan bersyarat",IF(SUM(AF504,AG504,AH504,AI504,AJ504)&lt;&gt;13,"Status kegiatan tidak valid",IF(AJ504&gt;0,"Lengkapi status kegiatan",IF(AND(AI504&gt;0,T504=""),"Isi alasan Tidak Berlaku",IF(AND(SUM(AG504,AH504)&gt;0,OR(T504="",U504="",V504="",W504="")),"Isi kendala dan tindak lanjut",IF(AND(Y504&lt;&gt;"Draft",Y504&lt;&gt;"Dikirim"),"Isi status laporan yang valid",IF(AND(AA504&lt;&gt;"",AA504&lt;&gt;"Belum Diperiksa",AA504&lt;&gt;"Disetujui",AA504&lt;&gt;"Perlu Perbaikan"),"Hasil review tidak valid",IF(AND(Y504="Dikirim",OR(X504="",Z504="")),"Isi bukti dan waktu kirim",IF(AND(AA504="Disetujui",OR(Y504&lt;&gt;"Dikirim",AB504="",AC504="")),"Lengkapi pemeriksaan",IF(AND(AA504="Perlu Perbaikan",OR(AD504="",AB504="",AC504="")),"Isi pemeriksa dan catatan perbaikan","OK")))))))))))))))),"")</f>
        <v/>
      </c>
    </row>
    <row r="505" spans="1:38" ht="24.95" customHeight="1">
      <c r="A505" s="8"/>
      <c r="B505" s="6"/>
      <c r="C505" s="15" t="str">
        <f>IF(COUNTIFS(Master_PIC!$A$8:$A$73,$B505)=1,IF(VLOOKUP($B505,Master_PIC!$A$8:$G$73,2,FALSE)="","",VLOOKUP($B505,Master_PIC!$A$8:$G$73,2,FALSE)),"")</f>
        <v/>
      </c>
      <c r="D505" s="15" t="str">
        <f>IF(COUNTIFS(Master_PIC!$A$8:$A$73,$B505)=1,IF(VLOOKUP($B505,Master_PIC!$A$8:$G$73,4,FALSE)="","",VLOOKUP($B505,Master_PIC!$A$8:$G$73,4,FALSE)),"")</f>
        <v/>
      </c>
      <c r="E505" s="15" t="str">
        <f>IF(COUNTIFS(Master_PIC!$A$8:$A$73,$B505)=1,IF(VLOOKUP($B505,Master_PIC!$A$8:$G$73,5,FALSE)="","",VLOOKUP($B505,Master_PIC!$A$8:$G$73,5,FALSE)),"")</f>
        <v/>
      </c>
      <c r="F505" s="15" t="str">
        <f>IF(COUNTIFS(Master_PIC!$A$8:$A$73,$B505)=1,IF(VLOOKUP($B505,Master_PIC!$A$8:$G$73,6,FALSE)="","",VLOOKUP($B505,Master_PIC!$A$8:$G$73,6,FALSE)),"")</f>
        <v/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8"/>
      <c r="X505" s="5"/>
      <c r="Y505" s="5"/>
      <c r="Z505" s="9"/>
      <c r="AA505" s="5"/>
      <c r="AB505" s="5"/>
      <c r="AC505" s="9"/>
      <c r="AD505" s="5"/>
      <c r="AE505" s="7" t="str">
        <f t="shared" si="49"/>
        <v/>
      </c>
      <c r="AF505" s="7" t="str">
        <f t="shared" si="50"/>
        <v/>
      </c>
      <c r="AG505" s="7" t="str">
        <f t="shared" si="51"/>
        <v/>
      </c>
      <c r="AH505" s="7" t="str">
        <f t="shared" si="52"/>
        <v/>
      </c>
      <c r="AI505" s="7" t="str">
        <f t="shared" si="53"/>
        <v/>
      </c>
      <c r="AJ505" s="7" t="str">
        <f t="shared" si="54"/>
        <v/>
      </c>
      <c r="AK505" s="10" t="str">
        <f t="shared" si="55"/>
        <v/>
      </c>
      <c r="AL505" s="15" t="str">
        <f>IF(OR($A505&lt;&gt;"",$B505&lt;&gt;""),IF(OR($A505="",$B505=""),"Isi tanggal dan ID PIC",IF(NOT(ISNUMBER($A505)),"Tanggal harus berupa tanggal Excel",IF(COUNTIFS(Master_PIC!$A$8:$A$73,$B505)&lt;&gt;1,"ID PIC tidak unik/terdaftar",IF(VLOOKUP($B505,Master_PIC!$A$8:$G$73,3,FALSE)&lt;&gt;"SPV","Jabatan tidak sesuai sheet",IF(OR($C505="",$D505="",$E505="",$F505=""),"Lengkapi master PIC",IF(COUNTIFS($A$8:$A$507,$A505,$B$8:$B$507,$B505)&gt;1,"Laporan ganda",IF(COUNTIFS(G505:O505,"Tidak Berlaku")&gt;0,"N/A hanya untuk kegiatan bersyarat",IF(SUM(AF505,AG505,AH505,AI505,AJ505)&lt;&gt;13,"Status kegiatan tidak valid",IF(AJ505&gt;0,"Lengkapi status kegiatan",IF(AND(AI505&gt;0,T505=""),"Isi alasan Tidak Berlaku",IF(AND(SUM(AG505,AH505)&gt;0,OR(T505="",U505="",V505="",W505="")),"Isi kendala dan tindak lanjut",IF(AND(Y505&lt;&gt;"Draft",Y505&lt;&gt;"Dikirim"),"Isi status laporan yang valid",IF(AND(AA505&lt;&gt;"",AA505&lt;&gt;"Belum Diperiksa",AA505&lt;&gt;"Disetujui",AA505&lt;&gt;"Perlu Perbaikan"),"Hasil review tidak valid",IF(AND(Y505="Dikirim",OR(X505="",Z505="")),"Isi bukti dan waktu kirim",IF(AND(AA505="Disetujui",OR(Y505&lt;&gt;"Dikirim",AB505="",AC505="")),"Lengkapi pemeriksaan",IF(AND(AA505="Perlu Perbaikan",OR(AD505="",AB505="",AC505="")),"Isi pemeriksa dan catatan perbaikan","OK")))))))))))))))),"")</f>
        <v/>
      </c>
    </row>
    <row r="506" spans="1:38" ht="24.95" customHeight="1">
      <c r="A506" s="8"/>
      <c r="B506" s="6"/>
      <c r="C506" s="15" t="str">
        <f>IF(COUNTIFS(Master_PIC!$A$8:$A$73,$B506)=1,IF(VLOOKUP($B506,Master_PIC!$A$8:$G$73,2,FALSE)="","",VLOOKUP($B506,Master_PIC!$A$8:$G$73,2,FALSE)),"")</f>
        <v/>
      </c>
      <c r="D506" s="15" t="str">
        <f>IF(COUNTIFS(Master_PIC!$A$8:$A$73,$B506)=1,IF(VLOOKUP($B506,Master_PIC!$A$8:$G$73,4,FALSE)="","",VLOOKUP($B506,Master_PIC!$A$8:$G$73,4,FALSE)),"")</f>
        <v/>
      </c>
      <c r="E506" s="15" t="str">
        <f>IF(COUNTIFS(Master_PIC!$A$8:$A$73,$B506)=1,IF(VLOOKUP($B506,Master_PIC!$A$8:$G$73,5,FALSE)="","",VLOOKUP($B506,Master_PIC!$A$8:$G$73,5,FALSE)),"")</f>
        <v/>
      </c>
      <c r="F506" s="15" t="str">
        <f>IF(COUNTIFS(Master_PIC!$A$8:$A$73,$B506)=1,IF(VLOOKUP($B506,Master_PIC!$A$8:$G$73,6,FALSE)="","",VLOOKUP($B506,Master_PIC!$A$8:$G$73,6,FALSE)),"")</f>
        <v/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8"/>
      <c r="X506" s="5"/>
      <c r="Y506" s="5"/>
      <c r="Z506" s="9"/>
      <c r="AA506" s="5"/>
      <c r="AB506" s="5"/>
      <c r="AC506" s="9"/>
      <c r="AD506" s="5"/>
      <c r="AE506" s="7" t="str">
        <f t="shared" si="49"/>
        <v/>
      </c>
      <c r="AF506" s="7" t="str">
        <f t="shared" si="50"/>
        <v/>
      </c>
      <c r="AG506" s="7" t="str">
        <f t="shared" si="51"/>
        <v/>
      </c>
      <c r="AH506" s="7" t="str">
        <f t="shared" si="52"/>
        <v/>
      </c>
      <c r="AI506" s="7" t="str">
        <f t="shared" si="53"/>
        <v/>
      </c>
      <c r="AJ506" s="7" t="str">
        <f t="shared" si="54"/>
        <v/>
      </c>
      <c r="AK506" s="10" t="str">
        <f t="shared" si="55"/>
        <v/>
      </c>
      <c r="AL506" s="15" t="str">
        <f>IF(OR($A506&lt;&gt;"",$B506&lt;&gt;""),IF(OR($A506="",$B506=""),"Isi tanggal dan ID PIC",IF(NOT(ISNUMBER($A506)),"Tanggal harus berupa tanggal Excel",IF(COUNTIFS(Master_PIC!$A$8:$A$73,$B506)&lt;&gt;1,"ID PIC tidak unik/terdaftar",IF(VLOOKUP($B506,Master_PIC!$A$8:$G$73,3,FALSE)&lt;&gt;"SPV","Jabatan tidak sesuai sheet",IF(OR($C506="",$D506="",$E506="",$F506=""),"Lengkapi master PIC",IF(COUNTIFS($A$8:$A$507,$A506,$B$8:$B$507,$B506)&gt;1,"Laporan ganda",IF(COUNTIFS(G506:O506,"Tidak Berlaku")&gt;0,"N/A hanya untuk kegiatan bersyarat",IF(SUM(AF506,AG506,AH506,AI506,AJ506)&lt;&gt;13,"Status kegiatan tidak valid",IF(AJ506&gt;0,"Lengkapi status kegiatan",IF(AND(AI506&gt;0,T506=""),"Isi alasan Tidak Berlaku",IF(AND(SUM(AG506,AH506)&gt;0,OR(T506="",U506="",V506="",W506="")),"Isi kendala dan tindak lanjut",IF(AND(Y506&lt;&gt;"Draft",Y506&lt;&gt;"Dikirim"),"Isi status laporan yang valid",IF(AND(AA506&lt;&gt;"",AA506&lt;&gt;"Belum Diperiksa",AA506&lt;&gt;"Disetujui",AA506&lt;&gt;"Perlu Perbaikan"),"Hasil review tidak valid",IF(AND(Y506="Dikirim",OR(X506="",Z506="")),"Isi bukti dan waktu kirim",IF(AND(AA506="Disetujui",OR(Y506&lt;&gt;"Dikirim",AB506="",AC506="")),"Lengkapi pemeriksaan",IF(AND(AA506="Perlu Perbaikan",OR(AD506="",AB506="",AC506="")),"Isi pemeriksa dan catatan perbaikan","OK")))))))))))))))),"")</f>
        <v/>
      </c>
    </row>
    <row r="507" spans="1:38" ht="24.95" customHeight="1">
      <c r="A507" s="8"/>
      <c r="B507" s="6"/>
      <c r="C507" s="15" t="str">
        <f>IF(COUNTIFS(Master_PIC!$A$8:$A$73,$B507)=1,IF(VLOOKUP($B507,Master_PIC!$A$8:$G$73,2,FALSE)="","",VLOOKUP($B507,Master_PIC!$A$8:$G$73,2,FALSE)),"")</f>
        <v/>
      </c>
      <c r="D507" s="15" t="str">
        <f>IF(COUNTIFS(Master_PIC!$A$8:$A$73,$B507)=1,IF(VLOOKUP($B507,Master_PIC!$A$8:$G$73,4,FALSE)="","",VLOOKUP($B507,Master_PIC!$A$8:$G$73,4,FALSE)),"")</f>
        <v/>
      </c>
      <c r="E507" s="15" t="str">
        <f>IF(COUNTIFS(Master_PIC!$A$8:$A$73,$B507)=1,IF(VLOOKUP($B507,Master_PIC!$A$8:$G$73,5,FALSE)="","",VLOOKUP($B507,Master_PIC!$A$8:$G$73,5,FALSE)),"")</f>
        <v/>
      </c>
      <c r="F507" s="15" t="str">
        <f>IF(COUNTIFS(Master_PIC!$A$8:$A$73,$B507)=1,IF(VLOOKUP($B507,Master_PIC!$A$8:$G$73,6,FALSE)="","",VLOOKUP($B507,Master_PIC!$A$8:$G$73,6,FALSE)),"")</f>
        <v/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8"/>
      <c r="X507" s="5"/>
      <c r="Y507" s="5"/>
      <c r="Z507" s="9"/>
      <c r="AA507" s="5"/>
      <c r="AB507" s="5"/>
      <c r="AC507" s="9"/>
      <c r="AD507" s="5"/>
      <c r="AE507" s="7" t="str">
        <f t="shared" si="49"/>
        <v/>
      </c>
      <c r="AF507" s="7" t="str">
        <f t="shared" si="50"/>
        <v/>
      </c>
      <c r="AG507" s="7" t="str">
        <f t="shared" si="51"/>
        <v/>
      </c>
      <c r="AH507" s="7" t="str">
        <f t="shared" si="52"/>
        <v/>
      </c>
      <c r="AI507" s="7" t="str">
        <f t="shared" si="53"/>
        <v/>
      </c>
      <c r="AJ507" s="7" t="str">
        <f t="shared" si="54"/>
        <v/>
      </c>
      <c r="AK507" s="10" t="str">
        <f t="shared" si="55"/>
        <v/>
      </c>
      <c r="AL507" s="15" t="str">
        <f>IF(OR($A507&lt;&gt;"",$B507&lt;&gt;""),IF(OR($A507="",$B507=""),"Isi tanggal dan ID PIC",IF(NOT(ISNUMBER($A507)),"Tanggal harus berupa tanggal Excel",IF(COUNTIFS(Master_PIC!$A$8:$A$73,$B507)&lt;&gt;1,"ID PIC tidak unik/terdaftar",IF(VLOOKUP($B507,Master_PIC!$A$8:$G$73,3,FALSE)&lt;&gt;"SPV","Jabatan tidak sesuai sheet",IF(OR($C507="",$D507="",$E507="",$F507=""),"Lengkapi master PIC",IF(COUNTIFS($A$8:$A$507,$A507,$B$8:$B$507,$B507)&gt;1,"Laporan ganda",IF(COUNTIFS(G507:O507,"Tidak Berlaku")&gt;0,"N/A hanya untuk kegiatan bersyarat",IF(SUM(AF507,AG507,AH507,AI507,AJ507)&lt;&gt;13,"Status kegiatan tidak valid",IF(AJ507&gt;0,"Lengkapi status kegiatan",IF(AND(AI507&gt;0,T507=""),"Isi alasan Tidak Berlaku",IF(AND(SUM(AG507,AH507)&gt;0,OR(T507="",U507="",V507="",W507="")),"Isi kendala dan tindak lanjut",IF(AND(Y507&lt;&gt;"Draft",Y507&lt;&gt;"Dikirim"),"Isi status laporan yang valid",IF(AND(AA507&lt;&gt;"",AA507&lt;&gt;"Belum Diperiksa",AA507&lt;&gt;"Disetujui",AA507&lt;&gt;"Perlu Perbaikan"),"Hasil review tidak valid",IF(AND(Y507="Dikirim",OR(X507="",Z507="")),"Isi bukti dan waktu kirim",IF(AND(AA507="Disetujui",OR(Y507&lt;&gt;"Dikirim",AB507="",AC507="")),"Lengkapi pemeriksaan",IF(AND(AA507="Perlu Perbaikan",OR(AD507="",AB507="",AC507="")),"Isi pemeriksa dan catatan perbaikan","OK")))))))))))))))),"")</f>
        <v/>
      </c>
    </row>
  </sheetData>
  <conditionalFormatting sqref="G8:S507">
    <cfRule type="cellIs" dxfId="22" priority="1" operator="equal">
      <formula>"Selesai"</formula>
    </cfRule>
    <cfRule type="cellIs" dxfId="21" priority="2" operator="equal">
      <formula>"Proses"</formula>
    </cfRule>
    <cfRule type="cellIs" dxfId="20" priority="3" operator="equal">
      <formula>"Belum"</formula>
    </cfRule>
    <cfRule type="cellIs" dxfId="19" priority="4" operator="equal">
      <formula>"Tidak Berlaku"</formula>
    </cfRule>
  </conditionalFormatting>
  <conditionalFormatting sqref="AA8:AA507">
    <cfRule type="cellIs" dxfId="18" priority="5" operator="equal">
      <formula>"Selesai"</formula>
    </cfRule>
    <cfRule type="cellIs" dxfId="17" priority="6" operator="equal">
      <formula>"Proses"</formula>
    </cfRule>
    <cfRule type="cellIs" dxfId="16" priority="7" operator="equal">
      <formula>"Belum"</formula>
    </cfRule>
    <cfRule type="cellIs" dxfId="15" priority="8" operator="equal">
      <formula>"Tidak Berlaku"</formula>
    </cfRule>
  </conditionalFormatting>
  <conditionalFormatting sqref="AL8:AL507">
    <cfRule type="expression" dxfId="14" priority="9">
      <formula>AND(AL8&lt;&gt;"",AL8&lt;&gt;"OK")</formula>
    </cfRule>
  </conditionalFormatting>
  <dataValidations count="4">
    <dataValidation type="list" sqref="G8:O507" xr:uid="{00000000-0002-0000-0200-000001000000}">
      <formula1>"Selesai,Proses,Belum"</formula1>
    </dataValidation>
    <dataValidation type="list" sqref="P8:S507" xr:uid="{00000000-0002-0000-0200-00000A000000}">
      <formula1>"Selesai,Proses,Belum,Tidak Berlaku"</formula1>
    </dataValidation>
    <dataValidation type="list" sqref="Y8:Y507" xr:uid="{00000000-0002-0000-0200-00000E000000}">
      <formula1>"Draft,Dikirim"</formula1>
    </dataValidation>
    <dataValidation type="list" sqref="AA8:AA507" xr:uid="{00000000-0002-0000-0200-00000F000000}">
      <formula1>"Belum Diperiksa,Disetujui,Perlu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Master_PIC!$A$12:$A$73</xm:f>
          </x14:formula1>
          <xm:sqref>B8:B507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A9B7"/>
  </sheetPr>
  <dimension ref="A1:AL507"/>
  <sheetViews>
    <sheetView showGridLines="0" workbookViewId="0">
      <pane xSplit="2" ySplit="7" topLeftCell="C8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RowHeight="14.25"/>
  <cols>
    <col min="1" max="1" width="15" customWidth="1"/>
    <col min="2" max="2" width="16" customWidth="1"/>
    <col min="3" max="3" width="24" customWidth="1"/>
    <col min="4" max="4" width="21" customWidth="1"/>
    <col min="5" max="5" width="23" customWidth="1"/>
    <col min="6" max="6" width="17" customWidth="1"/>
    <col min="7" max="19" width="18" customWidth="1"/>
    <col min="20" max="21" width="38" customWidth="1"/>
    <col min="22" max="22" width="19" customWidth="1"/>
    <col min="23" max="23" width="21" customWidth="1"/>
    <col min="24" max="24" width="35" customWidth="1"/>
    <col min="25" max="25" width="21" customWidth="1"/>
    <col min="26" max="26" width="23" customWidth="1"/>
    <col min="27" max="27" width="21" customWidth="1"/>
    <col min="28" max="28" width="19" customWidth="1"/>
    <col min="29" max="29" width="23" customWidth="1"/>
    <col min="30" max="30" width="38" customWidth="1"/>
    <col min="31" max="37" width="16" customWidth="1"/>
    <col min="38" max="38" width="36" customWidth="1"/>
  </cols>
  <sheetData>
    <row r="1" spans="1:38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0.95" customHeight="1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24" customHeight="1">
      <c r="A4" s="1" t="s">
        <v>90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4" customHeight="1">
      <c r="A5" s="1" t="s">
        <v>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45" customHeight="1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91</v>
      </c>
      <c r="H7" s="4" t="s">
        <v>92</v>
      </c>
      <c r="I7" s="4" t="s">
        <v>93</v>
      </c>
      <c r="J7" s="4" t="s">
        <v>94</v>
      </c>
      <c r="K7" s="4" t="s">
        <v>95</v>
      </c>
      <c r="L7" s="4" t="s">
        <v>96</v>
      </c>
      <c r="M7" s="4" t="s">
        <v>97</v>
      </c>
      <c r="N7" s="4" t="s">
        <v>98</v>
      </c>
      <c r="O7" s="4" t="s">
        <v>99</v>
      </c>
      <c r="P7" s="4" t="s">
        <v>100</v>
      </c>
      <c r="Q7" s="4" t="s">
        <v>101</v>
      </c>
      <c r="R7" s="4" t="s">
        <v>102</v>
      </c>
      <c r="S7" s="4" t="s">
        <v>103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4" t="s">
        <v>60</v>
      </c>
      <c r="Z7" s="4" t="s">
        <v>61</v>
      </c>
      <c r="AA7" s="4" t="s">
        <v>62</v>
      </c>
      <c r="AB7" s="4" t="s">
        <v>63</v>
      </c>
      <c r="AC7" s="4" t="s">
        <v>64</v>
      </c>
      <c r="AD7" s="4" t="s">
        <v>65</v>
      </c>
      <c r="AE7" s="4" t="s">
        <v>66</v>
      </c>
      <c r="AF7" s="4" t="s">
        <v>67</v>
      </c>
      <c r="AG7" s="4" t="s">
        <v>68</v>
      </c>
      <c r="AH7" s="4" t="s">
        <v>69</v>
      </c>
      <c r="AI7" s="4" t="s">
        <v>70</v>
      </c>
      <c r="AJ7" s="4" t="s">
        <v>71</v>
      </c>
      <c r="AK7" s="4" t="s">
        <v>72</v>
      </c>
      <c r="AL7" s="4" t="s">
        <v>73</v>
      </c>
    </row>
    <row r="8" spans="1:38" ht="24.95" customHeight="1">
      <c r="A8" s="8"/>
      <c r="B8" s="6"/>
      <c r="C8" s="15" t="str">
        <f>IF(COUNTIFS(Master_PIC!$A$8:$A$73,$B8)=1,IF(VLOOKUP($B8,Master_PIC!$A$8:$G$73,2,FALSE)="","",VLOOKUP($B8,Master_PIC!$A$8:$G$73,2,FALSE)),"")</f>
        <v/>
      </c>
      <c r="D8" s="15" t="str">
        <f>IF(COUNTIFS(Master_PIC!$A$8:$A$73,$B8)=1,IF(VLOOKUP($B8,Master_PIC!$A$8:$G$73,4,FALSE)="","",VLOOKUP($B8,Master_PIC!$A$8:$G$73,4,FALSE)),"")</f>
        <v/>
      </c>
      <c r="E8" s="15" t="str">
        <f>IF(COUNTIFS(Master_PIC!$A$8:$A$73,$B8)=1,IF(VLOOKUP($B8,Master_PIC!$A$8:$G$73,5,FALSE)="","",VLOOKUP($B8,Master_PIC!$A$8:$G$73,5,FALSE)),"")</f>
        <v/>
      </c>
      <c r="F8" s="15" t="str">
        <f>IF(COUNTIFS(Master_PIC!$A$8:$A$73,$B8)=1,IF(VLOOKUP($B8,Master_PIC!$A$8:$G$73,6,FALSE)="","",VLOOKUP($B8,Master_PIC!$A$8:$G$73,6,FALSE)),"")</f>
        <v/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8"/>
      <c r="X8" s="5"/>
      <c r="Y8" s="5"/>
      <c r="Z8" s="9"/>
      <c r="AA8" s="5"/>
      <c r="AB8" s="5"/>
      <c r="AC8" s="9"/>
      <c r="AD8" s="5"/>
      <c r="AE8" s="7" t="str">
        <f t="shared" ref="AE8:AE71" si="0">IF(OR($A8&lt;&gt;"",$B8&lt;&gt;""),13-AI8,"")</f>
        <v/>
      </c>
      <c r="AF8" s="7" t="str">
        <f t="shared" ref="AF8:AF71" si="1">IF(OR($A8&lt;&gt;"",$B8&lt;&gt;""),COUNTIFS(G8:S8,"Selesai"),"")</f>
        <v/>
      </c>
      <c r="AG8" s="7" t="str">
        <f t="shared" ref="AG8:AG71" si="2">IF(OR($A8&lt;&gt;"",$B8&lt;&gt;""),COUNTIFS(G8:S8,"Proses"),"")</f>
        <v/>
      </c>
      <c r="AH8" s="7" t="str">
        <f t="shared" ref="AH8:AH71" si="3">IF(OR($A8&lt;&gt;"",$B8&lt;&gt;""),COUNTIFS(G8:S8,"Belum"),"")</f>
        <v/>
      </c>
      <c r="AI8" s="7" t="str">
        <f t="shared" ref="AI8:AI71" si="4">IF(OR($A8&lt;&gt;"",$B8&lt;&gt;""),COUNTIFS(G8:S8,"Tidak Berlaku"),"")</f>
        <v/>
      </c>
      <c r="AJ8" s="7" t="str">
        <f t="shared" ref="AJ8:AJ71" si="5">IF(OR($A8&lt;&gt;"",$B8&lt;&gt;""),COUNTBLANK(G8:S8),"")</f>
        <v/>
      </c>
      <c r="AK8" s="10" t="str">
        <f t="shared" ref="AK8:AK71" si="6">IF(OR($A8&lt;&gt;"",$B8&lt;&gt;""),IF(AE8=0,"n.a.",AF8/AE8),"")</f>
        <v/>
      </c>
      <c r="AL8" s="15" t="str">
        <f>IF(OR($A8&lt;&gt;"",$B8&lt;&gt;""),IF(OR($A8="",$B8=""),"Isi tanggal dan ID PIC",IF(NOT(ISNUMBER($A8)),"Tanggal harus berupa tanggal Excel",IF(COUNTIFS(Master_PIC!$A$8:$A$73,$B8)&lt;&gt;1,"ID PIC tidak unik/terdaftar",IF(VLOOKUP($B8,Master_PIC!$A$8:$G$73,3,FALSE)&lt;&gt;"ASM","Jabatan tidak sesuai sheet",IF(OR($C8="",$D8="",$E8="",$F8=""),"Lengkapi master PIC",IF(COUNTIFS($A$8:$A$507,$A8,$B$8:$B$507,$B8)&gt;1,"Laporan ganda",IF(COUNTIFS(G8:O8,"Tidak Berlaku")&gt;0,"N/A hanya untuk kegiatan bersyarat",IF(SUM(AF8,AG8,AH8,AI8,AJ8)&lt;&gt;13,"Status kegiatan tidak valid",IF(AJ8&gt;0,"Lengkapi status kegiatan",IF(AND(AI8&gt;0,T8=""),"Isi alasan Tidak Berlaku",IF(AND(SUM(AG8,AH8)&gt;0,OR(T8="",U8="",V8="",W8="")),"Isi kendala dan tindak lanjut",IF(AND(Y8&lt;&gt;"Draft",Y8&lt;&gt;"Dikirim"),"Isi status laporan yang valid",IF(AND(AA8&lt;&gt;"",AA8&lt;&gt;"Belum Diperiksa",AA8&lt;&gt;"Disetujui",AA8&lt;&gt;"Perlu Perbaikan"),"Hasil review tidak valid",IF(AND(Y8="Dikirim",OR(X8="",Z8="")),"Isi bukti dan waktu kirim",IF(AND(AA8="Disetujui",OR(Y8&lt;&gt;"Dikirim",AB8="",AC8="")),"Lengkapi pemeriksaan",IF(AND(AA8="Perlu Perbaikan",OR(AD8="",AB8="",AC8="")),"Isi pemeriksa dan catatan perbaikan","OK")))))))))))))))),"")</f>
        <v/>
      </c>
    </row>
    <row r="9" spans="1:38" ht="24.95" customHeight="1">
      <c r="A9" s="8"/>
      <c r="B9" s="6"/>
      <c r="C9" s="15" t="str">
        <f>IF(COUNTIFS(Master_PIC!$A$8:$A$73,$B9)=1,IF(VLOOKUP($B9,Master_PIC!$A$8:$G$73,2,FALSE)="","",VLOOKUP($B9,Master_PIC!$A$8:$G$73,2,FALSE)),"")</f>
        <v/>
      </c>
      <c r="D9" s="15" t="str">
        <f>IF(COUNTIFS(Master_PIC!$A$8:$A$73,$B9)=1,IF(VLOOKUP($B9,Master_PIC!$A$8:$G$73,4,FALSE)="","",VLOOKUP($B9,Master_PIC!$A$8:$G$73,4,FALSE)),"")</f>
        <v/>
      </c>
      <c r="E9" s="15" t="str">
        <f>IF(COUNTIFS(Master_PIC!$A$8:$A$73,$B9)=1,IF(VLOOKUP($B9,Master_PIC!$A$8:$G$73,5,FALSE)="","",VLOOKUP($B9,Master_PIC!$A$8:$G$73,5,FALSE)),"")</f>
        <v/>
      </c>
      <c r="F9" s="15" t="str">
        <f>IF(COUNTIFS(Master_PIC!$A$8:$A$73,$B9)=1,IF(VLOOKUP($B9,Master_PIC!$A$8:$G$73,6,FALSE)="","",VLOOKUP($B9,Master_PIC!$A$8:$G$73,6,FALSE)),"")</f>
        <v/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8"/>
      <c r="X9" s="5"/>
      <c r="Y9" s="5"/>
      <c r="Z9" s="9"/>
      <c r="AA9" s="5"/>
      <c r="AB9" s="5"/>
      <c r="AC9" s="9"/>
      <c r="AD9" s="5"/>
      <c r="AE9" s="7" t="str">
        <f t="shared" si="0"/>
        <v/>
      </c>
      <c r="AF9" s="7" t="str">
        <f t="shared" si="1"/>
        <v/>
      </c>
      <c r="AG9" s="7" t="str">
        <f t="shared" si="2"/>
        <v/>
      </c>
      <c r="AH9" s="7" t="str">
        <f t="shared" si="3"/>
        <v/>
      </c>
      <c r="AI9" s="7" t="str">
        <f t="shared" si="4"/>
        <v/>
      </c>
      <c r="AJ9" s="7" t="str">
        <f t="shared" si="5"/>
        <v/>
      </c>
      <c r="AK9" s="10" t="str">
        <f t="shared" si="6"/>
        <v/>
      </c>
      <c r="AL9" s="15" t="str">
        <f>IF(OR($A9&lt;&gt;"",$B9&lt;&gt;""),IF(OR($A9="",$B9=""),"Isi tanggal dan ID PIC",IF(NOT(ISNUMBER($A9)),"Tanggal harus berupa tanggal Excel",IF(COUNTIFS(Master_PIC!$A$8:$A$73,$B9)&lt;&gt;1,"ID PIC tidak unik/terdaftar",IF(VLOOKUP($B9,Master_PIC!$A$8:$G$73,3,FALSE)&lt;&gt;"ASM","Jabatan tidak sesuai sheet",IF(OR($C9="",$D9="",$E9="",$F9=""),"Lengkapi master PIC",IF(COUNTIFS($A$8:$A$507,$A9,$B$8:$B$507,$B9)&gt;1,"Laporan ganda",IF(COUNTIFS(G9:O9,"Tidak Berlaku")&gt;0,"N/A hanya untuk kegiatan bersyarat",IF(SUM(AF9,AG9,AH9,AI9,AJ9)&lt;&gt;13,"Status kegiatan tidak valid",IF(AJ9&gt;0,"Lengkapi status kegiatan",IF(AND(AI9&gt;0,T9=""),"Isi alasan Tidak Berlaku",IF(AND(SUM(AG9,AH9)&gt;0,OR(T9="",U9="",V9="",W9="")),"Isi kendala dan tindak lanjut",IF(AND(Y9&lt;&gt;"Draft",Y9&lt;&gt;"Dikirim"),"Isi status laporan yang valid",IF(AND(AA9&lt;&gt;"",AA9&lt;&gt;"Belum Diperiksa",AA9&lt;&gt;"Disetujui",AA9&lt;&gt;"Perlu Perbaikan"),"Hasil review tidak valid",IF(AND(Y9="Dikirim",OR(X9="",Z9="")),"Isi bukti dan waktu kirim",IF(AND(AA9="Disetujui",OR(Y9&lt;&gt;"Dikirim",AB9="",AC9="")),"Lengkapi pemeriksaan",IF(AND(AA9="Perlu Perbaikan",OR(AD9="",AB9="",AC9="")),"Isi pemeriksa dan catatan perbaikan","OK")))))))))))))))),"")</f>
        <v/>
      </c>
    </row>
    <row r="10" spans="1:38" ht="24.95" customHeight="1">
      <c r="A10" s="8"/>
      <c r="B10" s="6"/>
      <c r="C10" s="15" t="str">
        <f>IF(COUNTIFS(Master_PIC!$A$8:$A$73,$B10)=1,IF(VLOOKUP($B10,Master_PIC!$A$8:$G$73,2,FALSE)="","",VLOOKUP($B10,Master_PIC!$A$8:$G$73,2,FALSE)),"")</f>
        <v/>
      </c>
      <c r="D10" s="15" t="str">
        <f>IF(COUNTIFS(Master_PIC!$A$8:$A$73,$B10)=1,IF(VLOOKUP($B10,Master_PIC!$A$8:$G$73,4,FALSE)="","",VLOOKUP($B10,Master_PIC!$A$8:$G$73,4,FALSE)),"")</f>
        <v/>
      </c>
      <c r="E10" s="15" t="str">
        <f>IF(COUNTIFS(Master_PIC!$A$8:$A$73,$B10)=1,IF(VLOOKUP($B10,Master_PIC!$A$8:$G$73,5,FALSE)="","",VLOOKUP($B10,Master_PIC!$A$8:$G$73,5,FALSE)),"")</f>
        <v/>
      </c>
      <c r="F10" s="15" t="str">
        <f>IF(COUNTIFS(Master_PIC!$A$8:$A$73,$B10)=1,IF(VLOOKUP($B10,Master_PIC!$A$8:$G$73,6,FALSE)="","",VLOOKUP($B10,Master_PIC!$A$8:$G$73,6,FALSE)),"")</f>
        <v/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8"/>
      <c r="X10" s="5"/>
      <c r="Y10" s="5"/>
      <c r="Z10" s="9"/>
      <c r="AA10" s="5"/>
      <c r="AB10" s="5"/>
      <c r="AC10" s="9"/>
      <c r="AD10" s="5"/>
      <c r="AE10" s="7" t="str">
        <f t="shared" si="0"/>
        <v/>
      </c>
      <c r="AF10" s="7" t="str">
        <f t="shared" si="1"/>
        <v/>
      </c>
      <c r="AG10" s="7" t="str">
        <f t="shared" si="2"/>
        <v/>
      </c>
      <c r="AH10" s="7" t="str">
        <f t="shared" si="3"/>
        <v/>
      </c>
      <c r="AI10" s="7" t="str">
        <f t="shared" si="4"/>
        <v/>
      </c>
      <c r="AJ10" s="7" t="str">
        <f t="shared" si="5"/>
        <v/>
      </c>
      <c r="AK10" s="10" t="str">
        <f t="shared" si="6"/>
        <v/>
      </c>
      <c r="AL10" s="15" t="str">
        <f>IF(OR($A10&lt;&gt;"",$B10&lt;&gt;""),IF(OR($A10="",$B10=""),"Isi tanggal dan ID PIC",IF(NOT(ISNUMBER($A10)),"Tanggal harus berupa tanggal Excel",IF(COUNTIFS(Master_PIC!$A$8:$A$73,$B10)&lt;&gt;1,"ID PIC tidak unik/terdaftar",IF(VLOOKUP($B10,Master_PIC!$A$8:$G$73,3,FALSE)&lt;&gt;"ASM","Jabatan tidak sesuai sheet",IF(OR($C10="",$D10="",$E10="",$F10=""),"Lengkapi master PIC",IF(COUNTIFS($A$8:$A$507,$A10,$B$8:$B$507,$B10)&gt;1,"Laporan ganda",IF(COUNTIFS(G10:O10,"Tidak Berlaku")&gt;0,"N/A hanya untuk kegiatan bersyarat",IF(SUM(AF10,AG10,AH10,AI10,AJ10)&lt;&gt;13,"Status kegiatan tidak valid",IF(AJ10&gt;0,"Lengkapi status kegiatan",IF(AND(AI10&gt;0,T10=""),"Isi alasan Tidak Berlaku",IF(AND(SUM(AG10,AH10)&gt;0,OR(T10="",U10="",V10="",W10="")),"Isi kendala dan tindak lanjut",IF(AND(Y10&lt;&gt;"Draft",Y10&lt;&gt;"Dikirim"),"Isi status laporan yang valid",IF(AND(AA10&lt;&gt;"",AA10&lt;&gt;"Belum Diperiksa",AA10&lt;&gt;"Disetujui",AA10&lt;&gt;"Perlu Perbaikan"),"Hasil review tidak valid",IF(AND(Y10="Dikirim",OR(X10="",Z10="")),"Isi bukti dan waktu kirim",IF(AND(AA10="Disetujui",OR(Y10&lt;&gt;"Dikirim",AB10="",AC10="")),"Lengkapi pemeriksaan",IF(AND(AA10="Perlu Perbaikan",OR(AD10="",AB10="",AC10="")),"Isi pemeriksa dan catatan perbaikan","OK")))))))))))))))),"")</f>
        <v/>
      </c>
    </row>
    <row r="11" spans="1:38" ht="24.95" customHeight="1">
      <c r="A11" s="8"/>
      <c r="B11" s="6"/>
      <c r="C11" s="15" t="str">
        <f>IF(COUNTIFS(Master_PIC!$A$8:$A$73,$B11)=1,IF(VLOOKUP($B11,Master_PIC!$A$8:$G$73,2,FALSE)="","",VLOOKUP($B11,Master_PIC!$A$8:$G$73,2,FALSE)),"")</f>
        <v/>
      </c>
      <c r="D11" s="15" t="str">
        <f>IF(COUNTIFS(Master_PIC!$A$8:$A$73,$B11)=1,IF(VLOOKUP($B11,Master_PIC!$A$8:$G$73,4,FALSE)="","",VLOOKUP($B11,Master_PIC!$A$8:$G$73,4,FALSE)),"")</f>
        <v/>
      </c>
      <c r="E11" s="15" t="str">
        <f>IF(COUNTIFS(Master_PIC!$A$8:$A$73,$B11)=1,IF(VLOOKUP($B11,Master_PIC!$A$8:$G$73,5,FALSE)="","",VLOOKUP($B11,Master_PIC!$A$8:$G$73,5,FALSE)),"")</f>
        <v/>
      </c>
      <c r="F11" s="15" t="str">
        <f>IF(COUNTIFS(Master_PIC!$A$8:$A$73,$B11)=1,IF(VLOOKUP($B11,Master_PIC!$A$8:$G$73,6,FALSE)="","",VLOOKUP($B11,Master_PIC!$A$8:$G$73,6,FALSE)),"")</f>
        <v/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8"/>
      <c r="X11" s="5"/>
      <c r="Y11" s="5"/>
      <c r="Z11" s="9"/>
      <c r="AA11" s="5"/>
      <c r="AB11" s="5"/>
      <c r="AC11" s="9"/>
      <c r="AD11" s="5"/>
      <c r="AE11" s="7" t="str">
        <f t="shared" si="0"/>
        <v/>
      </c>
      <c r="AF11" s="7" t="str">
        <f t="shared" si="1"/>
        <v/>
      </c>
      <c r="AG11" s="7" t="str">
        <f t="shared" si="2"/>
        <v/>
      </c>
      <c r="AH11" s="7" t="str">
        <f t="shared" si="3"/>
        <v/>
      </c>
      <c r="AI11" s="7" t="str">
        <f t="shared" si="4"/>
        <v/>
      </c>
      <c r="AJ11" s="7" t="str">
        <f t="shared" si="5"/>
        <v/>
      </c>
      <c r="AK11" s="10" t="str">
        <f t="shared" si="6"/>
        <v/>
      </c>
      <c r="AL11" s="15" t="str">
        <f>IF(OR($A11&lt;&gt;"",$B11&lt;&gt;""),IF(OR($A11="",$B11=""),"Isi tanggal dan ID PIC",IF(NOT(ISNUMBER($A11)),"Tanggal harus berupa tanggal Excel",IF(COUNTIFS(Master_PIC!$A$8:$A$73,$B11)&lt;&gt;1,"ID PIC tidak unik/terdaftar",IF(VLOOKUP($B11,Master_PIC!$A$8:$G$73,3,FALSE)&lt;&gt;"ASM","Jabatan tidak sesuai sheet",IF(OR($C11="",$D11="",$E11="",$F11=""),"Lengkapi master PIC",IF(COUNTIFS($A$8:$A$507,$A11,$B$8:$B$507,$B11)&gt;1,"Laporan ganda",IF(COUNTIFS(G11:O11,"Tidak Berlaku")&gt;0,"N/A hanya untuk kegiatan bersyarat",IF(SUM(AF11,AG11,AH11,AI11,AJ11)&lt;&gt;13,"Status kegiatan tidak valid",IF(AJ11&gt;0,"Lengkapi status kegiatan",IF(AND(AI11&gt;0,T11=""),"Isi alasan Tidak Berlaku",IF(AND(SUM(AG11,AH11)&gt;0,OR(T11="",U11="",V11="",W11="")),"Isi kendala dan tindak lanjut",IF(AND(Y11&lt;&gt;"Draft",Y11&lt;&gt;"Dikirim"),"Isi status laporan yang valid",IF(AND(AA11&lt;&gt;"",AA11&lt;&gt;"Belum Diperiksa",AA11&lt;&gt;"Disetujui",AA11&lt;&gt;"Perlu Perbaikan"),"Hasil review tidak valid",IF(AND(Y11="Dikirim",OR(X11="",Z11="")),"Isi bukti dan waktu kirim",IF(AND(AA11="Disetujui",OR(Y11&lt;&gt;"Dikirim",AB11="",AC11="")),"Lengkapi pemeriksaan",IF(AND(AA11="Perlu Perbaikan",OR(AD11="",AB11="",AC11="")),"Isi pemeriksa dan catatan perbaikan","OK")))))))))))))))),"")</f>
        <v/>
      </c>
    </row>
    <row r="12" spans="1:38" ht="24.95" customHeight="1">
      <c r="A12" s="8"/>
      <c r="B12" s="6"/>
      <c r="C12" s="15" t="str">
        <f>IF(COUNTIFS(Master_PIC!$A$8:$A$73,$B12)=1,IF(VLOOKUP($B12,Master_PIC!$A$8:$G$73,2,FALSE)="","",VLOOKUP($B12,Master_PIC!$A$8:$G$73,2,FALSE)),"")</f>
        <v/>
      </c>
      <c r="D12" s="15" t="str">
        <f>IF(COUNTIFS(Master_PIC!$A$8:$A$73,$B12)=1,IF(VLOOKUP($B12,Master_PIC!$A$8:$G$73,4,FALSE)="","",VLOOKUP($B12,Master_PIC!$A$8:$G$73,4,FALSE)),"")</f>
        <v/>
      </c>
      <c r="E12" s="15" t="str">
        <f>IF(COUNTIFS(Master_PIC!$A$8:$A$73,$B12)=1,IF(VLOOKUP($B12,Master_PIC!$A$8:$G$73,5,FALSE)="","",VLOOKUP($B12,Master_PIC!$A$8:$G$73,5,FALSE)),"")</f>
        <v/>
      </c>
      <c r="F12" s="15" t="str">
        <f>IF(COUNTIFS(Master_PIC!$A$8:$A$73,$B12)=1,IF(VLOOKUP($B12,Master_PIC!$A$8:$G$73,6,FALSE)="","",VLOOKUP($B12,Master_PIC!$A$8:$G$73,6,FALSE)),"")</f>
        <v/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8"/>
      <c r="X12" s="5"/>
      <c r="Y12" s="5"/>
      <c r="Z12" s="9"/>
      <c r="AA12" s="5"/>
      <c r="AB12" s="5"/>
      <c r="AC12" s="9"/>
      <c r="AD12" s="5"/>
      <c r="AE12" s="7" t="str">
        <f t="shared" si="0"/>
        <v/>
      </c>
      <c r="AF12" s="7" t="str">
        <f t="shared" si="1"/>
        <v/>
      </c>
      <c r="AG12" s="7" t="str">
        <f t="shared" si="2"/>
        <v/>
      </c>
      <c r="AH12" s="7" t="str">
        <f t="shared" si="3"/>
        <v/>
      </c>
      <c r="AI12" s="7" t="str">
        <f t="shared" si="4"/>
        <v/>
      </c>
      <c r="AJ12" s="7" t="str">
        <f t="shared" si="5"/>
        <v/>
      </c>
      <c r="AK12" s="10" t="str">
        <f t="shared" si="6"/>
        <v/>
      </c>
      <c r="AL12" s="15" t="str">
        <f>IF(OR($A12&lt;&gt;"",$B12&lt;&gt;""),IF(OR($A12="",$B12=""),"Isi tanggal dan ID PIC",IF(NOT(ISNUMBER($A12)),"Tanggal harus berupa tanggal Excel",IF(COUNTIFS(Master_PIC!$A$8:$A$73,$B12)&lt;&gt;1,"ID PIC tidak unik/terdaftar",IF(VLOOKUP($B12,Master_PIC!$A$8:$G$73,3,FALSE)&lt;&gt;"ASM","Jabatan tidak sesuai sheet",IF(OR($C12="",$D12="",$E12="",$F12=""),"Lengkapi master PIC",IF(COUNTIFS($A$8:$A$507,$A12,$B$8:$B$507,$B12)&gt;1,"Laporan ganda",IF(COUNTIFS(G12:O12,"Tidak Berlaku")&gt;0,"N/A hanya untuk kegiatan bersyarat",IF(SUM(AF12,AG12,AH12,AI12,AJ12)&lt;&gt;13,"Status kegiatan tidak valid",IF(AJ12&gt;0,"Lengkapi status kegiatan",IF(AND(AI12&gt;0,T12=""),"Isi alasan Tidak Berlaku",IF(AND(SUM(AG12,AH12)&gt;0,OR(T12="",U12="",V12="",W12="")),"Isi kendala dan tindak lanjut",IF(AND(Y12&lt;&gt;"Draft",Y12&lt;&gt;"Dikirim"),"Isi status laporan yang valid",IF(AND(AA12&lt;&gt;"",AA12&lt;&gt;"Belum Diperiksa",AA12&lt;&gt;"Disetujui",AA12&lt;&gt;"Perlu Perbaikan"),"Hasil review tidak valid",IF(AND(Y12="Dikirim",OR(X12="",Z12="")),"Isi bukti dan waktu kirim",IF(AND(AA12="Disetujui",OR(Y12&lt;&gt;"Dikirim",AB12="",AC12="")),"Lengkapi pemeriksaan",IF(AND(AA12="Perlu Perbaikan",OR(AD12="",AB12="",AC12="")),"Isi pemeriksa dan catatan perbaikan","OK")))))))))))))))),"")</f>
        <v/>
      </c>
    </row>
    <row r="13" spans="1:38" ht="24.95" customHeight="1">
      <c r="A13" s="8"/>
      <c r="B13" s="6"/>
      <c r="C13" s="15" t="str">
        <f>IF(COUNTIFS(Master_PIC!$A$8:$A$73,$B13)=1,IF(VLOOKUP($B13,Master_PIC!$A$8:$G$73,2,FALSE)="","",VLOOKUP($B13,Master_PIC!$A$8:$G$73,2,FALSE)),"")</f>
        <v/>
      </c>
      <c r="D13" s="15" t="str">
        <f>IF(COUNTIFS(Master_PIC!$A$8:$A$73,$B13)=1,IF(VLOOKUP($B13,Master_PIC!$A$8:$G$73,4,FALSE)="","",VLOOKUP($B13,Master_PIC!$A$8:$G$73,4,FALSE)),"")</f>
        <v/>
      </c>
      <c r="E13" s="15" t="str">
        <f>IF(COUNTIFS(Master_PIC!$A$8:$A$73,$B13)=1,IF(VLOOKUP($B13,Master_PIC!$A$8:$G$73,5,FALSE)="","",VLOOKUP($B13,Master_PIC!$A$8:$G$73,5,FALSE)),"")</f>
        <v/>
      </c>
      <c r="F13" s="15" t="str">
        <f>IF(COUNTIFS(Master_PIC!$A$8:$A$73,$B13)=1,IF(VLOOKUP($B13,Master_PIC!$A$8:$G$73,6,FALSE)="","",VLOOKUP($B13,Master_PIC!$A$8:$G$73,6,FALSE)),"")</f>
        <v/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8"/>
      <c r="X13" s="5"/>
      <c r="Y13" s="5"/>
      <c r="Z13" s="9"/>
      <c r="AA13" s="5"/>
      <c r="AB13" s="5"/>
      <c r="AC13" s="9"/>
      <c r="AD13" s="5"/>
      <c r="AE13" s="7" t="str">
        <f t="shared" si="0"/>
        <v/>
      </c>
      <c r="AF13" s="7" t="str">
        <f t="shared" si="1"/>
        <v/>
      </c>
      <c r="AG13" s="7" t="str">
        <f t="shared" si="2"/>
        <v/>
      </c>
      <c r="AH13" s="7" t="str">
        <f t="shared" si="3"/>
        <v/>
      </c>
      <c r="AI13" s="7" t="str">
        <f t="shared" si="4"/>
        <v/>
      </c>
      <c r="AJ13" s="7" t="str">
        <f t="shared" si="5"/>
        <v/>
      </c>
      <c r="AK13" s="10" t="str">
        <f t="shared" si="6"/>
        <v/>
      </c>
      <c r="AL13" s="15" t="str">
        <f>IF(OR($A13&lt;&gt;"",$B13&lt;&gt;""),IF(OR($A13="",$B13=""),"Isi tanggal dan ID PIC",IF(NOT(ISNUMBER($A13)),"Tanggal harus berupa tanggal Excel",IF(COUNTIFS(Master_PIC!$A$8:$A$73,$B13)&lt;&gt;1,"ID PIC tidak unik/terdaftar",IF(VLOOKUP($B13,Master_PIC!$A$8:$G$73,3,FALSE)&lt;&gt;"ASM","Jabatan tidak sesuai sheet",IF(OR($C13="",$D13="",$E13="",$F13=""),"Lengkapi master PIC",IF(COUNTIFS($A$8:$A$507,$A13,$B$8:$B$507,$B13)&gt;1,"Laporan ganda",IF(COUNTIFS(G13:O13,"Tidak Berlaku")&gt;0,"N/A hanya untuk kegiatan bersyarat",IF(SUM(AF13,AG13,AH13,AI13,AJ13)&lt;&gt;13,"Status kegiatan tidak valid",IF(AJ13&gt;0,"Lengkapi status kegiatan",IF(AND(AI13&gt;0,T13=""),"Isi alasan Tidak Berlaku",IF(AND(SUM(AG13,AH13)&gt;0,OR(T13="",U13="",V13="",W13="")),"Isi kendala dan tindak lanjut",IF(AND(Y13&lt;&gt;"Draft",Y13&lt;&gt;"Dikirim"),"Isi status laporan yang valid",IF(AND(AA13&lt;&gt;"",AA13&lt;&gt;"Belum Diperiksa",AA13&lt;&gt;"Disetujui",AA13&lt;&gt;"Perlu Perbaikan"),"Hasil review tidak valid",IF(AND(Y13="Dikirim",OR(X13="",Z13="")),"Isi bukti dan waktu kirim",IF(AND(AA13="Disetujui",OR(Y13&lt;&gt;"Dikirim",AB13="",AC13="")),"Lengkapi pemeriksaan",IF(AND(AA13="Perlu Perbaikan",OR(AD13="",AB13="",AC13="")),"Isi pemeriksa dan catatan perbaikan","OK")))))))))))))))),"")</f>
        <v/>
      </c>
    </row>
    <row r="14" spans="1:38" ht="24.95" customHeight="1">
      <c r="A14" s="8"/>
      <c r="B14" s="6"/>
      <c r="C14" s="15" t="str">
        <f>IF(COUNTIFS(Master_PIC!$A$8:$A$73,$B14)=1,IF(VLOOKUP($B14,Master_PIC!$A$8:$G$73,2,FALSE)="","",VLOOKUP($B14,Master_PIC!$A$8:$G$73,2,FALSE)),"")</f>
        <v/>
      </c>
      <c r="D14" s="15" t="str">
        <f>IF(COUNTIFS(Master_PIC!$A$8:$A$73,$B14)=1,IF(VLOOKUP($B14,Master_PIC!$A$8:$G$73,4,FALSE)="","",VLOOKUP($B14,Master_PIC!$A$8:$G$73,4,FALSE)),"")</f>
        <v/>
      </c>
      <c r="E14" s="15" t="str">
        <f>IF(COUNTIFS(Master_PIC!$A$8:$A$73,$B14)=1,IF(VLOOKUP($B14,Master_PIC!$A$8:$G$73,5,FALSE)="","",VLOOKUP($B14,Master_PIC!$A$8:$G$73,5,FALSE)),"")</f>
        <v/>
      </c>
      <c r="F14" s="15" t="str">
        <f>IF(COUNTIFS(Master_PIC!$A$8:$A$73,$B14)=1,IF(VLOOKUP($B14,Master_PIC!$A$8:$G$73,6,FALSE)="","",VLOOKUP($B14,Master_PIC!$A$8:$G$73,6,FALSE)),"")</f>
        <v/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8"/>
      <c r="X14" s="5"/>
      <c r="Y14" s="5"/>
      <c r="Z14" s="9"/>
      <c r="AA14" s="5"/>
      <c r="AB14" s="5"/>
      <c r="AC14" s="9"/>
      <c r="AD14" s="5"/>
      <c r="AE14" s="7" t="str">
        <f t="shared" si="0"/>
        <v/>
      </c>
      <c r="AF14" s="7" t="str">
        <f t="shared" si="1"/>
        <v/>
      </c>
      <c r="AG14" s="7" t="str">
        <f t="shared" si="2"/>
        <v/>
      </c>
      <c r="AH14" s="7" t="str">
        <f t="shared" si="3"/>
        <v/>
      </c>
      <c r="AI14" s="7" t="str">
        <f t="shared" si="4"/>
        <v/>
      </c>
      <c r="AJ14" s="7" t="str">
        <f t="shared" si="5"/>
        <v/>
      </c>
      <c r="AK14" s="10" t="str">
        <f t="shared" si="6"/>
        <v/>
      </c>
      <c r="AL14" s="15" t="str">
        <f>IF(OR($A14&lt;&gt;"",$B14&lt;&gt;""),IF(OR($A14="",$B14=""),"Isi tanggal dan ID PIC",IF(NOT(ISNUMBER($A14)),"Tanggal harus berupa tanggal Excel",IF(COUNTIFS(Master_PIC!$A$8:$A$73,$B14)&lt;&gt;1,"ID PIC tidak unik/terdaftar",IF(VLOOKUP($B14,Master_PIC!$A$8:$G$73,3,FALSE)&lt;&gt;"ASM","Jabatan tidak sesuai sheet",IF(OR($C14="",$D14="",$E14="",$F14=""),"Lengkapi master PIC",IF(COUNTIFS($A$8:$A$507,$A14,$B$8:$B$507,$B14)&gt;1,"Laporan ganda",IF(COUNTIFS(G14:O14,"Tidak Berlaku")&gt;0,"N/A hanya untuk kegiatan bersyarat",IF(SUM(AF14,AG14,AH14,AI14,AJ14)&lt;&gt;13,"Status kegiatan tidak valid",IF(AJ14&gt;0,"Lengkapi status kegiatan",IF(AND(AI14&gt;0,T14=""),"Isi alasan Tidak Berlaku",IF(AND(SUM(AG14,AH14)&gt;0,OR(T14="",U14="",V14="",W14="")),"Isi kendala dan tindak lanjut",IF(AND(Y14&lt;&gt;"Draft",Y14&lt;&gt;"Dikirim"),"Isi status laporan yang valid",IF(AND(AA14&lt;&gt;"",AA14&lt;&gt;"Belum Diperiksa",AA14&lt;&gt;"Disetujui",AA14&lt;&gt;"Perlu Perbaikan"),"Hasil review tidak valid",IF(AND(Y14="Dikirim",OR(X14="",Z14="")),"Isi bukti dan waktu kirim",IF(AND(AA14="Disetujui",OR(Y14&lt;&gt;"Dikirim",AB14="",AC14="")),"Lengkapi pemeriksaan",IF(AND(AA14="Perlu Perbaikan",OR(AD14="",AB14="",AC14="")),"Isi pemeriksa dan catatan perbaikan","OK")))))))))))))))),"")</f>
        <v/>
      </c>
    </row>
    <row r="15" spans="1:38" ht="24.95" customHeight="1">
      <c r="A15" s="8"/>
      <c r="B15" s="6"/>
      <c r="C15" s="15" t="str">
        <f>IF(COUNTIFS(Master_PIC!$A$8:$A$73,$B15)=1,IF(VLOOKUP($B15,Master_PIC!$A$8:$G$73,2,FALSE)="","",VLOOKUP($B15,Master_PIC!$A$8:$G$73,2,FALSE)),"")</f>
        <v/>
      </c>
      <c r="D15" s="15" t="str">
        <f>IF(COUNTIFS(Master_PIC!$A$8:$A$73,$B15)=1,IF(VLOOKUP($B15,Master_PIC!$A$8:$G$73,4,FALSE)="","",VLOOKUP($B15,Master_PIC!$A$8:$G$73,4,FALSE)),"")</f>
        <v/>
      </c>
      <c r="E15" s="15" t="str">
        <f>IF(COUNTIFS(Master_PIC!$A$8:$A$73,$B15)=1,IF(VLOOKUP($B15,Master_PIC!$A$8:$G$73,5,FALSE)="","",VLOOKUP($B15,Master_PIC!$A$8:$G$73,5,FALSE)),"")</f>
        <v/>
      </c>
      <c r="F15" s="15" t="str">
        <f>IF(COUNTIFS(Master_PIC!$A$8:$A$73,$B15)=1,IF(VLOOKUP($B15,Master_PIC!$A$8:$G$73,6,FALSE)="","",VLOOKUP($B15,Master_PIC!$A$8:$G$73,6,FALSE)),"")</f>
        <v/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  <c r="X15" s="5"/>
      <c r="Y15" s="5"/>
      <c r="Z15" s="9"/>
      <c r="AA15" s="5"/>
      <c r="AB15" s="5"/>
      <c r="AC15" s="9"/>
      <c r="AD15" s="5"/>
      <c r="AE15" s="7" t="str">
        <f t="shared" si="0"/>
        <v/>
      </c>
      <c r="AF15" s="7" t="str">
        <f t="shared" si="1"/>
        <v/>
      </c>
      <c r="AG15" s="7" t="str">
        <f t="shared" si="2"/>
        <v/>
      </c>
      <c r="AH15" s="7" t="str">
        <f t="shared" si="3"/>
        <v/>
      </c>
      <c r="AI15" s="7" t="str">
        <f t="shared" si="4"/>
        <v/>
      </c>
      <c r="AJ15" s="7" t="str">
        <f t="shared" si="5"/>
        <v/>
      </c>
      <c r="AK15" s="10" t="str">
        <f t="shared" si="6"/>
        <v/>
      </c>
      <c r="AL15" s="15" t="str">
        <f>IF(OR($A15&lt;&gt;"",$B15&lt;&gt;""),IF(OR($A15="",$B15=""),"Isi tanggal dan ID PIC",IF(NOT(ISNUMBER($A15)),"Tanggal harus berupa tanggal Excel",IF(COUNTIFS(Master_PIC!$A$8:$A$73,$B15)&lt;&gt;1,"ID PIC tidak unik/terdaftar",IF(VLOOKUP($B15,Master_PIC!$A$8:$G$73,3,FALSE)&lt;&gt;"ASM","Jabatan tidak sesuai sheet",IF(OR($C15="",$D15="",$E15="",$F15=""),"Lengkapi master PIC",IF(COUNTIFS($A$8:$A$507,$A15,$B$8:$B$507,$B15)&gt;1,"Laporan ganda",IF(COUNTIFS(G15:O15,"Tidak Berlaku")&gt;0,"N/A hanya untuk kegiatan bersyarat",IF(SUM(AF15,AG15,AH15,AI15,AJ15)&lt;&gt;13,"Status kegiatan tidak valid",IF(AJ15&gt;0,"Lengkapi status kegiatan",IF(AND(AI15&gt;0,T15=""),"Isi alasan Tidak Berlaku",IF(AND(SUM(AG15,AH15)&gt;0,OR(T15="",U15="",V15="",W15="")),"Isi kendala dan tindak lanjut",IF(AND(Y15&lt;&gt;"Draft",Y15&lt;&gt;"Dikirim"),"Isi status laporan yang valid",IF(AND(AA15&lt;&gt;"",AA15&lt;&gt;"Belum Diperiksa",AA15&lt;&gt;"Disetujui",AA15&lt;&gt;"Perlu Perbaikan"),"Hasil review tidak valid",IF(AND(Y15="Dikirim",OR(X15="",Z15="")),"Isi bukti dan waktu kirim",IF(AND(AA15="Disetujui",OR(Y15&lt;&gt;"Dikirim",AB15="",AC15="")),"Lengkapi pemeriksaan",IF(AND(AA15="Perlu Perbaikan",OR(AD15="",AB15="",AC15="")),"Isi pemeriksa dan catatan perbaikan","OK")))))))))))))))),"")</f>
        <v/>
      </c>
    </row>
    <row r="16" spans="1:38" ht="24.95" customHeight="1">
      <c r="A16" s="8"/>
      <c r="B16" s="6"/>
      <c r="C16" s="15" t="str">
        <f>IF(COUNTIFS(Master_PIC!$A$8:$A$73,$B16)=1,IF(VLOOKUP($B16,Master_PIC!$A$8:$G$73,2,FALSE)="","",VLOOKUP($B16,Master_PIC!$A$8:$G$73,2,FALSE)),"")</f>
        <v/>
      </c>
      <c r="D16" s="15" t="str">
        <f>IF(COUNTIFS(Master_PIC!$A$8:$A$73,$B16)=1,IF(VLOOKUP($B16,Master_PIC!$A$8:$G$73,4,FALSE)="","",VLOOKUP($B16,Master_PIC!$A$8:$G$73,4,FALSE)),"")</f>
        <v/>
      </c>
      <c r="E16" s="15" t="str">
        <f>IF(COUNTIFS(Master_PIC!$A$8:$A$73,$B16)=1,IF(VLOOKUP($B16,Master_PIC!$A$8:$G$73,5,FALSE)="","",VLOOKUP($B16,Master_PIC!$A$8:$G$73,5,FALSE)),"")</f>
        <v/>
      </c>
      <c r="F16" s="15" t="str">
        <f>IF(COUNTIFS(Master_PIC!$A$8:$A$73,$B16)=1,IF(VLOOKUP($B16,Master_PIC!$A$8:$G$73,6,FALSE)="","",VLOOKUP($B16,Master_PIC!$A$8:$G$73,6,FALSE)),"")</f>
        <v/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  <c r="X16" s="5"/>
      <c r="Y16" s="5"/>
      <c r="Z16" s="9"/>
      <c r="AA16" s="5"/>
      <c r="AB16" s="5"/>
      <c r="AC16" s="9"/>
      <c r="AD16" s="5"/>
      <c r="AE16" s="7" t="str">
        <f t="shared" si="0"/>
        <v/>
      </c>
      <c r="AF16" s="7" t="str">
        <f t="shared" si="1"/>
        <v/>
      </c>
      <c r="AG16" s="7" t="str">
        <f t="shared" si="2"/>
        <v/>
      </c>
      <c r="AH16" s="7" t="str">
        <f t="shared" si="3"/>
        <v/>
      </c>
      <c r="AI16" s="7" t="str">
        <f t="shared" si="4"/>
        <v/>
      </c>
      <c r="AJ16" s="7" t="str">
        <f t="shared" si="5"/>
        <v/>
      </c>
      <c r="AK16" s="10" t="str">
        <f t="shared" si="6"/>
        <v/>
      </c>
      <c r="AL16" s="15" t="str">
        <f>IF(OR($A16&lt;&gt;"",$B16&lt;&gt;""),IF(OR($A16="",$B16=""),"Isi tanggal dan ID PIC",IF(NOT(ISNUMBER($A16)),"Tanggal harus berupa tanggal Excel",IF(COUNTIFS(Master_PIC!$A$8:$A$73,$B16)&lt;&gt;1,"ID PIC tidak unik/terdaftar",IF(VLOOKUP($B16,Master_PIC!$A$8:$G$73,3,FALSE)&lt;&gt;"ASM","Jabatan tidak sesuai sheet",IF(OR($C16="",$D16="",$E16="",$F16=""),"Lengkapi master PIC",IF(COUNTIFS($A$8:$A$507,$A16,$B$8:$B$507,$B16)&gt;1,"Laporan ganda",IF(COUNTIFS(G16:O16,"Tidak Berlaku")&gt;0,"N/A hanya untuk kegiatan bersyarat",IF(SUM(AF16,AG16,AH16,AI16,AJ16)&lt;&gt;13,"Status kegiatan tidak valid",IF(AJ16&gt;0,"Lengkapi status kegiatan",IF(AND(AI16&gt;0,T16=""),"Isi alasan Tidak Berlaku",IF(AND(SUM(AG16,AH16)&gt;0,OR(T16="",U16="",V16="",W16="")),"Isi kendala dan tindak lanjut",IF(AND(Y16&lt;&gt;"Draft",Y16&lt;&gt;"Dikirim"),"Isi status laporan yang valid",IF(AND(AA16&lt;&gt;"",AA16&lt;&gt;"Belum Diperiksa",AA16&lt;&gt;"Disetujui",AA16&lt;&gt;"Perlu Perbaikan"),"Hasil review tidak valid",IF(AND(Y16="Dikirim",OR(X16="",Z16="")),"Isi bukti dan waktu kirim",IF(AND(AA16="Disetujui",OR(Y16&lt;&gt;"Dikirim",AB16="",AC16="")),"Lengkapi pemeriksaan",IF(AND(AA16="Perlu Perbaikan",OR(AD16="",AB16="",AC16="")),"Isi pemeriksa dan catatan perbaikan","OK")))))))))))))))),"")</f>
        <v/>
      </c>
    </row>
    <row r="17" spans="1:38" ht="24.95" customHeight="1">
      <c r="A17" s="8"/>
      <c r="B17" s="6"/>
      <c r="C17" s="15" t="str">
        <f>IF(COUNTIFS(Master_PIC!$A$8:$A$73,$B17)=1,IF(VLOOKUP($B17,Master_PIC!$A$8:$G$73,2,FALSE)="","",VLOOKUP($B17,Master_PIC!$A$8:$G$73,2,FALSE)),"")</f>
        <v/>
      </c>
      <c r="D17" s="15" t="str">
        <f>IF(COUNTIFS(Master_PIC!$A$8:$A$73,$B17)=1,IF(VLOOKUP($B17,Master_PIC!$A$8:$G$73,4,FALSE)="","",VLOOKUP($B17,Master_PIC!$A$8:$G$73,4,FALSE)),"")</f>
        <v/>
      </c>
      <c r="E17" s="15" t="str">
        <f>IF(COUNTIFS(Master_PIC!$A$8:$A$73,$B17)=1,IF(VLOOKUP($B17,Master_PIC!$A$8:$G$73,5,FALSE)="","",VLOOKUP($B17,Master_PIC!$A$8:$G$73,5,FALSE)),"")</f>
        <v/>
      </c>
      <c r="F17" s="15" t="str">
        <f>IF(COUNTIFS(Master_PIC!$A$8:$A$73,$B17)=1,IF(VLOOKUP($B17,Master_PIC!$A$8:$G$73,6,FALSE)="","",VLOOKUP($B17,Master_PIC!$A$8:$G$73,6,FALSE)),"")</f>
        <v/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  <c r="X17" s="5"/>
      <c r="Y17" s="5"/>
      <c r="Z17" s="9"/>
      <c r="AA17" s="5"/>
      <c r="AB17" s="5"/>
      <c r="AC17" s="9"/>
      <c r="AD17" s="5"/>
      <c r="AE17" s="7" t="str">
        <f t="shared" si="0"/>
        <v/>
      </c>
      <c r="AF17" s="7" t="str">
        <f t="shared" si="1"/>
        <v/>
      </c>
      <c r="AG17" s="7" t="str">
        <f t="shared" si="2"/>
        <v/>
      </c>
      <c r="AH17" s="7" t="str">
        <f t="shared" si="3"/>
        <v/>
      </c>
      <c r="AI17" s="7" t="str">
        <f t="shared" si="4"/>
        <v/>
      </c>
      <c r="AJ17" s="7" t="str">
        <f t="shared" si="5"/>
        <v/>
      </c>
      <c r="AK17" s="10" t="str">
        <f t="shared" si="6"/>
        <v/>
      </c>
      <c r="AL17" s="15" t="str">
        <f>IF(OR($A17&lt;&gt;"",$B17&lt;&gt;""),IF(OR($A17="",$B17=""),"Isi tanggal dan ID PIC",IF(NOT(ISNUMBER($A17)),"Tanggal harus berupa tanggal Excel",IF(COUNTIFS(Master_PIC!$A$8:$A$73,$B17)&lt;&gt;1,"ID PIC tidak unik/terdaftar",IF(VLOOKUP($B17,Master_PIC!$A$8:$G$73,3,FALSE)&lt;&gt;"ASM","Jabatan tidak sesuai sheet",IF(OR($C17="",$D17="",$E17="",$F17=""),"Lengkapi master PIC",IF(COUNTIFS($A$8:$A$507,$A17,$B$8:$B$507,$B17)&gt;1,"Laporan ganda",IF(COUNTIFS(G17:O17,"Tidak Berlaku")&gt;0,"N/A hanya untuk kegiatan bersyarat",IF(SUM(AF17,AG17,AH17,AI17,AJ17)&lt;&gt;13,"Status kegiatan tidak valid",IF(AJ17&gt;0,"Lengkapi status kegiatan",IF(AND(AI17&gt;0,T17=""),"Isi alasan Tidak Berlaku",IF(AND(SUM(AG17,AH17)&gt;0,OR(T17="",U17="",V17="",W17="")),"Isi kendala dan tindak lanjut",IF(AND(Y17&lt;&gt;"Draft",Y17&lt;&gt;"Dikirim"),"Isi status laporan yang valid",IF(AND(AA17&lt;&gt;"",AA17&lt;&gt;"Belum Diperiksa",AA17&lt;&gt;"Disetujui",AA17&lt;&gt;"Perlu Perbaikan"),"Hasil review tidak valid",IF(AND(Y17="Dikirim",OR(X17="",Z17="")),"Isi bukti dan waktu kirim",IF(AND(AA17="Disetujui",OR(Y17&lt;&gt;"Dikirim",AB17="",AC17="")),"Lengkapi pemeriksaan",IF(AND(AA17="Perlu Perbaikan",OR(AD17="",AB17="",AC17="")),"Isi pemeriksa dan catatan perbaikan","OK")))))))))))))))),"")</f>
        <v/>
      </c>
    </row>
    <row r="18" spans="1:38" ht="24.95" customHeight="1">
      <c r="A18" s="8"/>
      <c r="B18" s="6"/>
      <c r="C18" s="15" t="str">
        <f>IF(COUNTIFS(Master_PIC!$A$8:$A$73,$B18)=1,IF(VLOOKUP($B18,Master_PIC!$A$8:$G$73,2,FALSE)="","",VLOOKUP($B18,Master_PIC!$A$8:$G$73,2,FALSE)),"")</f>
        <v/>
      </c>
      <c r="D18" s="15" t="str">
        <f>IF(COUNTIFS(Master_PIC!$A$8:$A$73,$B18)=1,IF(VLOOKUP($B18,Master_PIC!$A$8:$G$73,4,FALSE)="","",VLOOKUP($B18,Master_PIC!$A$8:$G$73,4,FALSE)),"")</f>
        <v/>
      </c>
      <c r="E18" s="15" t="str">
        <f>IF(COUNTIFS(Master_PIC!$A$8:$A$73,$B18)=1,IF(VLOOKUP($B18,Master_PIC!$A$8:$G$73,5,FALSE)="","",VLOOKUP($B18,Master_PIC!$A$8:$G$73,5,FALSE)),"")</f>
        <v/>
      </c>
      <c r="F18" s="15" t="str">
        <f>IF(COUNTIFS(Master_PIC!$A$8:$A$73,$B18)=1,IF(VLOOKUP($B18,Master_PIC!$A$8:$G$73,6,FALSE)="","",VLOOKUP($B18,Master_PIC!$A$8:$G$73,6,FALSE)),"")</f>
        <v/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8"/>
      <c r="X18" s="5"/>
      <c r="Y18" s="5"/>
      <c r="Z18" s="9"/>
      <c r="AA18" s="5"/>
      <c r="AB18" s="5"/>
      <c r="AC18" s="9"/>
      <c r="AD18" s="5"/>
      <c r="AE18" s="7" t="str">
        <f t="shared" si="0"/>
        <v/>
      </c>
      <c r="AF18" s="7" t="str">
        <f t="shared" si="1"/>
        <v/>
      </c>
      <c r="AG18" s="7" t="str">
        <f t="shared" si="2"/>
        <v/>
      </c>
      <c r="AH18" s="7" t="str">
        <f t="shared" si="3"/>
        <v/>
      </c>
      <c r="AI18" s="7" t="str">
        <f t="shared" si="4"/>
        <v/>
      </c>
      <c r="AJ18" s="7" t="str">
        <f t="shared" si="5"/>
        <v/>
      </c>
      <c r="AK18" s="10" t="str">
        <f t="shared" si="6"/>
        <v/>
      </c>
      <c r="AL18" s="15" t="str">
        <f>IF(OR($A18&lt;&gt;"",$B18&lt;&gt;""),IF(OR($A18="",$B18=""),"Isi tanggal dan ID PIC",IF(NOT(ISNUMBER($A18)),"Tanggal harus berupa tanggal Excel",IF(COUNTIFS(Master_PIC!$A$8:$A$73,$B18)&lt;&gt;1,"ID PIC tidak unik/terdaftar",IF(VLOOKUP($B18,Master_PIC!$A$8:$G$73,3,FALSE)&lt;&gt;"ASM","Jabatan tidak sesuai sheet",IF(OR($C18="",$D18="",$E18="",$F18=""),"Lengkapi master PIC",IF(COUNTIFS($A$8:$A$507,$A18,$B$8:$B$507,$B18)&gt;1,"Laporan ganda",IF(COUNTIFS(G18:O18,"Tidak Berlaku")&gt;0,"N/A hanya untuk kegiatan bersyarat",IF(SUM(AF18,AG18,AH18,AI18,AJ18)&lt;&gt;13,"Status kegiatan tidak valid",IF(AJ18&gt;0,"Lengkapi status kegiatan",IF(AND(AI18&gt;0,T18=""),"Isi alasan Tidak Berlaku",IF(AND(SUM(AG18,AH18)&gt;0,OR(T18="",U18="",V18="",W18="")),"Isi kendala dan tindak lanjut",IF(AND(Y18&lt;&gt;"Draft",Y18&lt;&gt;"Dikirim"),"Isi status laporan yang valid",IF(AND(AA18&lt;&gt;"",AA18&lt;&gt;"Belum Diperiksa",AA18&lt;&gt;"Disetujui",AA18&lt;&gt;"Perlu Perbaikan"),"Hasil review tidak valid",IF(AND(Y18="Dikirim",OR(X18="",Z18="")),"Isi bukti dan waktu kirim",IF(AND(AA18="Disetujui",OR(Y18&lt;&gt;"Dikirim",AB18="",AC18="")),"Lengkapi pemeriksaan",IF(AND(AA18="Perlu Perbaikan",OR(AD18="",AB18="",AC18="")),"Isi pemeriksa dan catatan perbaikan","OK")))))))))))))))),"")</f>
        <v/>
      </c>
    </row>
    <row r="19" spans="1:38" ht="24.95" customHeight="1">
      <c r="A19" s="8"/>
      <c r="B19" s="6"/>
      <c r="C19" s="15" t="str">
        <f>IF(COUNTIFS(Master_PIC!$A$8:$A$73,$B19)=1,IF(VLOOKUP($B19,Master_PIC!$A$8:$G$73,2,FALSE)="","",VLOOKUP($B19,Master_PIC!$A$8:$G$73,2,FALSE)),"")</f>
        <v/>
      </c>
      <c r="D19" s="15" t="str">
        <f>IF(COUNTIFS(Master_PIC!$A$8:$A$73,$B19)=1,IF(VLOOKUP($B19,Master_PIC!$A$8:$G$73,4,FALSE)="","",VLOOKUP($B19,Master_PIC!$A$8:$G$73,4,FALSE)),"")</f>
        <v/>
      </c>
      <c r="E19" s="15" t="str">
        <f>IF(COUNTIFS(Master_PIC!$A$8:$A$73,$B19)=1,IF(VLOOKUP($B19,Master_PIC!$A$8:$G$73,5,FALSE)="","",VLOOKUP($B19,Master_PIC!$A$8:$G$73,5,FALSE)),"")</f>
        <v/>
      </c>
      <c r="F19" s="15" t="str">
        <f>IF(COUNTIFS(Master_PIC!$A$8:$A$73,$B19)=1,IF(VLOOKUP($B19,Master_PIC!$A$8:$G$73,6,FALSE)="","",VLOOKUP($B19,Master_PIC!$A$8:$G$73,6,FALSE)),"")</f>
        <v/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  <c r="X19" s="5"/>
      <c r="Y19" s="5"/>
      <c r="Z19" s="9"/>
      <c r="AA19" s="5"/>
      <c r="AB19" s="5"/>
      <c r="AC19" s="9"/>
      <c r="AD19" s="5"/>
      <c r="AE19" s="7" t="str">
        <f t="shared" si="0"/>
        <v/>
      </c>
      <c r="AF19" s="7" t="str">
        <f t="shared" si="1"/>
        <v/>
      </c>
      <c r="AG19" s="7" t="str">
        <f t="shared" si="2"/>
        <v/>
      </c>
      <c r="AH19" s="7" t="str">
        <f t="shared" si="3"/>
        <v/>
      </c>
      <c r="AI19" s="7" t="str">
        <f t="shared" si="4"/>
        <v/>
      </c>
      <c r="AJ19" s="7" t="str">
        <f t="shared" si="5"/>
        <v/>
      </c>
      <c r="AK19" s="10" t="str">
        <f t="shared" si="6"/>
        <v/>
      </c>
      <c r="AL19" s="15" t="str">
        <f>IF(OR($A19&lt;&gt;"",$B19&lt;&gt;""),IF(OR($A19="",$B19=""),"Isi tanggal dan ID PIC",IF(NOT(ISNUMBER($A19)),"Tanggal harus berupa tanggal Excel",IF(COUNTIFS(Master_PIC!$A$8:$A$73,$B19)&lt;&gt;1,"ID PIC tidak unik/terdaftar",IF(VLOOKUP($B19,Master_PIC!$A$8:$G$73,3,FALSE)&lt;&gt;"ASM","Jabatan tidak sesuai sheet",IF(OR($C19="",$D19="",$E19="",$F19=""),"Lengkapi master PIC",IF(COUNTIFS($A$8:$A$507,$A19,$B$8:$B$507,$B19)&gt;1,"Laporan ganda",IF(COUNTIFS(G19:O19,"Tidak Berlaku")&gt;0,"N/A hanya untuk kegiatan bersyarat",IF(SUM(AF19,AG19,AH19,AI19,AJ19)&lt;&gt;13,"Status kegiatan tidak valid",IF(AJ19&gt;0,"Lengkapi status kegiatan",IF(AND(AI19&gt;0,T19=""),"Isi alasan Tidak Berlaku",IF(AND(SUM(AG19,AH19)&gt;0,OR(T19="",U19="",V19="",W19="")),"Isi kendala dan tindak lanjut",IF(AND(Y19&lt;&gt;"Draft",Y19&lt;&gt;"Dikirim"),"Isi status laporan yang valid",IF(AND(AA19&lt;&gt;"",AA19&lt;&gt;"Belum Diperiksa",AA19&lt;&gt;"Disetujui",AA19&lt;&gt;"Perlu Perbaikan"),"Hasil review tidak valid",IF(AND(Y19="Dikirim",OR(X19="",Z19="")),"Isi bukti dan waktu kirim",IF(AND(AA19="Disetujui",OR(Y19&lt;&gt;"Dikirim",AB19="",AC19="")),"Lengkapi pemeriksaan",IF(AND(AA19="Perlu Perbaikan",OR(AD19="",AB19="",AC19="")),"Isi pemeriksa dan catatan perbaikan","OK")))))))))))))))),"")</f>
        <v/>
      </c>
    </row>
    <row r="20" spans="1:38" ht="24.95" customHeight="1">
      <c r="A20" s="8"/>
      <c r="B20" s="6"/>
      <c r="C20" s="15" t="str">
        <f>IF(COUNTIFS(Master_PIC!$A$8:$A$73,$B20)=1,IF(VLOOKUP($B20,Master_PIC!$A$8:$G$73,2,FALSE)="","",VLOOKUP($B20,Master_PIC!$A$8:$G$73,2,FALSE)),"")</f>
        <v/>
      </c>
      <c r="D20" s="15" t="str">
        <f>IF(COUNTIFS(Master_PIC!$A$8:$A$73,$B20)=1,IF(VLOOKUP($B20,Master_PIC!$A$8:$G$73,4,FALSE)="","",VLOOKUP($B20,Master_PIC!$A$8:$G$73,4,FALSE)),"")</f>
        <v/>
      </c>
      <c r="E20" s="15" t="str">
        <f>IF(COUNTIFS(Master_PIC!$A$8:$A$73,$B20)=1,IF(VLOOKUP($B20,Master_PIC!$A$8:$G$73,5,FALSE)="","",VLOOKUP($B20,Master_PIC!$A$8:$G$73,5,FALSE)),"")</f>
        <v/>
      </c>
      <c r="F20" s="15" t="str">
        <f>IF(COUNTIFS(Master_PIC!$A$8:$A$73,$B20)=1,IF(VLOOKUP($B20,Master_PIC!$A$8:$G$73,6,FALSE)="","",VLOOKUP($B20,Master_PIC!$A$8:$G$73,6,FALSE)),"")</f>
        <v/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  <c r="X20" s="5"/>
      <c r="Y20" s="5"/>
      <c r="Z20" s="9"/>
      <c r="AA20" s="5"/>
      <c r="AB20" s="5"/>
      <c r="AC20" s="9"/>
      <c r="AD20" s="5"/>
      <c r="AE20" s="7" t="str">
        <f t="shared" si="0"/>
        <v/>
      </c>
      <c r="AF20" s="7" t="str">
        <f t="shared" si="1"/>
        <v/>
      </c>
      <c r="AG20" s="7" t="str">
        <f t="shared" si="2"/>
        <v/>
      </c>
      <c r="AH20" s="7" t="str">
        <f t="shared" si="3"/>
        <v/>
      </c>
      <c r="AI20" s="7" t="str">
        <f t="shared" si="4"/>
        <v/>
      </c>
      <c r="AJ20" s="7" t="str">
        <f t="shared" si="5"/>
        <v/>
      </c>
      <c r="AK20" s="10" t="str">
        <f t="shared" si="6"/>
        <v/>
      </c>
      <c r="AL20" s="15" t="str">
        <f>IF(OR($A20&lt;&gt;"",$B20&lt;&gt;""),IF(OR($A20="",$B20=""),"Isi tanggal dan ID PIC",IF(NOT(ISNUMBER($A20)),"Tanggal harus berupa tanggal Excel",IF(COUNTIFS(Master_PIC!$A$8:$A$73,$B20)&lt;&gt;1,"ID PIC tidak unik/terdaftar",IF(VLOOKUP($B20,Master_PIC!$A$8:$G$73,3,FALSE)&lt;&gt;"ASM","Jabatan tidak sesuai sheet",IF(OR($C20="",$D20="",$E20="",$F20=""),"Lengkapi master PIC",IF(COUNTIFS($A$8:$A$507,$A20,$B$8:$B$507,$B20)&gt;1,"Laporan ganda",IF(COUNTIFS(G20:O20,"Tidak Berlaku")&gt;0,"N/A hanya untuk kegiatan bersyarat",IF(SUM(AF20,AG20,AH20,AI20,AJ20)&lt;&gt;13,"Status kegiatan tidak valid",IF(AJ20&gt;0,"Lengkapi status kegiatan",IF(AND(AI20&gt;0,T20=""),"Isi alasan Tidak Berlaku",IF(AND(SUM(AG20,AH20)&gt;0,OR(T20="",U20="",V20="",W20="")),"Isi kendala dan tindak lanjut",IF(AND(Y20&lt;&gt;"Draft",Y20&lt;&gt;"Dikirim"),"Isi status laporan yang valid",IF(AND(AA20&lt;&gt;"",AA20&lt;&gt;"Belum Diperiksa",AA20&lt;&gt;"Disetujui",AA20&lt;&gt;"Perlu Perbaikan"),"Hasil review tidak valid",IF(AND(Y20="Dikirim",OR(X20="",Z20="")),"Isi bukti dan waktu kirim",IF(AND(AA20="Disetujui",OR(Y20&lt;&gt;"Dikirim",AB20="",AC20="")),"Lengkapi pemeriksaan",IF(AND(AA20="Perlu Perbaikan",OR(AD20="",AB20="",AC20="")),"Isi pemeriksa dan catatan perbaikan","OK")))))))))))))))),"")</f>
        <v/>
      </c>
    </row>
    <row r="21" spans="1:38" ht="24.95" customHeight="1">
      <c r="A21" s="8"/>
      <c r="B21" s="6"/>
      <c r="C21" s="15" t="str">
        <f>IF(COUNTIFS(Master_PIC!$A$8:$A$73,$B21)=1,IF(VLOOKUP($B21,Master_PIC!$A$8:$G$73,2,FALSE)="","",VLOOKUP($B21,Master_PIC!$A$8:$G$73,2,FALSE)),"")</f>
        <v/>
      </c>
      <c r="D21" s="15" t="str">
        <f>IF(COUNTIFS(Master_PIC!$A$8:$A$73,$B21)=1,IF(VLOOKUP($B21,Master_PIC!$A$8:$G$73,4,FALSE)="","",VLOOKUP($B21,Master_PIC!$A$8:$G$73,4,FALSE)),"")</f>
        <v/>
      </c>
      <c r="E21" s="15" t="str">
        <f>IF(COUNTIFS(Master_PIC!$A$8:$A$73,$B21)=1,IF(VLOOKUP($B21,Master_PIC!$A$8:$G$73,5,FALSE)="","",VLOOKUP($B21,Master_PIC!$A$8:$G$73,5,FALSE)),"")</f>
        <v/>
      </c>
      <c r="F21" s="15" t="str">
        <f>IF(COUNTIFS(Master_PIC!$A$8:$A$73,$B21)=1,IF(VLOOKUP($B21,Master_PIC!$A$8:$G$73,6,FALSE)="","",VLOOKUP($B21,Master_PIC!$A$8:$G$73,6,FALSE)),"")</f>
        <v/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  <c r="X21" s="5"/>
      <c r="Y21" s="5"/>
      <c r="Z21" s="9"/>
      <c r="AA21" s="5"/>
      <c r="AB21" s="5"/>
      <c r="AC21" s="9"/>
      <c r="AD21" s="5"/>
      <c r="AE21" s="7" t="str">
        <f t="shared" si="0"/>
        <v/>
      </c>
      <c r="AF21" s="7" t="str">
        <f t="shared" si="1"/>
        <v/>
      </c>
      <c r="AG21" s="7" t="str">
        <f t="shared" si="2"/>
        <v/>
      </c>
      <c r="AH21" s="7" t="str">
        <f t="shared" si="3"/>
        <v/>
      </c>
      <c r="AI21" s="7" t="str">
        <f t="shared" si="4"/>
        <v/>
      </c>
      <c r="AJ21" s="7" t="str">
        <f t="shared" si="5"/>
        <v/>
      </c>
      <c r="AK21" s="10" t="str">
        <f t="shared" si="6"/>
        <v/>
      </c>
      <c r="AL21" s="15" t="str">
        <f>IF(OR($A21&lt;&gt;"",$B21&lt;&gt;""),IF(OR($A21="",$B21=""),"Isi tanggal dan ID PIC",IF(NOT(ISNUMBER($A21)),"Tanggal harus berupa tanggal Excel",IF(COUNTIFS(Master_PIC!$A$8:$A$73,$B21)&lt;&gt;1,"ID PIC tidak unik/terdaftar",IF(VLOOKUP($B21,Master_PIC!$A$8:$G$73,3,FALSE)&lt;&gt;"ASM","Jabatan tidak sesuai sheet",IF(OR($C21="",$D21="",$E21="",$F21=""),"Lengkapi master PIC",IF(COUNTIFS($A$8:$A$507,$A21,$B$8:$B$507,$B21)&gt;1,"Laporan ganda",IF(COUNTIFS(G21:O21,"Tidak Berlaku")&gt;0,"N/A hanya untuk kegiatan bersyarat",IF(SUM(AF21,AG21,AH21,AI21,AJ21)&lt;&gt;13,"Status kegiatan tidak valid",IF(AJ21&gt;0,"Lengkapi status kegiatan",IF(AND(AI21&gt;0,T21=""),"Isi alasan Tidak Berlaku",IF(AND(SUM(AG21,AH21)&gt;0,OR(T21="",U21="",V21="",W21="")),"Isi kendala dan tindak lanjut",IF(AND(Y21&lt;&gt;"Draft",Y21&lt;&gt;"Dikirim"),"Isi status laporan yang valid",IF(AND(AA21&lt;&gt;"",AA21&lt;&gt;"Belum Diperiksa",AA21&lt;&gt;"Disetujui",AA21&lt;&gt;"Perlu Perbaikan"),"Hasil review tidak valid",IF(AND(Y21="Dikirim",OR(X21="",Z21="")),"Isi bukti dan waktu kirim",IF(AND(AA21="Disetujui",OR(Y21&lt;&gt;"Dikirim",AB21="",AC21="")),"Lengkapi pemeriksaan",IF(AND(AA21="Perlu Perbaikan",OR(AD21="",AB21="",AC21="")),"Isi pemeriksa dan catatan perbaikan","OK")))))))))))))))),"")</f>
        <v/>
      </c>
    </row>
    <row r="22" spans="1:38" ht="24.95" customHeight="1">
      <c r="A22" s="8"/>
      <c r="B22" s="6"/>
      <c r="C22" s="15" t="str">
        <f>IF(COUNTIFS(Master_PIC!$A$8:$A$73,$B22)=1,IF(VLOOKUP($B22,Master_PIC!$A$8:$G$73,2,FALSE)="","",VLOOKUP($B22,Master_PIC!$A$8:$G$73,2,FALSE)),"")</f>
        <v/>
      </c>
      <c r="D22" s="15" t="str">
        <f>IF(COUNTIFS(Master_PIC!$A$8:$A$73,$B22)=1,IF(VLOOKUP($B22,Master_PIC!$A$8:$G$73,4,FALSE)="","",VLOOKUP($B22,Master_PIC!$A$8:$G$73,4,FALSE)),"")</f>
        <v/>
      </c>
      <c r="E22" s="15" t="str">
        <f>IF(COUNTIFS(Master_PIC!$A$8:$A$73,$B22)=1,IF(VLOOKUP($B22,Master_PIC!$A$8:$G$73,5,FALSE)="","",VLOOKUP($B22,Master_PIC!$A$8:$G$73,5,FALSE)),"")</f>
        <v/>
      </c>
      <c r="F22" s="15" t="str">
        <f>IF(COUNTIFS(Master_PIC!$A$8:$A$73,$B22)=1,IF(VLOOKUP($B22,Master_PIC!$A$8:$G$73,6,FALSE)="","",VLOOKUP($B22,Master_PIC!$A$8:$G$73,6,FALSE)),"")</f>
        <v/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  <c r="X22" s="5"/>
      <c r="Y22" s="5"/>
      <c r="Z22" s="9"/>
      <c r="AA22" s="5"/>
      <c r="AB22" s="5"/>
      <c r="AC22" s="9"/>
      <c r="AD22" s="5"/>
      <c r="AE22" s="7" t="str">
        <f t="shared" si="0"/>
        <v/>
      </c>
      <c r="AF22" s="7" t="str">
        <f t="shared" si="1"/>
        <v/>
      </c>
      <c r="AG22" s="7" t="str">
        <f t="shared" si="2"/>
        <v/>
      </c>
      <c r="AH22" s="7" t="str">
        <f t="shared" si="3"/>
        <v/>
      </c>
      <c r="AI22" s="7" t="str">
        <f t="shared" si="4"/>
        <v/>
      </c>
      <c r="AJ22" s="7" t="str">
        <f t="shared" si="5"/>
        <v/>
      </c>
      <c r="AK22" s="10" t="str">
        <f t="shared" si="6"/>
        <v/>
      </c>
      <c r="AL22" s="15" t="str">
        <f>IF(OR($A22&lt;&gt;"",$B22&lt;&gt;""),IF(OR($A22="",$B22=""),"Isi tanggal dan ID PIC",IF(NOT(ISNUMBER($A22)),"Tanggal harus berupa tanggal Excel",IF(COUNTIFS(Master_PIC!$A$8:$A$73,$B22)&lt;&gt;1,"ID PIC tidak unik/terdaftar",IF(VLOOKUP($B22,Master_PIC!$A$8:$G$73,3,FALSE)&lt;&gt;"ASM","Jabatan tidak sesuai sheet",IF(OR($C22="",$D22="",$E22="",$F22=""),"Lengkapi master PIC",IF(COUNTIFS($A$8:$A$507,$A22,$B$8:$B$507,$B22)&gt;1,"Laporan ganda",IF(COUNTIFS(G22:O22,"Tidak Berlaku")&gt;0,"N/A hanya untuk kegiatan bersyarat",IF(SUM(AF22,AG22,AH22,AI22,AJ22)&lt;&gt;13,"Status kegiatan tidak valid",IF(AJ22&gt;0,"Lengkapi status kegiatan",IF(AND(AI22&gt;0,T22=""),"Isi alasan Tidak Berlaku",IF(AND(SUM(AG22,AH22)&gt;0,OR(T22="",U22="",V22="",W22="")),"Isi kendala dan tindak lanjut",IF(AND(Y22&lt;&gt;"Draft",Y22&lt;&gt;"Dikirim"),"Isi status laporan yang valid",IF(AND(AA22&lt;&gt;"",AA22&lt;&gt;"Belum Diperiksa",AA22&lt;&gt;"Disetujui",AA22&lt;&gt;"Perlu Perbaikan"),"Hasil review tidak valid",IF(AND(Y22="Dikirim",OR(X22="",Z22="")),"Isi bukti dan waktu kirim",IF(AND(AA22="Disetujui",OR(Y22&lt;&gt;"Dikirim",AB22="",AC22="")),"Lengkapi pemeriksaan",IF(AND(AA22="Perlu Perbaikan",OR(AD22="",AB22="",AC22="")),"Isi pemeriksa dan catatan perbaikan","OK")))))))))))))))),"")</f>
        <v/>
      </c>
    </row>
    <row r="23" spans="1:38" ht="24.95" customHeight="1">
      <c r="A23" s="8"/>
      <c r="B23" s="6"/>
      <c r="C23" s="15" t="str">
        <f>IF(COUNTIFS(Master_PIC!$A$8:$A$73,$B23)=1,IF(VLOOKUP($B23,Master_PIC!$A$8:$G$73,2,FALSE)="","",VLOOKUP($B23,Master_PIC!$A$8:$G$73,2,FALSE)),"")</f>
        <v/>
      </c>
      <c r="D23" s="15" t="str">
        <f>IF(COUNTIFS(Master_PIC!$A$8:$A$73,$B23)=1,IF(VLOOKUP($B23,Master_PIC!$A$8:$G$73,4,FALSE)="","",VLOOKUP($B23,Master_PIC!$A$8:$G$73,4,FALSE)),"")</f>
        <v/>
      </c>
      <c r="E23" s="15" t="str">
        <f>IF(COUNTIFS(Master_PIC!$A$8:$A$73,$B23)=1,IF(VLOOKUP($B23,Master_PIC!$A$8:$G$73,5,FALSE)="","",VLOOKUP($B23,Master_PIC!$A$8:$G$73,5,FALSE)),"")</f>
        <v/>
      </c>
      <c r="F23" s="15" t="str">
        <f>IF(COUNTIFS(Master_PIC!$A$8:$A$73,$B23)=1,IF(VLOOKUP($B23,Master_PIC!$A$8:$G$73,6,FALSE)="","",VLOOKUP($B23,Master_PIC!$A$8:$G$73,6,FALSE)),"")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  <c r="X23" s="5"/>
      <c r="Y23" s="5"/>
      <c r="Z23" s="9"/>
      <c r="AA23" s="5"/>
      <c r="AB23" s="5"/>
      <c r="AC23" s="9"/>
      <c r="AD23" s="5"/>
      <c r="AE23" s="7" t="str">
        <f t="shared" si="0"/>
        <v/>
      </c>
      <c r="AF23" s="7" t="str">
        <f t="shared" si="1"/>
        <v/>
      </c>
      <c r="AG23" s="7" t="str">
        <f t="shared" si="2"/>
        <v/>
      </c>
      <c r="AH23" s="7" t="str">
        <f t="shared" si="3"/>
        <v/>
      </c>
      <c r="AI23" s="7" t="str">
        <f t="shared" si="4"/>
        <v/>
      </c>
      <c r="AJ23" s="7" t="str">
        <f t="shared" si="5"/>
        <v/>
      </c>
      <c r="AK23" s="10" t="str">
        <f t="shared" si="6"/>
        <v/>
      </c>
      <c r="AL23" s="15" t="str">
        <f>IF(OR($A23&lt;&gt;"",$B23&lt;&gt;""),IF(OR($A23="",$B23=""),"Isi tanggal dan ID PIC",IF(NOT(ISNUMBER($A23)),"Tanggal harus berupa tanggal Excel",IF(COUNTIFS(Master_PIC!$A$8:$A$73,$B23)&lt;&gt;1,"ID PIC tidak unik/terdaftar",IF(VLOOKUP($B23,Master_PIC!$A$8:$G$73,3,FALSE)&lt;&gt;"ASM","Jabatan tidak sesuai sheet",IF(OR($C23="",$D23="",$E23="",$F23=""),"Lengkapi master PIC",IF(COUNTIFS($A$8:$A$507,$A23,$B$8:$B$507,$B23)&gt;1,"Laporan ganda",IF(COUNTIFS(G23:O23,"Tidak Berlaku")&gt;0,"N/A hanya untuk kegiatan bersyarat",IF(SUM(AF23,AG23,AH23,AI23,AJ23)&lt;&gt;13,"Status kegiatan tidak valid",IF(AJ23&gt;0,"Lengkapi status kegiatan",IF(AND(AI23&gt;0,T23=""),"Isi alasan Tidak Berlaku",IF(AND(SUM(AG23,AH23)&gt;0,OR(T23="",U23="",V23="",W23="")),"Isi kendala dan tindak lanjut",IF(AND(Y23&lt;&gt;"Draft",Y23&lt;&gt;"Dikirim"),"Isi status laporan yang valid",IF(AND(AA23&lt;&gt;"",AA23&lt;&gt;"Belum Diperiksa",AA23&lt;&gt;"Disetujui",AA23&lt;&gt;"Perlu Perbaikan"),"Hasil review tidak valid",IF(AND(Y23="Dikirim",OR(X23="",Z23="")),"Isi bukti dan waktu kirim",IF(AND(AA23="Disetujui",OR(Y23&lt;&gt;"Dikirim",AB23="",AC23="")),"Lengkapi pemeriksaan",IF(AND(AA23="Perlu Perbaikan",OR(AD23="",AB23="",AC23="")),"Isi pemeriksa dan catatan perbaikan","OK")))))))))))))))),"")</f>
        <v/>
      </c>
    </row>
    <row r="24" spans="1:38" ht="24.95" customHeight="1">
      <c r="A24" s="8"/>
      <c r="B24" s="6"/>
      <c r="C24" s="15" t="str">
        <f>IF(COUNTIFS(Master_PIC!$A$8:$A$73,$B24)=1,IF(VLOOKUP($B24,Master_PIC!$A$8:$G$73,2,FALSE)="","",VLOOKUP($B24,Master_PIC!$A$8:$G$73,2,FALSE)),"")</f>
        <v/>
      </c>
      <c r="D24" s="15" t="str">
        <f>IF(COUNTIFS(Master_PIC!$A$8:$A$73,$B24)=1,IF(VLOOKUP($B24,Master_PIC!$A$8:$G$73,4,FALSE)="","",VLOOKUP($B24,Master_PIC!$A$8:$G$73,4,FALSE)),"")</f>
        <v/>
      </c>
      <c r="E24" s="15" t="str">
        <f>IF(COUNTIFS(Master_PIC!$A$8:$A$73,$B24)=1,IF(VLOOKUP($B24,Master_PIC!$A$8:$G$73,5,FALSE)="","",VLOOKUP($B24,Master_PIC!$A$8:$G$73,5,FALSE)),"")</f>
        <v/>
      </c>
      <c r="F24" s="15" t="str">
        <f>IF(COUNTIFS(Master_PIC!$A$8:$A$73,$B24)=1,IF(VLOOKUP($B24,Master_PIC!$A$8:$G$73,6,FALSE)="","",VLOOKUP($B24,Master_PIC!$A$8:$G$73,6,FALSE)),"")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8"/>
      <c r="X24" s="5"/>
      <c r="Y24" s="5"/>
      <c r="Z24" s="9"/>
      <c r="AA24" s="5"/>
      <c r="AB24" s="5"/>
      <c r="AC24" s="9"/>
      <c r="AD24" s="5"/>
      <c r="AE24" s="7" t="str">
        <f t="shared" si="0"/>
        <v/>
      </c>
      <c r="AF24" s="7" t="str">
        <f t="shared" si="1"/>
        <v/>
      </c>
      <c r="AG24" s="7" t="str">
        <f t="shared" si="2"/>
        <v/>
      </c>
      <c r="AH24" s="7" t="str">
        <f t="shared" si="3"/>
        <v/>
      </c>
      <c r="AI24" s="7" t="str">
        <f t="shared" si="4"/>
        <v/>
      </c>
      <c r="AJ24" s="7" t="str">
        <f t="shared" si="5"/>
        <v/>
      </c>
      <c r="AK24" s="10" t="str">
        <f t="shared" si="6"/>
        <v/>
      </c>
      <c r="AL24" s="15" t="str">
        <f>IF(OR($A24&lt;&gt;"",$B24&lt;&gt;""),IF(OR($A24="",$B24=""),"Isi tanggal dan ID PIC",IF(NOT(ISNUMBER($A24)),"Tanggal harus berupa tanggal Excel",IF(COUNTIFS(Master_PIC!$A$8:$A$73,$B24)&lt;&gt;1,"ID PIC tidak unik/terdaftar",IF(VLOOKUP($B24,Master_PIC!$A$8:$G$73,3,FALSE)&lt;&gt;"ASM","Jabatan tidak sesuai sheet",IF(OR($C24="",$D24="",$E24="",$F24=""),"Lengkapi master PIC",IF(COUNTIFS($A$8:$A$507,$A24,$B$8:$B$507,$B24)&gt;1,"Laporan ganda",IF(COUNTIFS(G24:O24,"Tidak Berlaku")&gt;0,"N/A hanya untuk kegiatan bersyarat",IF(SUM(AF24,AG24,AH24,AI24,AJ24)&lt;&gt;13,"Status kegiatan tidak valid",IF(AJ24&gt;0,"Lengkapi status kegiatan",IF(AND(AI24&gt;0,T24=""),"Isi alasan Tidak Berlaku",IF(AND(SUM(AG24,AH24)&gt;0,OR(T24="",U24="",V24="",W24="")),"Isi kendala dan tindak lanjut",IF(AND(Y24&lt;&gt;"Draft",Y24&lt;&gt;"Dikirim"),"Isi status laporan yang valid",IF(AND(AA24&lt;&gt;"",AA24&lt;&gt;"Belum Diperiksa",AA24&lt;&gt;"Disetujui",AA24&lt;&gt;"Perlu Perbaikan"),"Hasil review tidak valid",IF(AND(Y24="Dikirim",OR(X24="",Z24="")),"Isi bukti dan waktu kirim",IF(AND(AA24="Disetujui",OR(Y24&lt;&gt;"Dikirim",AB24="",AC24="")),"Lengkapi pemeriksaan",IF(AND(AA24="Perlu Perbaikan",OR(AD24="",AB24="",AC24="")),"Isi pemeriksa dan catatan perbaikan","OK")))))))))))))))),"")</f>
        <v/>
      </c>
    </row>
    <row r="25" spans="1:38" ht="24.95" customHeight="1">
      <c r="A25" s="8"/>
      <c r="B25" s="6"/>
      <c r="C25" s="15" t="str">
        <f>IF(COUNTIFS(Master_PIC!$A$8:$A$73,$B25)=1,IF(VLOOKUP($B25,Master_PIC!$A$8:$G$73,2,FALSE)="","",VLOOKUP($B25,Master_PIC!$A$8:$G$73,2,FALSE)),"")</f>
        <v/>
      </c>
      <c r="D25" s="15" t="str">
        <f>IF(COUNTIFS(Master_PIC!$A$8:$A$73,$B25)=1,IF(VLOOKUP($B25,Master_PIC!$A$8:$G$73,4,FALSE)="","",VLOOKUP($B25,Master_PIC!$A$8:$G$73,4,FALSE)),"")</f>
        <v/>
      </c>
      <c r="E25" s="15" t="str">
        <f>IF(COUNTIFS(Master_PIC!$A$8:$A$73,$B25)=1,IF(VLOOKUP($B25,Master_PIC!$A$8:$G$73,5,FALSE)="","",VLOOKUP($B25,Master_PIC!$A$8:$G$73,5,FALSE)),"")</f>
        <v/>
      </c>
      <c r="F25" s="15" t="str">
        <f>IF(COUNTIFS(Master_PIC!$A$8:$A$73,$B25)=1,IF(VLOOKUP($B25,Master_PIC!$A$8:$G$73,6,FALSE)="","",VLOOKUP($B25,Master_PIC!$A$8:$G$73,6,FALSE)),"")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8"/>
      <c r="X25" s="5"/>
      <c r="Y25" s="5"/>
      <c r="Z25" s="9"/>
      <c r="AA25" s="5"/>
      <c r="AB25" s="5"/>
      <c r="AC25" s="9"/>
      <c r="AD25" s="5"/>
      <c r="AE25" s="7" t="str">
        <f t="shared" si="0"/>
        <v/>
      </c>
      <c r="AF25" s="7" t="str">
        <f t="shared" si="1"/>
        <v/>
      </c>
      <c r="AG25" s="7" t="str">
        <f t="shared" si="2"/>
        <v/>
      </c>
      <c r="AH25" s="7" t="str">
        <f t="shared" si="3"/>
        <v/>
      </c>
      <c r="AI25" s="7" t="str">
        <f t="shared" si="4"/>
        <v/>
      </c>
      <c r="AJ25" s="7" t="str">
        <f t="shared" si="5"/>
        <v/>
      </c>
      <c r="AK25" s="10" t="str">
        <f t="shared" si="6"/>
        <v/>
      </c>
      <c r="AL25" s="15" t="str">
        <f>IF(OR($A25&lt;&gt;"",$B25&lt;&gt;""),IF(OR($A25="",$B25=""),"Isi tanggal dan ID PIC",IF(NOT(ISNUMBER($A25)),"Tanggal harus berupa tanggal Excel",IF(COUNTIFS(Master_PIC!$A$8:$A$73,$B25)&lt;&gt;1,"ID PIC tidak unik/terdaftar",IF(VLOOKUP($B25,Master_PIC!$A$8:$G$73,3,FALSE)&lt;&gt;"ASM","Jabatan tidak sesuai sheet",IF(OR($C25="",$D25="",$E25="",$F25=""),"Lengkapi master PIC",IF(COUNTIFS($A$8:$A$507,$A25,$B$8:$B$507,$B25)&gt;1,"Laporan ganda",IF(COUNTIFS(G25:O25,"Tidak Berlaku")&gt;0,"N/A hanya untuk kegiatan bersyarat",IF(SUM(AF25,AG25,AH25,AI25,AJ25)&lt;&gt;13,"Status kegiatan tidak valid",IF(AJ25&gt;0,"Lengkapi status kegiatan",IF(AND(AI25&gt;0,T25=""),"Isi alasan Tidak Berlaku",IF(AND(SUM(AG25,AH25)&gt;0,OR(T25="",U25="",V25="",W25="")),"Isi kendala dan tindak lanjut",IF(AND(Y25&lt;&gt;"Draft",Y25&lt;&gt;"Dikirim"),"Isi status laporan yang valid",IF(AND(AA25&lt;&gt;"",AA25&lt;&gt;"Belum Diperiksa",AA25&lt;&gt;"Disetujui",AA25&lt;&gt;"Perlu Perbaikan"),"Hasil review tidak valid",IF(AND(Y25="Dikirim",OR(X25="",Z25="")),"Isi bukti dan waktu kirim",IF(AND(AA25="Disetujui",OR(Y25&lt;&gt;"Dikirim",AB25="",AC25="")),"Lengkapi pemeriksaan",IF(AND(AA25="Perlu Perbaikan",OR(AD25="",AB25="",AC25="")),"Isi pemeriksa dan catatan perbaikan","OK")))))))))))))))),"")</f>
        <v/>
      </c>
    </row>
    <row r="26" spans="1:38" ht="24.95" customHeight="1">
      <c r="A26" s="8"/>
      <c r="B26" s="6"/>
      <c r="C26" s="15" t="str">
        <f>IF(COUNTIFS(Master_PIC!$A$8:$A$73,$B26)=1,IF(VLOOKUP($B26,Master_PIC!$A$8:$G$73,2,FALSE)="","",VLOOKUP($B26,Master_PIC!$A$8:$G$73,2,FALSE)),"")</f>
        <v/>
      </c>
      <c r="D26" s="15" t="str">
        <f>IF(COUNTIFS(Master_PIC!$A$8:$A$73,$B26)=1,IF(VLOOKUP($B26,Master_PIC!$A$8:$G$73,4,FALSE)="","",VLOOKUP($B26,Master_PIC!$A$8:$G$73,4,FALSE)),"")</f>
        <v/>
      </c>
      <c r="E26" s="15" t="str">
        <f>IF(COUNTIFS(Master_PIC!$A$8:$A$73,$B26)=1,IF(VLOOKUP($B26,Master_PIC!$A$8:$G$73,5,FALSE)="","",VLOOKUP($B26,Master_PIC!$A$8:$G$73,5,FALSE)),"")</f>
        <v/>
      </c>
      <c r="F26" s="15" t="str">
        <f>IF(COUNTIFS(Master_PIC!$A$8:$A$73,$B26)=1,IF(VLOOKUP($B26,Master_PIC!$A$8:$G$73,6,FALSE)="","",VLOOKUP($B26,Master_PIC!$A$8:$G$73,6,FALSE)),"")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8"/>
      <c r="X26" s="5"/>
      <c r="Y26" s="5"/>
      <c r="Z26" s="9"/>
      <c r="AA26" s="5"/>
      <c r="AB26" s="5"/>
      <c r="AC26" s="9"/>
      <c r="AD26" s="5"/>
      <c r="AE26" s="7" t="str">
        <f t="shared" si="0"/>
        <v/>
      </c>
      <c r="AF26" s="7" t="str">
        <f t="shared" si="1"/>
        <v/>
      </c>
      <c r="AG26" s="7" t="str">
        <f t="shared" si="2"/>
        <v/>
      </c>
      <c r="AH26" s="7" t="str">
        <f t="shared" si="3"/>
        <v/>
      </c>
      <c r="AI26" s="7" t="str">
        <f t="shared" si="4"/>
        <v/>
      </c>
      <c r="AJ26" s="7" t="str">
        <f t="shared" si="5"/>
        <v/>
      </c>
      <c r="AK26" s="10" t="str">
        <f t="shared" si="6"/>
        <v/>
      </c>
      <c r="AL26" s="15" t="str">
        <f>IF(OR($A26&lt;&gt;"",$B26&lt;&gt;""),IF(OR($A26="",$B26=""),"Isi tanggal dan ID PIC",IF(NOT(ISNUMBER($A26)),"Tanggal harus berupa tanggal Excel",IF(COUNTIFS(Master_PIC!$A$8:$A$73,$B26)&lt;&gt;1,"ID PIC tidak unik/terdaftar",IF(VLOOKUP($B26,Master_PIC!$A$8:$G$73,3,FALSE)&lt;&gt;"ASM","Jabatan tidak sesuai sheet",IF(OR($C26="",$D26="",$E26="",$F26=""),"Lengkapi master PIC",IF(COUNTIFS($A$8:$A$507,$A26,$B$8:$B$507,$B26)&gt;1,"Laporan ganda",IF(COUNTIFS(G26:O26,"Tidak Berlaku")&gt;0,"N/A hanya untuk kegiatan bersyarat",IF(SUM(AF26,AG26,AH26,AI26,AJ26)&lt;&gt;13,"Status kegiatan tidak valid",IF(AJ26&gt;0,"Lengkapi status kegiatan",IF(AND(AI26&gt;0,T26=""),"Isi alasan Tidak Berlaku",IF(AND(SUM(AG26,AH26)&gt;0,OR(T26="",U26="",V26="",W26="")),"Isi kendala dan tindak lanjut",IF(AND(Y26&lt;&gt;"Draft",Y26&lt;&gt;"Dikirim"),"Isi status laporan yang valid",IF(AND(AA26&lt;&gt;"",AA26&lt;&gt;"Belum Diperiksa",AA26&lt;&gt;"Disetujui",AA26&lt;&gt;"Perlu Perbaikan"),"Hasil review tidak valid",IF(AND(Y26="Dikirim",OR(X26="",Z26="")),"Isi bukti dan waktu kirim",IF(AND(AA26="Disetujui",OR(Y26&lt;&gt;"Dikirim",AB26="",AC26="")),"Lengkapi pemeriksaan",IF(AND(AA26="Perlu Perbaikan",OR(AD26="",AB26="",AC26="")),"Isi pemeriksa dan catatan perbaikan","OK")))))))))))))))),"")</f>
        <v/>
      </c>
    </row>
    <row r="27" spans="1:38" ht="24.95" customHeight="1">
      <c r="A27" s="8"/>
      <c r="B27" s="6"/>
      <c r="C27" s="15" t="str">
        <f>IF(COUNTIFS(Master_PIC!$A$8:$A$73,$B27)=1,IF(VLOOKUP($B27,Master_PIC!$A$8:$G$73,2,FALSE)="","",VLOOKUP($B27,Master_PIC!$A$8:$G$73,2,FALSE)),"")</f>
        <v/>
      </c>
      <c r="D27" s="15" t="str">
        <f>IF(COUNTIFS(Master_PIC!$A$8:$A$73,$B27)=1,IF(VLOOKUP($B27,Master_PIC!$A$8:$G$73,4,FALSE)="","",VLOOKUP($B27,Master_PIC!$A$8:$G$73,4,FALSE)),"")</f>
        <v/>
      </c>
      <c r="E27" s="15" t="str">
        <f>IF(COUNTIFS(Master_PIC!$A$8:$A$73,$B27)=1,IF(VLOOKUP($B27,Master_PIC!$A$8:$G$73,5,FALSE)="","",VLOOKUP($B27,Master_PIC!$A$8:$G$73,5,FALSE)),"")</f>
        <v/>
      </c>
      <c r="F27" s="15" t="str">
        <f>IF(COUNTIFS(Master_PIC!$A$8:$A$73,$B27)=1,IF(VLOOKUP($B27,Master_PIC!$A$8:$G$73,6,FALSE)="","",VLOOKUP($B27,Master_PIC!$A$8:$G$73,6,FALSE)),"")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8"/>
      <c r="X27" s="5"/>
      <c r="Y27" s="5"/>
      <c r="Z27" s="9"/>
      <c r="AA27" s="5"/>
      <c r="AB27" s="5"/>
      <c r="AC27" s="9"/>
      <c r="AD27" s="5"/>
      <c r="AE27" s="7" t="str">
        <f t="shared" si="0"/>
        <v/>
      </c>
      <c r="AF27" s="7" t="str">
        <f t="shared" si="1"/>
        <v/>
      </c>
      <c r="AG27" s="7" t="str">
        <f t="shared" si="2"/>
        <v/>
      </c>
      <c r="AH27" s="7" t="str">
        <f t="shared" si="3"/>
        <v/>
      </c>
      <c r="AI27" s="7" t="str">
        <f t="shared" si="4"/>
        <v/>
      </c>
      <c r="AJ27" s="7" t="str">
        <f t="shared" si="5"/>
        <v/>
      </c>
      <c r="AK27" s="10" t="str">
        <f t="shared" si="6"/>
        <v/>
      </c>
      <c r="AL27" s="15" t="str">
        <f>IF(OR($A27&lt;&gt;"",$B27&lt;&gt;""),IF(OR($A27="",$B27=""),"Isi tanggal dan ID PIC",IF(NOT(ISNUMBER($A27)),"Tanggal harus berupa tanggal Excel",IF(COUNTIFS(Master_PIC!$A$8:$A$73,$B27)&lt;&gt;1,"ID PIC tidak unik/terdaftar",IF(VLOOKUP($B27,Master_PIC!$A$8:$G$73,3,FALSE)&lt;&gt;"ASM","Jabatan tidak sesuai sheet",IF(OR($C27="",$D27="",$E27="",$F27=""),"Lengkapi master PIC",IF(COUNTIFS($A$8:$A$507,$A27,$B$8:$B$507,$B27)&gt;1,"Laporan ganda",IF(COUNTIFS(G27:O27,"Tidak Berlaku")&gt;0,"N/A hanya untuk kegiatan bersyarat",IF(SUM(AF27,AG27,AH27,AI27,AJ27)&lt;&gt;13,"Status kegiatan tidak valid",IF(AJ27&gt;0,"Lengkapi status kegiatan",IF(AND(AI27&gt;0,T27=""),"Isi alasan Tidak Berlaku",IF(AND(SUM(AG27,AH27)&gt;0,OR(T27="",U27="",V27="",W27="")),"Isi kendala dan tindak lanjut",IF(AND(Y27&lt;&gt;"Draft",Y27&lt;&gt;"Dikirim"),"Isi status laporan yang valid",IF(AND(AA27&lt;&gt;"",AA27&lt;&gt;"Belum Diperiksa",AA27&lt;&gt;"Disetujui",AA27&lt;&gt;"Perlu Perbaikan"),"Hasil review tidak valid",IF(AND(Y27="Dikirim",OR(X27="",Z27="")),"Isi bukti dan waktu kirim",IF(AND(AA27="Disetujui",OR(Y27&lt;&gt;"Dikirim",AB27="",AC27="")),"Lengkapi pemeriksaan",IF(AND(AA27="Perlu Perbaikan",OR(AD27="",AB27="",AC27="")),"Isi pemeriksa dan catatan perbaikan","OK")))))))))))))))),"")</f>
        <v/>
      </c>
    </row>
    <row r="28" spans="1:38" ht="24.95" customHeight="1">
      <c r="A28" s="8"/>
      <c r="B28" s="6"/>
      <c r="C28" s="15" t="str">
        <f>IF(COUNTIFS(Master_PIC!$A$8:$A$73,$B28)=1,IF(VLOOKUP($B28,Master_PIC!$A$8:$G$73,2,FALSE)="","",VLOOKUP($B28,Master_PIC!$A$8:$G$73,2,FALSE)),"")</f>
        <v/>
      </c>
      <c r="D28" s="15" t="str">
        <f>IF(COUNTIFS(Master_PIC!$A$8:$A$73,$B28)=1,IF(VLOOKUP($B28,Master_PIC!$A$8:$G$73,4,FALSE)="","",VLOOKUP($B28,Master_PIC!$A$8:$G$73,4,FALSE)),"")</f>
        <v/>
      </c>
      <c r="E28" s="15" t="str">
        <f>IF(COUNTIFS(Master_PIC!$A$8:$A$73,$B28)=1,IF(VLOOKUP($B28,Master_PIC!$A$8:$G$73,5,FALSE)="","",VLOOKUP($B28,Master_PIC!$A$8:$G$73,5,FALSE)),"")</f>
        <v/>
      </c>
      <c r="F28" s="15" t="str">
        <f>IF(COUNTIFS(Master_PIC!$A$8:$A$73,$B28)=1,IF(VLOOKUP($B28,Master_PIC!$A$8:$G$73,6,FALSE)="","",VLOOKUP($B28,Master_PIC!$A$8:$G$73,6,FALSE)),"")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8"/>
      <c r="X28" s="5"/>
      <c r="Y28" s="5"/>
      <c r="Z28" s="9"/>
      <c r="AA28" s="5"/>
      <c r="AB28" s="5"/>
      <c r="AC28" s="9"/>
      <c r="AD28" s="5"/>
      <c r="AE28" s="7" t="str">
        <f t="shared" si="0"/>
        <v/>
      </c>
      <c r="AF28" s="7" t="str">
        <f t="shared" si="1"/>
        <v/>
      </c>
      <c r="AG28" s="7" t="str">
        <f t="shared" si="2"/>
        <v/>
      </c>
      <c r="AH28" s="7" t="str">
        <f t="shared" si="3"/>
        <v/>
      </c>
      <c r="AI28" s="7" t="str">
        <f t="shared" si="4"/>
        <v/>
      </c>
      <c r="AJ28" s="7" t="str">
        <f t="shared" si="5"/>
        <v/>
      </c>
      <c r="AK28" s="10" t="str">
        <f t="shared" si="6"/>
        <v/>
      </c>
      <c r="AL28" s="15" t="str">
        <f>IF(OR($A28&lt;&gt;"",$B28&lt;&gt;""),IF(OR($A28="",$B28=""),"Isi tanggal dan ID PIC",IF(NOT(ISNUMBER($A28)),"Tanggal harus berupa tanggal Excel",IF(COUNTIFS(Master_PIC!$A$8:$A$73,$B28)&lt;&gt;1,"ID PIC tidak unik/terdaftar",IF(VLOOKUP($B28,Master_PIC!$A$8:$G$73,3,FALSE)&lt;&gt;"ASM","Jabatan tidak sesuai sheet",IF(OR($C28="",$D28="",$E28="",$F28=""),"Lengkapi master PIC",IF(COUNTIFS($A$8:$A$507,$A28,$B$8:$B$507,$B28)&gt;1,"Laporan ganda",IF(COUNTIFS(G28:O28,"Tidak Berlaku")&gt;0,"N/A hanya untuk kegiatan bersyarat",IF(SUM(AF28,AG28,AH28,AI28,AJ28)&lt;&gt;13,"Status kegiatan tidak valid",IF(AJ28&gt;0,"Lengkapi status kegiatan",IF(AND(AI28&gt;0,T28=""),"Isi alasan Tidak Berlaku",IF(AND(SUM(AG28,AH28)&gt;0,OR(T28="",U28="",V28="",W28="")),"Isi kendala dan tindak lanjut",IF(AND(Y28&lt;&gt;"Draft",Y28&lt;&gt;"Dikirim"),"Isi status laporan yang valid",IF(AND(AA28&lt;&gt;"",AA28&lt;&gt;"Belum Diperiksa",AA28&lt;&gt;"Disetujui",AA28&lt;&gt;"Perlu Perbaikan"),"Hasil review tidak valid",IF(AND(Y28="Dikirim",OR(X28="",Z28="")),"Isi bukti dan waktu kirim",IF(AND(AA28="Disetujui",OR(Y28&lt;&gt;"Dikirim",AB28="",AC28="")),"Lengkapi pemeriksaan",IF(AND(AA28="Perlu Perbaikan",OR(AD28="",AB28="",AC28="")),"Isi pemeriksa dan catatan perbaikan","OK")))))))))))))))),"")</f>
        <v/>
      </c>
    </row>
    <row r="29" spans="1:38" ht="24.95" customHeight="1">
      <c r="A29" s="8"/>
      <c r="B29" s="6"/>
      <c r="C29" s="15" t="str">
        <f>IF(COUNTIFS(Master_PIC!$A$8:$A$73,$B29)=1,IF(VLOOKUP($B29,Master_PIC!$A$8:$G$73,2,FALSE)="","",VLOOKUP($B29,Master_PIC!$A$8:$G$73,2,FALSE)),"")</f>
        <v/>
      </c>
      <c r="D29" s="15" t="str">
        <f>IF(COUNTIFS(Master_PIC!$A$8:$A$73,$B29)=1,IF(VLOOKUP($B29,Master_PIC!$A$8:$G$73,4,FALSE)="","",VLOOKUP($B29,Master_PIC!$A$8:$G$73,4,FALSE)),"")</f>
        <v/>
      </c>
      <c r="E29" s="15" t="str">
        <f>IF(COUNTIFS(Master_PIC!$A$8:$A$73,$B29)=1,IF(VLOOKUP($B29,Master_PIC!$A$8:$G$73,5,FALSE)="","",VLOOKUP($B29,Master_PIC!$A$8:$G$73,5,FALSE)),"")</f>
        <v/>
      </c>
      <c r="F29" s="15" t="str">
        <f>IF(COUNTIFS(Master_PIC!$A$8:$A$73,$B29)=1,IF(VLOOKUP($B29,Master_PIC!$A$8:$G$73,6,FALSE)="","",VLOOKUP($B29,Master_PIC!$A$8:$G$73,6,FALSE)),"")</f>
        <v/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8"/>
      <c r="X29" s="5"/>
      <c r="Y29" s="5"/>
      <c r="Z29" s="9"/>
      <c r="AA29" s="5"/>
      <c r="AB29" s="5"/>
      <c r="AC29" s="9"/>
      <c r="AD29" s="5"/>
      <c r="AE29" s="7" t="str">
        <f t="shared" si="0"/>
        <v/>
      </c>
      <c r="AF29" s="7" t="str">
        <f t="shared" si="1"/>
        <v/>
      </c>
      <c r="AG29" s="7" t="str">
        <f t="shared" si="2"/>
        <v/>
      </c>
      <c r="AH29" s="7" t="str">
        <f t="shared" si="3"/>
        <v/>
      </c>
      <c r="AI29" s="7" t="str">
        <f t="shared" si="4"/>
        <v/>
      </c>
      <c r="AJ29" s="7" t="str">
        <f t="shared" si="5"/>
        <v/>
      </c>
      <c r="AK29" s="10" t="str">
        <f t="shared" si="6"/>
        <v/>
      </c>
      <c r="AL29" s="15" t="str">
        <f>IF(OR($A29&lt;&gt;"",$B29&lt;&gt;""),IF(OR($A29="",$B29=""),"Isi tanggal dan ID PIC",IF(NOT(ISNUMBER($A29)),"Tanggal harus berupa tanggal Excel",IF(COUNTIFS(Master_PIC!$A$8:$A$73,$B29)&lt;&gt;1,"ID PIC tidak unik/terdaftar",IF(VLOOKUP($B29,Master_PIC!$A$8:$G$73,3,FALSE)&lt;&gt;"ASM","Jabatan tidak sesuai sheet",IF(OR($C29="",$D29="",$E29="",$F29=""),"Lengkapi master PIC",IF(COUNTIFS($A$8:$A$507,$A29,$B$8:$B$507,$B29)&gt;1,"Laporan ganda",IF(COUNTIFS(G29:O29,"Tidak Berlaku")&gt;0,"N/A hanya untuk kegiatan bersyarat",IF(SUM(AF29,AG29,AH29,AI29,AJ29)&lt;&gt;13,"Status kegiatan tidak valid",IF(AJ29&gt;0,"Lengkapi status kegiatan",IF(AND(AI29&gt;0,T29=""),"Isi alasan Tidak Berlaku",IF(AND(SUM(AG29,AH29)&gt;0,OR(T29="",U29="",V29="",W29="")),"Isi kendala dan tindak lanjut",IF(AND(Y29&lt;&gt;"Draft",Y29&lt;&gt;"Dikirim"),"Isi status laporan yang valid",IF(AND(AA29&lt;&gt;"",AA29&lt;&gt;"Belum Diperiksa",AA29&lt;&gt;"Disetujui",AA29&lt;&gt;"Perlu Perbaikan"),"Hasil review tidak valid",IF(AND(Y29="Dikirim",OR(X29="",Z29="")),"Isi bukti dan waktu kirim",IF(AND(AA29="Disetujui",OR(Y29&lt;&gt;"Dikirim",AB29="",AC29="")),"Lengkapi pemeriksaan",IF(AND(AA29="Perlu Perbaikan",OR(AD29="",AB29="",AC29="")),"Isi pemeriksa dan catatan perbaikan","OK")))))))))))))))),"")</f>
        <v/>
      </c>
    </row>
    <row r="30" spans="1:38" ht="24.95" customHeight="1">
      <c r="A30" s="8"/>
      <c r="B30" s="6"/>
      <c r="C30" s="15" t="str">
        <f>IF(COUNTIFS(Master_PIC!$A$8:$A$73,$B30)=1,IF(VLOOKUP($B30,Master_PIC!$A$8:$G$73,2,FALSE)="","",VLOOKUP($B30,Master_PIC!$A$8:$G$73,2,FALSE)),"")</f>
        <v/>
      </c>
      <c r="D30" s="15" t="str">
        <f>IF(COUNTIFS(Master_PIC!$A$8:$A$73,$B30)=1,IF(VLOOKUP($B30,Master_PIC!$A$8:$G$73,4,FALSE)="","",VLOOKUP($B30,Master_PIC!$A$8:$G$73,4,FALSE)),"")</f>
        <v/>
      </c>
      <c r="E30" s="15" t="str">
        <f>IF(COUNTIFS(Master_PIC!$A$8:$A$73,$B30)=1,IF(VLOOKUP($B30,Master_PIC!$A$8:$G$73,5,FALSE)="","",VLOOKUP($B30,Master_PIC!$A$8:$G$73,5,FALSE)),"")</f>
        <v/>
      </c>
      <c r="F30" s="15" t="str">
        <f>IF(COUNTIFS(Master_PIC!$A$8:$A$73,$B30)=1,IF(VLOOKUP($B30,Master_PIC!$A$8:$G$73,6,FALSE)="","",VLOOKUP($B30,Master_PIC!$A$8:$G$73,6,FALSE)),"")</f>
        <v/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8"/>
      <c r="X30" s="5"/>
      <c r="Y30" s="5"/>
      <c r="Z30" s="9"/>
      <c r="AA30" s="5"/>
      <c r="AB30" s="5"/>
      <c r="AC30" s="9"/>
      <c r="AD30" s="5"/>
      <c r="AE30" s="7" t="str">
        <f t="shared" si="0"/>
        <v/>
      </c>
      <c r="AF30" s="7" t="str">
        <f t="shared" si="1"/>
        <v/>
      </c>
      <c r="AG30" s="7" t="str">
        <f t="shared" si="2"/>
        <v/>
      </c>
      <c r="AH30" s="7" t="str">
        <f t="shared" si="3"/>
        <v/>
      </c>
      <c r="AI30" s="7" t="str">
        <f t="shared" si="4"/>
        <v/>
      </c>
      <c r="AJ30" s="7" t="str">
        <f t="shared" si="5"/>
        <v/>
      </c>
      <c r="AK30" s="10" t="str">
        <f t="shared" si="6"/>
        <v/>
      </c>
      <c r="AL30" s="15" t="str">
        <f>IF(OR($A30&lt;&gt;"",$B30&lt;&gt;""),IF(OR($A30="",$B30=""),"Isi tanggal dan ID PIC",IF(NOT(ISNUMBER($A30)),"Tanggal harus berupa tanggal Excel",IF(COUNTIFS(Master_PIC!$A$8:$A$73,$B30)&lt;&gt;1,"ID PIC tidak unik/terdaftar",IF(VLOOKUP($B30,Master_PIC!$A$8:$G$73,3,FALSE)&lt;&gt;"ASM","Jabatan tidak sesuai sheet",IF(OR($C30="",$D30="",$E30="",$F30=""),"Lengkapi master PIC",IF(COUNTIFS($A$8:$A$507,$A30,$B$8:$B$507,$B30)&gt;1,"Laporan ganda",IF(COUNTIFS(G30:O30,"Tidak Berlaku")&gt;0,"N/A hanya untuk kegiatan bersyarat",IF(SUM(AF30,AG30,AH30,AI30,AJ30)&lt;&gt;13,"Status kegiatan tidak valid",IF(AJ30&gt;0,"Lengkapi status kegiatan",IF(AND(AI30&gt;0,T30=""),"Isi alasan Tidak Berlaku",IF(AND(SUM(AG30,AH30)&gt;0,OR(T30="",U30="",V30="",W30="")),"Isi kendala dan tindak lanjut",IF(AND(Y30&lt;&gt;"Draft",Y30&lt;&gt;"Dikirim"),"Isi status laporan yang valid",IF(AND(AA30&lt;&gt;"",AA30&lt;&gt;"Belum Diperiksa",AA30&lt;&gt;"Disetujui",AA30&lt;&gt;"Perlu Perbaikan"),"Hasil review tidak valid",IF(AND(Y30="Dikirim",OR(X30="",Z30="")),"Isi bukti dan waktu kirim",IF(AND(AA30="Disetujui",OR(Y30&lt;&gt;"Dikirim",AB30="",AC30="")),"Lengkapi pemeriksaan",IF(AND(AA30="Perlu Perbaikan",OR(AD30="",AB30="",AC30="")),"Isi pemeriksa dan catatan perbaikan","OK")))))))))))))))),"")</f>
        <v/>
      </c>
    </row>
    <row r="31" spans="1:38" ht="24.95" customHeight="1">
      <c r="A31" s="8"/>
      <c r="B31" s="6"/>
      <c r="C31" s="15" t="str">
        <f>IF(COUNTIFS(Master_PIC!$A$8:$A$73,$B31)=1,IF(VLOOKUP($B31,Master_PIC!$A$8:$G$73,2,FALSE)="","",VLOOKUP($B31,Master_PIC!$A$8:$G$73,2,FALSE)),"")</f>
        <v/>
      </c>
      <c r="D31" s="15" t="str">
        <f>IF(COUNTIFS(Master_PIC!$A$8:$A$73,$B31)=1,IF(VLOOKUP($B31,Master_PIC!$A$8:$G$73,4,FALSE)="","",VLOOKUP($B31,Master_PIC!$A$8:$G$73,4,FALSE)),"")</f>
        <v/>
      </c>
      <c r="E31" s="15" t="str">
        <f>IF(COUNTIFS(Master_PIC!$A$8:$A$73,$B31)=1,IF(VLOOKUP($B31,Master_PIC!$A$8:$G$73,5,FALSE)="","",VLOOKUP($B31,Master_PIC!$A$8:$G$73,5,FALSE)),"")</f>
        <v/>
      </c>
      <c r="F31" s="15" t="str">
        <f>IF(COUNTIFS(Master_PIC!$A$8:$A$73,$B31)=1,IF(VLOOKUP($B31,Master_PIC!$A$8:$G$73,6,FALSE)="","",VLOOKUP($B31,Master_PIC!$A$8:$G$73,6,FALSE)),"")</f>
        <v/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8"/>
      <c r="X31" s="5"/>
      <c r="Y31" s="5"/>
      <c r="Z31" s="9"/>
      <c r="AA31" s="5"/>
      <c r="AB31" s="5"/>
      <c r="AC31" s="9"/>
      <c r="AD31" s="5"/>
      <c r="AE31" s="7" t="str">
        <f t="shared" si="0"/>
        <v/>
      </c>
      <c r="AF31" s="7" t="str">
        <f t="shared" si="1"/>
        <v/>
      </c>
      <c r="AG31" s="7" t="str">
        <f t="shared" si="2"/>
        <v/>
      </c>
      <c r="AH31" s="7" t="str">
        <f t="shared" si="3"/>
        <v/>
      </c>
      <c r="AI31" s="7" t="str">
        <f t="shared" si="4"/>
        <v/>
      </c>
      <c r="AJ31" s="7" t="str">
        <f t="shared" si="5"/>
        <v/>
      </c>
      <c r="AK31" s="10" t="str">
        <f t="shared" si="6"/>
        <v/>
      </c>
      <c r="AL31" s="15" t="str">
        <f>IF(OR($A31&lt;&gt;"",$B31&lt;&gt;""),IF(OR($A31="",$B31=""),"Isi tanggal dan ID PIC",IF(NOT(ISNUMBER($A31)),"Tanggal harus berupa tanggal Excel",IF(COUNTIFS(Master_PIC!$A$8:$A$73,$B31)&lt;&gt;1,"ID PIC tidak unik/terdaftar",IF(VLOOKUP($B31,Master_PIC!$A$8:$G$73,3,FALSE)&lt;&gt;"ASM","Jabatan tidak sesuai sheet",IF(OR($C31="",$D31="",$E31="",$F31=""),"Lengkapi master PIC",IF(COUNTIFS($A$8:$A$507,$A31,$B$8:$B$507,$B31)&gt;1,"Laporan ganda",IF(COUNTIFS(G31:O31,"Tidak Berlaku")&gt;0,"N/A hanya untuk kegiatan bersyarat",IF(SUM(AF31,AG31,AH31,AI31,AJ31)&lt;&gt;13,"Status kegiatan tidak valid",IF(AJ31&gt;0,"Lengkapi status kegiatan",IF(AND(AI31&gt;0,T31=""),"Isi alasan Tidak Berlaku",IF(AND(SUM(AG31,AH31)&gt;0,OR(T31="",U31="",V31="",W31="")),"Isi kendala dan tindak lanjut",IF(AND(Y31&lt;&gt;"Draft",Y31&lt;&gt;"Dikirim"),"Isi status laporan yang valid",IF(AND(AA31&lt;&gt;"",AA31&lt;&gt;"Belum Diperiksa",AA31&lt;&gt;"Disetujui",AA31&lt;&gt;"Perlu Perbaikan"),"Hasil review tidak valid",IF(AND(Y31="Dikirim",OR(X31="",Z31="")),"Isi bukti dan waktu kirim",IF(AND(AA31="Disetujui",OR(Y31&lt;&gt;"Dikirim",AB31="",AC31="")),"Lengkapi pemeriksaan",IF(AND(AA31="Perlu Perbaikan",OR(AD31="",AB31="",AC31="")),"Isi pemeriksa dan catatan perbaikan","OK")))))))))))))))),"")</f>
        <v/>
      </c>
    </row>
    <row r="32" spans="1:38" ht="24.95" customHeight="1">
      <c r="A32" s="8"/>
      <c r="B32" s="6"/>
      <c r="C32" s="15" t="str">
        <f>IF(COUNTIFS(Master_PIC!$A$8:$A$73,$B32)=1,IF(VLOOKUP($B32,Master_PIC!$A$8:$G$73,2,FALSE)="","",VLOOKUP($B32,Master_PIC!$A$8:$G$73,2,FALSE)),"")</f>
        <v/>
      </c>
      <c r="D32" s="15" t="str">
        <f>IF(COUNTIFS(Master_PIC!$A$8:$A$73,$B32)=1,IF(VLOOKUP($B32,Master_PIC!$A$8:$G$73,4,FALSE)="","",VLOOKUP($B32,Master_PIC!$A$8:$G$73,4,FALSE)),"")</f>
        <v/>
      </c>
      <c r="E32" s="15" t="str">
        <f>IF(COUNTIFS(Master_PIC!$A$8:$A$73,$B32)=1,IF(VLOOKUP($B32,Master_PIC!$A$8:$G$73,5,FALSE)="","",VLOOKUP($B32,Master_PIC!$A$8:$G$73,5,FALSE)),"")</f>
        <v/>
      </c>
      <c r="F32" s="15" t="str">
        <f>IF(COUNTIFS(Master_PIC!$A$8:$A$73,$B32)=1,IF(VLOOKUP($B32,Master_PIC!$A$8:$G$73,6,FALSE)="","",VLOOKUP($B32,Master_PIC!$A$8:$G$73,6,FALSE)),"")</f>
        <v/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8"/>
      <c r="X32" s="5"/>
      <c r="Y32" s="5"/>
      <c r="Z32" s="9"/>
      <c r="AA32" s="5"/>
      <c r="AB32" s="5"/>
      <c r="AC32" s="9"/>
      <c r="AD32" s="5"/>
      <c r="AE32" s="7" t="str">
        <f t="shared" si="0"/>
        <v/>
      </c>
      <c r="AF32" s="7" t="str">
        <f t="shared" si="1"/>
        <v/>
      </c>
      <c r="AG32" s="7" t="str">
        <f t="shared" si="2"/>
        <v/>
      </c>
      <c r="AH32" s="7" t="str">
        <f t="shared" si="3"/>
        <v/>
      </c>
      <c r="AI32" s="7" t="str">
        <f t="shared" si="4"/>
        <v/>
      </c>
      <c r="AJ32" s="7" t="str">
        <f t="shared" si="5"/>
        <v/>
      </c>
      <c r="AK32" s="10" t="str">
        <f t="shared" si="6"/>
        <v/>
      </c>
      <c r="AL32" s="15" t="str">
        <f>IF(OR($A32&lt;&gt;"",$B32&lt;&gt;""),IF(OR($A32="",$B32=""),"Isi tanggal dan ID PIC",IF(NOT(ISNUMBER($A32)),"Tanggal harus berupa tanggal Excel",IF(COUNTIFS(Master_PIC!$A$8:$A$73,$B32)&lt;&gt;1,"ID PIC tidak unik/terdaftar",IF(VLOOKUP($B32,Master_PIC!$A$8:$G$73,3,FALSE)&lt;&gt;"ASM","Jabatan tidak sesuai sheet",IF(OR($C32="",$D32="",$E32="",$F32=""),"Lengkapi master PIC",IF(COUNTIFS($A$8:$A$507,$A32,$B$8:$B$507,$B32)&gt;1,"Laporan ganda",IF(COUNTIFS(G32:O32,"Tidak Berlaku")&gt;0,"N/A hanya untuk kegiatan bersyarat",IF(SUM(AF32,AG32,AH32,AI32,AJ32)&lt;&gt;13,"Status kegiatan tidak valid",IF(AJ32&gt;0,"Lengkapi status kegiatan",IF(AND(AI32&gt;0,T32=""),"Isi alasan Tidak Berlaku",IF(AND(SUM(AG32,AH32)&gt;0,OR(T32="",U32="",V32="",W32="")),"Isi kendala dan tindak lanjut",IF(AND(Y32&lt;&gt;"Draft",Y32&lt;&gt;"Dikirim"),"Isi status laporan yang valid",IF(AND(AA32&lt;&gt;"",AA32&lt;&gt;"Belum Diperiksa",AA32&lt;&gt;"Disetujui",AA32&lt;&gt;"Perlu Perbaikan"),"Hasil review tidak valid",IF(AND(Y32="Dikirim",OR(X32="",Z32="")),"Isi bukti dan waktu kirim",IF(AND(AA32="Disetujui",OR(Y32&lt;&gt;"Dikirim",AB32="",AC32="")),"Lengkapi pemeriksaan",IF(AND(AA32="Perlu Perbaikan",OR(AD32="",AB32="",AC32="")),"Isi pemeriksa dan catatan perbaikan","OK")))))))))))))))),"")</f>
        <v/>
      </c>
    </row>
    <row r="33" spans="1:38" ht="24.95" customHeight="1">
      <c r="A33" s="8"/>
      <c r="B33" s="6"/>
      <c r="C33" s="15" t="str">
        <f>IF(COUNTIFS(Master_PIC!$A$8:$A$73,$B33)=1,IF(VLOOKUP($B33,Master_PIC!$A$8:$G$73,2,FALSE)="","",VLOOKUP($B33,Master_PIC!$A$8:$G$73,2,FALSE)),"")</f>
        <v/>
      </c>
      <c r="D33" s="15" t="str">
        <f>IF(COUNTIFS(Master_PIC!$A$8:$A$73,$B33)=1,IF(VLOOKUP($B33,Master_PIC!$A$8:$G$73,4,FALSE)="","",VLOOKUP($B33,Master_PIC!$A$8:$G$73,4,FALSE)),"")</f>
        <v/>
      </c>
      <c r="E33" s="15" t="str">
        <f>IF(COUNTIFS(Master_PIC!$A$8:$A$73,$B33)=1,IF(VLOOKUP($B33,Master_PIC!$A$8:$G$73,5,FALSE)="","",VLOOKUP($B33,Master_PIC!$A$8:$G$73,5,FALSE)),"")</f>
        <v/>
      </c>
      <c r="F33" s="15" t="str">
        <f>IF(COUNTIFS(Master_PIC!$A$8:$A$73,$B33)=1,IF(VLOOKUP($B33,Master_PIC!$A$8:$G$73,6,FALSE)="","",VLOOKUP($B33,Master_PIC!$A$8:$G$73,6,FALSE)),"")</f>
        <v/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8"/>
      <c r="X33" s="5"/>
      <c r="Y33" s="5"/>
      <c r="Z33" s="9"/>
      <c r="AA33" s="5"/>
      <c r="AB33" s="5"/>
      <c r="AC33" s="9"/>
      <c r="AD33" s="5"/>
      <c r="AE33" s="7" t="str">
        <f t="shared" si="0"/>
        <v/>
      </c>
      <c r="AF33" s="7" t="str">
        <f t="shared" si="1"/>
        <v/>
      </c>
      <c r="AG33" s="7" t="str">
        <f t="shared" si="2"/>
        <v/>
      </c>
      <c r="AH33" s="7" t="str">
        <f t="shared" si="3"/>
        <v/>
      </c>
      <c r="AI33" s="7" t="str">
        <f t="shared" si="4"/>
        <v/>
      </c>
      <c r="AJ33" s="7" t="str">
        <f t="shared" si="5"/>
        <v/>
      </c>
      <c r="AK33" s="10" t="str">
        <f t="shared" si="6"/>
        <v/>
      </c>
      <c r="AL33" s="15" t="str">
        <f>IF(OR($A33&lt;&gt;"",$B33&lt;&gt;""),IF(OR($A33="",$B33=""),"Isi tanggal dan ID PIC",IF(NOT(ISNUMBER($A33)),"Tanggal harus berupa tanggal Excel",IF(COUNTIFS(Master_PIC!$A$8:$A$73,$B33)&lt;&gt;1,"ID PIC tidak unik/terdaftar",IF(VLOOKUP($B33,Master_PIC!$A$8:$G$73,3,FALSE)&lt;&gt;"ASM","Jabatan tidak sesuai sheet",IF(OR($C33="",$D33="",$E33="",$F33=""),"Lengkapi master PIC",IF(COUNTIFS($A$8:$A$507,$A33,$B$8:$B$507,$B33)&gt;1,"Laporan ganda",IF(COUNTIFS(G33:O33,"Tidak Berlaku")&gt;0,"N/A hanya untuk kegiatan bersyarat",IF(SUM(AF33,AG33,AH33,AI33,AJ33)&lt;&gt;13,"Status kegiatan tidak valid",IF(AJ33&gt;0,"Lengkapi status kegiatan",IF(AND(AI33&gt;0,T33=""),"Isi alasan Tidak Berlaku",IF(AND(SUM(AG33,AH33)&gt;0,OR(T33="",U33="",V33="",W33="")),"Isi kendala dan tindak lanjut",IF(AND(Y33&lt;&gt;"Draft",Y33&lt;&gt;"Dikirim"),"Isi status laporan yang valid",IF(AND(AA33&lt;&gt;"",AA33&lt;&gt;"Belum Diperiksa",AA33&lt;&gt;"Disetujui",AA33&lt;&gt;"Perlu Perbaikan"),"Hasil review tidak valid",IF(AND(Y33="Dikirim",OR(X33="",Z33="")),"Isi bukti dan waktu kirim",IF(AND(AA33="Disetujui",OR(Y33&lt;&gt;"Dikirim",AB33="",AC33="")),"Lengkapi pemeriksaan",IF(AND(AA33="Perlu Perbaikan",OR(AD33="",AB33="",AC33="")),"Isi pemeriksa dan catatan perbaikan","OK")))))))))))))))),"")</f>
        <v/>
      </c>
    </row>
    <row r="34" spans="1:38" ht="24.95" customHeight="1">
      <c r="A34" s="8"/>
      <c r="B34" s="6"/>
      <c r="C34" s="15" t="str">
        <f>IF(COUNTIFS(Master_PIC!$A$8:$A$73,$B34)=1,IF(VLOOKUP($B34,Master_PIC!$A$8:$G$73,2,FALSE)="","",VLOOKUP($B34,Master_PIC!$A$8:$G$73,2,FALSE)),"")</f>
        <v/>
      </c>
      <c r="D34" s="15" t="str">
        <f>IF(COUNTIFS(Master_PIC!$A$8:$A$73,$B34)=1,IF(VLOOKUP($B34,Master_PIC!$A$8:$G$73,4,FALSE)="","",VLOOKUP($B34,Master_PIC!$A$8:$G$73,4,FALSE)),"")</f>
        <v/>
      </c>
      <c r="E34" s="15" t="str">
        <f>IF(COUNTIFS(Master_PIC!$A$8:$A$73,$B34)=1,IF(VLOOKUP($B34,Master_PIC!$A$8:$G$73,5,FALSE)="","",VLOOKUP($B34,Master_PIC!$A$8:$G$73,5,FALSE)),"")</f>
        <v/>
      </c>
      <c r="F34" s="15" t="str">
        <f>IF(COUNTIFS(Master_PIC!$A$8:$A$73,$B34)=1,IF(VLOOKUP($B34,Master_PIC!$A$8:$G$73,6,FALSE)="","",VLOOKUP($B34,Master_PIC!$A$8:$G$73,6,FALSE)),"")</f>
        <v/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8"/>
      <c r="X34" s="5"/>
      <c r="Y34" s="5"/>
      <c r="Z34" s="9"/>
      <c r="AA34" s="5"/>
      <c r="AB34" s="5"/>
      <c r="AC34" s="9"/>
      <c r="AD34" s="5"/>
      <c r="AE34" s="7" t="str">
        <f t="shared" si="0"/>
        <v/>
      </c>
      <c r="AF34" s="7" t="str">
        <f t="shared" si="1"/>
        <v/>
      </c>
      <c r="AG34" s="7" t="str">
        <f t="shared" si="2"/>
        <v/>
      </c>
      <c r="AH34" s="7" t="str">
        <f t="shared" si="3"/>
        <v/>
      </c>
      <c r="AI34" s="7" t="str">
        <f t="shared" si="4"/>
        <v/>
      </c>
      <c r="AJ34" s="7" t="str">
        <f t="shared" si="5"/>
        <v/>
      </c>
      <c r="AK34" s="10" t="str">
        <f t="shared" si="6"/>
        <v/>
      </c>
      <c r="AL34" s="15" t="str">
        <f>IF(OR($A34&lt;&gt;"",$B34&lt;&gt;""),IF(OR($A34="",$B34=""),"Isi tanggal dan ID PIC",IF(NOT(ISNUMBER($A34)),"Tanggal harus berupa tanggal Excel",IF(COUNTIFS(Master_PIC!$A$8:$A$73,$B34)&lt;&gt;1,"ID PIC tidak unik/terdaftar",IF(VLOOKUP($B34,Master_PIC!$A$8:$G$73,3,FALSE)&lt;&gt;"ASM","Jabatan tidak sesuai sheet",IF(OR($C34="",$D34="",$E34="",$F34=""),"Lengkapi master PIC",IF(COUNTIFS($A$8:$A$507,$A34,$B$8:$B$507,$B34)&gt;1,"Laporan ganda",IF(COUNTIFS(G34:O34,"Tidak Berlaku")&gt;0,"N/A hanya untuk kegiatan bersyarat",IF(SUM(AF34,AG34,AH34,AI34,AJ34)&lt;&gt;13,"Status kegiatan tidak valid",IF(AJ34&gt;0,"Lengkapi status kegiatan",IF(AND(AI34&gt;0,T34=""),"Isi alasan Tidak Berlaku",IF(AND(SUM(AG34,AH34)&gt;0,OR(T34="",U34="",V34="",W34="")),"Isi kendala dan tindak lanjut",IF(AND(Y34&lt;&gt;"Draft",Y34&lt;&gt;"Dikirim"),"Isi status laporan yang valid",IF(AND(AA34&lt;&gt;"",AA34&lt;&gt;"Belum Diperiksa",AA34&lt;&gt;"Disetujui",AA34&lt;&gt;"Perlu Perbaikan"),"Hasil review tidak valid",IF(AND(Y34="Dikirim",OR(X34="",Z34="")),"Isi bukti dan waktu kirim",IF(AND(AA34="Disetujui",OR(Y34&lt;&gt;"Dikirim",AB34="",AC34="")),"Lengkapi pemeriksaan",IF(AND(AA34="Perlu Perbaikan",OR(AD34="",AB34="",AC34="")),"Isi pemeriksa dan catatan perbaikan","OK")))))))))))))))),"")</f>
        <v/>
      </c>
    </row>
    <row r="35" spans="1:38" ht="24.95" customHeight="1">
      <c r="A35" s="8"/>
      <c r="B35" s="6"/>
      <c r="C35" s="15" t="str">
        <f>IF(COUNTIFS(Master_PIC!$A$8:$A$73,$B35)=1,IF(VLOOKUP($B35,Master_PIC!$A$8:$G$73,2,FALSE)="","",VLOOKUP($B35,Master_PIC!$A$8:$G$73,2,FALSE)),"")</f>
        <v/>
      </c>
      <c r="D35" s="15" t="str">
        <f>IF(COUNTIFS(Master_PIC!$A$8:$A$73,$B35)=1,IF(VLOOKUP($B35,Master_PIC!$A$8:$G$73,4,FALSE)="","",VLOOKUP($B35,Master_PIC!$A$8:$G$73,4,FALSE)),"")</f>
        <v/>
      </c>
      <c r="E35" s="15" t="str">
        <f>IF(COUNTIFS(Master_PIC!$A$8:$A$73,$B35)=1,IF(VLOOKUP($B35,Master_PIC!$A$8:$G$73,5,FALSE)="","",VLOOKUP($B35,Master_PIC!$A$8:$G$73,5,FALSE)),"")</f>
        <v/>
      </c>
      <c r="F35" s="15" t="str">
        <f>IF(COUNTIFS(Master_PIC!$A$8:$A$73,$B35)=1,IF(VLOOKUP($B35,Master_PIC!$A$8:$G$73,6,FALSE)="","",VLOOKUP($B35,Master_PIC!$A$8:$G$73,6,FALSE)),"")</f>
        <v/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8"/>
      <c r="X35" s="5"/>
      <c r="Y35" s="5"/>
      <c r="Z35" s="9"/>
      <c r="AA35" s="5"/>
      <c r="AB35" s="5"/>
      <c r="AC35" s="9"/>
      <c r="AD35" s="5"/>
      <c r="AE35" s="7" t="str">
        <f t="shared" si="0"/>
        <v/>
      </c>
      <c r="AF35" s="7" t="str">
        <f t="shared" si="1"/>
        <v/>
      </c>
      <c r="AG35" s="7" t="str">
        <f t="shared" si="2"/>
        <v/>
      </c>
      <c r="AH35" s="7" t="str">
        <f t="shared" si="3"/>
        <v/>
      </c>
      <c r="AI35" s="7" t="str">
        <f t="shared" si="4"/>
        <v/>
      </c>
      <c r="AJ35" s="7" t="str">
        <f t="shared" si="5"/>
        <v/>
      </c>
      <c r="AK35" s="10" t="str">
        <f t="shared" si="6"/>
        <v/>
      </c>
      <c r="AL35" s="15" t="str">
        <f>IF(OR($A35&lt;&gt;"",$B35&lt;&gt;""),IF(OR($A35="",$B35=""),"Isi tanggal dan ID PIC",IF(NOT(ISNUMBER($A35)),"Tanggal harus berupa tanggal Excel",IF(COUNTIFS(Master_PIC!$A$8:$A$73,$B35)&lt;&gt;1,"ID PIC tidak unik/terdaftar",IF(VLOOKUP($B35,Master_PIC!$A$8:$G$73,3,FALSE)&lt;&gt;"ASM","Jabatan tidak sesuai sheet",IF(OR($C35="",$D35="",$E35="",$F35=""),"Lengkapi master PIC",IF(COUNTIFS($A$8:$A$507,$A35,$B$8:$B$507,$B35)&gt;1,"Laporan ganda",IF(COUNTIFS(G35:O35,"Tidak Berlaku")&gt;0,"N/A hanya untuk kegiatan bersyarat",IF(SUM(AF35,AG35,AH35,AI35,AJ35)&lt;&gt;13,"Status kegiatan tidak valid",IF(AJ35&gt;0,"Lengkapi status kegiatan",IF(AND(AI35&gt;0,T35=""),"Isi alasan Tidak Berlaku",IF(AND(SUM(AG35,AH35)&gt;0,OR(T35="",U35="",V35="",W35="")),"Isi kendala dan tindak lanjut",IF(AND(Y35&lt;&gt;"Draft",Y35&lt;&gt;"Dikirim"),"Isi status laporan yang valid",IF(AND(AA35&lt;&gt;"",AA35&lt;&gt;"Belum Diperiksa",AA35&lt;&gt;"Disetujui",AA35&lt;&gt;"Perlu Perbaikan"),"Hasil review tidak valid",IF(AND(Y35="Dikirim",OR(X35="",Z35="")),"Isi bukti dan waktu kirim",IF(AND(AA35="Disetujui",OR(Y35&lt;&gt;"Dikirim",AB35="",AC35="")),"Lengkapi pemeriksaan",IF(AND(AA35="Perlu Perbaikan",OR(AD35="",AB35="",AC35="")),"Isi pemeriksa dan catatan perbaikan","OK")))))))))))))))),"")</f>
        <v/>
      </c>
    </row>
    <row r="36" spans="1:38" ht="24.95" customHeight="1">
      <c r="A36" s="8"/>
      <c r="B36" s="6"/>
      <c r="C36" s="15" t="str">
        <f>IF(COUNTIFS(Master_PIC!$A$8:$A$73,$B36)=1,IF(VLOOKUP($B36,Master_PIC!$A$8:$G$73,2,FALSE)="","",VLOOKUP($B36,Master_PIC!$A$8:$G$73,2,FALSE)),"")</f>
        <v/>
      </c>
      <c r="D36" s="15" t="str">
        <f>IF(COUNTIFS(Master_PIC!$A$8:$A$73,$B36)=1,IF(VLOOKUP($B36,Master_PIC!$A$8:$G$73,4,FALSE)="","",VLOOKUP($B36,Master_PIC!$A$8:$G$73,4,FALSE)),"")</f>
        <v/>
      </c>
      <c r="E36" s="15" t="str">
        <f>IF(COUNTIFS(Master_PIC!$A$8:$A$73,$B36)=1,IF(VLOOKUP($B36,Master_PIC!$A$8:$G$73,5,FALSE)="","",VLOOKUP($B36,Master_PIC!$A$8:$G$73,5,FALSE)),"")</f>
        <v/>
      </c>
      <c r="F36" s="15" t="str">
        <f>IF(COUNTIFS(Master_PIC!$A$8:$A$73,$B36)=1,IF(VLOOKUP($B36,Master_PIC!$A$8:$G$73,6,FALSE)="","",VLOOKUP($B36,Master_PIC!$A$8:$G$73,6,FALSE)),"")</f>
        <v/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8"/>
      <c r="X36" s="5"/>
      <c r="Y36" s="5"/>
      <c r="Z36" s="9"/>
      <c r="AA36" s="5"/>
      <c r="AB36" s="5"/>
      <c r="AC36" s="9"/>
      <c r="AD36" s="5"/>
      <c r="AE36" s="7" t="str">
        <f t="shared" si="0"/>
        <v/>
      </c>
      <c r="AF36" s="7" t="str">
        <f t="shared" si="1"/>
        <v/>
      </c>
      <c r="AG36" s="7" t="str">
        <f t="shared" si="2"/>
        <v/>
      </c>
      <c r="AH36" s="7" t="str">
        <f t="shared" si="3"/>
        <v/>
      </c>
      <c r="AI36" s="7" t="str">
        <f t="shared" si="4"/>
        <v/>
      </c>
      <c r="AJ36" s="7" t="str">
        <f t="shared" si="5"/>
        <v/>
      </c>
      <c r="AK36" s="10" t="str">
        <f t="shared" si="6"/>
        <v/>
      </c>
      <c r="AL36" s="15" t="str">
        <f>IF(OR($A36&lt;&gt;"",$B36&lt;&gt;""),IF(OR($A36="",$B36=""),"Isi tanggal dan ID PIC",IF(NOT(ISNUMBER($A36)),"Tanggal harus berupa tanggal Excel",IF(COUNTIFS(Master_PIC!$A$8:$A$73,$B36)&lt;&gt;1,"ID PIC tidak unik/terdaftar",IF(VLOOKUP($B36,Master_PIC!$A$8:$G$73,3,FALSE)&lt;&gt;"ASM","Jabatan tidak sesuai sheet",IF(OR($C36="",$D36="",$E36="",$F36=""),"Lengkapi master PIC",IF(COUNTIFS($A$8:$A$507,$A36,$B$8:$B$507,$B36)&gt;1,"Laporan ganda",IF(COUNTIFS(G36:O36,"Tidak Berlaku")&gt;0,"N/A hanya untuk kegiatan bersyarat",IF(SUM(AF36,AG36,AH36,AI36,AJ36)&lt;&gt;13,"Status kegiatan tidak valid",IF(AJ36&gt;0,"Lengkapi status kegiatan",IF(AND(AI36&gt;0,T36=""),"Isi alasan Tidak Berlaku",IF(AND(SUM(AG36,AH36)&gt;0,OR(T36="",U36="",V36="",W36="")),"Isi kendala dan tindak lanjut",IF(AND(Y36&lt;&gt;"Draft",Y36&lt;&gt;"Dikirim"),"Isi status laporan yang valid",IF(AND(AA36&lt;&gt;"",AA36&lt;&gt;"Belum Diperiksa",AA36&lt;&gt;"Disetujui",AA36&lt;&gt;"Perlu Perbaikan"),"Hasil review tidak valid",IF(AND(Y36="Dikirim",OR(X36="",Z36="")),"Isi bukti dan waktu kirim",IF(AND(AA36="Disetujui",OR(Y36&lt;&gt;"Dikirim",AB36="",AC36="")),"Lengkapi pemeriksaan",IF(AND(AA36="Perlu Perbaikan",OR(AD36="",AB36="",AC36="")),"Isi pemeriksa dan catatan perbaikan","OK")))))))))))))))),"")</f>
        <v/>
      </c>
    </row>
    <row r="37" spans="1:38" ht="24.95" customHeight="1">
      <c r="A37" s="8"/>
      <c r="B37" s="6"/>
      <c r="C37" s="15" t="str">
        <f>IF(COUNTIFS(Master_PIC!$A$8:$A$73,$B37)=1,IF(VLOOKUP($B37,Master_PIC!$A$8:$G$73,2,FALSE)="","",VLOOKUP($B37,Master_PIC!$A$8:$G$73,2,FALSE)),"")</f>
        <v/>
      </c>
      <c r="D37" s="15" t="str">
        <f>IF(COUNTIFS(Master_PIC!$A$8:$A$73,$B37)=1,IF(VLOOKUP($B37,Master_PIC!$A$8:$G$73,4,FALSE)="","",VLOOKUP($B37,Master_PIC!$A$8:$G$73,4,FALSE)),"")</f>
        <v/>
      </c>
      <c r="E37" s="15" t="str">
        <f>IF(COUNTIFS(Master_PIC!$A$8:$A$73,$B37)=1,IF(VLOOKUP($B37,Master_PIC!$A$8:$G$73,5,FALSE)="","",VLOOKUP($B37,Master_PIC!$A$8:$G$73,5,FALSE)),"")</f>
        <v/>
      </c>
      <c r="F37" s="15" t="str">
        <f>IF(COUNTIFS(Master_PIC!$A$8:$A$73,$B37)=1,IF(VLOOKUP($B37,Master_PIC!$A$8:$G$73,6,FALSE)="","",VLOOKUP($B37,Master_PIC!$A$8:$G$73,6,FALSE)),"")</f>
        <v/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8"/>
      <c r="X37" s="5"/>
      <c r="Y37" s="5"/>
      <c r="Z37" s="9"/>
      <c r="AA37" s="5"/>
      <c r="AB37" s="5"/>
      <c r="AC37" s="9"/>
      <c r="AD37" s="5"/>
      <c r="AE37" s="7" t="str">
        <f t="shared" si="0"/>
        <v/>
      </c>
      <c r="AF37" s="7" t="str">
        <f t="shared" si="1"/>
        <v/>
      </c>
      <c r="AG37" s="7" t="str">
        <f t="shared" si="2"/>
        <v/>
      </c>
      <c r="AH37" s="7" t="str">
        <f t="shared" si="3"/>
        <v/>
      </c>
      <c r="AI37" s="7" t="str">
        <f t="shared" si="4"/>
        <v/>
      </c>
      <c r="AJ37" s="7" t="str">
        <f t="shared" si="5"/>
        <v/>
      </c>
      <c r="AK37" s="10" t="str">
        <f t="shared" si="6"/>
        <v/>
      </c>
      <c r="AL37" s="15" t="str">
        <f>IF(OR($A37&lt;&gt;"",$B37&lt;&gt;""),IF(OR($A37="",$B37=""),"Isi tanggal dan ID PIC",IF(NOT(ISNUMBER($A37)),"Tanggal harus berupa tanggal Excel",IF(COUNTIFS(Master_PIC!$A$8:$A$73,$B37)&lt;&gt;1,"ID PIC tidak unik/terdaftar",IF(VLOOKUP($B37,Master_PIC!$A$8:$G$73,3,FALSE)&lt;&gt;"ASM","Jabatan tidak sesuai sheet",IF(OR($C37="",$D37="",$E37="",$F37=""),"Lengkapi master PIC",IF(COUNTIFS($A$8:$A$507,$A37,$B$8:$B$507,$B37)&gt;1,"Laporan ganda",IF(COUNTIFS(G37:O37,"Tidak Berlaku")&gt;0,"N/A hanya untuk kegiatan bersyarat",IF(SUM(AF37,AG37,AH37,AI37,AJ37)&lt;&gt;13,"Status kegiatan tidak valid",IF(AJ37&gt;0,"Lengkapi status kegiatan",IF(AND(AI37&gt;0,T37=""),"Isi alasan Tidak Berlaku",IF(AND(SUM(AG37,AH37)&gt;0,OR(T37="",U37="",V37="",W37="")),"Isi kendala dan tindak lanjut",IF(AND(Y37&lt;&gt;"Draft",Y37&lt;&gt;"Dikirim"),"Isi status laporan yang valid",IF(AND(AA37&lt;&gt;"",AA37&lt;&gt;"Belum Diperiksa",AA37&lt;&gt;"Disetujui",AA37&lt;&gt;"Perlu Perbaikan"),"Hasil review tidak valid",IF(AND(Y37="Dikirim",OR(X37="",Z37="")),"Isi bukti dan waktu kirim",IF(AND(AA37="Disetujui",OR(Y37&lt;&gt;"Dikirim",AB37="",AC37="")),"Lengkapi pemeriksaan",IF(AND(AA37="Perlu Perbaikan",OR(AD37="",AB37="",AC37="")),"Isi pemeriksa dan catatan perbaikan","OK")))))))))))))))),"")</f>
        <v/>
      </c>
    </row>
    <row r="38" spans="1:38" ht="24.95" customHeight="1">
      <c r="A38" s="8"/>
      <c r="B38" s="6"/>
      <c r="C38" s="15" t="str">
        <f>IF(COUNTIFS(Master_PIC!$A$8:$A$73,$B38)=1,IF(VLOOKUP($B38,Master_PIC!$A$8:$G$73,2,FALSE)="","",VLOOKUP($B38,Master_PIC!$A$8:$G$73,2,FALSE)),"")</f>
        <v/>
      </c>
      <c r="D38" s="15" t="str">
        <f>IF(COUNTIFS(Master_PIC!$A$8:$A$73,$B38)=1,IF(VLOOKUP($B38,Master_PIC!$A$8:$G$73,4,FALSE)="","",VLOOKUP($B38,Master_PIC!$A$8:$G$73,4,FALSE)),"")</f>
        <v/>
      </c>
      <c r="E38" s="15" t="str">
        <f>IF(COUNTIFS(Master_PIC!$A$8:$A$73,$B38)=1,IF(VLOOKUP($B38,Master_PIC!$A$8:$G$73,5,FALSE)="","",VLOOKUP($B38,Master_PIC!$A$8:$G$73,5,FALSE)),"")</f>
        <v/>
      </c>
      <c r="F38" s="15" t="str">
        <f>IF(COUNTIFS(Master_PIC!$A$8:$A$73,$B38)=1,IF(VLOOKUP($B38,Master_PIC!$A$8:$G$73,6,FALSE)="","",VLOOKUP($B38,Master_PIC!$A$8:$G$73,6,FALSE)),"")</f>
        <v/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8"/>
      <c r="X38" s="5"/>
      <c r="Y38" s="5"/>
      <c r="Z38" s="9"/>
      <c r="AA38" s="5"/>
      <c r="AB38" s="5"/>
      <c r="AC38" s="9"/>
      <c r="AD38" s="5"/>
      <c r="AE38" s="7" t="str">
        <f t="shared" si="0"/>
        <v/>
      </c>
      <c r="AF38" s="7" t="str">
        <f t="shared" si="1"/>
        <v/>
      </c>
      <c r="AG38" s="7" t="str">
        <f t="shared" si="2"/>
        <v/>
      </c>
      <c r="AH38" s="7" t="str">
        <f t="shared" si="3"/>
        <v/>
      </c>
      <c r="AI38" s="7" t="str">
        <f t="shared" si="4"/>
        <v/>
      </c>
      <c r="AJ38" s="7" t="str">
        <f t="shared" si="5"/>
        <v/>
      </c>
      <c r="AK38" s="10" t="str">
        <f t="shared" si="6"/>
        <v/>
      </c>
      <c r="AL38" s="15" t="str">
        <f>IF(OR($A38&lt;&gt;"",$B38&lt;&gt;""),IF(OR($A38="",$B38=""),"Isi tanggal dan ID PIC",IF(NOT(ISNUMBER($A38)),"Tanggal harus berupa tanggal Excel",IF(COUNTIFS(Master_PIC!$A$8:$A$73,$B38)&lt;&gt;1,"ID PIC tidak unik/terdaftar",IF(VLOOKUP($B38,Master_PIC!$A$8:$G$73,3,FALSE)&lt;&gt;"ASM","Jabatan tidak sesuai sheet",IF(OR($C38="",$D38="",$E38="",$F38=""),"Lengkapi master PIC",IF(COUNTIFS($A$8:$A$507,$A38,$B$8:$B$507,$B38)&gt;1,"Laporan ganda",IF(COUNTIFS(G38:O38,"Tidak Berlaku")&gt;0,"N/A hanya untuk kegiatan bersyarat",IF(SUM(AF38,AG38,AH38,AI38,AJ38)&lt;&gt;13,"Status kegiatan tidak valid",IF(AJ38&gt;0,"Lengkapi status kegiatan",IF(AND(AI38&gt;0,T38=""),"Isi alasan Tidak Berlaku",IF(AND(SUM(AG38,AH38)&gt;0,OR(T38="",U38="",V38="",W38="")),"Isi kendala dan tindak lanjut",IF(AND(Y38&lt;&gt;"Draft",Y38&lt;&gt;"Dikirim"),"Isi status laporan yang valid",IF(AND(AA38&lt;&gt;"",AA38&lt;&gt;"Belum Diperiksa",AA38&lt;&gt;"Disetujui",AA38&lt;&gt;"Perlu Perbaikan"),"Hasil review tidak valid",IF(AND(Y38="Dikirim",OR(X38="",Z38="")),"Isi bukti dan waktu kirim",IF(AND(AA38="Disetujui",OR(Y38&lt;&gt;"Dikirim",AB38="",AC38="")),"Lengkapi pemeriksaan",IF(AND(AA38="Perlu Perbaikan",OR(AD38="",AB38="",AC38="")),"Isi pemeriksa dan catatan perbaikan","OK")))))))))))))))),"")</f>
        <v/>
      </c>
    </row>
    <row r="39" spans="1:38" ht="24.95" customHeight="1">
      <c r="A39" s="8"/>
      <c r="B39" s="6"/>
      <c r="C39" s="15" t="str">
        <f>IF(COUNTIFS(Master_PIC!$A$8:$A$73,$B39)=1,IF(VLOOKUP($B39,Master_PIC!$A$8:$G$73,2,FALSE)="","",VLOOKUP($B39,Master_PIC!$A$8:$G$73,2,FALSE)),"")</f>
        <v/>
      </c>
      <c r="D39" s="15" t="str">
        <f>IF(COUNTIFS(Master_PIC!$A$8:$A$73,$B39)=1,IF(VLOOKUP($B39,Master_PIC!$A$8:$G$73,4,FALSE)="","",VLOOKUP($B39,Master_PIC!$A$8:$G$73,4,FALSE)),"")</f>
        <v/>
      </c>
      <c r="E39" s="15" t="str">
        <f>IF(COUNTIFS(Master_PIC!$A$8:$A$73,$B39)=1,IF(VLOOKUP($B39,Master_PIC!$A$8:$G$73,5,FALSE)="","",VLOOKUP($B39,Master_PIC!$A$8:$G$73,5,FALSE)),"")</f>
        <v/>
      </c>
      <c r="F39" s="15" t="str">
        <f>IF(COUNTIFS(Master_PIC!$A$8:$A$73,$B39)=1,IF(VLOOKUP($B39,Master_PIC!$A$8:$G$73,6,FALSE)="","",VLOOKUP($B39,Master_PIC!$A$8:$G$73,6,FALSE)),"")</f>
        <v/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8"/>
      <c r="X39" s="5"/>
      <c r="Y39" s="5"/>
      <c r="Z39" s="9"/>
      <c r="AA39" s="5"/>
      <c r="AB39" s="5"/>
      <c r="AC39" s="9"/>
      <c r="AD39" s="5"/>
      <c r="AE39" s="7" t="str">
        <f t="shared" si="0"/>
        <v/>
      </c>
      <c r="AF39" s="7" t="str">
        <f t="shared" si="1"/>
        <v/>
      </c>
      <c r="AG39" s="7" t="str">
        <f t="shared" si="2"/>
        <v/>
      </c>
      <c r="AH39" s="7" t="str">
        <f t="shared" si="3"/>
        <v/>
      </c>
      <c r="AI39" s="7" t="str">
        <f t="shared" si="4"/>
        <v/>
      </c>
      <c r="AJ39" s="7" t="str">
        <f t="shared" si="5"/>
        <v/>
      </c>
      <c r="AK39" s="10" t="str">
        <f t="shared" si="6"/>
        <v/>
      </c>
      <c r="AL39" s="15" t="str">
        <f>IF(OR($A39&lt;&gt;"",$B39&lt;&gt;""),IF(OR($A39="",$B39=""),"Isi tanggal dan ID PIC",IF(NOT(ISNUMBER($A39)),"Tanggal harus berupa tanggal Excel",IF(COUNTIFS(Master_PIC!$A$8:$A$73,$B39)&lt;&gt;1,"ID PIC tidak unik/terdaftar",IF(VLOOKUP($B39,Master_PIC!$A$8:$G$73,3,FALSE)&lt;&gt;"ASM","Jabatan tidak sesuai sheet",IF(OR($C39="",$D39="",$E39="",$F39=""),"Lengkapi master PIC",IF(COUNTIFS($A$8:$A$507,$A39,$B$8:$B$507,$B39)&gt;1,"Laporan ganda",IF(COUNTIFS(G39:O39,"Tidak Berlaku")&gt;0,"N/A hanya untuk kegiatan bersyarat",IF(SUM(AF39,AG39,AH39,AI39,AJ39)&lt;&gt;13,"Status kegiatan tidak valid",IF(AJ39&gt;0,"Lengkapi status kegiatan",IF(AND(AI39&gt;0,T39=""),"Isi alasan Tidak Berlaku",IF(AND(SUM(AG39,AH39)&gt;0,OR(T39="",U39="",V39="",W39="")),"Isi kendala dan tindak lanjut",IF(AND(Y39&lt;&gt;"Draft",Y39&lt;&gt;"Dikirim"),"Isi status laporan yang valid",IF(AND(AA39&lt;&gt;"",AA39&lt;&gt;"Belum Diperiksa",AA39&lt;&gt;"Disetujui",AA39&lt;&gt;"Perlu Perbaikan"),"Hasil review tidak valid",IF(AND(Y39="Dikirim",OR(X39="",Z39="")),"Isi bukti dan waktu kirim",IF(AND(AA39="Disetujui",OR(Y39&lt;&gt;"Dikirim",AB39="",AC39="")),"Lengkapi pemeriksaan",IF(AND(AA39="Perlu Perbaikan",OR(AD39="",AB39="",AC39="")),"Isi pemeriksa dan catatan perbaikan","OK")))))))))))))))),"")</f>
        <v/>
      </c>
    </row>
    <row r="40" spans="1:38" ht="24.95" customHeight="1">
      <c r="A40" s="8"/>
      <c r="B40" s="6"/>
      <c r="C40" s="15" t="str">
        <f>IF(COUNTIFS(Master_PIC!$A$8:$A$73,$B40)=1,IF(VLOOKUP($B40,Master_PIC!$A$8:$G$73,2,FALSE)="","",VLOOKUP($B40,Master_PIC!$A$8:$G$73,2,FALSE)),"")</f>
        <v/>
      </c>
      <c r="D40" s="15" t="str">
        <f>IF(COUNTIFS(Master_PIC!$A$8:$A$73,$B40)=1,IF(VLOOKUP($B40,Master_PIC!$A$8:$G$73,4,FALSE)="","",VLOOKUP($B40,Master_PIC!$A$8:$G$73,4,FALSE)),"")</f>
        <v/>
      </c>
      <c r="E40" s="15" t="str">
        <f>IF(COUNTIFS(Master_PIC!$A$8:$A$73,$B40)=1,IF(VLOOKUP($B40,Master_PIC!$A$8:$G$73,5,FALSE)="","",VLOOKUP($B40,Master_PIC!$A$8:$G$73,5,FALSE)),"")</f>
        <v/>
      </c>
      <c r="F40" s="15" t="str">
        <f>IF(COUNTIFS(Master_PIC!$A$8:$A$73,$B40)=1,IF(VLOOKUP($B40,Master_PIC!$A$8:$G$73,6,FALSE)="","",VLOOKUP($B40,Master_PIC!$A$8:$G$73,6,FALSE)),"")</f>
        <v/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8"/>
      <c r="X40" s="5"/>
      <c r="Y40" s="5"/>
      <c r="Z40" s="9"/>
      <c r="AA40" s="5"/>
      <c r="AB40" s="5"/>
      <c r="AC40" s="9"/>
      <c r="AD40" s="5"/>
      <c r="AE40" s="7" t="str">
        <f t="shared" si="0"/>
        <v/>
      </c>
      <c r="AF40" s="7" t="str">
        <f t="shared" si="1"/>
        <v/>
      </c>
      <c r="AG40" s="7" t="str">
        <f t="shared" si="2"/>
        <v/>
      </c>
      <c r="AH40" s="7" t="str">
        <f t="shared" si="3"/>
        <v/>
      </c>
      <c r="AI40" s="7" t="str">
        <f t="shared" si="4"/>
        <v/>
      </c>
      <c r="AJ40" s="7" t="str">
        <f t="shared" si="5"/>
        <v/>
      </c>
      <c r="AK40" s="10" t="str">
        <f t="shared" si="6"/>
        <v/>
      </c>
      <c r="AL40" s="15" t="str">
        <f>IF(OR($A40&lt;&gt;"",$B40&lt;&gt;""),IF(OR($A40="",$B40=""),"Isi tanggal dan ID PIC",IF(NOT(ISNUMBER($A40)),"Tanggal harus berupa tanggal Excel",IF(COUNTIFS(Master_PIC!$A$8:$A$73,$B40)&lt;&gt;1,"ID PIC tidak unik/terdaftar",IF(VLOOKUP($B40,Master_PIC!$A$8:$G$73,3,FALSE)&lt;&gt;"ASM","Jabatan tidak sesuai sheet",IF(OR($C40="",$D40="",$E40="",$F40=""),"Lengkapi master PIC",IF(COUNTIFS($A$8:$A$507,$A40,$B$8:$B$507,$B40)&gt;1,"Laporan ganda",IF(COUNTIFS(G40:O40,"Tidak Berlaku")&gt;0,"N/A hanya untuk kegiatan bersyarat",IF(SUM(AF40,AG40,AH40,AI40,AJ40)&lt;&gt;13,"Status kegiatan tidak valid",IF(AJ40&gt;0,"Lengkapi status kegiatan",IF(AND(AI40&gt;0,T40=""),"Isi alasan Tidak Berlaku",IF(AND(SUM(AG40,AH40)&gt;0,OR(T40="",U40="",V40="",W40="")),"Isi kendala dan tindak lanjut",IF(AND(Y40&lt;&gt;"Draft",Y40&lt;&gt;"Dikirim"),"Isi status laporan yang valid",IF(AND(AA40&lt;&gt;"",AA40&lt;&gt;"Belum Diperiksa",AA40&lt;&gt;"Disetujui",AA40&lt;&gt;"Perlu Perbaikan"),"Hasil review tidak valid",IF(AND(Y40="Dikirim",OR(X40="",Z40="")),"Isi bukti dan waktu kirim",IF(AND(AA40="Disetujui",OR(Y40&lt;&gt;"Dikirim",AB40="",AC40="")),"Lengkapi pemeriksaan",IF(AND(AA40="Perlu Perbaikan",OR(AD40="",AB40="",AC40="")),"Isi pemeriksa dan catatan perbaikan","OK")))))))))))))))),"")</f>
        <v/>
      </c>
    </row>
    <row r="41" spans="1:38" ht="24.95" customHeight="1">
      <c r="A41" s="8"/>
      <c r="B41" s="6"/>
      <c r="C41" s="15" t="str">
        <f>IF(COUNTIFS(Master_PIC!$A$8:$A$73,$B41)=1,IF(VLOOKUP($B41,Master_PIC!$A$8:$G$73,2,FALSE)="","",VLOOKUP($B41,Master_PIC!$A$8:$G$73,2,FALSE)),"")</f>
        <v/>
      </c>
      <c r="D41" s="15" t="str">
        <f>IF(COUNTIFS(Master_PIC!$A$8:$A$73,$B41)=1,IF(VLOOKUP($B41,Master_PIC!$A$8:$G$73,4,FALSE)="","",VLOOKUP($B41,Master_PIC!$A$8:$G$73,4,FALSE)),"")</f>
        <v/>
      </c>
      <c r="E41" s="15" t="str">
        <f>IF(COUNTIFS(Master_PIC!$A$8:$A$73,$B41)=1,IF(VLOOKUP($B41,Master_PIC!$A$8:$G$73,5,FALSE)="","",VLOOKUP($B41,Master_PIC!$A$8:$G$73,5,FALSE)),"")</f>
        <v/>
      </c>
      <c r="F41" s="15" t="str">
        <f>IF(COUNTIFS(Master_PIC!$A$8:$A$73,$B41)=1,IF(VLOOKUP($B41,Master_PIC!$A$8:$G$73,6,FALSE)="","",VLOOKUP($B41,Master_PIC!$A$8:$G$73,6,FALSE)),"")</f>
        <v/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8"/>
      <c r="X41" s="5"/>
      <c r="Y41" s="5"/>
      <c r="Z41" s="9"/>
      <c r="AA41" s="5"/>
      <c r="AB41" s="5"/>
      <c r="AC41" s="9"/>
      <c r="AD41" s="5"/>
      <c r="AE41" s="7" t="str">
        <f t="shared" si="0"/>
        <v/>
      </c>
      <c r="AF41" s="7" t="str">
        <f t="shared" si="1"/>
        <v/>
      </c>
      <c r="AG41" s="7" t="str">
        <f t="shared" si="2"/>
        <v/>
      </c>
      <c r="AH41" s="7" t="str">
        <f t="shared" si="3"/>
        <v/>
      </c>
      <c r="AI41" s="7" t="str">
        <f t="shared" si="4"/>
        <v/>
      </c>
      <c r="AJ41" s="7" t="str">
        <f t="shared" si="5"/>
        <v/>
      </c>
      <c r="AK41" s="10" t="str">
        <f t="shared" si="6"/>
        <v/>
      </c>
      <c r="AL41" s="15" t="str">
        <f>IF(OR($A41&lt;&gt;"",$B41&lt;&gt;""),IF(OR($A41="",$B41=""),"Isi tanggal dan ID PIC",IF(NOT(ISNUMBER($A41)),"Tanggal harus berupa tanggal Excel",IF(COUNTIFS(Master_PIC!$A$8:$A$73,$B41)&lt;&gt;1,"ID PIC tidak unik/terdaftar",IF(VLOOKUP($B41,Master_PIC!$A$8:$G$73,3,FALSE)&lt;&gt;"ASM","Jabatan tidak sesuai sheet",IF(OR($C41="",$D41="",$E41="",$F41=""),"Lengkapi master PIC",IF(COUNTIFS($A$8:$A$507,$A41,$B$8:$B$507,$B41)&gt;1,"Laporan ganda",IF(COUNTIFS(G41:O41,"Tidak Berlaku")&gt;0,"N/A hanya untuk kegiatan bersyarat",IF(SUM(AF41,AG41,AH41,AI41,AJ41)&lt;&gt;13,"Status kegiatan tidak valid",IF(AJ41&gt;0,"Lengkapi status kegiatan",IF(AND(AI41&gt;0,T41=""),"Isi alasan Tidak Berlaku",IF(AND(SUM(AG41,AH41)&gt;0,OR(T41="",U41="",V41="",W41="")),"Isi kendala dan tindak lanjut",IF(AND(Y41&lt;&gt;"Draft",Y41&lt;&gt;"Dikirim"),"Isi status laporan yang valid",IF(AND(AA41&lt;&gt;"",AA41&lt;&gt;"Belum Diperiksa",AA41&lt;&gt;"Disetujui",AA41&lt;&gt;"Perlu Perbaikan"),"Hasil review tidak valid",IF(AND(Y41="Dikirim",OR(X41="",Z41="")),"Isi bukti dan waktu kirim",IF(AND(AA41="Disetujui",OR(Y41&lt;&gt;"Dikirim",AB41="",AC41="")),"Lengkapi pemeriksaan",IF(AND(AA41="Perlu Perbaikan",OR(AD41="",AB41="",AC41="")),"Isi pemeriksa dan catatan perbaikan","OK")))))))))))))))),"")</f>
        <v/>
      </c>
    </row>
    <row r="42" spans="1:38" ht="24.95" customHeight="1">
      <c r="A42" s="8"/>
      <c r="B42" s="6"/>
      <c r="C42" s="15" t="str">
        <f>IF(COUNTIFS(Master_PIC!$A$8:$A$73,$B42)=1,IF(VLOOKUP($B42,Master_PIC!$A$8:$G$73,2,FALSE)="","",VLOOKUP($B42,Master_PIC!$A$8:$G$73,2,FALSE)),"")</f>
        <v/>
      </c>
      <c r="D42" s="15" t="str">
        <f>IF(COUNTIFS(Master_PIC!$A$8:$A$73,$B42)=1,IF(VLOOKUP($B42,Master_PIC!$A$8:$G$73,4,FALSE)="","",VLOOKUP($B42,Master_PIC!$A$8:$G$73,4,FALSE)),"")</f>
        <v/>
      </c>
      <c r="E42" s="15" t="str">
        <f>IF(COUNTIFS(Master_PIC!$A$8:$A$73,$B42)=1,IF(VLOOKUP($B42,Master_PIC!$A$8:$G$73,5,FALSE)="","",VLOOKUP($B42,Master_PIC!$A$8:$G$73,5,FALSE)),"")</f>
        <v/>
      </c>
      <c r="F42" s="15" t="str">
        <f>IF(COUNTIFS(Master_PIC!$A$8:$A$73,$B42)=1,IF(VLOOKUP($B42,Master_PIC!$A$8:$G$73,6,FALSE)="","",VLOOKUP($B42,Master_PIC!$A$8:$G$73,6,FALSE)),"")</f>
        <v/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9"/>
      <c r="AA42" s="5"/>
      <c r="AB42" s="5"/>
      <c r="AC42" s="9"/>
      <c r="AD42" s="5"/>
      <c r="AE42" s="7" t="str">
        <f t="shared" si="0"/>
        <v/>
      </c>
      <c r="AF42" s="7" t="str">
        <f t="shared" si="1"/>
        <v/>
      </c>
      <c r="AG42" s="7" t="str">
        <f t="shared" si="2"/>
        <v/>
      </c>
      <c r="AH42" s="7" t="str">
        <f t="shared" si="3"/>
        <v/>
      </c>
      <c r="AI42" s="7" t="str">
        <f t="shared" si="4"/>
        <v/>
      </c>
      <c r="AJ42" s="7" t="str">
        <f t="shared" si="5"/>
        <v/>
      </c>
      <c r="AK42" s="10" t="str">
        <f t="shared" si="6"/>
        <v/>
      </c>
      <c r="AL42" s="15" t="str">
        <f>IF(OR($A42&lt;&gt;"",$B42&lt;&gt;""),IF(OR($A42="",$B42=""),"Isi tanggal dan ID PIC",IF(NOT(ISNUMBER($A42)),"Tanggal harus berupa tanggal Excel",IF(COUNTIFS(Master_PIC!$A$8:$A$73,$B42)&lt;&gt;1,"ID PIC tidak unik/terdaftar",IF(VLOOKUP($B42,Master_PIC!$A$8:$G$73,3,FALSE)&lt;&gt;"ASM","Jabatan tidak sesuai sheet",IF(OR($C42="",$D42="",$E42="",$F42=""),"Lengkapi master PIC",IF(COUNTIFS($A$8:$A$507,$A42,$B$8:$B$507,$B42)&gt;1,"Laporan ganda",IF(COUNTIFS(G42:O42,"Tidak Berlaku")&gt;0,"N/A hanya untuk kegiatan bersyarat",IF(SUM(AF42,AG42,AH42,AI42,AJ42)&lt;&gt;13,"Status kegiatan tidak valid",IF(AJ42&gt;0,"Lengkapi status kegiatan",IF(AND(AI42&gt;0,T42=""),"Isi alasan Tidak Berlaku",IF(AND(SUM(AG42,AH42)&gt;0,OR(T42="",U42="",V42="",W42="")),"Isi kendala dan tindak lanjut",IF(AND(Y42&lt;&gt;"Draft",Y42&lt;&gt;"Dikirim"),"Isi status laporan yang valid",IF(AND(AA42&lt;&gt;"",AA42&lt;&gt;"Belum Diperiksa",AA42&lt;&gt;"Disetujui",AA42&lt;&gt;"Perlu Perbaikan"),"Hasil review tidak valid",IF(AND(Y42="Dikirim",OR(X42="",Z42="")),"Isi bukti dan waktu kirim",IF(AND(AA42="Disetujui",OR(Y42&lt;&gt;"Dikirim",AB42="",AC42="")),"Lengkapi pemeriksaan",IF(AND(AA42="Perlu Perbaikan",OR(AD42="",AB42="",AC42="")),"Isi pemeriksa dan catatan perbaikan","OK")))))))))))))))),"")</f>
        <v/>
      </c>
    </row>
    <row r="43" spans="1:38" ht="24.95" customHeight="1">
      <c r="A43" s="8"/>
      <c r="B43" s="6"/>
      <c r="C43" s="15" t="str">
        <f>IF(COUNTIFS(Master_PIC!$A$8:$A$73,$B43)=1,IF(VLOOKUP($B43,Master_PIC!$A$8:$G$73,2,FALSE)="","",VLOOKUP($B43,Master_PIC!$A$8:$G$73,2,FALSE)),"")</f>
        <v/>
      </c>
      <c r="D43" s="15" t="str">
        <f>IF(COUNTIFS(Master_PIC!$A$8:$A$73,$B43)=1,IF(VLOOKUP($B43,Master_PIC!$A$8:$G$73,4,FALSE)="","",VLOOKUP($B43,Master_PIC!$A$8:$G$73,4,FALSE)),"")</f>
        <v/>
      </c>
      <c r="E43" s="15" t="str">
        <f>IF(COUNTIFS(Master_PIC!$A$8:$A$73,$B43)=1,IF(VLOOKUP($B43,Master_PIC!$A$8:$G$73,5,FALSE)="","",VLOOKUP($B43,Master_PIC!$A$8:$G$73,5,FALSE)),"")</f>
        <v/>
      </c>
      <c r="F43" s="15" t="str">
        <f>IF(COUNTIFS(Master_PIC!$A$8:$A$73,$B43)=1,IF(VLOOKUP($B43,Master_PIC!$A$8:$G$73,6,FALSE)="","",VLOOKUP($B43,Master_PIC!$A$8:$G$73,6,FALSE)),"")</f>
        <v/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8"/>
      <c r="X43" s="5"/>
      <c r="Y43" s="5"/>
      <c r="Z43" s="9"/>
      <c r="AA43" s="5"/>
      <c r="AB43" s="5"/>
      <c r="AC43" s="9"/>
      <c r="AD43" s="5"/>
      <c r="AE43" s="7" t="str">
        <f t="shared" si="0"/>
        <v/>
      </c>
      <c r="AF43" s="7" t="str">
        <f t="shared" si="1"/>
        <v/>
      </c>
      <c r="AG43" s="7" t="str">
        <f t="shared" si="2"/>
        <v/>
      </c>
      <c r="AH43" s="7" t="str">
        <f t="shared" si="3"/>
        <v/>
      </c>
      <c r="AI43" s="7" t="str">
        <f t="shared" si="4"/>
        <v/>
      </c>
      <c r="AJ43" s="7" t="str">
        <f t="shared" si="5"/>
        <v/>
      </c>
      <c r="AK43" s="10" t="str">
        <f t="shared" si="6"/>
        <v/>
      </c>
      <c r="AL43" s="15" t="str">
        <f>IF(OR($A43&lt;&gt;"",$B43&lt;&gt;""),IF(OR($A43="",$B43=""),"Isi tanggal dan ID PIC",IF(NOT(ISNUMBER($A43)),"Tanggal harus berupa tanggal Excel",IF(COUNTIFS(Master_PIC!$A$8:$A$73,$B43)&lt;&gt;1,"ID PIC tidak unik/terdaftar",IF(VLOOKUP($B43,Master_PIC!$A$8:$G$73,3,FALSE)&lt;&gt;"ASM","Jabatan tidak sesuai sheet",IF(OR($C43="",$D43="",$E43="",$F43=""),"Lengkapi master PIC",IF(COUNTIFS($A$8:$A$507,$A43,$B$8:$B$507,$B43)&gt;1,"Laporan ganda",IF(COUNTIFS(G43:O43,"Tidak Berlaku")&gt;0,"N/A hanya untuk kegiatan bersyarat",IF(SUM(AF43,AG43,AH43,AI43,AJ43)&lt;&gt;13,"Status kegiatan tidak valid",IF(AJ43&gt;0,"Lengkapi status kegiatan",IF(AND(AI43&gt;0,T43=""),"Isi alasan Tidak Berlaku",IF(AND(SUM(AG43,AH43)&gt;0,OR(T43="",U43="",V43="",W43="")),"Isi kendala dan tindak lanjut",IF(AND(Y43&lt;&gt;"Draft",Y43&lt;&gt;"Dikirim"),"Isi status laporan yang valid",IF(AND(AA43&lt;&gt;"",AA43&lt;&gt;"Belum Diperiksa",AA43&lt;&gt;"Disetujui",AA43&lt;&gt;"Perlu Perbaikan"),"Hasil review tidak valid",IF(AND(Y43="Dikirim",OR(X43="",Z43="")),"Isi bukti dan waktu kirim",IF(AND(AA43="Disetujui",OR(Y43&lt;&gt;"Dikirim",AB43="",AC43="")),"Lengkapi pemeriksaan",IF(AND(AA43="Perlu Perbaikan",OR(AD43="",AB43="",AC43="")),"Isi pemeriksa dan catatan perbaikan","OK")))))))))))))))),"")</f>
        <v/>
      </c>
    </row>
    <row r="44" spans="1:38" ht="24.95" customHeight="1">
      <c r="A44" s="8"/>
      <c r="B44" s="6"/>
      <c r="C44" s="15" t="str">
        <f>IF(COUNTIFS(Master_PIC!$A$8:$A$73,$B44)=1,IF(VLOOKUP($B44,Master_PIC!$A$8:$G$73,2,FALSE)="","",VLOOKUP($B44,Master_PIC!$A$8:$G$73,2,FALSE)),"")</f>
        <v/>
      </c>
      <c r="D44" s="15" t="str">
        <f>IF(COUNTIFS(Master_PIC!$A$8:$A$73,$B44)=1,IF(VLOOKUP($B44,Master_PIC!$A$8:$G$73,4,FALSE)="","",VLOOKUP($B44,Master_PIC!$A$8:$G$73,4,FALSE)),"")</f>
        <v/>
      </c>
      <c r="E44" s="15" t="str">
        <f>IF(COUNTIFS(Master_PIC!$A$8:$A$73,$B44)=1,IF(VLOOKUP($B44,Master_PIC!$A$8:$G$73,5,FALSE)="","",VLOOKUP($B44,Master_PIC!$A$8:$G$73,5,FALSE)),"")</f>
        <v/>
      </c>
      <c r="F44" s="15" t="str">
        <f>IF(COUNTIFS(Master_PIC!$A$8:$A$73,$B44)=1,IF(VLOOKUP($B44,Master_PIC!$A$8:$G$73,6,FALSE)="","",VLOOKUP($B44,Master_PIC!$A$8:$G$73,6,FALSE)),"")</f>
        <v/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8"/>
      <c r="X44" s="5"/>
      <c r="Y44" s="5"/>
      <c r="Z44" s="9"/>
      <c r="AA44" s="5"/>
      <c r="AB44" s="5"/>
      <c r="AC44" s="9"/>
      <c r="AD44" s="5"/>
      <c r="AE44" s="7" t="str">
        <f t="shared" si="0"/>
        <v/>
      </c>
      <c r="AF44" s="7" t="str">
        <f t="shared" si="1"/>
        <v/>
      </c>
      <c r="AG44" s="7" t="str">
        <f t="shared" si="2"/>
        <v/>
      </c>
      <c r="AH44" s="7" t="str">
        <f t="shared" si="3"/>
        <v/>
      </c>
      <c r="AI44" s="7" t="str">
        <f t="shared" si="4"/>
        <v/>
      </c>
      <c r="AJ44" s="7" t="str">
        <f t="shared" si="5"/>
        <v/>
      </c>
      <c r="AK44" s="10" t="str">
        <f t="shared" si="6"/>
        <v/>
      </c>
      <c r="AL44" s="15" t="str">
        <f>IF(OR($A44&lt;&gt;"",$B44&lt;&gt;""),IF(OR($A44="",$B44=""),"Isi tanggal dan ID PIC",IF(NOT(ISNUMBER($A44)),"Tanggal harus berupa tanggal Excel",IF(COUNTIFS(Master_PIC!$A$8:$A$73,$B44)&lt;&gt;1,"ID PIC tidak unik/terdaftar",IF(VLOOKUP($B44,Master_PIC!$A$8:$G$73,3,FALSE)&lt;&gt;"ASM","Jabatan tidak sesuai sheet",IF(OR($C44="",$D44="",$E44="",$F44=""),"Lengkapi master PIC",IF(COUNTIFS($A$8:$A$507,$A44,$B$8:$B$507,$B44)&gt;1,"Laporan ganda",IF(COUNTIFS(G44:O44,"Tidak Berlaku")&gt;0,"N/A hanya untuk kegiatan bersyarat",IF(SUM(AF44,AG44,AH44,AI44,AJ44)&lt;&gt;13,"Status kegiatan tidak valid",IF(AJ44&gt;0,"Lengkapi status kegiatan",IF(AND(AI44&gt;0,T44=""),"Isi alasan Tidak Berlaku",IF(AND(SUM(AG44,AH44)&gt;0,OR(T44="",U44="",V44="",W44="")),"Isi kendala dan tindak lanjut",IF(AND(Y44&lt;&gt;"Draft",Y44&lt;&gt;"Dikirim"),"Isi status laporan yang valid",IF(AND(AA44&lt;&gt;"",AA44&lt;&gt;"Belum Diperiksa",AA44&lt;&gt;"Disetujui",AA44&lt;&gt;"Perlu Perbaikan"),"Hasil review tidak valid",IF(AND(Y44="Dikirim",OR(X44="",Z44="")),"Isi bukti dan waktu kirim",IF(AND(AA44="Disetujui",OR(Y44&lt;&gt;"Dikirim",AB44="",AC44="")),"Lengkapi pemeriksaan",IF(AND(AA44="Perlu Perbaikan",OR(AD44="",AB44="",AC44="")),"Isi pemeriksa dan catatan perbaikan","OK")))))))))))))))),"")</f>
        <v/>
      </c>
    </row>
    <row r="45" spans="1:38" ht="24.95" customHeight="1">
      <c r="A45" s="8"/>
      <c r="B45" s="6"/>
      <c r="C45" s="15" t="str">
        <f>IF(COUNTIFS(Master_PIC!$A$8:$A$73,$B45)=1,IF(VLOOKUP($B45,Master_PIC!$A$8:$G$73,2,FALSE)="","",VLOOKUP($B45,Master_PIC!$A$8:$G$73,2,FALSE)),"")</f>
        <v/>
      </c>
      <c r="D45" s="15" t="str">
        <f>IF(COUNTIFS(Master_PIC!$A$8:$A$73,$B45)=1,IF(VLOOKUP($B45,Master_PIC!$A$8:$G$73,4,FALSE)="","",VLOOKUP($B45,Master_PIC!$A$8:$G$73,4,FALSE)),"")</f>
        <v/>
      </c>
      <c r="E45" s="15" t="str">
        <f>IF(COUNTIFS(Master_PIC!$A$8:$A$73,$B45)=1,IF(VLOOKUP($B45,Master_PIC!$A$8:$G$73,5,FALSE)="","",VLOOKUP($B45,Master_PIC!$A$8:$G$73,5,FALSE)),"")</f>
        <v/>
      </c>
      <c r="F45" s="15" t="str">
        <f>IF(COUNTIFS(Master_PIC!$A$8:$A$73,$B45)=1,IF(VLOOKUP($B45,Master_PIC!$A$8:$G$73,6,FALSE)="","",VLOOKUP($B45,Master_PIC!$A$8:$G$73,6,FALSE)),"")</f>
        <v/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8"/>
      <c r="X45" s="5"/>
      <c r="Y45" s="5"/>
      <c r="Z45" s="9"/>
      <c r="AA45" s="5"/>
      <c r="AB45" s="5"/>
      <c r="AC45" s="9"/>
      <c r="AD45" s="5"/>
      <c r="AE45" s="7" t="str">
        <f t="shared" si="0"/>
        <v/>
      </c>
      <c r="AF45" s="7" t="str">
        <f t="shared" si="1"/>
        <v/>
      </c>
      <c r="AG45" s="7" t="str">
        <f t="shared" si="2"/>
        <v/>
      </c>
      <c r="AH45" s="7" t="str">
        <f t="shared" si="3"/>
        <v/>
      </c>
      <c r="AI45" s="7" t="str">
        <f t="shared" si="4"/>
        <v/>
      </c>
      <c r="AJ45" s="7" t="str">
        <f t="shared" si="5"/>
        <v/>
      </c>
      <c r="AK45" s="10" t="str">
        <f t="shared" si="6"/>
        <v/>
      </c>
      <c r="AL45" s="15" t="str">
        <f>IF(OR($A45&lt;&gt;"",$B45&lt;&gt;""),IF(OR($A45="",$B45=""),"Isi tanggal dan ID PIC",IF(NOT(ISNUMBER($A45)),"Tanggal harus berupa tanggal Excel",IF(COUNTIFS(Master_PIC!$A$8:$A$73,$B45)&lt;&gt;1,"ID PIC tidak unik/terdaftar",IF(VLOOKUP($B45,Master_PIC!$A$8:$G$73,3,FALSE)&lt;&gt;"ASM","Jabatan tidak sesuai sheet",IF(OR($C45="",$D45="",$E45="",$F45=""),"Lengkapi master PIC",IF(COUNTIFS($A$8:$A$507,$A45,$B$8:$B$507,$B45)&gt;1,"Laporan ganda",IF(COUNTIFS(G45:O45,"Tidak Berlaku")&gt;0,"N/A hanya untuk kegiatan bersyarat",IF(SUM(AF45,AG45,AH45,AI45,AJ45)&lt;&gt;13,"Status kegiatan tidak valid",IF(AJ45&gt;0,"Lengkapi status kegiatan",IF(AND(AI45&gt;0,T45=""),"Isi alasan Tidak Berlaku",IF(AND(SUM(AG45,AH45)&gt;0,OR(T45="",U45="",V45="",W45="")),"Isi kendala dan tindak lanjut",IF(AND(Y45&lt;&gt;"Draft",Y45&lt;&gt;"Dikirim"),"Isi status laporan yang valid",IF(AND(AA45&lt;&gt;"",AA45&lt;&gt;"Belum Diperiksa",AA45&lt;&gt;"Disetujui",AA45&lt;&gt;"Perlu Perbaikan"),"Hasil review tidak valid",IF(AND(Y45="Dikirim",OR(X45="",Z45="")),"Isi bukti dan waktu kirim",IF(AND(AA45="Disetujui",OR(Y45&lt;&gt;"Dikirim",AB45="",AC45="")),"Lengkapi pemeriksaan",IF(AND(AA45="Perlu Perbaikan",OR(AD45="",AB45="",AC45="")),"Isi pemeriksa dan catatan perbaikan","OK")))))))))))))))),"")</f>
        <v/>
      </c>
    </row>
    <row r="46" spans="1:38" ht="24.95" customHeight="1">
      <c r="A46" s="8"/>
      <c r="B46" s="6"/>
      <c r="C46" s="15" t="str">
        <f>IF(COUNTIFS(Master_PIC!$A$8:$A$73,$B46)=1,IF(VLOOKUP($B46,Master_PIC!$A$8:$G$73,2,FALSE)="","",VLOOKUP($B46,Master_PIC!$A$8:$G$73,2,FALSE)),"")</f>
        <v/>
      </c>
      <c r="D46" s="15" t="str">
        <f>IF(COUNTIFS(Master_PIC!$A$8:$A$73,$B46)=1,IF(VLOOKUP($B46,Master_PIC!$A$8:$G$73,4,FALSE)="","",VLOOKUP($B46,Master_PIC!$A$8:$G$73,4,FALSE)),"")</f>
        <v/>
      </c>
      <c r="E46" s="15" t="str">
        <f>IF(COUNTIFS(Master_PIC!$A$8:$A$73,$B46)=1,IF(VLOOKUP($B46,Master_PIC!$A$8:$G$73,5,FALSE)="","",VLOOKUP($B46,Master_PIC!$A$8:$G$73,5,FALSE)),"")</f>
        <v/>
      </c>
      <c r="F46" s="15" t="str">
        <f>IF(COUNTIFS(Master_PIC!$A$8:$A$73,$B46)=1,IF(VLOOKUP($B46,Master_PIC!$A$8:$G$73,6,FALSE)="","",VLOOKUP($B46,Master_PIC!$A$8:$G$73,6,FALSE)),"")</f>
        <v/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8"/>
      <c r="X46" s="5"/>
      <c r="Y46" s="5"/>
      <c r="Z46" s="9"/>
      <c r="AA46" s="5"/>
      <c r="AB46" s="5"/>
      <c r="AC46" s="9"/>
      <c r="AD46" s="5"/>
      <c r="AE46" s="7" t="str">
        <f t="shared" si="0"/>
        <v/>
      </c>
      <c r="AF46" s="7" t="str">
        <f t="shared" si="1"/>
        <v/>
      </c>
      <c r="AG46" s="7" t="str">
        <f t="shared" si="2"/>
        <v/>
      </c>
      <c r="AH46" s="7" t="str">
        <f t="shared" si="3"/>
        <v/>
      </c>
      <c r="AI46" s="7" t="str">
        <f t="shared" si="4"/>
        <v/>
      </c>
      <c r="AJ46" s="7" t="str">
        <f t="shared" si="5"/>
        <v/>
      </c>
      <c r="AK46" s="10" t="str">
        <f t="shared" si="6"/>
        <v/>
      </c>
      <c r="AL46" s="15" t="str">
        <f>IF(OR($A46&lt;&gt;"",$B46&lt;&gt;""),IF(OR($A46="",$B46=""),"Isi tanggal dan ID PIC",IF(NOT(ISNUMBER($A46)),"Tanggal harus berupa tanggal Excel",IF(COUNTIFS(Master_PIC!$A$8:$A$73,$B46)&lt;&gt;1,"ID PIC tidak unik/terdaftar",IF(VLOOKUP($B46,Master_PIC!$A$8:$G$73,3,FALSE)&lt;&gt;"ASM","Jabatan tidak sesuai sheet",IF(OR($C46="",$D46="",$E46="",$F46=""),"Lengkapi master PIC",IF(COUNTIFS($A$8:$A$507,$A46,$B$8:$B$507,$B46)&gt;1,"Laporan ganda",IF(COUNTIFS(G46:O46,"Tidak Berlaku")&gt;0,"N/A hanya untuk kegiatan bersyarat",IF(SUM(AF46,AG46,AH46,AI46,AJ46)&lt;&gt;13,"Status kegiatan tidak valid",IF(AJ46&gt;0,"Lengkapi status kegiatan",IF(AND(AI46&gt;0,T46=""),"Isi alasan Tidak Berlaku",IF(AND(SUM(AG46,AH46)&gt;0,OR(T46="",U46="",V46="",W46="")),"Isi kendala dan tindak lanjut",IF(AND(Y46&lt;&gt;"Draft",Y46&lt;&gt;"Dikirim"),"Isi status laporan yang valid",IF(AND(AA46&lt;&gt;"",AA46&lt;&gt;"Belum Diperiksa",AA46&lt;&gt;"Disetujui",AA46&lt;&gt;"Perlu Perbaikan"),"Hasil review tidak valid",IF(AND(Y46="Dikirim",OR(X46="",Z46="")),"Isi bukti dan waktu kirim",IF(AND(AA46="Disetujui",OR(Y46&lt;&gt;"Dikirim",AB46="",AC46="")),"Lengkapi pemeriksaan",IF(AND(AA46="Perlu Perbaikan",OR(AD46="",AB46="",AC46="")),"Isi pemeriksa dan catatan perbaikan","OK")))))))))))))))),"")</f>
        <v/>
      </c>
    </row>
    <row r="47" spans="1:38" ht="24.95" customHeight="1">
      <c r="A47" s="8"/>
      <c r="B47" s="6"/>
      <c r="C47" s="15" t="str">
        <f>IF(COUNTIFS(Master_PIC!$A$8:$A$73,$B47)=1,IF(VLOOKUP($B47,Master_PIC!$A$8:$G$73,2,FALSE)="","",VLOOKUP($B47,Master_PIC!$A$8:$G$73,2,FALSE)),"")</f>
        <v/>
      </c>
      <c r="D47" s="15" t="str">
        <f>IF(COUNTIFS(Master_PIC!$A$8:$A$73,$B47)=1,IF(VLOOKUP($B47,Master_PIC!$A$8:$G$73,4,FALSE)="","",VLOOKUP($B47,Master_PIC!$A$8:$G$73,4,FALSE)),"")</f>
        <v/>
      </c>
      <c r="E47" s="15" t="str">
        <f>IF(COUNTIFS(Master_PIC!$A$8:$A$73,$B47)=1,IF(VLOOKUP($B47,Master_PIC!$A$8:$G$73,5,FALSE)="","",VLOOKUP($B47,Master_PIC!$A$8:$G$73,5,FALSE)),"")</f>
        <v/>
      </c>
      <c r="F47" s="15" t="str">
        <f>IF(COUNTIFS(Master_PIC!$A$8:$A$73,$B47)=1,IF(VLOOKUP($B47,Master_PIC!$A$8:$G$73,6,FALSE)="","",VLOOKUP($B47,Master_PIC!$A$8:$G$73,6,FALSE)),"")</f>
        <v/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8"/>
      <c r="X47" s="5"/>
      <c r="Y47" s="5"/>
      <c r="Z47" s="9"/>
      <c r="AA47" s="5"/>
      <c r="AB47" s="5"/>
      <c r="AC47" s="9"/>
      <c r="AD47" s="5"/>
      <c r="AE47" s="7" t="str">
        <f t="shared" si="0"/>
        <v/>
      </c>
      <c r="AF47" s="7" t="str">
        <f t="shared" si="1"/>
        <v/>
      </c>
      <c r="AG47" s="7" t="str">
        <f t="shared" si="2"/>
        <v/>
      </c>
      <c r="AH47" s="7" t="str">
        <f t="shared" si="3"/>
        <v/>
      </c>
      <c r="AI47" s="7" t="str">
        <f t="shared" si="4"/>
        <v/>
      </c>
      <c r="AJ47" s="7" t="str">
        <f t="shared" si="5"/>
        <v/>
      </c>
      <c r="AK47" s="10" t="str">
        <f t="shared" si="6"/>
        <v/>
      </c>
      <c r="AL47" s="15" t="str">
        <f>IF(OR($A47&lt;&gt;"",$B47&lt;&gt;""),IF(OR($A47="",$B47=""),"Isi tanggal dan ID PIC",IF(NOT(ISNUMBER($A47)),"Tanggal harus berupa tanggal Excel",IF(COUNTIFS(Master_PIC!$A$8:$A$73,$B47)&lt;&gt;1,"ID PIC tidak unik/terdaftar",IF(VLOOKUP($B47,Master_PIC!$A$8:$G$73,3,FALSE)&lt;&gt;"ASM","Jabatan tidak sesuai sheet",IF(OR($C47="",$D47="",$E47="",$F47=""),"Lengkapi master PIC",IF(COUNTIFS($A$8:$A$507,$A47,$B$8:$B$507,$B47)&gt;1,"Laporan ganda",IF(COUNTIFS(G47:O47,"Tidak Berlaku")&gt;0,"N/A hanya untuk kegiatan bersyarat",IF(SUM(AF47,AG47,AH47,AI47,AJ47)&lt;&gt;13,"Status kegiatan tidak valid",IF(AJ47&gt;0,"Lengkapi status kegiatan",IF(AND(AI47&gt;0,T47=""),"Isi alasan Tidak Berlaku",IF(AND(SUM(AG47,AH47)&gt;0,OR(T47="",U47="",V47="",W47="")),"Isi kendala dan tindak lanjut",IF(AND(Y47&lt;&gt;"Draft",Y47&lt;&gt;"Dikirim"),"Isi status laporan yang valid",IF(AND(AA47&lt;&gt;"",AA47&lt;&gt;"Belum Diperiksa",AA47&lt;&gt;"Disetujui",AA47&lt;&gt;"Perlu Perbaikan"),"Hasil review tidak valid",IF(AND(Y47="Dikirim",OR(X47="",Z47="")),"Isi bukti dan waktu kirim",IF(AND(AA47="Disetujui",OR(Y47&lt;&gt;"Dikirim",AB47="",AC47="")),"Lengkapi pemeriksaan",IF(AND(AA47="Perlu Perbaikan",OR(AD47="",AB47="",AC47="")),"Isi pemeriksa dan catatan perbaikan","OK")))))))))))))))),"")</f>
        <v/>
      </c>
    </row>
    <row r="48" spans="1:38" ht="24.95" customHeight="1">
      <c r="A48" s="8"/>
      <c r="B48" s="6"/>
      <c r="C48" s="15" t="str">
        <f>IF(COUNTIFS(Master_PIC!$A$8:$A$73,$B48)=1,IF(VLOOKUP($B48,Master_PIC!$A$8:$G$73,2,FALSE)="","",VLOOKUP($B48,Master_PIC!$A$8:$G$73,2,FALSE)),"")</f>
        <v/>
      </c>
      <c r="D48" s="15" t="str">
        <f>IF(COUNTIFS(Master_PIC!$A$8:$A$73,$B48)=1,IF(VLOOKUP($B48,Master_PIC!$A$8:$G$73,4,FALSE)="","",VLOOKUP($B48,Master_PIC!$A$8:$G$73,4,FALSE)),"")</f>
        <v/>
      </c>
      <c r="E48" s="15" t="str">
        <f>IF(COUNTIFS(Master_PIC!$A$8:$A$73,$B48)=1,IF(VLOOKUP($B48,Master_PIC!$A$8:$G$73,5,FALSE)="","",VLOOKUP($B48,Master_PIC!$A$8:$G$73,5,FALSE)),"")</f>
        <v/>
      </c>
      <c r="F48" s="15" t="str">
        <f>IF(COUNTIFS(Master_PIC!$A$8:$A$73,$B48)=1,IF(VLOOKUP($B48,Master_PIC!$A$8:$G$73,6,FALSE)="","",VLOOKUP($B48,Master_PIC!$A$8:$G$73,6,FALSE)),"")</f>
        <v/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8"/>
      <c r="X48" s="5"/>
      <c r="Y48" s="5"/>
      <c r="Z48" s="9"/>
      <c r="AA48" s="5"/>
      <c r="AB48" s="5"/>
      <c r="AC48" s="9"/>
      <c r="AD48" s="5"/>
      <c r="AE48" s="7" t="str">
        <f t="shared" si="0"/>
        <v/>
      </c>
      <c r="AF48" s="7" t="str">
        <f t="shared" si="1"/>
        <v/>
      </c>
      <c r="AG48" s="7" t="str">
        <f t="shared" si="2"/>
        <v/>
      </c>
      <c r="AH48" s="7" t="str">
        <f t="shared" si="3"/>
        <v/>
      </c>
      <c r="AI48" s="7" t="str">
        <f t="shared" si="4"/>
        <v/>
      </c>
      <c r="AJ48" s="7" t="str">
        <f t="shared" si="5"/>
        <v/>
      </c>
      <c r="AK48" s="10" t="str">
        <f t="shared" si="6"/>
        <v/>
      </c>
      <c r="AL48" s="15" t="str">
        <f>IF(OR($A48&lt;&gt;"",$B48&lt;&gt;""),IF(OR($A48="",$B48=""),"Isi tanggal dan ID PIC",IF(NOT(ISNUMBER($A48)),"Tanggal harus berupa tanggal Excel",IF(COUNTIFS(Master_PIC!$A$8:$A$73,$B48)&lt;&gt;1,"ID PIC tidak unik/terdaftar",IF(VLOOKUP($B48,Master_PIC!$A$8:$G$73,3,FALSE)&lt;&gt;"ASM","Jabatan tidak sesuai sheet",IF(OR($C48="",$D48="",$E48="",$F48=""),"Lengkapi master PIC",IF(COUNTIFS($A$8:$A$507,$A48,$B$8:$B$507,$B48)&gt;1,"Laporan ganda",IF(COUNTIFS(G48:O48,"Tidak Berlaku")&gt;0,"N/A hanya untuk kegiatan bersyarat",IF(SUM(AF48,AG48,AH48,AI48,AJ48)&lt;&gt;13,"Status kegiatan tidak valid",IF(AJ48&gt;0,"Lengkapi status kegiatan",IF(AND(AI48&gt;0,T48=""),"Isi alasan Tidak Berlaku",IF(AND(SUM(AG48,AH48)&gt;0,OR(T48="",U48="",V48="",W48="")),"Isi kendala dan tindak lanjut",IF(AND(Y48&lt;&gt;"Draft",Y48&lt;&gt;"Dikirim"),"Isi status laporan yang valid",IF(AND(AA48&lt;&gt;"",AA48&lt;&gt;"Belum Diperiksa",AA48&lt;&gt;"Disetujui",AA48&lt;&gt;"Perlu Perbaikan"),"Hasil review tidak valid",IF(AND(Y48="Dikirim",OR(X48="",Z48="")),"Isi bukti dan waktu kirim",IF(AND(AA48="Disetujui",OR(Y48&lt;&gt;"Dikirim",AB48="",AC48="")),"Lengkapi pemeriksaan",IF(AND(AA48="Perlu Perbaikan",OR(AD48="",AB48="",AC48="")),"Isi pemeriksa dan catatan perbaikan","OK")))))))))))))))),"")</f>
        <v/>
      </c>
    </row>
    <row r="49" spans="1:38" ht="24.95" customHeight="1">
      <c r="A49" s="8"/>
      <c r="B49" s="6"/>
      <c r="C49" s="15" t="str">
        <f>IF(COUNTIFS(Master_PIC!$A$8:$A$73,$B49)=1,IF(VLOOKUP($B49,Master_PIC!$A$8:$G$73,2,FALSE)="","",VLOOKUP($B49,Master_PIC!$A$8:$G$73,2,FALSE)),"")</f>
        <v/>
      </c>
      <c r="D49" s="15" t="str">
        <f>IF(COUNTIFS(Master_PIC!$A$8:$A$73,$B49)=1,IF(VLOOKUP($B49,Master_PIC!$A$8:$G$73,4,FALSE)="","",VLOOKUP($B49,Master_PIC!$A$8:$G$73,4,FALSE)),"")</f>
        <v/>
      </c>
      <c r="E49" s="15" t="str">
        <f>IF(COUNTIFS(Master_PIC!$A$8:$A$73,$B49)=1,IF(VLOOKUP($B49,Master_PIC!$A$8:$G$73,5,FALSE)="","",VLOOKUP($B49,Master_PIC!$A$8:$G$73,5,FALSE)),"")</f>
        <v/>
      </c>
      <c r="F49" s="15" t="str">
        <f>IF(COUNTIFS(Master_PIC!$A$8:$A$73,$B49)=1,IF(VLOOKUP($B49,Master_PIC!$A$8:$G$73,6,FALSE)="","",VLOOKUP($B49,Master_PIC!$A$8:$G$73,6,FALSE)),"")</f>
        <v/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8"/>
      <c r="X49" s="5"/>
      <c r="Y49" s="5"/>
      <c r="Z49" s="9"/>
      <c r="AA49" s="5"/>
      <c r="AB49" s="5"/>
      <c r="AC49" s="9"/>
      <c r="AD49" s="5"/>
      <c r="AE49" s="7" t="str">
        <f t="shared" si="0"/>
        <v/>
      </c>
      <c r="AF49" s="7" t="str">
        <f t="shared" si="1"/>
        <v/>
      </c>
      <c r="AG49" s="7" t="str">
        <f t="shared" si="2"/>
        <v/>
      </c>
      <c r="AH49" s="7" t="str">
        <f t="shared" si="3"/>
        <v/>
      </c>
      <c r="AI49" s="7" t="str">
        <f t="shared" si="4"/>
        <v/>
      </c>
      <c r="AJ49" s="7" t="str">
        <f t="shared" si="5"/>
        <v/>
      </c>
      <c r="AK49" s="10" t="str">
        <f t="shared" si="6"/>
        <v/>
      </c>
      <c r="AL49" s="15" t="str">
        <f>IF(OR($A49&lt;&gt;"",$B49&lt;&gt;""),IF(OR($A49="",$B49=""),"Isi tanggal dan ID PIC",IF(NOT(ISNUMBER($A49)),"Tanggal harus berupa tanggal Excel",IF(COUNTIFS(Master_PIC!$A$8:$A$73,$B49)&lt;&gt;1,"ID PIC tidak unik/terdaftar",IF(VLOOKUP($B49,Master_PIC!$A$8:$G$73,3,FALSE)&lt;&gt;"ASM","Jabatan tidak sesuai sheet",IF(OR($C49="",$D49="",$E49="",$F49=""),"Lengkapi master PIC",IF(COUNTIFS($A$8:$A$507,$A49,$B$8:$B$507,$B49)&gt;1,"Laporan ganda",IF(COUNTIFS(G49:O49,"Tidak Berlaku")&gt;0,"N/A hanya untuk kegiatan bersyarat",IF(SUM(AF49,AG49,AH49,AI49,AJ49)&lt;&gt;13,"Status kegiatan tidak valid",IF(AJ49&gt;0,"Lengkapi status kegiatan",IF(AND(AI49&gt;0,T49=""),"Isi alasan Tidak Berlaku",IF(AND(SUM(AG49,AH49)&gt;0,OR(T49="",U49="",V49="",W49="")),"Isi kendala dan tindak lanjut",IF(AND(Y49&lt;&gt;"Draft",Y49&lt;&gt;"Dikirim"),"Isi status laporan yang valid",IF(AND(AA49&lt;&gt;"",AA49&lt;&gt;"Belum Diperiksa",AA49&lt;&gt;"Disetujui",AA49&lt;&gt;"Perlu Perbaikan"),"Hasil review tidak valid",IF(AND(Y49="Dikirim",OR(X49="",Z49="")),"Isi bukti dan waktu kirim",IF(AND(AA49="Disetujui",OR(Y49&lt;&gt;"Dikirim",AB49="",AC49="")),"Lengkapi pemeriksaan",IF(AND(AA49="Perlu Perbaikan",OR(AD49="",AB49="",AC49="")),"Isi pemeriksa dan catatan perbaikan","OK")))))))))))))))),"")</f>
        <v/>
      </c>
    </row>
    <row r="50" spans="1:38" ht="24.95" customHeight="1">
      <c r="A50" s="8"/>
      <c r="B50" s="6"/>
      <c r="C50" s="15" t="str">
        <f>IF(COUNTIFS(Master_PIC!$A$8:$A$73,$B50)=1,IF(VLOOKUP($B50,Master_PIC!$A$8:$G$73,2,FALSE)="","",VLOOKUP($B50,Master_PIC!$A$8:$G$73,2,FALSE)),"")</f>
        <v/>
      </c>
      <c r="D50" s="15" t="str">
        <f>IF(COUNTIFS(Master_PIC!$A$8:$A$73,$B50)=1,IF(VLOOKUP($B50,Master_PIC!$A$8:$G$73,4,FALSE)="","",VLOOKUP($B50,Master_PIC!$A$8:$G$73,4,FALSE)),"")</f>
        <v/>
      </c>
      <c r="E50" s="15" t="str">
        <f>IF(COUNTIFS(Master_PIC!$A$8:$A$73,$B50)=1,IF(VLOOKUP($B50,Master_PIC!$A$8:$G$73,5,FALSE)="","",VLOOKUP($B50,Master_PIC!$A$8:$G$73,5,FALSE)),"")</f>
        <v/>
      </c>
      <c r="F50" s="15" t="str">
        <f>IF(COUNTIFS(Master_PIC!$A$8:$A$73,$B50)=1,IF(VLOOKUP($B50,Master_PIC!$A$8:$G$73,6,FALSE)="","",VLOOKUP($B50,Master_PIC!$A$8:$G$73,6,FALSE)),"")</f>
        <v/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8"/>
      <c r="X50" s="5"/>
      <c r="Y50" s="5"/>
      <c r="Z50" s="9"/>
      <c r="AA50" s="5"/>
      <c r="AB50" s="5"/>
      <c r="AC50" s="9"/>
      <c r="AD50" s="5"/>
      <c r="AE50" s="7" t="str">
        <f t="shared" si="0"/>
        <v/>
      </c>
      <c r="AF50" s="7" t="str">
        <f t="shared" si="1"/>
        <v/>
      </c>
      <c r="AG50" s="7" t="str">
        <f t="shared" si="2"/>
        <v/>
      </c>
      <c r="AH50" s="7" t="str">
        <f t="shared" si="3"/>
        <v/>
      </c>
      <c r="AI50" s="7" t="str">
        <f t="shared" si="4"/>
        <v/>
      </c>
      <c r="AJ50" s="7" t="str">
        <f t="shared" si="5"/>
        <v/>
      </c>
      <c r="AK50" s="10" t="str">
        <f t="shared" si="6"/>
        <v/>
      </c>
      <c r="AL50" s="15" t="str">
        <f>IF(OR($A50&lt;&gt;"",$B50&lt;&gt;""),IF(OR($A50="",$B50=""),"Isi tanggal dan ID PIC",IF(NOT(ISNUMBER($A50)),"Tanggal harus berupa tanggal Excel",IF(COUNTIFS(Master_PIC!$A$8:$A$73,$B50)&lt;&gt;1,"ID PIC tidak unik/terdaftar",IF(VLOOKUP($B50,Master_PIC!$A$8:$G$73,3,FALSE)&lt;&gt;"ASM","Jabatan tidak sesuai sheet",IF(OR($C50="",$D50="",$E50="",$F50=""),"Lengkapi master PIC",IF(COUNTIFS($A$8:$A$507,$A50,$B$8:$B$507,$B50)&gt;1,"Laporan ganda",IF(COUNTIFS(G50:O50,"Tidak Berlaku")&gt;0,"N/A hanya untuk kegiatan bersyarat",IF(SUM(AF50,AG50,AH50,AI50,AJ50)&lt;&gt;13,"Status kegiatan tidak valid",IF(AJ50&gt;0,"Lengkapi status kegiatan",IF(AND(AI50&gt;0,T50=""),"Isi alasan Tidak Berlaku",IF(AND(SUM(AG50,AH50)&gt;0,OR(T50="",U50="",V50="",W50="")),"Isi kendala dan tindak lanjut",IF(AND(Y50&lt;&gt;"Draft",Y50&lt;&gt;"Dikirim"),"Isi status laporan yang valid",IF(AND(AA50&lt;&gt;"",AA50&lt;&gt;"Belum Diperiksa",AA50&lt;&gt;"Disetujui",AA50&lt;&gt;"Perlu Perbaikan"),"Hasil review tidak valid",IF(AND(Y50="Dikirim",OR(X50="",Z50="")),"Isi bukti dan waktu kirim",IF(AND(AA50="Disetujui",OR(Y50&lt;&gt;"Dikirim",AB50="",AC50="")),"Lengkapi pemeriksaan",IF(AND(AA50="Perlu Perbaikan",OR(AD50="",AB50="",AC50="")),"Isi pemeriksa dan catatan perbaikan","OK")))))))))))))))),"")</f>
        <v/>
      </c>
    </row>
    <row r="51" spans="1:38" ht="24.95" customHeight="1">
      <c r="A51" s="8"/>
      <c r="B51" s="6"/>
      <c r="C51" s="15" t="str">
        <f>IF(COUNTIFS(Master_PIC!$A$8:$A$73,$B51)=1,IF(VLOOKUP($B51,Master_PIC!$A$8:$G$73,2,FALSE)="","",VLOOKUP($B51,Master_PIC!$A$8:$G$73,2,FALSE)),"")</f>
        <v/>
      </c>
      <c r="D51" s="15" t="str">
        <f>IF(COUNTIFS(Master_PIC!$A$8:$A$73,$B51)=1,IF(VLOOKUP($B51,Master_PIC!$A$8:$G$73,4,FALSE)="","",VLOOKUP($B51,Master_PIC!$A$8:$G$73,4,FALSE)),"")</f>
        <v/>
      </c>
      <c r="E51" s="15" t="str">
        <f>IF(COUNTIFS(Master_PIC!$A$8:$A$73,$B51)=1,IF(VLOOKUP($B51,Master_PIC!$A$8:$G$73,5,FALSE)="","",VLOOKUP($B51,Master_PIC!$A$8:$G$73,5,FALSE)),"")</f>
        <v/>
      </c>
      <c r="F51" s="15" t="str">
        <f>IF(COUNTIFS(Master_PIC!$A$8:$A$73,$B51)=1,IF(VLOOKUP($B51,Master_PIC!$A$8:$G$73,6,FALSE)="","",VLOOKUP($B51,Master_PIC!$A$8:$G$73,6,FALSE)),"")</f>
        <v/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8"/>
      <c r="X51" s="5"/>
      <c r="Y51" s="5"/>
      <c r="Z51" s="9"/>
      <c r="AA51" s="5"/>
      <c r="AB51" s="5"/>
      <c r="AC51" s="9"/>
      <c r="AD51" s="5"/>
      <c r="AE51" s="7" t="str">
        <f t="shared" si="0"/>
        <v/>
      </c>
      <c r="AF51" s="7" t="str">
        <f t="shared" si="1"/>
        <v/>
      </c>
      <c r="AG51" s="7" t="str">
        <f t="shared" si="2"/>
        <v/>
      </c>
      <c r="AH51" s="7" t="str">
        <f t="shared" si="3"/>
        <v/>
      </c>
      <c r="AI51" s="7" t="str">
        <f t="shared" si="4"/>
        <v/>
      </c>
      <c r="AJ51" s="7" t="str">
        <f t="shared" si="5"/>
        <v/>
      </c>
      <c r="AK51" s="10" t="str">
        <f t="shared" si="6"/>
        <v/>
      </c>
      <c r="AL51" s="15" t="str">
        <f>IF(OR($A51&lt;&gt;"",$B51&lt;&gt;""),IF(OR($A51="",$B51=""),"Isi tanggal dan ID PIC",IF(NOT(ISNUMBER($A51)),"Tanggal harus berupa tanggal Excel",IF(COUNTIFS(Master_PIC!$A$8:$A$73,$B51)&lt;&gt;1,"ID PIC tidak unik/terdaftar",IF(VLOOKUP($B51,Master_PIC!$A$8:$G$73,3,FALSE)&lt;&gt;"ASM","Jabatan tidak sesuai sheet",IF(OR($C51="",$D51="",$E51="",$F51=""),"Lengkapi master PIC",IF(COUNTIFS($A$8:$A$507,$A51,$B$8:$B$507,$B51)&gt;1,"Laporan ganda",IF(COUNTIFS(G51:O51,"Tidak Berlaku")&gt;0,"N/A hanya untuk kegiatan bersyarat",IF(SUM(AF51,AG51,AH51,AI51,AJ51)&lt;&gt;13,"Status kegiatan tidak valid",IF(AJ51&gt;0,"Lengkapi status kegiatan",IF(AND(AI51&gt;0,T51=""),"Isi alasan Tidak Berlaku",IF(AND(SUM(AG51,AH51)&gt;0,OR(T51="",U51="",V51="",W51="")),"Isi kendala dan tindak lanjut",IF(AND(Y51&lt;&gt;"Draft",Y51&lt;&gt;"Dikirim"),"Isi status laporan yang valid",IF(AND(AA51&lt;&gt;"",AA51&lt;&gt;"Belum Diperiksa",AA51&lt;&gt;"Disetujui",AA51&lt;&gt;"Perlu Perbaikan"),"Hasil review tidak valid",IF(AND(Y51="Dikirim",OR(X51="",Z51="")),"Isi bukti dan waktu kirim",IF(AND(AA51="Disetujui",OR(Y51&lt;&gt;"Dikirim",AB51="",AC51="")),"Lengkapi pemeriksaan",IF(AND(AA51="Perlu Perbaikan",OR(AD51="",AB51="",AC51="")),"Isi pemeriksa dan catatan perbaikan","OK")))))))))))))))),"")</f>
        <v/>
      </c>
    </row>
    <row r="52" spans="1:38" ht="24.95" customHeight="1">
      <c r="A52" s="8"/>
      <c r="B52" s="6"/>
      <c r="C52" s="15" t="str">
        <f>IF(COUNTIFS(Master_PIC!$A$8:$A$73,$B52)=1,IF(VLOOKUP($B52,Master_PIC!$A$8:$G$73,2,FALSE)="","",VLOOKUP($B52,Master_PIC!$A$8:$G$73,2,FALSE)),"")</f>
        <v/>
      </c>
      <c r="D52" s="15" t="str">
        <f>IF(COUNTIFS(Master_PIC!$A$8:$A$73,$B52)=1,IF(VLOOKUP($B52,Master_PIC!$A$8:$G$73,4,FALSE)="","",VLOOKUP($B52,Master_PIC!$A$8:$G$73,4,FALSE)),"")</f>
        <v/>
      </c>
      <c r="E52" s="15" t="str">
        <f>IF(COUNTIFS(Master_PIC!$A$8:$A$73,$B52)=1,IF(VLOOKUP($B52,Master_PIC!$A$8:$G$73,5,FALSE)="","",VLOOKUP($B52,Master_PIC!$A$8:$G$73,5,FALSE)),"")</f>
        <v/>
      </c>
      <c r="F52" s="15" t="str">
        <f>IF(COUNTIFS(Master_PIC!$A$8:$A$73,$B52)=1,IF(VLOOKUP($B52,Master_PIC!$A$8:$G$73,6,FALSE)="","",VLOOKUP($B52,Master_PIC!$A$8:$G$73,6,FALSE)),"")</f>
        <v/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8"/>
      <c r="X52" s="5"/>
      <c r="Y52" s="5"/>
      <c r="Z52" s="9"/>
      <c r="AA52" s="5"/>
      <c r="AB52" s="5"/>
      <c r="AC52" s="9"/>
      <c r="AD52" s="5"/>
      <c r="AE52" s="7" t="str">
        <f t="shared" si="0"/>
        <v/>
      </c>
      <c r="AF52" s="7" t="str">
        <f t="shared" si="1"/>
        <v/>
      </c>
      <c r="AG52" s="7" t="str">
        <f t="shared" si="2"/>
        <v/>
      </c>
      <c r="AH52" s="7" t="str">
        <f t="shared" si="3"/>
        <v/>
      </c>
      <c r="AI52" s="7" t="str">
        <f t="shared" si="4"/>
        <v/>
      </c>
      <c r="AJ52" s="7" t="str">
        <f t="shared" si="5"/>
        <v/>
      </c>
      <c r="AK52" s="10" t="str">
        <f t="shared" si="6"/>
        <v/>
      </c>
      <c r="AL52" s="15" t="str">
        <f>IF(OR($A52&lt;&gt;"",$B52&lt;&gt;""),IF(OR($A52="",$B52=""),"Isi tanggal dan ID PIC",IF(NOT(ISNUMBER($A52)),"Tanggal harus berupa tanggal Excel",IF(COUNTIFS(Master_PIC!$A$8:$A$73,$B52)&lt;&gt;1,"ID PIC tidak unik/terdaftar",IF(VLOOKUP($B52,Master_PIC!$A$8:$G$73,3,FALSE)&lt;&gt;"ASM","Jabatan tidak sesuai sheet",IF(OR($C52="",$D52="",$E52="",$F52=""),"Lengkapi master PIC",IF(COUNTIFS($A$8:$A$507,$A52,$B$8:$B$507,$B52)&gt;1,"Laporan ganda",IF(COUNTIFS(G52:O52,"Tidak Berlaku")&gt;0,"N/A hanya untuk kegiatan bersyarat",IF(SUM(AF52,AG52,AH52,AI52,AJ52)&lt;&gt;13,"Status kegiatan tidak valid",IF(AJ52&gt;0,"Lengkapi status kegiatan",IF(AND(AI52&gt;0,T52=""),"Isi alasan Tidak Berlaku",IF(AND(SUM(AG52,AH52)&gt;0,OR(T52="",U52="",V52="",W52="")),"Isi kendala dan tindak lanjut",IF(AND(Y52&lt;&gt;"Draft",Y52&lt;&gt;"Dikirim"),"Isi status laporan yang valid",IF(AND(AA52&lt;&gt;"",AA52&lt;&gt;"Belum Diperiksa",AA52&lt;&gt;"Disetujui",AA52&lt;&gt;"Perlu Perbaikan"),"Hasil review tidak valid",IF(AND(Y52="Dikirim",OR(X52="",Z52="")),"Isi bukti dan waktu kirim",IF(AND(AA52="Disetujui",OR(Y52&lt;&gt;"Dikirim",AB52="",AC52="")),"Lengkapi pemeriksaan",IF(AND(AA52="Perlu Perbaikan",OR(AD52="",AB52="",AC52="")),"Isi pemeriksa dan catatan perbaikan","OK")))))))))))))))),"")</f>
        <v/>
      </c>
    </row>
    <row r="53" spans="1:38" ht="24.95" customHeight="1">
      <c r="A53" s="8"/>
      <c r="B53" s="6"/>
      <c r="C53" s="15" t="str">
        <f>IF(COUNTIFS(Master_PIC!$A$8:$A$73,$B53)=1,IF(VLOOKUP($B53,Master_PIC!$A$8:$G$73,2,FALSE)="","",VLOOKUP($B53,Master_PIC!$A$8:$G$73,2,FALSE)),"")</f>
        <v/>
      </c>
      <c r="D53" s="15" t="str">
        <f>IF(COUNTIFS(Master_PIC!$A$8:$A$73,$B53)=1,IF(VLOOKUP($B53,Master_PIC!$A$8:$G$73,4,FALSE)="","",VLOOKUP($B53,Master_PIC!$A$8:$G$73,4,FALSE)),"")</f>
        <v/>
      </c>
      <c r="E53" s="15" t="str">
        <f>IF(COUNTIFS(Master_PIC!$A$8:$A$73,$B53)=1,IF(VLOOKUP($B53,Master_PIC!$A$8:$G$73,5,FALSE)="","",VLOOKUP($B53,Master_PIC!$A$8:$G$73,5,FALSE)),"")</f>
        <v/>
      </c>
      <c r="F53" s="15" t="str">
        <f>IF(COUNTIFS(Master_PIC!$A$8:$A$73,$B53)=1,IF(VLOOKUP($B53,Master_PIC!$A$8:$G$73,6,FALSE)="","",VLOOKUP($B53,Master_PIC!$A$8:$G$73,6,FALSE)),"")</f>
        <v/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8"/>
      <c r="X53" s="5"/>
      <c r="Y53" s="5"/>
      <c r="Z53" s="9"/>
      <c r="AA53" s="5"/>
      <c r="AB53" s="5"/>
      <c r="AC53" s="9"/>
      <c r="AD53" s="5"/>
      <c r="AE53" s="7" t="str">
        <f t="shared" si="0"/>
        <v/>
      </c>
      <c r="AF53" s="7" t="str">
        <f t="shared" si="1"/>
        <v/>
      </c>
      <c r="AG53" s="7" t="str">
        <f t="shared" si="2"/>
        <v/>
      </c>
      <c r="AH53" s="7" t="str">
        <f t="shared" si="3"/>
        <v/>
      </c>
      <c r="AI53" s="7" t="str">
        <f t="shared" si="4"/>
        <v/>
      </c>
      <c r="AJ53" s="7" t="str">
        <f t="shared" si="5"/>
        <v/>
      </c>
      <c r="AK53" s="10" t="str">
        <f t="shared" si="6"/>
        <v/>
      </c>
      <c r="AL53" s="15" t="str">
        <f>IF(OR($A53&lt;&gt;"",$B53&lt;&gt;""),IF(OR($A53="",$B53=""),"Isi tanggal dan ID PIC",IF(NOT(ISNUMBER($A53)),"Tanggal harus berupa tanggal Excel",IF(COUNTIFS(Master_PIC!$A$8:$A$73,$B53)&lt;&gt;1,"ID PIC tidak unik/terdaftar",IF(VLOOKUP($B53,Master_PIC!$A$8:$G$73,3,FALSE)&lt;&gt;"ASM","Jabatan tidak sesuai sheet",IF(OR($C53="",$D53="",$E53="",$F53=""),"Lengkapi master PIC",IF(COUNTIFS($A$8:$A$507,$A53,$B$8:$B$507,$B53)&gt;1,"Laporan ganda",IF(COUNTIFS(G53:O53,"Tidak Berlaku")&gt;0,"N/A hanya untuk kegiatan bersyarat",IF(SUM(AF53,AG53,AH53,AI53,AJ53)&lt;&gt;13,"Status kegiatan tidak valid",IF(AJ53&gt;0,"Lengkapi status kegiatan",IF(AND(AI53&gt;0,T53=""),"Isi alasan Tidak Berlaku",IF(AND(SUM(AG53,AH53)&gt;0,OR(T53="",U53="",V53="",W53="")),"Isi kendala dan tindak lanjut",IF(AND(Y53&lt;&gt;"Draft",Y53&lt;&gt;"Dikirim"),"Isi status laporan yang valid",IF(AND(AA53&lt;&gt;"",AA53&lt;&gt;"Belum Diperiksa",AA53&lt;&gt;"Disetujui",AA53&lt;&gt;"Perlu Perbaikan"),"Hasil review tidak valid",IF(AND(Y53="Dikirim",OR(X53="",Z53="")),"Isi bukti dan waktu kirim",IF(AND(AA53="Disetujui",OR(Y53&lt;&gt;"Dikirim",AB53="",AC53="")),"Lengkapi pemeriksaan",IF(AND(AA53="Perlu Perbaikan",OR(AD53="",AB53="",AC53="")),"Isi pemeriksa dan catatan perbaikan","OK")))))))))))))))),"")</f>
        <v/>
      </c>
    </row>
    <row r="54" spans="1:38" ht="24.95" customHeight="1">
      <c r="A54" s="8"/>
      <c r="B54" s="6"/>
      <c r="C54" s="15" t="str">
        <f>IF(COUNTIFS(Master_PIC!$A$8:$A$73,$B54)=1,IF(VLOOKUP($B54,Master_PIC!$A$8:$G$73,2,FALSE)="","",VLOOKUP($B54,Master_PIC!$A$8:$G$73,2,FALSE)),"")</f>
        <v/>
      </c>
      <c r="D54" s="15" t="str">
        <f>IF(COUNTIFS(Master_PIC!$A$8:$A$73,$B54)=1,IF(VLOOKUP($B54,Master_PIC!$A$8:$G$73,4,FALSE)="","",VLOOKUP($B54,Master_PIC!$A$8:$G$73,4,FALSE)),"")</f>
        <v/>
      </c>
      <c r="E54" s="15" t="str">
        <f>IF(COUNTIFS(Master_PIC!$A$8:$A$73,$B54)=1,IF(VLOOKUP($B54,Master_PIC!$A$8:$G$73,5,FALSE)="","",VLOOKUP($B54,Master_PIC!$A$8:$G$73,5,FALSE)),"")</f>
        <v/>
      </c>
      <c r="F54" s="15" t="str">
        <f>IF(COUNTIFS(Master_PIC!$A$8:$A$73,$B54)=1,IF(VLOOKUP($B54,Master_PIC!$A$8:$G$73,6,FALSE)="","",VLOOKUP($B54,Master_PIC!$A$8:$G$73,6,FALSE)),"")</f>
        <v/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9"/>
      <c r="AA54" s="5"/>
      <c r="AB54" s="5"/>
      <c r="AC54" s="9"/>
      <c r="AD54" s="5"/>
      <c r="AE54" s="7" t="str">
        <f t="shared" si="0"/>
        <v/>
      </c>
      <c r="AF54" s="7" t="str">
        <f t="shared" si="1"/>
        <v/>
      </c>
      <c r="AG54" s="7" t="str">
        <f t="shared" si="2"/>
        <v/>
      </c>
      <c r="AH54" s="7" t="str">
        <f t="shared" si="3"/>
        <v/>
      </c>
      <c r="AI54" s="7" t="str">
        <f t="shared" si="4"/>
        <v/>
      </c>
      <c r="AJ54" s="7" t="str">
        <f t="shared" si="5"/>
        <v/>
      </c>
      <c r="AK54" s="10" t="str">
        <f t="shared" si="6"/>
        <v/>
      </c>
      <c r="AL54" s="15" t="str">
        <f>IF(OR($A54&lt;&gt;"",$B54&lt;&gt;""),IF(OR($A54="",$B54=""),"Isi tanggal dan ID PIC",IF(NOT(ISNUMBER($A54)),"Tanggal harus berupa tanggal Excel",IF(COUNTIFS(Master_PIC!$A$8:$A$73,$B54)&lt;&gt;1,"ID PIC tidak unik/terdaftar",IF(VLOOKUP($B54,Master_PIC!$A$8:$G$73,3,FALSE)&lt;&gt;"ASM","Jabatan tidak sesuai sheet",IF(OR($C54="",$D54="",$E54="",$F54=""),"Lengkapi master PIC",IF(COUNTIFS($A$8:$A$507,$A54,$B$8:$B$507,$B54)&gt;1,"Laporan ganda",IF(COUNTIFS(G54:O54,"Tidak Berlaku")&gt;0,"N/A hanya untuk kegiatan bersyarat",IF(SUM(AF54,AG54,AH54,AI54,AJ54)&lt;&gt;13,"Status kegiatan tidak valid",IF(AJ54&gt;0,"Lengkapi status kegiatan",IF(AND(AI54&gt;0,T54=""),"Isi alasan Tidak Berlaku",IF(AND(SUM(AG54,AH54)&gt;0,OR(T54="",U54="",V54="",W54="")),"Isi kendala dan tindak lanjut",IF(AND(Y54&lt;&gt;"Draft",Y54&lt;&gt;"Dikirim"),"Isi status laporan yang valid",IF(AND(AA54&lt;&gt;"",AA54&lt;&gt;"Belum Diperiksa",AA54&lt;&gt;"Disetujui",AA54&lt;&gt;"Perlu Perbaikan"),"Hasil review tidak valid",IF(AND(Y54="Dikirim",OR(X54="",Z54="")),"Isi bukti dan waktu kirim",IF(AND(AA54="Disetujui",OR(Y54&lt;&gt;"Dikirim",AB54="",AC54="")),"Lengkapi pemeriksaan",IF(AND(AA54="Perlu Perbaikan",OR(AD54="",AB54="",AC54="")),"Isi pemeriksa dan catatan perbaikan","OK")))))))))))))))),"")</f>
        <v/>
      </c>
    </row>
    <row r="55" spans="1:38" ht="24.95" customHeight="1">
      <c r="A55" s="8"/>
      <c r="B55" s="6"/>
      <c r="C55" s="15" t="str">
        <f>IF(COUNTIFS(Master_PIC!$A$8:$A$73,$B55)=1,IF(VLOOKUP($B55,Master_PIC!$A$8:$G$73,2,FALSE)="","",VLOOKUP($B55,Master_PIC!$A$8:$G$73,2,FALSE)),"")</f>
        <v/>
      </c>
      <c r="D55" s="15" t="str">
        <f>IF(COUNTIFS(Master_PIC!$A$8:$A$73,$B55)=1,IF(VLOOKUP($B55,Master_PIC!$A$8:$G$73,4,FALSE)="","",VLOOKUP($B55,Master_PIC!$A$8:$G$73,4,FALSE)),"")</f>
        <v/>
      </c>
      <c r="E55" s="15" t="str">
        <f>IF(COUNTIFS(Master_PIC!$A$8:$A$73,$B55)=1,IF(VLOOKUP($B55,Master_PIC!$A$8:$G$73,5,FALSE)="","",VLOOKUP($B55,Master_PIC!$A$8:$G$73,5,FALSE)),"")</f>
        <v/>
      </c>
      <c r="F55" s="15" t="str">
        <f>IF(COUNTIFS(Master_PIC!$A$8:$A$73,$B55)=1,IF(VLOOKUP($B55,Master_PIC!$A$8:$G$73,6,FALSE)="","",VLOOKUP($B55,Master_PIC!$A$8:$G$73,6,FALSE)),"")</f>
        <v/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8"/>
      <c r="X55" s="5"/>
      <c r="Y55" s="5"/>
      <c r="Z55" s="9"/>
      <c r="AA55" s="5"/>
      <c r="AB55" s="5"/>
      <c r="AC55" s="9"/>
      <c r="AD55" s="5"/>
      <c r="AE55" s="7" t="str">
        <f t="shared" si="0"/>
        <v/>
      </c>
      <c r="AF55" s="7" t="str">
        <f t="shared" si="1"/>
        <v/>
      </c>
      <c r="AG55" s="7" t="str">
        <f t="shared" si="2"/>
        <v/>
      </c>
      <c r="AH55" s="7" t="str">
        <f t="shared" si="3"/>
        <v/>
      </c>
      <c r="AI55" s="7" t="str">
        <f t="shared" si="4"/>
        <v/>
      </c>
      <c r="AJ55" s="7" t="str">
        <f t="shared" si="5"/>
        <v/>
      </c>
      <c r="AK55" s="10" t="str">
        <f t="shared" si="6"/>
        <v/>
      </c>
      <c r="AL55" s="15" t="str">
        <f>IF(OR($A55&lt;&gt;"",$B55&lt;&gt;""),IF(OR($A55="",$B55=""),"Isi tanggal dan ID PIC",IF(NOT(ISNUMBER($A55)),"Tanggal harus berupa tanggal Excel",IF(COUNTIFS(Master_PIC!$A$8:$A$73,$B55)&lt;&gt;1,"ID PIC tidak unik/terdaftar",IF(VLOOKUP($B55,Master_PIC!$A$8:$G$73,3,FALSE)&lt;&gt;"ASM","Jabatan tidak sesuai sheet",IF(OR($C55="",$D55="",$E55="",$F55=""),"Lengkapi master PIC",IF(COUNTIFS($A$8:$A$507,$A55,$B$8:$B$507,$B55)&gt;1,"Laporan ganda",IF(COUNTIFS(G55:O55,"Tidak Berlaku")&gt;0,"N/A hanya untuk kegiatan bersyarat",IF(SUM(AF55,AG55,AH55,AI55,AJ55)&lt;&gt;13,"Status kegiatan tidak valid",IF(AJ55&gt;0,"Lengkapi status kegiatan",IF(AND(AI55&gt;0,T55=""),"Isi alasan Tidak Berlaku",IF(AND(SUM(AG55,AH55)&gt;0,OR(T55="",U55="",V55="",W55="")),"Isi kendala dan tindak lanjut",IF(AND(Y55&lt;&gt;"Draft",Y55&lt;&gt;"Dikirim"),"Isi status laporan yang valid",IF(AND(AA55&lt;&gt;"",AA55&lt;&gt;"Belum Diperiksa",AA55&lt;&gt;"Disetujui",AA55&lt;&gt;"Perlu Perbaikan"),"Hasil review tidak valid",IF(AND(Y55="Dikirim",OR(X55="",Z55="")),"Isi bukti dan waktu kirim",IF(AND(AA55="Disetujui",OR(Y55&lt;&gt;"Dikirim",AB55="",AC55="")),"Lengkapi pemeriksaan",IF(AND(AA55="Perlu Perbaikan",OR(AD55="",AB55="",AC55="")),"Isi pemeriksa dan catatan perbaikan","OK")))))))))))))))),"")</f>
        <v/>
      </c>
    </row>
    <row r="56" spans="1:38" ht="24.95" customHeight="1">
      <c r="A56" s="8"/>
      <c r="B56" s="6"/>
      <c r="C56" s="15" t="str">
        <f>IF(COUNTIFS(Master_PIC!$A$8:$A$73,$B56)=1,IF(VLOOKUP($B56,Master_PIC!$A$8:$G$73,2,FALSE)="","",VLOOKUP($B56,Master_PIC!$A$8:$G$73,2,FALSE)),"")</f>
        <v/>
      </c>
      <c r="D56" s="15" t="str">
        <f>IF(COUNTIFS(Master_PIC!$A$8:$A$73,$B56)=1,IF(VLOOKUP($B56,Master_PIC!$A$8:$G$73,4,FALSE)="","",VLOOKUP($B56,Master_PIC!$A$8:$G$73,4,FALSE)),"")</f>
        <v/>
      </c>
      <c r="E56" s="15" t="str">
        <f>IF(COUNTIFS(Master_PIC!$A$8:$A$73,$B56)=1,IF(VLOOKUP($B56,Master_PIC!$A$8:$G$73,5,FALSE)="","",VLOOKUP($B56,Master_PIC!$A$8:$G$73,5,FALSE)),"")</f>
        <v/>
      </c>
      <c r="F56" s="15" t="str">
        <f>IF(COUNTIFS(Master_PIC!$A$8:$A$73,$B56)=1,IF(VLOOKUP($B56,Master_PIC!$A$8:$G$73,6,FALSE)="","",VLOOKUP($B56,Master_PIC!$A$8:$G$73,6,FALSE)),"")</f>
        <v/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9"/>
      <c r="AA56" s="5"/>
      <c r="AB56" s="5"/>
      <c r="AC56" s="9"/>
      <c r="AD56" s="5"/>
      <c r="AE56" s="7" t="str">
        <f t="shared" si="0"/>
        <v/>
      </c>
      <c r="AF56" s="7" t="str">
        <f t="shared" si="1"/>
        <v/>
      </c>
      <c r="AG56" s="7" t="str">
        <f t="shared" si="2"/>
        <v/>
      </c>
      <c r="AH56" s="7" t="str">
        <f t="shared" si="3"/>
        <v/>
      </c>
      <c r="AI56" s="7" t="str">
        <f t="shared" si="4"/>
        <v/>
      </c>
      <c r="AJ56" s="7" t="str">
        <f t="shared" si="5"/>
        <v/>
      </c>
      <c r="AK56" s="10" t="str">
        <f t="shared" si="6"/>
        <v/>
      </c>
      <c r="AL56" s="15" t="str">
        <f>IF(OR($A56&lt;&gt;"",$B56&lt;&gt;""),IF(OR($A56="",$B56=""),"Isi tanggal dan ID PIC",IF(NOT(ISNUMBER($A56)),"Tanggal harus berupa tanggal Excel",IF(COUNTIFS(Master_PIC!$A$8:$A$73,$B56)&lt;&gt;1,"ID PIC tidak unik/terdaftar",IF(VLOOKUP($B56,Master_PIC!$A$8:$G$73,3,FALSE)&lt;&gt;"ASM","Jabatan tidak sesuai sheet",IF(OR($C56="",$D56="",$E56="",$F56=""),"Lengkapi master PIC",IF(COUNTIFS($A$8:$A$507,$A56,$B$8:$B$507,$B56)&gt;1,"Laporan ganda",IF(COUNTIFS(G56:O56,"Tidak Berlaku")&gt;0,"N/A hanya untuk kegiatan bersyarat",IF(SUM(AF56,AG56,AH56,AI56,AJ56)&lt;&gt;13,"Status kegiatan tidak valid",IF(AJ56&gt;0,"Lengkapi status kegiatan",IF(AND(AI56&gt;0,T56=""),"Isi alasan Tidak Berlaku",IF(AND(SUM(AG56,AH56)&gt;0,OR(T56="",U56="",V56="",W56="")),"Isi kendala dan tindak lanjut",IF(AND(Y56&lt;&gt;"Draft",Y56&lt;&gt;"Dikirim"),"Isi status laporan yang valid",IF(AND(AA56&lt;&gt;"",AA56&lt;&gt;"Belum Diperiksa",AA56&lt;&gt;"Disetujui",AA56&lt;&gt;"Perlu Perbaikan"),"Hasil review tidak valid",IF(AND(Y56="Dikirim",OR(X56="",Z56="")),"Isi bukti dan waktu kirim",IF(AND(AA56="Disetujui",OR(Y56&lt;&gt;"Dikirim",AB56="",AC56="")),"Lengkapi pemeriksaan",IF(AND(AA56="Perlu Perbaikan",OR(AD56="",AB56="",AC56="")),"Isi pemeriksa dan catatan perbaikan","OK")))))))))))))))),"")</f>
        <v/>
      </c>
    </row>
    <row r="57" spans="1:38" ht="24.95" customHeight="1">
      <c r="A57" s="8"/>
      <c r="B57" s="6"/>
      <c r="C57" s="15" t="str">
        <f>IF(COUNTIFS(Master_PIC!$A$8:$A$73,$B57)=1,IF(VLOOKUP($B57,Master_PIC!$A$8:$G$73,2,FALSE)="","",VLOOKUP($B57,Master_PIC!$A$8:$G$73,2,FALSE)),"")</f>
        <v/>
      </c>
      <c r="D57" s="15" t="str">
        <f>IF(COUNTIFS(Master_PIC!$A$8:$A$73,$B57)=1,IF(VLOOKUP($B57,Master_PIC!$A$8:$G$73,4,FALSE)="","",VLOOKUP($B57,Master_PIC!$A$8:$G$73,4,FALSE)),"")</f>
        <v/>
      </c>
      <c r="E57" s="15" t="str">
        <f>IF(COUNTIFS(Master_PIC!$A$8:$A$73,$B57)=1,IF(VLOOKUP($B57,Master_PIC!$A$8:$G$73,5,FALSE)="","",VLOOKUP($B57,Master_PIC!$A$8:$G$73,5,FALSE)),"")</f>
        <v/>
      </c>
      <c r="F57" s="15" t="str">
        <f>IF(COUNTIFS(Master_PIC!$A$8:$A$73,$B57)=1,IF(VLOOKUP($B57,Master_PIC!$A$8:$G$73,6,FALSE)="","",VLOOKUP($B57,Master_PIC!$A$8:$G$73,6,FALSE)),"")</f>
        <v/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8"/>
      <c r="X57" s="5"/>
      <c r="Y57" s="5"/>
      <c r="Z57" s="9"/>
      <c r="AA57" s="5"/>
      <c r="AB57" s="5"/>
      <c r="AC57" s="9"/>
      <c r="AD57" s="5"/>
      <c r="AE57" s="7" t="str">
        <f t="shared" si="0"/>
        <v/>
      </c>
      <c r="AF57" s="7" t="str">
        <f t="shared" si="1"/>
        <v/>
      </c>
      <c r="AG57" s="7" t="str">
        <f t="shared" si="2"/>
        <v/>
      </c>
      <c r="AH57" s="7" t="str">
        <f t="shared" si="3"/>
        <v/>
      </c>
      <c r="AI57" s="7" t="str">
        <f t="shared" si="4"/>
        <v/>
      </c>
      <c r="AJ57" s="7" t="str">
        <f t="shared" si="5"/>
        <v/>
      </c>
      <c r="AK57" s="10" t="str">
        <f t="shared" si="6"/>
        <v/>
      </c>
      <c r="AL57" s="15" t="str">
        <f>IF(OR($A57&lt;&gt;"",$B57&lt;&gt;""),IF(OR($A57="",$B57=""),"Isi tanggal dan ID PIC",IF(NOT(ISNUMBER($A57)),"Tanggal harus berupa tanggal Excel",IF(COUNTIFS(Master_PIC!$A$8:$A$73,$B57)&lt;&gt;1,"ID PIC tidak unik/terdaftar",IF(VLOOKUP($B57,Master_PIC!$A$8:$G$73,3,FALSE)&lt;&gt;"ASM","Jabatan tidak sesuai sheet",IF(OR($C57="",$D57="",$E57="",$F57=""),"Lengkapi master PIC",IF(COUNTIFS($A$8:$A$507,$A57,$B$8:$B$507,$B57)&gt;1,"Laporan ganda",IF(COUNTIFS(G57:O57,"Tidak Berlaku")&gt;0,"N/A hanya untuk kegiatan bersyarat",IF(SUM(AF57,AG57,AH57,AI57,AJ57)&lt;&gt;13,"Status kegiatan tidak valid",IF(AJ57&gt;0,"Lengkapi status kegiatan",IF(AND(AI57&gt;0,T57=""),"Isi alasan Tidak Berlaku",IF(AND(SUM(AG57,AH57)&gt;0,OR(T57="",U57="",V57="",W57="")),"Isi kendala dan tindak lanjut",IF(AND(Y57&lt;&gt;"Draft",Y57&lt;&gt;"Dikirim"),"Isi status laporan yang valid",IF(AND(AA57&lt;&gt;"",AA57&lt;&gt;"Belum Diperiksa",AA57&lt;&gt;"Disetujui",AA57&lt;&gt;"Perlu Perbaikan"),"Hasil review tidak valid",IF(AND(Y57="Dikirim",OR(X57="",Z57="")),"Isi bukti dan waktu kirim",IF(AND(AA57="Disetujui",OR(Y57&lt;&gt;"Dikirim",AB57="",AC57="")),"Lengkapi pemeriksaan",IF(AND(AA57="Perlu Perbaikan",OR(AD57="",AB57="",AC57="")),"Isi pemeriksa dan catatan perbaikan","OK")))))))))))))))),"")</f>
        <v/>
      </c>
    </row>
    <row r="58" spans="1:38" ht="24.95" customHeight="1">
      <c r="A58" s="8"/>
      <c r="B58" s="6"/>
      <c r="C58" s="15" t="str">
        <f>IF(COUNTIFS(Master_PIC!$A$8:$A$73,$B58)=1,IF(VLOOKUP($B58,Master_PIC!$A$8:$G$73,2,FALSE)="","",VLOOKUP($B58,Master_PIC!$A$8:$G$73,2,FALSE)),"")</f>
        <v/>
      </c>
      <c r="D58" s="15" t="str">
        <f>IF(COUNTIFS(Master_PIC!$A$8:$A$73,$B58)=1,IF(VLOOKUP($B58,Master_PIC!$A$8:$G$73,4,FALSE)="","",VLOOKUP($B58,Master_PIC!$A$8:$G$73,4,FALSE)),"")</f>
        <v/>
      </c>
      <c r="E58" s="15" t="str">
        <f>IF(COUNTIFS(Master_PIC!$A$8:$A$73,$B58)=1,IF(VLOOKUP($B58,Master_PIC!$A$8:$G$73,5,FALSE)="","",VLOOKUP($B58,Master_PIC!$A$8:$G$73,5,FALSE)),"")</f>
        <v/>
      </c>
      <c r="F58" s="15" t="str">
        <f>IF(COUNTIFS(Master_PIC!$A$8:$A$73,$B58)=1,IF(VLOOKUP($B58,Master_PIC!$A$8:$G$73,6,FALSE)="","",VLOOKUP($B58,Master_PIC!$A$8:$G$73,6,FALSE)),"")</f>
        <v/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8"/>
      <c r="X58" s="5"/>
      <c r="Y58" s="5"/>
      <c r="Z58" s="9"/>
      <c r="AA58" s="5"/>
      <c r="AB58" s="5"/>
      <c r="AC58" s="9"/>
      <c r="AD58" s="5"/>
      <c r="AE58" s="7" t="str">
        <f t="shared" si="0"/>
        <v/>
      </c>
      <c r="AF58" s="7" t="str">
        <f t="shared" si="1"/>
        <v/>
      </c>
      <c r="AG58" s="7" t="str">
        <f t="shared" si="2"/>
        <v/>
      </c>
      <c r="AH58" s="7" t="str">
        <f t="shared" si="3"/>
        <v/>
      </c>
      <c r="AI58" s="7" t="str">
        <f t="shared" si="4"/>
        <v/>
      </c>
      <c r="AJ58" s="7" t="str">
        <f t="shared" si="5"/>
        <v/>
      </c>
      <c r="AK58" s="10" t="str">
        <f t="shared" si="6"/>
        <v/>
      </c>
      <c r="AL58" s="15" t="str">
        <f>IF(OR($A58&lt;&gt;"",$B58&lt;&gt;""),IF(OR($A58="",$B58=""),"Isi tanggal dan ID PIC",IF(NOT(ISNUMBER($A58)),"Tanggal harus berupa tanggal Excel",IF(COUNTIFS(Master_PIC!$A$8:$A$73,$B58)&lt;&gt;1,"ID PIC tidak unik/terdaftar",IF(VLOOKUP($B58,Master_PIC!$A$8:$G$73,3,FALSE)&lt;&gt;"ASM","Jabatan tidak sesuai sheet",IF(OR($C58="",$D58="",$E58="",$F58=""),"Lengkapi master PIC",IF(COUNTIFS($A$8:$A$507,$A58,$B$8:$B$507,$B58)&gt;1,"Laporan ganda",IF(COUNTIFS(G58:O58,"Tidak Berlaku")&gt;0,"N/A hanya untuk kegiatan bersyarat",IF(SUM(AF58,AG58,AH58,AI58,AJ58)&lt;&gt;13,"Status kegiatan tidak valid",IF(AJ58&gt;0,"Lengkapi status kegiatan",IF(AND(AI58&gt;0,T58=""),"Isi alasan Tidak Berlaku",IF(AND(SUM(AG58,AH58)&gt;0,OR(T58="",U58="",V58="",W58="")),"Isi kendala dan tindak lanjut",IF(AND(Y58&lt;&gt;"Draft",Y58&lt;&gt;"Dikirim"),"Isi status laporan yang valid",IF(AND(AA58&lt;&gt;"",AA58&lt;&gt;"Belum Diperiksa",AA58&lt;&gt;"Disetujui",AA58&lt;&gt;"Perlu Perbaikan"),"Hasil review tidak valid",IF(AND(Y58="Dikirim",OR(X58="",Z58="")),"Isi bukti dan waktu kirim",IF(AND(AA58="Disetujui",OR(Y58&lt;&gt;"Dikirim",AB58="",AC58="")),"Lengkapi pemeriksaan",IF(AND(AA58="Perlu Perbaikan",OR(AD58="",AB58="",AC58="")),"Isi pemeriksa dan catatan perbaikan","OK")))))))))))))))),"")</f>
        <v/>
      </c>
    </row>
    <row r="59" spans="1:38" ht="24.95" customHeight="1">
      <c r="A59" s="8"/>
      <c r="B59" s="6"/>
      <c r="C59" s="15" t="str">
        <f>IF(COUNTIFS(Master_PIC!$A$8:$A$73,$B59)=1,IF(VLOOKUP($B59,Master_PIC!$A$8:$G$73,2,FALSE)="","",VLOOKUP($B59,Master_PIC!$A$8:$G$73,2,FALSE)),"")</f>
        <v/>
      </c>
      <c r="D59" s="15" t="str">
        <f>IF(COUNTIFS(Master_PIC!$A$8:$A$73,$B59)=1,IF(VLOOKUP($B59,Master_PIC!$A$8:$G$73,4,FALSE)="","",VLOOKUP($B59,Master_PIC!$A$8:$G$73,4,FALSE)),"")</f>
        <v/>
      </c>
      <c r="E59" s="15" t="str">
        <f>IF(COUNTIFS(Master_PIC!$A$8:$A$73,$B59)=1,IF(VLOOKUP($B59,Master_PIC!$A$8:$G$73,5,FALSE)="","",VLOOKUP($B59,Master_PIC!$A$8:$G$73,5,FALSE)),"")</f>
        <v/>
      </c>
      <c r="F59" s="15" t="str">
        <f>IF(COUNTIFS(Master_PIC!$A$8:$A$73,$B59)=1,IF(VLOOKUP($B59,Master_PIC!$A$8:$G$73,6,FALSE)="","",VLOOKUP($B59,Master_PIC!$A$8:$G$73,6,FALSE)),"")</f>
        <v/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8"/>
      <c r="X59" s="5"/>
      <c r="Y59" s="5"/>
      <c r="Z59" s="9"/>
      <c r="AA59" s="5"/>
      <c r="AB59" s="5"/>
      <c r="AC59" s="9"/>
      <c r="AD59" s="5"/>
      <c r="AE59" s="7" t="str">
        <f t="shared" si="0"/>
        <v/>
      </c>
      <c r="AF59" s="7" t="str">
        <f t="shared" si="1"/>
        <v/>
      </c>
      <c r="AG59" s="7" t="str">
        <f t="shared" si="2"/>
        <v/>
      </c>
      <c r="AH59" s="7" t="str">
        <f t="shared" si="3"/>
        <v/>
      </c>
      <c r="AI59" s="7" t="str">
        <f t="shared" si="4"/>
        <v/>
      </c>
      <c r="AJ59" s="7" t="str">
        <f t="shared" si="5"/>
        <v/>
      </c>
      <c r="AK59" s="10" t="str">
        <f t="shared" si="6"/>
        <v/>
      </c>
      <c r="AL59" s="15" t="str">
        <f>IF(OR($A59&lt;&gt;"",$B59&lt;&gt;""),IF(OR($A59="",$B59=""),"Isi tanggal dan ID PIC",IF(NOT(ISNUMBER($A59)),"Tanggal harus berupa tanggal Excel",IF(COUNTIFS(Master_PIC!$A$8:$A$73,$B59)&lt;&gt;1,"ID PIC tidak unik/terdaftar",IF(VLOOKUP($B59,Master_PIC!$A$8:$G$73,3,FALSE)&lt;&gt;"ASM","Jabatan tidak sesuai sheet",IF(OR($C59="",$D59="",$E59="",$F59=""),"Lengkapi master PIC",IF(COUNTIFS($A$8:$A$507,$A59,$B$8:$B$507,$B59)&gt;1,"Laporan ganda",IF(COUNTIFS(G59:O59,"Tidak Berlaku")&gt;0,"N/A hanya untuk kegiatan bersyarat",IF(SUM(AF59,AG59,AH59,AI59,AJ59)&lt;&gt;13,"Status kegiatan tidak valid",IF(AJ59&gt;0,"Lengkapi status kegiatan",IF(AND(AI59&gt;0,T59=""),"Isi alasan Tidak Berlaku",IF(AND(SUM(AG59,AH59)&gt;0,OR(T59="",U59="",V59="",W59="")),"Isi kendala dan tindak lanjut",IF(AND(Y59&lt;&gt;"Draft",Y59&lt;&gt;"Dikirim"),"Isi status laporan yang valid",IF(AND(AA59&lt;&gt;"",AA59&lt;&gt;"Belum Diperiksa",AA59&lt;&gt;"Disetujui",AA59&lt;&gt;"Perlu Perbaikan"),"Hasil review tidak valid",IF(AND(Y59="Dikirim",OR(X59="",Z59="")),"Isi bukti dan waktu kirim",IF(AND(AA59="Disetujui",OR(Y59&lt;&gt;"Dikirim",AB59="",AC59="")),"Lengkapi pemeriksaan",IF(AND(AA59="Perlu Perbaikan",OR(AD59="",AB59="",AC59="")),"Isi pemeriksa dan catatan perbaikan","OK")))))))))))))))),"")</f>
        <v/>
      </c>
    </row>
    <row r="60" spans="1:38" ht="24.95" customHeight="1">
      <c r="A60" s="8"/>
      <c r="B60" s="6"/>
      <c r="C60" s="15" t="str">
        <f>IF(COUNTIFS(Master_PIC!$A$8:$A$73,$B60)=1,IF(VLOOKUP($B60,Master_PIC!$A$8:$G$73,2,FALSE)="","",VLOOKUP($B60,Master_PIC!$A$8:$G$73,2,FALSE)),"")</f>
        <v/>
      </c>
      <c r="D60" s="15" t="str">
        <f>IF(COUNTIFS(Master_PIC!$A$8:$A$73,$B60)=1,IF(VLOOKUP($B60,Master_PIC!$A$8:$G$73,4,FALSE)="","",VLOOKUP($B60,Master_PIC!$A$8:$G$73,4,FALSE)),"")</f>
        <v/>
      </c>
      <c r="E60" s="15" t="str">
        <f>IF(COUNTIFS(Master_PIC!$A$8:$A$73,$B60)=1,IF(VLOOKUP($B60,Master_PIC!$A$8:$G$73,5,FALSE)="","",VLOOKUP($B60,Master_PIC!$A$8:$G$73,5,FALSE)),"")</f>
        <v/>
      </c>
      <c r="F60" s="15" t="str">
        <f>IF(COUNTIFS(Master_PIC!$A$8:$A$73,$B60)=1,IF(VLOOKUP($B60,Master_PIC!$A$8:$G$73,6,FALSE)="","",VLOOKUP($B60,Master_PIC!$A$8:$G$73,6,FALSE)),"")</f>
        <v/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8"/>
      <c r="X60" s="5"/>
      <c r="Y60" s="5"/>
      <c r="Z60" s="9"/>
      <c r="AA60" s="5"/>
      <c r="AB60" s="5"/>
      <c r="AC60" s="9"/>
      <c r="AD60" s="5"/>
      <c r="AE60" s="7" t="str">
        <f t="shared" si="0"/>
        <v/>
      </c>
      <c r="AF60" s="7" t="str">
        <f t="shared" si="1"/>
        <v/>
      </c>
      <c r="AG60" s="7" t="str">
        <f t="shared" si="2"/>
        <v/>
      </c>
      <c r="AH60" s="7" t="str">
        <f t="shared" si="3"/>
        <v/>
      </c>
      <c r="AI60" s="7" t="str">
        <f t="shared" si="4"/>
        <v/>
      </c>
      <c r="AJ60" s="7" t="str">
        <f t="shared" si="5"/>
        <v/>
      </c>
      <c r="AK60" s="10" t="str">
        <f t="shared" si="6"/>
        <v/>
      </c>
      <c r="AL60" s="15" t="str">
        <f>IF(OR($A60&lt;&gt;"",$B60&lt;&gt;""),IF(OR($A60="",$B60=""),"Isi tanggal dan ID PIC",IF(NOT(ISNUMBER($A60)),"Tanggal harus berupa tanggal Excel",IF(COUNTIFS(Master_PIC!$A$8:$A$73,$B60)&lt;&gt;1,"ID PIC tidak unik/terdaftar",IF(VLOOKUP($B60,Master_PIC!$A$8:$G$73,3,FALSE)&lt;&gt;"ASM","Jabatan tidak sesuai sheet",IF(OR($C60="",$D60="",$E60="",$F60=""),"Lengkapi master PIC",IF(COUNTIFS($A$8:$A$507,$A60,$B$8:$B$507,$B60)&gt;1,"Laporan ganda",IF(COUNTIFS(G60:O60,"Tidak Berlaku")&gt;0,"N/A hanya untuk kegiatan bersyarat",IF(SUM(AF60,AG60,AH60,AI60,AJ60)&lt;&gt;13,"Status kegiatan tidak valid",IF(AJ60&gt;0,"Lengkapi status kegiatan",IF(AND(AI60&gt;0,T60=""),"Isi alasan Tidak Berlaku",IF(AND(SUM(AG60,AH60)&gt;0,OR(T60="",U60="",V60="",W60="")),"Isi kendala dan tindak lanjut",IF(AND(Y60&lt;&gt;"Draft",Y60&lt;&gt;"Dikirim"),"Isi status laporan yang valid",IF(AND(AA60&lt;&gt;"",AA60&lt;&gt;"Belum Diperiksa",AA60&lt;&gt;"Disetujui",AA60&lt;&gt;"Perlu Perbaikan"),"Hasil review tidak valid",IF(AND(Y60="Dikirim",OR(X60="",Z60="")),"Isi bukti dan waktu kirim",IF(AND(AA60="Disetujui",OR(Y60&lt;&gt;"Dikirim",AB60="",AC60="")),"Lengkapi pemeriksaan",IF(AND(AA60="Perlu Perbaikan",OR(AD60="",AB60="",AC60="")),"Isi pemeriksa dan catatan perbaikan","OK")))))))))))))))),"")</f>
        <v/>
      </c>
    </row>
    <row r="61" spans="1:38" ht="24.95" customHeight="1">
      <c r="A61" s="8"/>
      <c r="B61" s="6"/>
      <c r="C61" s="15" t="str">
        <f>IF(COUNTIFS(Master_PIC!$A$8:$A$73,$B61)=1,IF(VLOOKUP($B61,Master_PIC!$A$8:$G$73,2,FALSE)="","",VLOOKUP($B61,Master_PIC!$A$8:$G$73,2,FALSE)),"")</f>
        <v/>
      </c>
      <c r="D61" s="15" t="str">
        <f>IF(COUNTIFS(Master_PIC!$A$8:$A$73,$B61)=1,IF(VLOOKUP($B61,Master_PIC!$A$8:$G$73,4,FALSE)="","",VLOOKUP($B61,Master_PIC!$A$8:$G$73,4,FALSE)),"")</f>
        <v/>
      </c>
      <c r="E61" s="15" t="str">
        <f>IF(COUNTIFS(Master_PIC!$A$8:$A$73,$B61)=1,IF(VLOOKUP($B61,Master_PIC!$A$8:$G$73,5,FALSE)="","",VLOOKUP($B61,Master_PIC!$A$8:$G$73,5,FALSE)),"")</f>
        <v/>
      </c>
      <c r="F61" s="15" t="str">
        <f>IF(COUNTIFS(Master_PIC!$A$8:$A$73,$B61)=1,IF(VLOOKUP($B61,Master_PIC!$A$8:$G$73,6,FALSE)="","",VLOOKUP($B61,Master_PIC!$A$8:$G$73,6,FALSE)),"")</f>
        <v/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8"/>
      <c r="X61" s="5"/>
      <c r="Y61" s="5"/>
      <c r="Z61" s="9"/>
      <c r="AA61" s="5"/>
      <c r="AB61" s="5"/>
      <c r="AC61" s="9"/>
      <c r="AD61" s="5"/>
      <c r="AE61" s="7" t="str">
        <f t="shared" si="0"/>
        <v/>
      </c>
      <c r="AF61" s="7" t="str">
        <f t="shared" si="1"/>
        <v/>
      </c>
      <c r="AG61" s="7" t="str">
        <f t="shared" si="2"/>
        <v/>
      </c>
      <c r="AH61" s="7" t="str">
        <f t="shared" si="3"/>
        <v/>
      </c>
      <c r="AI61" s="7" t="str">
        <f t="shared" si="4"/>
        <v/>
      </c>
      <c r="AJ61" s="7" t="str">
        <f t="shared" si="5"/>
        <v/>
      </c>
      <c r="AK61" s="10" t="str">
        <f t="shared" si="6"/>
        <v/>
      </c>
      <c r="AL61" s="15" t="str">
        <f>IF(OR($A61&lt;&gt;"",$B61&lt;&gt;""),IF(OR($A61="",$B61=""),"Isi tanggal dan ID PIC",IF(NOT(ISNUMBER($A61)),"Tanggal harus berupa tanggal Excel",IF(COUNTIFS(Master_PIC!$A$8:$A$73,$B61)&lt;&gt;1,"ID PIC tidak unik/terdaftar",IF(VLOOKUP($B61,Master_PIC!$A$8:$G$73,3,FALSE)&lt;&gt;"ASM","Jabatan tidak sesuai sheet",IF(OR($C61="",$D61="",$E61="",$F61=""),"Lengkapi master PIC",IF(COUNTIFS($A$8:$A$507,$A61,$B$8:$B$507,$B61)&gt;1,"Laporan ganda",IF(COUNTIFS(G61:O61,"Tidak Berlaku")&gt;0,"N/A hanya untuk kegiatan bersyarat",IF(SUM(AF61,AG61,AH61,AI61,AJ61)&lt;&gt;13,"Status kegiatan tidak valid",IF(AJ61&gt;0,"Lengkapi status kegiatan",IF(AND(AI61&gt;0,T61=""),"Isi alasan Tidak Berlaku",IF(AND(SUM(AG61,AH61)&gt;0,OR(T61="",U61="",V61="",W61="")),"Isi kendala dan tindak lanjut",IF(AND(Y61&lt;&gt;"Draft",Y61&lt;&gt;"Dikirim"),"Isi status laporan yang valid",IF(AND(AA61&lt;&gt;"",AA61&lt;&gt;"Belum Diperiksa",AA61&lt;&gt;"Disetujui",AA61&lt;&gt;"Perlu Perbaikan"),"Hasil review tidak valid",IF(AND(Y61="Dikirim",OR(X61="",Z61="")),"Isi bukti dan waktu kirim",IF(AND(AA61="Disetujui",OR(Y61&lt;&gt;"Dikirim",AB61="",AC61="")),"Lengkapi pemeriksaan",IF(AND(AA61="Perlu Perbaikan",OR(AD61="",AB61="",AC61="")),"Isi pemeriksa dan catatan perbaikan","OK")))))))))))))))),"")</f>
        <v/>
      </c>
    </row>
    <row r="62" spans="1:38" ht="24.95" customHeight="1">
      <c r="A62" s="8"/>
      <c r="B62" s="6"/>
      <c r="C62" s="15" t="str">
        <f>IF(COUNTIFS(Master_PIC!$A$8:$A$73,$B62)=1,IF(VLOOKUP($B62,Master_PIC!$A$8:$G$73,2,FALSE)="","",VLOOKUP($B62,Master_PIC!$A$8:$G$73,2,FALSE)),"")</f>
        <v/>
      </c>
      <c r="D62" s="15" t="str">
        <f>IF(COUNTIFS(Master_PIC!$A$8:$A$73,$B62)=1,IF(VLOOKUP($B62,Master_PIC!$A$8:$G$73,4,FALSE)="","",VLOOKUP($B62,Master_PIC!$A$8:$G$73,4,FALSE)),"")</f>
        <v/>
      </c>
      <c r="E62" s="15" t="str">
        <f>IF(COUNTIFS(Master_PIC!$A$8:$A$73,$B62)=1,IF(VLOOKUP($B62,Master_PIC!$A$8:$G$73,5,FALSE)="","",VLOOKUP($B62,Master_PIC!$A$8:$G$73,5,FALSE)),"")</f>
        <v/>
      </c>
      <c r="F62" s="15" t="str">
        <f>IF(COUNTIFS(Master_PIC!$A$8:$A$73,$B62)=1,IF(VLOOKUP($B62,Master_PIC!$A$8:$G$73,6,FALSE)="","",VLOOKUP($B62,Master_PIC!$A$8:$G$73,6,FALSE)),"")</f>
        <v/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8"/>
      <c r="X62" s="5"/>
      <c r="Y62" s="5"/>
      <c r="Z62" s="9"/>
      <c r="AA62" s="5"/>
      <c r="AB62" s="5"/>
      <c r="AC62" s="9"/>
      <c r="AD62" s="5"/>
      <c r="AE62" s="7" t="str">
        <f t="shared" si="0"/>
        <v/>
      </c>
      <c r="AF62" s="7" t="str">
        <f t="shared" si="1"/>
        <v/>
      </c>
      <c r="AG62" s="7" t="str">
        <f t="shared" si="2"/>
        <v/>
      </c>
      <c r="AH62" s="7" t="str">
        <f t="shared" si="3"/>
        <v/>
      </c>
      <c r="AI62" s="7" t="str">
        <f t="shared" si="4"/>
        <v/>
      </c>
      <c r="AJ62" s="7" t="str">
        <f t="shared" si="5"/>
        <v/>
      </c>
      <c r="AK62" s="10" t="str">
        <f t="shared" si="6"/>
        <v/>
      </c>
      <c r="AL62" s="15" t="str">
        <f>IF(OR($A62&lt;&gt;"",$B62&lt;&gt;""),IF(OR($A62="",$B62=""),"Isi tanggal dan ID PIC",IF(NOT(ISNUMBER($A62)),"Tanggal harus berupa tanggal Excel",IF(COUNTIFS(Master_PIC!$A$8:$A$73,$B62)&lt;&gt;1,"ID PIC tidak unik/terdaftar",IF(VLOOKUP($B62,Master_PIC!$A$8:$G$73,3,FALSE)&lt;&gt;"ASM","Jabatan tidak sesuai sheet",IF(OR($C62="",$D62="",$E62="",$F62=""),"Lengkapi master PIC",IF(COUNTIFS($A$8:$A$507,$A62,$B$8:$B$507,$B62)&gt;1,"Laporan ganda",IF(COUNTIFS(G62:O62,"Tidak Berlaku")&gt;0,"N/A hanya untuk kegiatan bersyarat",IF(SUM(AF62,AG62,AH62,AI62,AJ62)&lt;&gt;13,"Status kegiatan tidak valid",IF(AJ62&gt;0,"Lengkapi status kegiatan",IF(AND(AI62&gt;0,T62=""),"Isi alasan Tidak Berlaku",IF(AND(SUM(AG62,AH62)&gt;0,OR(T62="",U62="",V62="",W62="")),"Isi kendala dan tindak lanjut",IF(AND(Y62&lt;&gt;"Draft",Y62&lt;&gt;"Dikirim"),"Isi status laporan yang valid",IF(AND(AA62&lt;&gt;"",AA62&lt;&gt;"Belum Diperiksa",AA62&lt;&gt;"Disetujui",AA62&lt;&gt;"Perlu Perbaikan"),"Hasil review tidak valid",IF(AND(Y62="Dikirim",OR(X62="",Z62="")),"Isi bukti dan waktu kirim",IF(AND(AA62="Disetujui",OR(Y62&lt;&gt;"Dikirim",AB62="",AC62="")),"Lengkapi pemeriksaan",IF(AND(AA62="Perlu Perbaikan",OR(AD62="",AB62="",AC62="")),"Isi pemeriksa dan catatan perbaikan","OK")))))))))))))))),"")</f>
        <v/>
      </c>
    </row>
    <row r="63" spans="1:38" ht="24.95" customHeight="1">
      <c r="A63" s="8"/>
      <c r="B63" s="6"/>
      <c r="C63" s="15" t="str">
        <f>IF(COUNTIFS(Master_PIC!$A$8:$A$73,$B63)=1,IF(VLOOKUP($B63,Master_PIC!$A$8:$G$73,2,FALSE)="","",VLOOKUP($B63,Master_PIC!$A$8:$G$73,2,FALSE)),"")</f>
        <v/>
      </c>
      <c r="D63" s="15" t="str">
        <f>IF(COUNTIFS(Master_PIC!$A$8:$A$73,$B63)=1,IF(VLOOKUP($B63,Master_PIC!$A$8:$G$73,4,FALSE)="","",VLOOKUP($B63,Master_PIC!$A$8:$G$73,4,FALSE)),"")</f>
        <v/>
      </c>
      <c r="E63" s="15" t="str">
        <f>IF(COUNTIFS(Master_PIC!$A$8:$A$73,$B63)=1,IF(VLOOKUP($B63,Master_PIC!$A$8:$G$73,5,FALSE)="","",VLOOKUP($B63,Master_PIC!$A$8:$G$73,5,FALSE)),"")</f>
        <v/>
      </c>
      <c r="F63" s="15" t="str">
        <f>IF(COUNTIFS(Master_PIC!$A$8:$A$73,$B63)=1,IF(VLOOKUP($B63,Master_PIC!$A$8:$G$73,6,FALSE)="","",VLOOKUP($B63,Master_PIC!$A$8:$G$73,6,FALSE)),"")</f>
        <v/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8"/>
      <c r="X63" s="5"/>
      <c r="Y63" s="5"/>
      <c r="Z63" s="9"/>
      <c r="AA63" s="5"/>
      <c r="AB63" s="5"/>
      <c r="AC63" s="9"/>
      <c r="AD63" s="5"/>
      <c r="AE63" s="7" t="str">
        <f t="shared" si="0"/>
        <v/>
      </c>
      <c r="AF63" s="7" t="str">
        <f t="shared" si="1"/>
        <v/>
      </c>
      <c r="AG63" s="7" t="str">
        <f t="shared" si="2"/>
        <v/>
      </c>
      <c r="AH63" s="7" t="str">
        <f t="shared" si="3"/>
        <v/>
      </c>
      <c r="AI63" s="7" t="str">
        <f t="shared" si="4"/>
        <v/>
      </c>
      <c r="AJ63" s="7" t="str">
        <f t="shared" si="5"/>
        <v/>
      </c>
      <c r="AK63" s="10" t="str">
        <f t="shared" si="6"/>
        <v/>
      </c>
      <c r="AL63" s="15" t="str">
        <f>IF(OR($A63&lt;&gt;"",$B63&lt;&gt;""),IF(OR($A63="",$B63=""),"Isi tanggal dan ID PIC",IF(NOT(ISNUMBER($A63)),"Tanggal harus berupa tanggal Excel",IF(COUNTIFS(Master_PIC!$A$8:$A$73,$B63)&lt;&gt;1,"ID PIC tidak unik/terdaftar",IF(VLOOKUP($B63,Master_PIC!$A$8:$G$73,3,FALSE)&lt;&gt;"ASM","Jabatan tidak sesuai sheet",IF(OR($C63="",$D63="",$E63="",$F63=""),"Lengkapi master PIC",IF(COUNTIFS($A$8:$A$507,$A63,$B$8:$B$507,$B63)&gt;1,"Laporan ganda",IF(COUNTIFS(G63:O63,"Tidak Berlaku")&gt;0,"N/A hanya untuk kegiatan bersyarat",IF(SUM(AF63,AG63,AH63,AI63,AJ63)&lt;&gt;13,"Status kegiatan tidak valid",IF(AJ63&gt;0,"Lengkapi status kegiatan",IF(AND(AI63&gt;0,T63=""),"Isi alasan Tidak Berlaku",IF(AND(SUM(AG63,AH63)&gt;0,OR(T63="",U63="",V63="",W63="")),"Isi kendala dan tindak lanjut",IF(AND(Y63&lt;&gt;"Draft",Y63&lt;&gt;"Dikirim"),"Isi status laporan yang valid",IF(AND(AA63&lt;&gt;"",AA63&lt;&gt;"Belum Diperiksa",AA63&lt;&gt;"Disetujui",AA63&lt;&gt;"Perlu Perbaikan"),"Hasil review tidak valid",IF(AND(Y63="Dikirim",OR(X63="",Z63="")),"Isi bukti dan waktu kirim",IF(AND(AA63="Disetujui",OR(Y63&lt;&gt;"Dikirim",AB63="",AC63="")),"Lengkapi pemeriksaan",IF(AND(AA63="Perlu Perbaikan",OR(AD63="",AB63="",AC63="")),"Isi pemeriksa dan catatan perbaikan","OK")))))))))))))))),"")</f>
        <v/>
      </c>
    </row>
    <row r="64" spans="1:38" ht="24.95" customHeight="1">
      <c r="A64" s="8"/>
      <c r="B64" s="6"/>
      <c r="C64" s="15" t="str">
        <f>IF(COUNTIFS(Master_PIC!$A$8:$A$73,$B64)=1,IF(VLOOKUP($B64,Master_PIC!$A$8:$G$73,2,FALSE)="","",VLOOKUP($B64,Master_PIC!$A$8:$G$73,2,FALSE)),"")</f>
        <v/>
      </c>
      <c r="D64" s="15" t="str">
        <f>IF(COUNTIFS(Master_PIC!$A$8:$A$73,$B64)=1,IF(VLOOKUP($B64,Master_PIC!$A$8:$G$73,4,FALSE)="","",VLOOKUP($B64,Master_PIC!$A$8:$G$73,4,FALSE)),"")</f>
        <v/>
      </c>
      <c r="E64" s="15" t="str">
        <f>IF(COUNTIFS(Master_PIC!$A$8:$A$73,$B64)=1,IF(VLOOKUP($B64,Master_PIC!$A$8:$G$73,5,FALSE)="","",VLOOKUP($B64,Master_PIC!$A$8:$G$73,5,FALSE)),"")</f>
        <v/>
      </c>
      <c r="F64" s="15" t="str">
        <f>IF(COUNTIFS(Master_PIC!$A$8:$A$73,$B64)=1,IF(VLOOKUP($B64,Master_PIC!$A$8:$G$73,6,FALSE)="","",VLOOKUP($B64,Master_PIC!$A$8:$G$73,6,FALSE)),"")</f>
        <v/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8"/>
      <c r="X64" s="5"/>
      <c r="Y64" s="5"/>
      <c r="Z64" s="9"/>
      <c r="AA64" s="5"/>
      <c r="AB64" s="5"/>
      <c r="AC64" s="9"/>
      <c r="AD64" s="5"/>
      <c r="AE64" s="7" t="str">
        <f t="shared" si="0"/>
        <v/>
      </c>
      <c r="AF64" s="7" t="str">
        <f t="shared" si="1"/>
        <v/>
      </c>
      <c r="AG64" s="7" t="str">
        <f t="shared" si="2"/>
        <v/>
      </c>
      <c r="AH64" s="7" t="str">
        <f t="shared" si="3"/>
        <v/>
      </c>
      <c r="AI64" s="7" t="str">
        <f t="shared" si="4"/>
        <v/>
      </c>
      <c r="AJ64" s="7" t="str">
        <f t="shared" si="5"/>
        <v/>
      </c>
      <c r="AK64" s="10" t="str">
        <f t="shared" si="6"/>
        <v/>
      </c>
      <c r="AL64" s="15" t="str">
        <f>IF(OR($A64&lt;&gt;"",$B64&lt;&gt;""),IF(OR($A64="",$B64=""),"Isi tanggal dan ID PIC",IF(NOT(ISNUMBER($A64)),"Tanggal harus berupa tanggal Excel",IF(COUNTIFS(Master_PIC!$A$8:$A$73,$B64)&lt;&gt;1,"ID PIC tidak unik/terdaftar",IF(VLOOKUP($B64,Master_PIC!$A$8:$G$73,3,FALSE)&lt;&gt;"ASM","Jabatan tidak sesuai sheet",IF(OR($C64="",$D64="",$E64="",$F64=""),"Lengkapi master PIC",IF(COUNTIFS($A$8:$A$507,$A64,$B$8:$B$507,$B64)&gt;1,"Laporan ganda",IF(COUNTIFS(G64:O64,"Tidak Berlaku")&gt;0,"N/A hanya untuk kegiatan bersyarat",IF(SUM(AF64,AG64,AH64,AI64,AJ64)&lt;&gt;13,"Status kegiatan tidak valid",IF(AJ64&gt;0,"Lengkapi status kegiatan",IF(AND(AI64&gt;0,T64=""),"Isi alasan Tidak Berlaku",IF(AND(SUM(AG64,AH64)&gt;0,OR(T64="",U64="",V64="",W64="")),"Isi kendala dan tindak lanjut",IF(AND(Y64&lt;&gt;"Draft",Y64&lt;&gt;"Dikirim"),"Isi status laporan yang valid",IF(AND(AA64&lt;&gt;"",AA64&lt;&gt;"Belum Diperiksa",AA64&lt;&gt;"Disetujui",AA64&lt;&gt;"Perlu Perbaikan"),"Hasil review tidak valid",IF(AND(Y64="Dikirim",OR(X64="",Z64="")),"Isi bukti dan waktu kirim",IF(AND(AA64="Disetujui",OR(Y64&lt;&gt;"Dikirim",AB64="",AC64="")),"Lengkapi pemeriksaan",IF(AND(AA64="Perlu Perbaikan",OR(AD64="",AB64="",AC64="")),"Isi pemeriksa dan catatan perbaikan","OK")))))))))))))))),"")</f>
        <v/>
      </c>
    </row>
    <row r="65" spans="1:38" ht="24.95" customHeight="1">
      <c r="A65" s="8"/>
      <c r="B65" s="6"/>
      <c r="C65" s="15" t="str">
        <f>IF(COUNTIFS(Master_PIC!$A$8:$A$73,$B65)=1,IF(VLOOKUP($B65,Master_PIC!$A$8:$G$73,2,FALSE)="","",VLOOKUP($B65,Master_PIC!$A$8:$G$73,2,FALSE)),"")</f>
        <v/>
      </c>
      <c r="D65" s="15" t="str">
        <f>IF(COUNTIFS(Master_PIC!$A$8:$A$73,$B65)=1,IF(VLOOKUP($B65,Master_PIC!$A$8:$G$73,4,FALSE)="","",VLOOKUP($B65,Master_PIC!$A$8:$G$73,4,FALSE)),"")</f>
        <v/>
      </c>
      <c r="E65" s="15" t="str">
        <f>IF(COUNTIFS(Master_PIC!$A$8:$A$73,$B65)=1,IF(VLOOKUP($B65,Master_PIC!$A$8:$G$73,5,FALSE)="","",VLOOKUP($B65,Master_PIC!$A$8:$G$73,5,FALSE)),"")</f>
        <v/>
      </c>
      <c r="F65" s="15" t="str">
        <f>IF(COUNTIFS(Master_PIC!$A$8:$A$73,$B65)=1,IF(VLOOKUP($B65,Master_PIC!$A$8:$G$73,6,FALSE)="","",VLOOKUP($B65,Master_PIC!$A$8:$G$73,6,FALSE)),"")</f>
        <v/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8"/>
      <c r="X65" s="5"/>
      <c r="Y65" s="5"/>
      <c r="Z65" s="9"/>
      <c r="AA65" s="5"/>
      <c r="AB65" s="5"/>
      <c r="AC65" s="9"/>
      <c r="AD65" s="5"/>
      <c r="AE65" s="7" t="str">
        <f t="shared" si="0"/>
        <v/>
      </c>
      <c r="AF65" s="7" t="str">
        <f t="shared" si="1"/>
        <v/>
      </c>
      <c r="AG65" s="7" t="str">
        <f t="shared" si="2"/>
        <v/>
      </c>
      <c r="AH65" s="7" t="str">
        <f t="shared" si="3"/>
        <v/>
      </c>
      <c r="AI65" s="7" t="str">
        <f t="shared" si="4"/>
        <v/>
      </c>
      <c r="AJ65" s="7" t="str">
        <f t="shared" si="5"/>
        <v/>
      </c>
      <c r="AK65" s="10" t="str">
        <f t="shared" si="6"/>
        <v/>
      </c>
      <c r="AL65" s="15" t="str">
        <f>IF(OR($A65&lt;&gt;"",$B65&lt;&gt;""),IF(OR($A65="",$B65=""),"Isi tanggal dan ID PIC",IF(NOT(ISNUMBER($A65)),"Tanggal harus berupa tanggal Excel",IF(COUNTIFS(Master_PIC!$A$8:$A$73,$B65)&lt;&gt;1,"ID PIC tidak unik/terdaftar",IF(VLOOKUP($B65,Master_PIC!$A$8:$G$73,3,FALSE)&lt;&gt;"ASM","Jabatan tidak sesuai sheet",IF(OR($C65="",$D65="",$E65="",$F65=""),"Lengkapi master PIC",IF(COUNTIFS($A$8:$A$507,$A65,$B$8:$B$507,$B65)&gt;1,"Laporan ganda",IF(COUNTIFS(G65:O65,"Tidak Berlaku")&gt;0,"N/A hanya untuk kegiatan bersyarat",IF(SUM(AF65,AG65,AH65,AI65,AJ65)&lt;&gt;13,"Status kegiatan tidak valid",IF(AJ65&gt;0,"Lengkapi status kegiatan",IF(AND(AI65&gt;0,T65=""),"Isi alasan Tidak Berlaku",IF(AND(SUM(AG65,AH65)&gt;0,OR(T65="",U65="",V65="",W65="")),"Isi kendala dan tindak lanjut",IF(AND(Y65&lt;&gt;"Draft",Y65&lt;&gt;"Dikirim"),"Isi status laporan yang valid",IF(AND(AA65&lt;&gt;"",AA65&lt;&gt;"Belum Diperiksa",AA65&lt;&gt;"Disetujui",AA65&lt;&gt;"Perlu Perbaikan"),"Hasil review tidak valid",IF(AND(Y65="Dikirim",OR(X65="",Z65="")),"Isi bukti dan waktu kirim",IF(AND(AA65="Disetujui",OR(Y65&lt;&gt;"Dikirim",AB65="",AC65="")),"Lengkapi pemeriksaan",IF(AND(AA65="Perlu Perbaikan",OR(AD65="",AB65="",AC65="")),"Isi pemeriksa dan catatan perbaikan","OK")))))))))))))))),"")</f>
        <v/>
      </c>
    </row>
    <row r="66" spans="1:38" ht="24.95" customHeight="1">
      <c r="A66" s="8"/>
      <c r="B66" s="6"/>
      <c r="C66" s="15" t="str">
        <f>IF(COUNTIFS(Master_PIC!$A$8:$A$73,$B66)=1,IF(VLOOKUP($B66,Master_PIC!$A$8:$G$73,2,FALSE)="","",VLOOKUP($B66,Master_PIC!$A$8:$G$73,2,FALSE)),"")</f>
        <v/>
      </c>
      <c r="D66" s="15" t="str">
        <f>IF(COUNTIFS(Master_PIC!$A$8:$A$73,$B66)=1,IF(VLOOKUP($B66,Master_PIC!$A$8:$G$73,4,FALSE)="","",VLOOKUP($B66,Master_PIC!$A$8:$G$73,4,FALSE)),"")</f>
        <v/>
      </c>
      <c r="E66" s="15" t="str">
        <f>IF(COUNTIFS(Master_PIC!$A$8:$A$73,$B66)=1,IF(VLOOKUP($B66,Master_PIC!$A$8:$G$73,5,FALSE)="","",VLOOKUP($B66,Master_PIC!$A$8:$G$73,5,FALSE)),"")</f>
        <v/>
      </c>
      <c r="F66" s="15" t="str">
        <f>IF(COUNTIFS(Master_PIC!$A$8:$A$73,$B66)=1,IF(VLOOKUP($B66,Master_PIC!$A$8:$G$73,6,FALSE)="","",VLOOKUP($B66,Master_PIC!$A$8:$G$73,6,FALSE)),"")</f>
        <v/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8"/>
      <c r="X66" s="5"/>
      <c r="Y66" s="5"/>
      <c r="Z66" s="9"/>
      <c r="AA66" s="5"/>
      <c r="AB66" s="5"/>
      <c r="AC66" s="9"/>
      <c r="AD66" s="5"/>
      <c r="AE66" s="7" t="str">
        <f t="shared" si="0"/>
        <v/>
      </c>
      <c r="AF66" s="7" t="str">
        <f t="shared" si="1"/>
        <v/>
      </c>
      <c r="AG66" s="7" t="str">
        <f t="shared" si="2"/>
        <v/>
      </c>
      <c r="AH66" s="7" t="str">
        <f t="shared" si="3"/>
        <v/>
      </c>
      <c r="AI66" s="7" t="str">
        <f t="shared" si="4"/>
        <v/>
      </c>
      <c r="AJ66" s="7" t="str">
        <f t="shared" si="5"/>
        <v/>
      </c>
      <c r="AK66" s="10" t="str">
        <f t="shared" si="6"/>
        <v/>
      </c>
      <c r="AL66" s="15" t="str">
        <f>IF(OR($A66&lt;&gt;"",$B66&lt;&gt;""),IF(OR($A66="",$B66=""),"Isi tanggal dan ID PIC",IF(NOT(ISNUMBER($A66)),"Tanggal harus berupa tanggal Excel",IF(COUNTIFS(Master_PIC!$A$8:$A$73,$B66)&lt;&gt;1,"ID PIC tidak unik/terdaftar",IF(VLOOKUP($B66,Master_PIC!$A$8:$G$73,3,FALSE)&lt;&gt;"ASM","Jabatan tidak sesuai sheet",IF(OR($C66="",$D66="",$E66="",$F66=""),"Lengkapi master PIC",IF(COUNTIFS($A$8:$A$507,$A66,$B$8:$B$507,$B66)&gt;1,"Laporan ganda",IF(COUNTIFS(G66:O66,"Tidak Berlaku")&gt;0,"N/A hanya untuk kegiatan bersyarat",IF(SUM(AF66,AG66,AH66,AI66,AJ66)&lt;&gt;13,"Status kegiatan tidak valid",IF(AJ66&gt;0,"Lengkapi status kegiatan",IF(AND(AI66&gt;0,T66=""),"Isi alasan Tidak Berlaku",IF(AND(SUM(AG66,AH66)&gt;0,OR(T66="",U66="",V66="",W66="")),"Isi kendala dan tindak lanjut",IF(AND(Y66&lt;&gt;"Draft",Y66&lt;&gt;"Dikirim"),"Isi status laporan yang valid",IF(AND(AA66&lt;&gt;"",AA66&lt;&gt;"Belum Diperiksa",AA66&lt;&gt;"Disetujui",AA66&lt;&gt;"Perlu Perbaikan"),"Hasil review tidak valid",IF(AND(Y66="Dikirim",OR(X66="",Z66="")),"Isi bukti dan waktu kirim",IF(AND(AA66="Disetujui",OR(Y66&lt;&gt;"Dikirim",AB66="",AC66="")),"Lengkapi pemeriksaan",IF(AND(AA66="Perlu Perbaikan",OR(AD66="",AB66="",AC66="")),"Isi pemeriksa dan catatan perbaikan","OK")))))))))))))))),"")</f>
        <v/>
      </c>
    </row>
    <row r="67" spans="1:38" ht="24.95" customHeight="1">
      <c r="A67" s="8"/>
      <c r="B67" s="6"/>
      <c r="C67" s="15" t="str">
        <f>IF(COUNTIFS(Master_PIC!$A$8:$A$73,$B67)=1,IF(VLOOKUP($B67,Master_PIC!$A$8:$G$73,2,FALSE)="","",VLOOKUP($B67,Master_PIC!$A$8:$G$73,2,FALSE)),"")</f>
        <v/>
      </c>
      <c r="D67" s="15" t="str">
        <f>IF(COUNTIFS(Master_PIC!$A$8:$A$73,$B67)=1,IF(VLOOKUP($B67,Master_PIC!$A$8:$G$73,4,FALSE)="","",VLOOKUP($B67,Master_PIC!$A$8:$G$73,4,FALSE)),"")</f>
        <v/>
      </c>
      <c r="E67" s="15" t="str">
        <f>IF(COUNTIFS(Master_PIC!$A$8:$A$73,$B67)=1,IF(VLOOKUP($B67,Master_PIC!$A$8:$G$73,5,FALSE)="","",VLOOKUP($B67,Master_PIC!$A$8:$G$73,5,FALSE)),"")</f>
        <v/>
      </c>
      <c r="F67" s="15" t="str">
        <f>IF(COUNTIFS(Master_PIC!$A$8:$A$73,$B67)=1,IF(VLOOKUP($B67,Master_PIC!$A$8:$G$73,6,FALSE)="","",VLOOKUP($B67,Master_PIC!$A$8:$G$73,6,FALSE)),"")</f>
        <v/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8"/>
      <c r="X67" s="5"/>
      <c r="Y67" s="5"/>
      <c r="Z67" s="9"/>
      <c r="AA67" s="5"/>
      <c r="AB67" s="5"/>
      <c r="AC67" s="9"/>
      <c r="AD67" s="5"/>
      <c r="AE67" s="7" t="str">
        <f t="shared" si="0"/>
        <v/>
      </c>
      <c r="AF67" s="7" t="str">
        <f t="shared" si="1"/>
        <v/>
      </c>
      <c r="AG67" s="7" t="str">
        <f t="shared" si="2"/>
        <v/>
      </c>
      <c r="AH67" s="7" t="str">
        <f t="shared" si="3"/>
        <v/>
      </c>
      <c r="AI67" s="7" t="str">
        <f t="shared" si="4"/>
        <v/>
      </c>
      <c r="AJ67" s="7" t="str">
        <f t="shared" si="5"/>
        <v/>
      </c>
      <c r="AK67" s="10" t="str">
        <f t="shared" si="6"/>
        <v/>
      </c>
      <c r="AL67" s="15" t="str">
        <f>IF(OR($A67&lt;&gt;"",$B67&lt;&gt;""),IF(OR($A67="",$B67=""),"Isi tanggal dan ID PIC",IF(NOT(ISNUMBER($A67)),"Tanggal harus berupa tanggal Excel",IF(COUNTIFS(Master_PIC!$A$8:$A$73,$B67)&lt;&gt;1,"ID PIC tidak unik/terdaftar",IF(VLOOKUP($B67,Master_PIC!$A$8:$G$73,3,FALSE)&lt;&gt;"ASM","Jabatan tidak sesuai sheet",IF(OR($C67="",$D67="",$E67="",$F67=""),"Lengkapi master PIC",IF(COUNTIFS($A$8:$A$507,$A67,$B$8:$B$507,$B67)&gt;1,"Laporan ganda",IF(COUNTIFS(G67:O67,"Tidak Berlaku")&gt;0,"N/A hanya untuk kegiatan bersyarat",IF(SUM(AF67,AG67,AH67,AI67,AJ67)&lt;&gt;13,"Status kegiatan tidak valid",IF(AJ67&gt;0,"Lengkapi status kegiatan",IF(AND(AI67&gt;0,T67=""),"Isi alasan Tidak Berlaku",IF(AND(SUM(AG67,AH67)&gt;0,OR(T67="",U67="",V67="",W67="")),"Isi kendala dan tindak lanjut",IF(AND(Y67&lt;&gt;"Draft",Y67&lt;&gt;"Dikirim"),"Isi status laporan yang valid",IF(AND(AA67&lt;&gt;"",AA67&lt;&gt;"Belum Diperiksa",AA67&lt;&gt;"Disetujui",AA67&lt;&gt;"Perlu Perbaikan"),"Hasil review tidak valid",IF(AND(Y67="Dikirim",OR(X67="",Z67="")),"Isi bukti dan waktu kirim",IF(AND(AA67="Disetujui",OR(Y67&lt;&gt;"Dikirim",AB67="",AC67="")),"Lengkapi pemeriksaan",IF(AND(AA67="Perlu Perbaikan",OR(AD67="",AB67="",AC67="")),"Isi pemeriksa dan catatan perbaikan","OK")))))))))))))))),"")</f>
        <v/>
      </c>
    </row>
    <row r="68" spans="1:38" ht="24.95" customHeight="1">
      <c r="A68" s="8"/>
      <c r="B68" s="6"/>
      <c r="C68" s="15" t="str">
        <f>IF(COUNTIFS(Master_PIC!$A$8:$A$73,$B68)=1,IF(VLOOKUP($B68,Master_PIC!$A$8:$G$73,2,FALSE)="","",VLOOKUP($B68,Master_PIC!$A$8:$G$73,2,FALSE)),"")</f>
        <v/>
      </c>
      <c r="D68" s="15" t="str">
        <f>IF(COUNTIFS(Master_PIC!$A$8:$A$73,$B68)=1,IF(VLOOKUP($B68,Master_PIC!$A$8:$G$73,4,FALSE)="","",VLOOKUP($B68,Master_PIC!$A$8:$G$73,4,FALSE)),"")</f>
        <v/>
      </c>
      <c r="E68" s="15" t="str">
        <f>IF(COUNTIFS(Master_PIC!$A$8:$A$73,$B68)=1,IF(VLOOKUP($B68,Master_PIC!$A$8:$G$73,5,FALSE)="","",VLOOKUP($B68,Master_PIC!$A$8:$G$73,5,FALSE)),"")</f>
        <v/>
      </c>
      <c r="F68" s="15" t="str">
        <f>IF(COUNTIFS(Master_PIC!$A$8:$A$73,$B68)=1,IF(VLOOKUP($B68,Master_PIC!$A$8:$G$73,6,FALSE)="","",VLOOKUP($B68,Master_PIC!$A$8:$G$73,6,FALSE)),"")</f>
        <v/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8"/>
      <c r="X68" s="5"/>
      <c r="Y68" s="5"/>
      <c r="Z68" s="9"/>
      <c r="AA68" s="5"/>
      <c r="AB68" s="5"/>
      <c r="AC68" s="9"/>
      <c r="AD68" s="5"/>
      <c r="AE68" s="7" t="str">
        <f t="shared" si="0"/>
        <v/>
      </c>
      <c r="AF68" s="7" t="str">
        <f t="shared" si="1"/>
        <v/>
      </c>
      <c r="AG68" s="7" t="str">
        <f t="shared" si="2"/>
        <v/>
      </c>
      <c r="AH68" s="7" t="str">
        <f t="shared" si="3"/>
        <v/>
      </c>
      <c r="AI68" s="7" t="str">
        <f t="shared" si="4"/>
        <v/>
      </c>
      <c r="AJ68" s="7" t="str">
        <f t="shared" si="5"/>
        <v/>
      </c>
      <c r="AK68" s="10" t="str">
        <f t="shared" si="6"/>
        <v/>
      </c>
      <c r="AL68" s="15" t="str">
        <f>IF(OR($A68&lt;&gt;"",$B68&lt;&gt;""),IF(OR($A68="",$B68=""),"Isi tanggal dan ID PIC",IF(NOT(ISNUMBER($A68)),"Tanggal harus berupa tanggal Excel",IF(COUNTIFS(Master_PIC!$A$8:$A$73,$B68)&lt;&gt;1,"ID PIC tidak unik/terdaftar",IF(VLOOKUP($B68,Master_PIC!$A$8:$G$73,3,FALSE)&lt;&gt;"ASM","Jabatan tidak sesuai sheet",IF(OR($C68="",$D68="",$E68="",$F68=""),"Lengkapi master PIC",IF(COUNTIFS($A$8:$A$507,$A68,$B$8:$B$507,$B68)&gt;1,"Laporan ganda",IF(COUNTIFS(G68:O68,"Tidak Berlaku")&gt;0,"N/A hanya untuk kegiatan bersyarat",IF(SUM(AF68,AG68,AH68,AI68,AJ68)&lt;&gt;13,"Status kegiatan tidak valid",IF(AJ68&gt;0,"Lengkapi status kegiatan",IF(AND(AI68&gt;0,T68=""),"Isi alasan Tidak Berlaku",IF(AND(SUM(AG68,AH68)&gt;0,OR(T68="",U68="",V68="",W68="")),"Isi kendala dan tindak lanjut",IF(AND(Y68&lt;&gt;"Draft",Y68&lt;&gt;"Dikirim"),"Isi status laporan yang valid",IF(AND(AA68&lt;&gt;"",AA68&lt;&gt;"Belum Diperiksa",AA68&lt;&gt;"Disetujui",AA68&lt;&gt;"Perlu Perbaikan"),"Hasil review tidak valid",IF(AND(Y68="Dikirim",OR(X68="",Z68="")),"Isi bukti dan waktu kirim",IF(AND(AA68="Disetujui",OR(Y68&lt;&gt;"Dikirim",AB68="",AC68="")),"Lengkapi pemeriksaan",IF(AND(AA68="Perlu Perbaikan",OR(AD68="",AB68="",AC68="")),"Isi pemeriksa dan catatan perbaikan","OK")))))))))))))))),"")</f>
        <v/>
      </c>
    </row>
    <row r="69" spans="1:38" ht="24.95" customHeight="1">
      <c r="A69" s="8"/>
      <c r="B69" s="6"/>
      <c r="C69" s="15" t="str">
        <f>IF(COUNTIFS(Master_PIC!$A$8:$A$73,$B69)=1,IF(VLOOKUP($B69,Master_PIC!$A$8:$G$73,2,FALSE)="","",VLOOKUP($B69,Master_PIC!$A$8:$G$73,2,FALSE)),"")</f>
        <v/>
      </c>
      <c r="D69" s="15" t="str">
        <f>IF(COUNTIFS(Master_PIC!$A$8:$A$73,$B69)=1,IF(VLOOKUP($B69,Master_PIC!$A$8:$G$73,4,FALSE)="","",VLOOKUP($B69,Master_PIC!$A$8:$G$73,4,FALSE)),"")</f>
        <v/>
      </c>
      <c r="E69" s="15" t="str">
        <f>IF(COUNTIFS(Master_PIC!$A$8:$A$73,$B69)=1,IF(VLOOKUP($B69,Master_PIC!$A$8:$G$73,5,FALSE)="","",VLOOKUP($B69,Master_PIC!$A$8:$G$73,5,FALSE)),"")</f>
        <v/>
      </c>
      <c r="F69" s="15" t="str">
        <f>IF(COUNTIFS(Master_PIC!$A$8:$A$73,$B69)=1,IF(VLOOKUP($B69,Master_PIC!$A$8:$G$73,6,FALSE)="","",VLOOKUP($B69,Master_PIC!$A$8:$G$73,6,FALSE)),"")</f>
        <v/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8"/>
      <c r="X69" s="5"/>
      <c r="Y69" s="5"/>
      <c r="Z69" s="9"/>
      <c r="AA69" s="5"/>
      <c r="AB69" s="5"/>
      <c r="AC69" s="9"/>
      <c r="AD69" s="5"/>
      <c r="AE69" s="7" t="str">
        <f t="shared" si="0"/>
        <v/>
      </c>
      <c r="AF69" s="7" t="str">
        <f t="shared" si="1"/>
        <v/>
      </c>
      <c r="AG69" s="7" t="str">
        <f t="shared" si="2"/>
        <v/>
      </c>
      <c r="AH69" s="7" t="str">
        <f t="shared" si="3"/>
        <v/>
      </c>
      <c r="AI69" s="7" t="str">
        <f t="shared" si="4"/>
        <v/>
      </c>
      <c r="AJ69" s="7" t="str">
        <f t="shared" si="5"/>
        <v/>
      </c>
      <c r="AK69" s="10" t="str">
        <f t="shared" si="6"/>
        <v/>
      </c>
      <c r="AL69" s="15" t="str">
        <f>IF(OR($A69&lt;&gt;"",$B69&lt;&gt;""),IF(OR($A69="",$B69=""),"Isi tanggal dan ID PIC",IF(NOT(ISNUMBER($A69)),"Tanggal harus berupa tanggal Excel",IF(COUNTIFS(Master_PIC!$A$8:$A$73,$B69)&lt;&gt;1,"ID PIC tidak unik/terdaftar",IF(VLOOKUP($B69,Master_PIC!$A$8:$G$73,3,FALSE)&lt;&gt;"ASM","Jabatan tidak sesuai sheet",IF(OR($C69="",$D69="",$E69="",$F69=""),"Lengkapi master PIC",IF(COUNTIFS($A$8:$A$507,$A69,$B$8:$B$507,$B69)&gt;1,"Laporan ganda",IF(COUNTIFS(G69:O69,"Tidak Berlaku")&gt;0,"N/A hanya untuk kegiatan bersyarat",IF(SUM(AF69,AG69,AH69,AI69,AJ69)&lt;&gt;13,"Status kegiatan tidak valid",IF(AJ69&gt;0,"Lengkapi status kegiatan",IF(AND(AI69&gt;0,T69=""),"Isi alasan Tidak Berlaku",IF(AND(SUM(AG69,AH69)&gt;0,OR(T69="",U69="",V69="",W69="")),"Isi kendala dan tindak lanjut",IF(AND(Y69&lt;&gt;"Draft",Y69&lt;&gt;"Dikirim"),"Isi status laporan yang valid",IF(AND(AA69&lt;&gt;"",AA69&lt;&gt;"Belum Diperiksa",AA69&lt;&gt;"Disetujui",AA69&lt;&gt;"Perlu Perbaikan"),"Hasil review tidak valid",IF(AND(Y69="Dikirim",OR(X69="",Z69="")),"Isi bukti dan waktu kirim",IF(AND(AA69="Disetujui",OR(Y69&lt;&gt;"Dikirim",AB69="",AC69="")),"Lengkapi pemeriksaan",IF(AND(AA69="Perlu Perbaikan",OR(AD69="",AB69="",AC69="")),"Isi pemeriksa dan catatan perbaikan","OK")))))))))))))))),"")</f>
        <v/>
      </c>
    </row>
    <row r="70" spans="1:38" ht="24.95" customHeight="1">
      <c r="A70" s="8"/>
      <c r="B70" s="6"/>
      <c r="C70" s="15" t="str">
        <f>IF(COUNTIFS(Master_PIC!$A$8:$A$73,$B70)=1,IF(VLOOKUP($B70,Master_PIC!$A$8:$G$73,2,FALSE)="","",VLOOKUP($B70,Master_PIC!$A$8:$G$73,2,FALSE)),"")</f>
        <v/>
      </c>
      <c r="D70" s="15" t="str">
        <f>IF(COUNTIFS(Master_PIC!$A$8:$A$73,$B70)=1,IF(VLOOKUP($B70,Master_PIC!$A$8:$G$73,4,FALSE)="","",VLOOKUP($B70,Master_PIC!$A$8:$G$73,4,FALSE)),"")</f>
        <v/>
      </c>
      <c r="E70" s="15" t="str">
        <f>IF(COUNTIFS(Master_PIC!$A$8:$A$73,$B70)=1,IF(VLOOKUP($B70,Master_PIC!$A$8:$G$73,5,FALSE)="","",VLOOKUP($B70,Master_PIC!$A$8:$G$73,5,FALSE)),"")</f>
        <v/>
      </c>
      <c r="F70" s="15" t="str">
        <f>IF(COUNTIFS(Master_PIC!$A$8:$A$73,$B70)=1,IF(VLOOKUP($B70,Master_PIC!$A$8:$G$73,6,FALSE)="","",VLOOKUP($B70,Master_PIC!$A$8:$G$73,6,FALSE)),"")</f>
        <v/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8"/>
      <c r="X70" s="5"/>
      <c r="Y70" s="5"/>
      <c r="Z70" s="9"/>
      <c r="AA70" s="5"/>
      <c r="AB70" s="5"/>
      <c r="AC70" s="9"/>
      <c r="AD70" s="5"/>
      <c r="AE70" s="7" t="str">
        <f t="shared" si="0"/>
        <v/>
      </c>
      <c r="AF70" s="7" t="str">
        <f t="shared" si="1"/>
        <v/>
      </c>
      <c r="AG70" s="7" t="str">
        <f t="shared" si="2"/>
        <v/>
      </c>
      <c r="AH70" s="7" t="str">
        <f t="shared" si="3"/>
        <v/>
      </c>
      <c r="AI70" s="7" t="str">
        <f t="shared" si="4"/>
        <v/>
      </c>
      <c r="AJ70" s="7" t="str">
        <f t="shared" si="5"/>
        <v/>
      </c>
      <c r="AK70" s="10" t="str">
        <f t="shared" si="6"/>
        <v/>
      </c>
      <c r="AL70" s="15" t="str">
        <f>IF(OR($A70&lt;&gt;"",$B70&lt;&gt;""),IF(OR($A70="",$B70=""),"Isi tanggal dan ID PIC",IF(NOT(ISNUMBER($A70)),"Tanggal harus berupa tanggal Excel",IF(COUNTIFS(Master_PIC!$A$8:$A$73,$B70)&lt;&gt;1,"ID PIC tidak unik/terdaftar",IF(VLOOKUP($B70,Master_PIC!$A$8:$G$73,3,FALSE)&lt;&gt;"ASM","Jabatan tidak sesuai sheet",IF(OR($C70="",$D70="",$E70="",$F70=""),"Lengkapi master PIC",IF(COUNTIFS($A$8:$A$507,$A70,$B$8:$B$507,$B70)&gt;1,"Laporan ganda",IF(COUNTIFS(G70:O70,"Tidak Berlaku")&gt;0,"N/A hanya untuk kegiatan bersyarat",IF(SUM(AF70,AG70,AH70,AI70,AJ70)&lt;&gt;13,"Status kegiatan tidak valid",IF(AJ70&gt;0,"Lengkapi status kegiatan",IF(AND(AI70&gt;0,T70=""),"Isi alasan Tidak Berlaku",IF(AND(SUM(AG70,AH70)&gt;0,OR(T70="",U70="",V70="",W70="")),"Isi kendala dan tindak lanjut",IF(AND(Y70&lt;&gt;"Draft",Y70&lt;&gt;"Dikirim"),"Isi status laporan yang valid",IF(AND(AA70&lt;&gt;"",AA70&lt;&gt;"Belum Diperiksa",AA70&lt;&gt;"Disetujui",AA70&lt;&gt;"Perlu Perbaikan"),"Hasil review tidak valid",IF(AND(Y70="Dikirim",OR(X70="",Z70="")),"Isi bukti dan waktu kirim",IF(AND(AA70="Disetujui",OR(Y70&lt;&gt;"Dikirim",AB70="",AC70="")),"Lengkapi pemeriksaan",IF(AND(AA70="Perlu Perbaikan",OR(AD70="",AB70="",AC70="")),"Isi pemeriksa dan catatan perbaikan","OK")))))))))))))))),"")</f>
        <v/>
      </c>
    </row>
    <row r="71" spans="1:38" ht="24.95" customHeight="1">
      <c r="A71" s="8"/>
      <c r="B71" s="6"/>
      <c r="C71" s="15" t="str">
        <f>IF(COUNTIFS(Master_PIC!$A$8:$A$73,$B71)=1,IF(VLOOKUP($B71,Master_PIC!$A$8:$G$73,2,FALSE)="","",VLOOKUP($B71,Master_PIC!$A$8:$G$73,2,FALSE)),"")</f>
        <v/>
      </c>
      <c r="D71" s="15" t="str">
        <f>IF(COUNTIFS(Master_PIC!$A$8:$A$73,$B71)=1,IF(VLOOKUP($B71,Master_PIC!$A$8:$G$73,4,FALSE)="","",VLOOKUP($B71,Master_PIC!$A$8:$G$73,4,FALSE)),"")</f>
        <v/>
      </c>
      <c r="E71" s="15" t="str">
        <f>IF(COUNTIFS(Master_PIC!$A$8:$A$73,$B71)=1,IF(VLOOKUP($B71,Master_PIC!$A$8:$G$73,5,FALSE)="","",VLOOKUP($B71,Master_PIC!$A$8:$G$73,5,FALSE)),"")</f>
        <v/>
      </c>
      <c r="F71" s="15" t="str">
        <f>IF(COUNTIFS(Master_PIC!$A$8:$A$73,$B71)=1,IF(VLOOKUP($B71,Master_PIC!$A$8:$G$73,6,FALSE)="","",VLOOKUP($B71,Master_PIC!$A$8:$G$73,6,FALSE)),"")</f>
        <v/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8"/>
      <c r="X71" s="5"/>
      <c r="Y71" s="5"/>
      <c r="Z71" s="9"/>
      <c r="AA71" s="5"/>
      <c r="AB71" s="5"/>
      <c r="AC71" s="9"/>
      <c r="AD71" s="5"/>
      <c r="AE71" s="7" t="str">
        <f t="shared" si="0"/>
        <v/>
      </c>
      <c r="AF71" s="7" t="str">
        <f t="shared" si="1"/>
        <v/>
      </c>
      <c r="AG71" s="7" t="str">
        <f t="shared" si="2"/>
        <v/>
      </c>
      <c r="AH71" s="7" t="str">
        <f t="shared" si="3"/>
        <v/>
      </c>
      <c r="AI71" s="7" t="str">
        <f t="shared" si="4"/>
        <v/>
      </c>
      <c r="AJ71" s="7" t="str">
        <f t="shared" si="5"/>
        <v/>
      </c>
      <c r="AK71" s="10" t="str">
        <f t="shared" si="6"/>
        <v/>
      </c>
      <c r="AL71" s="15" t="str">
        <f>IF(OR($A71&lt;&gt;"",$B71&lt;&gt;""),IF(OR($A71="",$B71=""),"Isi tanggal dan ID PIC",IF(NOT(ISNUMBER($A71)),"Tanggal harus berupa tanggal Excel",IF(COUNTIFS(Master_PIC!$A$8:$A$73,$B71)&lt;&gt;1,"ID PIC tidak unik/terdaftar",IF(VLOOKUP($B71,Master_PIC!$A$8:$G$73,3,FALSE)&lt;&gt;"ASM","Jabatan tidak sesuai sheet",IF(OR($C71="",$D71="",$E71="",$F71=""),"Lengkapi master PIC",IF(COUNTIFS($A$8:$A$507,$A71,$B$8:$B$507,$B71)&gt;1,"Laporan ganda",IF(COUNTIFS(G71:O71,"Tidak Berlaku")&gt;0,"N/A hanya untuk kegiatan bersyarat",IF(SUM(AF71,AG71,AH71,AI71,AJ71)&lt;&gt;13,"Status kegiatan tidak valid",IF(AJ71&gt;0,"Lengkapi status kegiatan",IF(AND(AI71&gt;0,T71=""),"Isi alasan Tidak Berlaku",IF(AND(SUM(AG71,AH71)&gt;0,OR(T71="",U71="",V71="",W71="")),"Isi kendala dan tindak lanjut",IF(AND(Y71&lt;&gt;"Draft",Y71&lt;&gt;"Dikirim"),"Isi status laporan yang valid",IF(AND(AA71&lt;&gt;"",AA71&lt;&gt;"Belum Diperiksa",AA71&lt;&gt;"Disetujui",AA71&lt;&gt;"Perlu Perbaikan"),"Hasil review tidak valid",IF(AND(Y71="Dikirim",OR(X71="",Z71="")),"Isi bukti dan waktu kirim",IF(AND(AA71="Disetujui",OR(Y71&lt;&gt;"Dikirim",AB71="",AC71="")),"Lengkapi pemeriksaan",IF(AND(AA71="Perlu Perbaikan",OR(AD71="",AB71="",AC71="")),"Isi pemeriksa dan catatan perbaikan","OK")))))))))))))))),"")</f>
        <v/>
      </c>
    </row>
    <row r="72" spans="1:38" ht="24.95" customHeight="1">
      <c r="A72" s="8"/>
      <c r="B72" s="6"/>
      <c r="C72" s="15" t="str">
        <f>IF(COUNTIFS(Master_PIC!$A$8:$A$73,$B72)=1,IF(VLOOKUP($B72,Master_PIC!$A$8:$G$73,2,FALSE)="","",VLOOKUP($B72,Master_PIC!$A$8:$G$73,2,FALSE)),"")</f>
        <v/>
      </c>
      <c r="D72" s="15" t="str">
        <f>IF(COUNTIFS(Master_PIC!$A$8:$A$73,$B72)=1,IF(VLOOKUP($B72,Master_PIC!$A$8:$G$73,4,FALSE)="","",VLOOKUP($B72,Master_PIC!$A$8:$G$73,4,FALSE)),"")</f>
        <v/>
      </c>
      <c r="E72" s="15" t="str">
        <f>IF(COUNTIFS(Master_PIC!$A$8:$A$73,$B72)=1,IF(VLOOKUP($B72,Master_PIC!$A$8:$G$73,5,FALSE)="","",VLOOKUP($B72,Master_PIC!$A$8:$G$73,5,FALSE)),"")</f>
        <v/>
      </c>
      <c r="F72" s="15" t="str">
        <f>IF(COUNTIFS(Master_PIC!$A$8:$A$73,$B72)=1,IF(VLOOKUP($B72,Master_PIC!$A$8:$G$73,6,FALSE)="","",VLOOKUP($B72,Master_PIC!$A$8:$G$73,6,FALSE)),"")</f>
        <v/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8"/>
      <c r="X72" s="5"/>
      <c r="Y72" s="5"/>
      <c r="Z72" s="9"/>
      <c r="AA72" s="5"/>
      <c r="AB72" s="5"/>
      <c r="AC72" s="9"/>
      <c r="AD72" s="5"/>
      <c r="AE72" s="7" t="str">
        <f t="shared" ref="AE72:AE135" si="7">IF(OR($A72&lt;&gt;"",$B72&lt;&gt;""),13-AI72,"")</f>
        <v/>
      </c>
      <c r="AF72" s="7" t="str">
        <f t="shared" ref="AF72:AF135" si="8">IF(OR($A72&lt;&gt;"",$B72&lt;&gt;""),COUNTIFS(G72:S72,"Selesai"),"")</f>
        <v/>
      </c>
      <c r="AG72" s="7" t="str">
        <f t="shared" ref="AG72:AG135" si="9">IF(OR($A72&lt;&gt;"",$B72&lt;&gt;""),COUNTIFS(G72:S72,"Proses"),"")</f>
        <v/>
      </c>
      <c r="AH72" s="7" t="str">
        <f t="shared" ref="AH72:AH135" si="10">IF(OR($A72&lt;&gt;"",$B72&lt;&gt;""),COUNTIFS(G72:S72,"Belum"),"")</f>
        <v/>
      </c>
      <c r="AI72" s="7" t="str">
        <f t="shared" ref="AI72:AI135" si="11">IF(OR($A72&lt;&gt;"",$B72&lt;&gt;""),COUNTIFS(G72:S72,"Tidak Berlaku"),"")</f>
        <v/>
      </c>
      <c r="AJ72" s="7" t="str">
        <f t="shared" ref="AJ72:AJ135" si="12">IF(OR($A72&lt;&gt;"",$B72&lt;&gt;""),COUNTBLANK(G72:S72),"")</f>
        <v/>
      </c>
      <c r="AK72" s="10" t="str">
        <f t="shared" ref="AK72:AK135" si="13">IF(OR($A72&lt;&gt;"",$B72&lt;&gt;""),IF(AE72=0,"n.a.",AF72/AE72),"")</f>
        <v/>
      </c>
      <c r="AL72" s="15" t="str">
        <f>IF(OR($A72&lt;&gt;"",$B72&lt;&gt;""),IF(OR($A72="",$B72=""),"Isi tanggal dan ID PIC",IF(NOT(ISNUMBER($A72)),"Tanggal harus berupa tanggal Excel",IF(COUNTIFS(Master_PIC!$A$8:$A$73,$B72)&lt;&gt;1,"ID PIC tidak unik/terdaftar",IF(VLOOKUP($B72,Master_PIC!$A$8:$G$73,3,FALSE)&lt;&gt;"ASM","Jabatan tidak sesuai sheet",IF(OR($C72="",$D72="",$E72="",$F72=""),"Lengkapi master PIC",IF(COUNTIFS($A$8:$A$507,$A72,$B$8:$B$507,$B72)&gt;1,"Laporan ganda",IF(COUNTIFS(G72:O72,"Tidak Berlaku")&gt;0,"N/A hanya untuk kegiatan bersyarat",IF(SUM(AF72,AG72,AH72,AI72,AJ72)&lt;&gt;13,"Status kegiatan tidak valid",IF(AJ72&gt;0,"Lengkapi status kegiatan",IF(AND(AI72&gt;0,T72=""),"Isi alasan Tidak Berlaku",IF(AND(SUM(AG72,AH72)&gt;0,OR(T72="",U72="",V72="",W72="")),"Isi kendala dan tindak lanjut",IF(AND(Y72&lt;&gt;"Draft",Y72&lt;&gt;"Dikirim"),"Isi status laporan yang valid",IF(AND(AA72&lt;&gt;"",AA72&lt;&gt;"Belum Diperiksa",AA72&lt;&gt;"Disetujui",AA72&lt;&gt;"Perlu Perbaikan"),"Hasil review tidak valid",IF(AND(Y72="Dikirim",OR(X72="",Z72="")),"Isi bukti dan waktu kirim",IF(AND(AA72="Disetujui",OR(Y72&lt;&gt;"Dikirim",AB72="",AC72="")),"Lengkapi pemeriksaan",IF(AND(AA72="Perlu Perbaikan",OR(AD72="",AB72="",AC72="")),"Isi pemeriksa dan catatan perbaikan","OK")))))))))))))))),"")</f>
        <v/>
      </c>
    </row>
    <row r="73" spans="1:38" ht="24.95" customHeight="1">
      <c r="A73" s="8"/>
      <c r="B73" s="6"/>
      <c r="C73" s="15" t="str">
        <f>IF(COUNTIFS(Master_PIC!$A$8:$A$73,$B73)=1,IF(VLOOKUP($B73,Master_PIC!$A$8:$G$73,2,FALSE)="","",VLOOKUP($B73,Master_PIC!$A$8:$G$73,2,FALSE)),"")</f>
        <v/>
      </c>
      <c r="D73" s="15" t="str">
        <f>IF(COUNTIFS(Master_PIC!$A$8:$A$73,$B73)=1,IF(VLOOKUP($B73,Master_PIC!$A$8:$G$73,4,FALSE)="","",VLOOKUP($B73,Master_PIC!$A$8:$G$73,4,FALSE)),"")</f>
        <v/>
      </c>
      <c r="E73" s="15" t="str">
        <f>IF(COUNTIFS(Master_PIC!$A$8:$A$73,$B73)=1,IF(VLOOKUP($B73,Master_PIC!$A$8:$G$73,5,FALSE)="","",VLOOKUP($B73,Master_PIC!$A$8:$G$73,5,FALSE)),"")</f>
        <v/>
      </c>
      <c r="F73" s="15" t="str">
        <f>IF(COUNTIFS(Master_PIC!$A$8:$A$73,$B73)=1,IF(VLOOKUP($B73,Master_PIC!$A$8:$G$73,6,FALSE)="","",VLOOKUP($B73,Master_PIC!$A$8:$G$73,6,FALSE)),"")</f>
        <v/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8"/>
      <c r="X73" s="5"/>
      <c r="Y73" s="5"/>
      <c r="Z73" s="9"/>
      <c r="AA73" s="5"/>
      <c r="AB73" s="5"/>
      <c r="AC73" s="9"/>
      <c r="AD73" s="5"/>
      <c r="AE73" s="7" t="str">
        <f t="shared" si="7"/>
        <v/>
      </c>
      <c r="AF73" s="7" t="str">
        <f t="shared" si="8"/>
        <v/>
      </c>
      <c r="AG73" s="7" t="str">
        <f t="shared" si="9"/>
        <v/>
      </c>
      <c r="AH73" s="7" t="str">
        <f t="shared" si="10"/>
        <v/>
      </c>
      <c r="AI73" s="7" t="str">
        <f t="shared" si="11"/>
        <v/>
      </c>
      <c r="AJ73" s="7" t="str">
        <f t="shared" si="12"/>
        <v/>
      </c>
      <c r="AK73" s="10" t="str">
        <f t="shared" si="13"/>
        <v/>
      </c>
      <c r="AL73" s="15" t="str">
        <f>IF(OR($A73&lt;&gt;"",$B73&lt;&gt;""),IF(OR($A73="",$B73=""),"Isi tanggal dan ID PIC",IF(NOT(ISNUMBER($A73)),"Tanggal harus berupa tanggal Excel",IF(COUNTIFS(Master_PIC!$A$8:$A$73,$B73)&lt;&gt;1,"ID PIC tidak unik/terdaftar",IF(VLOOKUP($B73,Master_PIC!$A$8:$G$73,3,FALSE)&lt;&gt;"ASM","Jabatan tidak sesuai sheet",IF(OR($C73="",$D73="",$E73="",$F73=""),"Lengkapi master PIC",IF(COUNTIFS($A$8:$A$507,$A73,$B$8:$B$507,$B73)&gt;1,"Laporan ganda",IF(COUNTIFS(G73:O73,"Tidak Berlaku")&gt;0,"N/A hanya untuk kegiatan bersyarat",IF(SUM(AF73,AG73,AH73,AI73,AJ73)&lt;&gt;13,"Status kegiatan tidak valid",IF(AJ73&gt;0,"Lengkapi status kegiatan",IF(AND(AI73&gt;0,T73=""),"Isi alasan Tidak Berlaku",IF(AND(SUM(AG73,AH73)&gt;0,OR(T73="",U73="",V73="",W73="")),"Isi kendala dan tindak lanjut",IF(AND(Y73&lt;&gt;"Draft",Y73&lt;&gt;"Dikirim"),"Isi status laporan yang valid",IF(AND(AA73&lt;&gt;"",AA73&lt;&gt;"Belum Diperiksa",AA73&lt;&gt;"Disetujui",AA73&lt;&gt;"Perlu Perbaikan"),"Hasil review tidak valid",IF(AND(Y73="Dikirim",OR(X73="",Z73="")),"Isi bukti dan waktu kirim",IF(AND(AA73="Disetujui",OR(Y73&lt;&gt;"Dikirim",AB73="",AC73="")),"Lengkapi pemeriksaan",IF(AND(AA73="Perlu Perbaikan",OR(AD73="",AB73="",AC73="")),"Isi pemeriksa dan catatan perbaikan","OK")))))))))))))))),"")</f>
        <v/>
      </c>
    </row>
    <row r="74" spans="1:38" ht="24.95" customHeight="1">
      <c r="A74" s="8"/>
      <c r="B74" s="6"/>
      <c r="C74" s="15" t="str">
        <f>IF(COUNTIFS(Master_PIC!$A$8:$A$73,$B74)=1,IF(VLOOKUP($B74,Master_PIC!$A$8:$G$73,2,FALSE)="","",VLOOKUP($B74,Master_PIC!$A$8:$G$73,2,FALSE)),"")</f>
        <v/>
      </c>
      <c r="D74" s="15" t="str">
        <f>IF(COUNTIFS(Master_PIC!$A$8:$A$73,$B74)=1,IF(VLOOKUP($B74,Master_PIC!$A$8:$G$73,4,FALSE)="","",VLOOKUP($B74,Master_PIC!$A$8:$G$73,4,FALSE)),"")</f>
        <v/>
      </c>
      <c r="E74" s="15" t="str">
        <f>IF(COUNTIFS(Master_PIC!$A$8:$A$73,$B74)=1,IF(VLOOKUP($B74,Master_PIC!$A$8:$G$73,5,FALSE)="","",VLOOKUP($B74,Master_PIC!$A$8:$G$73,5,FALSE)),"")</f>
        <v/>
      </c>
      <c r="F74" s="15" t="str">
        <f>IF(COUNTIFS(Master_PIC!$A$8:$A$73,$B74)=1,IF(VLOOKUP($B74,Master_PIC!$A$8:$G$73,6,FALSE)="","",VLOOKUP($B74,Master_PIC!$A$8:$G$73,6,FALSE)),"")</f>
        <v/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8"/>
      <c r="X74" s="5"/>
      <c r="Y74" s="5"/>
      <c r="Z74" s="9"/>
      <c r="AA74" s="5"/>
      <c r="AB74" s="5"/>
      <c r="AC74" s="9"/>
      <c r="AD74" s="5"/>
      <c r="AE74" s="7" t="str">
        <f t="shared" si="7"/>
        <v/>
      </c>
      <c r="AF74" s="7" t="str">
        <f t="shared" si="8"/>
        <v/>
      </c>
      <c r="AG74" s="7" t="str">
        <f t="shared" si="9"/>
        <v/>
      </c>
      <c r="AH74" s="7" t="str">
        <f t="shared" si="10"/>
        <v/>
      </c>
      <c r="AI74" s="7" t="str">
        <f t="shared" si="11"/>
        <v/>
      </c>
      <c r="AJ74" s="7" t="str">
        <f t="shared" si="12"/>
        <v/>
      </c>
      <c r="AK74" s="10" t="str">
        <f t="shared" si="13"/>
        <v/>
      </c>
      <c r="AL74" s="15" t="str">
        <f>IF(OR($A74&lt;&gt;"",$B74&lt;&gt;""),IF(OR($A74="",$B74=""),"Isi tanggal dan ID PIC",IF(NOT(ISNUMBER($A74)),"Tanggal harus berupa tanggal Excel",IF(COUNTIFS(Master_PIC!$A$8:$A$73,$B74)&lt;&gt;1,"ID PIC tidak unik/terdaftar",IF(VLOOKUP($B74,Master_PIC!$A$8:$G$73,3,FALSE)&lt;&gt;"ASM","Jabatan tidak sesuai sheet",IF(OR($C74="",$D74="",$E74="",$F74=""),"Lengkapi master PIC",IF(COUNTIFS($A$8:$A$507,$A74,$B$8:$B$507,$B74)&gt;1,"Laporan ganda",IF(COUNTIFS(G74:O74,"Tidak Berlaku")&gt;0,"N/A hanya untuk kegiatan bersyarat",IF(SUM(AF74,AG74,AH74,AI74,AJ74)&lt;&gt;13,"Status kegiatan tidak valid",IF(AJ74&gt;0,"Lengkapi status kegiatan",IF(AND(AI74&gt;0,T74=""),"Isi alasan Tidak Berlaku",IF(AND(SUM(AG74,AH74)&gt;0,OR(T74="",U74="",V74="",W74="")),"Isi kendala dan tindak lanjut",IF(AND(Y74&lt;&gt;"Draft",Y74&lt;&gt;"Dikirim"),"Isi status laporan yang valid",IF(AND(AA74&lt;&gt;"",AA74&lt;&gt;"Belum Diperiksa",AA74&lt;&gt;"Disetujui",AA74&lt;&gt;"Perlu Perbaikan"),"Hasil review tidak valid",IF(AND(Y74="Dikirim",OR(X74="",Z74="")),"Isi bukti dan waktu kirim",IF(AND(AA74="Disetujui",OR(Y74&lt;&gt;"Dikirim",AB74="",AC74="")),"Lengkapi pemeriksaan",IF(AND(AA74="Perlu Perbaikan",OR(AD74="",AB74="",AC74="")),"Isi pemeriksa dan catatan perbaikan","OK")))))))))))))))),"")</f>
        <v/>
      </c>
    </row>
    <row r="75" spans="1:38" ht="24.95" customHeight="1">
      <c r="A75" s="8"/>
      <c r="B75" s="6"/>
      <c r="C75" s="15" t="str">
        <f>IF(COUNTIFS(Master_PIC!$A$8:$A$73,$B75)=1,IF(VLOOKUP($B75,Master_PIC!$A$8:$G$73,2,FALSE)="","",VLOOKUP($B75,Master_PIC!$A$8:$G$73,2,FALSE)),"")</f>
        <v/>
      </c>
      <c r="D75" s="15" t="str">
        <f>IF(COUNTIFS(Master_PIC!$A$8:$A$73,$B75)=1,IF(VLOOKUP($B75,Master_PIC!$A$8:$G$73,4,FALSE)="","",VLOOKUP($B75,Master_PIC!$A$8:$G$73,4,FALSE)),"")</f>
        <v/>
      </c>
      <c r="E75" s="15" t="str">
        <f>IF(COUNTIFS(Master_PIC!$A$8:$A$73,$B75)=1,IF(VLOOKUP($B75,Master_PIC!$A$8:$G$73,5,FALSE)="","",VLOOKUP($B75,Master_PIC!$A$8:$G$73,5,FALSE)),"")</f>
        <v/>
      </c>
      <c r="F75" s="15" t="str">
        <f>IF(COUNTIFS(Master_PIC!$A$8:$A$73,$B75)=1,IF(VLOOKUP($B75,Master_PIC!$A$8:$G$73,6,FALSE)="","",VLOOKUP($B75,Master_PIC!$A$8:$G$73,6,FALSE)),"")</f>
        <v/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8"/>
      <c r="X75" s="5"/>
      <c r="Y75" s="5"/>
      <c r="Z75" s="9"/>
      <c r="AA75" s="5"/>
      <c r="AB75" s="5"/>
      <c r="AC75" s="9"/>
      <c r="AD75" s="5"/>
      <c r="AE75" s="7" t="str">
        <f t="shared" si="7"/>
        <v/>
      </c>
      <c r="AF75" s="7" t="str">
        <f t="shared" si="8"/>
        <v/>
      </c>
      <c r="AG75" s="7" t="str">
        <f t="shared" si="9"/>
        <v/>
      </c>
      <c r="AH75" s="7" t="str">
        <f t="shared" si="10"/>
        <v/>
      </c>
      <c r="AI75" s="7" t="str">
        <f t="shared" si="11"/>
        <v/>
      </c>
      <c r="AJ75" s="7" t="str">
        <f t="shared" si="12"/>
        <v/>
      </c>
      <c r="AK75" s="10" t="str">
        <f t="shared" si="13"/>
        <v/>
      </c>
      <c r="AL75" s="15" t="str">
        <f>IF(OR($A75&lt;&gt;"",$B75&lt;&gt;""),IF(OR($A75="",$B75=""),"Isi tanggal dan ID PIC",IF(NOT(ISNUMBER($A75)),"Tanggal harus berupa tanggal Excel",IF(COUNTIFS(Master_PIC!$A$8:$A$73,$B75)&lt;&gt;1,"ID PIC tidak unik/terdaftar",IF(VLOOKUP($B75,Master_PIC!$A$8:$G$73,3,FALSE)&lt;&gt;"ASM","Jabatan tidak sesuai sheet",IF(OR($C75="",$D75="",$E75="",$F75=""),"Lengkapi master PIC",IF(COUNTIFS($A$8:$A$507,$A75,$B$8:$B$507,$B75)&gt;1,"Laporan ganda",IF(COUNTIFS(G75:O75,"Tidak Berlaku")&gt;0,"N/A hanya untuk kegiatan bersyarat",IF(SUM(AF75,AG75,AH75,AI75,AJ75)&lt;&gt;13,"Status kegiatan tidak valid",IF(AJ75&gt;0,"Lengkapi status kegiatan",IF(AND(AI75&gt;0,T75=""),"Isi alasan Tidak Berlaku",IF(AND(SUM(AG75,AH75)&gt;0,OR(T75="",U75="",V75="",W75="")),"Isi kendala dan tindak lanjut",IF(AND(Y75&lt;&gt;"Draft",Y75&lt;&gt;"Dikirim"),"Isi status laporan yang valid",IF(AND(AA75&lt;&gt;"",AA75&lt;&gt;"Belum Diperiksa",AA75&lt;&gt;"Disetujui",AA75&lt;&gt;"Perlu Perbaikan"),"Hasil review tidak valid",IF(AND(Y75="Dikirim",OR(X75="",Z75="")),"Isi bukti dan waktu kirim",IF(AND(AA75="Disetujui",OR(Y75&lt;&gt;"Dikirim",AB75="",AC75="")),"Lengkapi pemeriksaan",IF(AND(AA75="Perlu Perbaikan",OR(AD75="",AB75="",AC75="")),"Isi pemeriksa dan catatan perbaikan","OK")))))))))))))))),"")</f>
        <v/>
      </c>
    </row>
    <row r="76" spans="1:38" ht="24.95" customHeight="1">
      <c r="A76" s="8"/>
      <c r="B76" s="6"/>
      <c r="C76" s="15" t="str">
        <f>IF(COUNTIFS(Master_PIC!$A$8:$A$73,$B76)=1,IF(VLOOKUP($B76,Master_PIC!$A$8:$G$73,2,FALSE)="","",VLOOKUP($B76,Master_PIC!$A$8:$G$73,2,FALSE)),"")</f>
        <v/>
      </c>
      <c r="D76" s="15" t="str">
        <f>IF(COUNTIFS(Master_PIC!$A$8:$A$73,$B76)=1,IF(VLOOKUP($B76,Master_PIC!$A$8:$G$73,4,FALSE)="","",VLOOKUP($B76,Master_PIC!$A$8:$G$73,4,FALSE)),"")</f>
        <v/>
      </c>
      <c r="E76" s="15" t="str">
        <f>IF(COUNTIFS(Master_PIC!$A$8:$A$73,$B76)=1,IF(VLOOKUP($B76,Master_PIC!$A$8:$G$73,5,FALSE)="","",VLOOKUP($B76,Master_PIC!$A$8:$G$73,5,FALSE)),"")</f>
        <v/>
      </c>
      <c r="F76" s="15" t="str">
        <f>IF(COUNTIFS(Master_PIC!$A$8:$A$73,$B76)=1,IF(VLOOKUP($B76,Master_PIC!$A$8:$G$73,6,FALSE)="","",VLOOKUP($B76,Master_PIC!$A$8:$G$73,6,FALSE)),"")</f>
        <v/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8"/>
      <c r="X76" s="5"/>
      <c r="Y76" s="5"/>
      <c r="Z76" s="9"/>
      <c r="AA76" s="5"/>
      <c r="AB76" s="5"/>
      <c r="AC76" s="9"/>
      <c r="AD76" s="5"/>
      <c r="AE76" s="7" t="str">
        <f t="shared" si="7"/>
        <v/>
      </c>
      <c r="AF76" s="7" t="str">
        <f t="shared" si="8"/>
        <v/>
      </c>
      <c r="AG76" s="7" t="str">
        <f t="shared" si="9"/>
        <v/>
      </c>
      <c r="AH76" s="7" t="str">
        <f t="shared" si="10"/>
        <v/>
      </c>
      <c r="AI76" s="7" t="str">
        <f t="shared" si="11"/>
        <v/>
      </c>
      <c r="AJ76" s="7" t="str">
        <f t="shared" si="12"/>
        <v/>
      </c>
      <c r="AK76" s="10" t="str">
        <f t="shared" si="13"/>
        <v/>
      </c>
      <c r="AL76" s="15" t="str">
        <f>IF(OR($A76&lt;&gt;"",$B76&lt;&gt;""),IF(OR($A76="",$B76=""),"Isi tanggal dan ID PIC",IF(NOT(ISNUMBER($A76)),"Tanggal harus berupa tanggal Excel",IF(COUNTIFS(Master_PIC!$A$8:$A$73,$B76)&lt;&gt;1,"ID PIC tidak unik/terdaftar",IF(VLOOKUP($B76,Master_PIC!$A$8:$G$73,3,FALSE)&lt;&gt;"ASM","Jabatan tidak sesuai sheet",IF(OR($C76="",$D76="",$E76="",$F76=""),"Lengkapi master PIC",IF(COUNTIFS($A$8:$A$507,$A76,$B$8:$B$507,$B76)&gt;1,"Laporan ganda",IF(COUNTIFS(G76:O76,"Tidak Berlaku")&gt;0,"N/A hanya untuk kegiatan bersyarat",IF(SUM(AF76,AG76,AH76,AI76,AJ76)&lt;&gt;13,"Status kegiatan tidak valid",IF(AJ76&gt;0,"Lengkapi status kegiatan",IF(AND(AI76&gt;0,T76=""),"Isi alasan Tidak Berlaku",IF(AND(SUM(AG76,AH76)&gt;0,OR(T76="",U76="",V76="",W76="")),"Isi kendala dan tindak lanjut",IF(AND(Y76&lt;&gt;"Draft",Y76&lt;&gt;"Dikirim"),"Isi status laporan yang valid",IF(AND(AA76&lt;&gt;"",AA76&lt;&gt;"Belum Diperiksa",AA76&lt;&gt;"Disetujui",AA76&lt;&gt;"Perlu Perbaikan"),"Hasil review tidak valid",IF(AND(Y76="Dikirim",OR(X76="",Z76="")),"Isi bukti dan waktu kirim",IF(AND(AA76="Disetujui",OR(Y76&lt;&gt;"Dikirim",AB76="",AC76="")),"Lengkapi pemeriksaan",IF(AND(AA76="Perlu Perbaikan",OR(AD76="",AB76="",AC76="")),"Isi pemeriksa dan catatan perbaikan","OK")))))))))))))))),"")</f>
        <v/>
      </c>
    </row>
    <row r="77" spans="1:38" ht="24.95" customHeight="1">
      <c r="A77" s="8"/>
      <c r="B77" s="6"/>
      <c r="C77" s="15" t="str">
        <f>IF(COUNTIFS(Master_PIC!$A$8:$A$73,$B77)=1,IF(VLOOKUP($B77,Master_PIC!$A$8:$G$73,2,FALSE)="","",VLOOKUP($B77,Master_PIC!$A$8:$G$73,2,FALSE)),"")</f>
        <v/>
      </c>
      <c r="D77" s="15" t="str">
        <f>IF(COUNTIFS(Master_PIC!$A$8:$A$73,$B77)=1,IF(VLOOKUP($B77,Master_PIC!$A$8:$G$73,4,FALSE)="","",VLOOKUP($B77,Master_PIC!$A$8:$G$73,4,FALSE)),"")</f>
        <v/>
      </c>
      <c r="E77" s="15" t="str">
        <f>IF(COUNTIFS(Master_PIC!$A$8:$A$73,$B77)=1,IF(VLOOKUP($B77,Master_PIC!$A$8:$G$73,5,FALSE)="","",VLOOKUP($B77,Master_PIC!$A$8:$G$73,5,FALSE)),"")</f>
        <v/>
      </c>
      <c r="F77" s="15" t="str">
        <f>IF(COUNTIFS(Master_PIC!$A$8:$A$73,$B77)=1,IF(VLOOKUP($B77,Master_PIC!$A$8:$G$73,6,FALSE)="","",VLOOKUP($B77,Master_PIC!$A$8:$G$73,6,FALSE)),"")</f>
        <v/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8"/>
      <c r="X77" s="5"/>
      <c r="Y77" s="5"/>
      <c r="Z77" s="9"/>
      <c r="AA77" s="5"/>
      <c r="AB77" s="5"/>
      <c r="AC77" s="9"/>
      <c r="AD77" s="5"/>
      <c r="AE77" s="7" t="str">
        <f t="shared" si="7"/>
        <v/>
      </c>
      <c r="AF77" s="7" t="str">
        <f t="shared" si="8"/>
        <v/>
      </c>
      <c r="AG77" s="7" t="str">
        <f t="shared" si="9"/>
        <v/>
      </c>
      <c r="AH77" s="7" t="str">
        <f t="shared" si="10"/>
        <v/>
      </c>
      <c r="AI77" s="7" t="str">
        <f t="shared" si="11"/>
        <v/>
      </c>
      <c r="AJ77" s="7" t="str">
        <f t="shared" si="12"/>
        <v/>
      </c>
      <c r="AK77" s="10" t="str">
        <f t="shared" si="13"/>
        <v/>
      </c>
      <c r="AL77" s="15" t="str">
        <f>IF(OR($A77&lt;&gt;"",$B77&lt;&gt;""),IF(OR($A77="",$B77=""),"Isi tanggal dan ID PIC",IF(NOT(ISNUMBER($A77)),"Tanggal harus berupa tanggal Excel",IF(COUNTIFS(Master_PIC!$A$8:$A$73,$B77)&lt;&gt;1,"ID PIC tidak unik/terdaftar",IF(VLOOKUP($B77,Master_PIC!$A$8:$G$73,3,FALSE)&lt;&gt;"ASM","Jabatan tidak sesuai sheet",IF(OR($C77="",$D77="",$E77="",$F77=""),"Lengkapi master PIC",IF(COUNTIFS($A$8:$A$507,$A77,$B$8:$B$507,$B77)&gt;1,"Laporan ganda",IF(COUNTIFS(G77:O77,"Tidak Berlaku")&gt;0,"N/A hanya untuk kegiatan bersyarat",IF(SUM(AF77,AG77,AH77,AI77,AJ77)&lt;&gt;13,"Status kegiatan tidak valid",IF(AJ77&gt;0,"Lengkapi status kegiatan",IF(AND(AI77&gt;0,T77=""),"Isi alasan Tidak Berlaku",IF(AND(SUM(AG77,AH77)&gt;0,OR(T77="",U77="",V77="",W77="")),"Isi kendala dan tindak lanjut",IF(AND(Y77&lt;&gt;"Draft",Y77&lt;&gt;"Dikirim"),"Isi status laporan yang valid",IF(AND(AA77&lt;&gt;"",AA77&lt;&gt;"Belum Diperiksa",AA77&lt;&gt;"Disetujui",AA77&lt;&gt;"Perlu Perbaikan"),"Hasil review tidak valid",IF(AND(Y77="Dikirim",OR(X77="",Z77="")),"Isi bukti dan waktu kirim",IF(AND(AA77="Disetujui",OR(Y77&lt;&gt;"Dikirim",AB77="",AC77="")),"Lengkapi pemeriksaan",IF(AND(AA77="Perlu Perbaikan",OR(AD77="",AB77="",AC77="")),"Isi pemeriksa dan catatan perbaikan","OK")))))))))))))))),"")</f>
        <v/>
      </c>
    </row>
    <row r="78" spans="1:38" ht="24.95" customHeight="1">
      <c r="A78" s="8"/>
      <c r="B78" s="6"/>
      <c r="C78" s="15" t="str">
        <f>IF(COUNTIFS(Master_PIC!$A$8:$A$73,$B78)=1,IF(VLOOKUP($B78,Master_PIC!$A$8:$G$73,2,FALSE)="","",VLOOKUP($B78,Master_PIC!$A$8:$G$73,2,FALSE)),"")</f>
        <v/>
      </c>
      <c r="D78" s="15" t="str">
        <f>IF(COUNTIFS(Master_PIC!$A$8:$A$73,$B78)=1,IF(VLOOKUP($B78,Master_PIC!$A$8:$G$73,4,FALSE)="","",VLOOKUP($B78,Master_PIC!$A$8:$G$73,4,FALSE)),"")</f>
        <v/>
      </c>
      <c r="E78" s="15" t="str">
        <f>IF(COUNTIFS(Master_PIC!$A$8:$A$73,$B78)=1,IF(VLOOKUP($B78,Master_PIC!$A$8:$G$73,5,FALSE)="","",VLOOKUP($B78,Master_PIC!$A$8:$G$73,5,FALSE)),"")</f>
        <v/>
      </c>
      <c r="F78" s="15" t="str">
        <f>IF(COUNTIFS(Master_PIC!$A$8:$A$73,$B78)=1,IF(VLOOKUP($B78,Master_PIC!$A$8:$G$73,6,FALSE)="","",VLOOKUP($B78,Master_PIC!$A$8:$G$73,6,FALSE)),"")</f>
        <v/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8"/>
      <c r="X78" s="5"/>
      <c r="Y78" s="5"/>
      <c r="Z78" s="9"/>
      <c r="AA78" s="5"/>
      <c r="AB78" s="5"/>
      <c r="AC78" s="9"/>
      <c r="AD78" s="5"/>
      <c r="AE78" s="7" t="str">
        <f t="shared" si="7"/>
        <v/>
      </c>
      <c r="AF78" s="7" t="str">
        <f t="shared" si="8"/>
        <v/>
      </c>
      <c r="AG78" s="7" t="str">
        <f t="shared" si="9"/>
        <v/>
      </c>
      <c r="AH78" s="7" t="str">
        <f t="shared" si="10"/>
        <v/>
      </c>
      <c r="AI78" s="7" t="str">
        <f t="shared" si="11"/>
        <v/>
      </c>
      <c r="AJ78" s="7" t="str">
        <f t="shared" si="12"/>
        <v/>
      </c>
      <c r="AK78" s="10" t="str">
        <f t="shared" si="13"/>
        <v/>
      </c>
      <c r="AL78" s="15" t="str">
        <f>IF(OR($A78&lt;&gt;"",$B78&lt;&gt;""),IF(OR($A78="",$B78=""),"Isi tanggal dan ID PIC",IF(NOT(ISNUMBER($A78)),"Tanggal harus berupa tanggal Excel",IF(COUNTIFS(Master_PIC!$A$8:$A$73,$B78)&lt;&gt;1,"ID PIC tidak unik/terdaftar",IF(VLOOKUP($B78,Master_PIC!$A$8:$G$73,3,FALSE)&lt;&gt;"ASM","Jabatan tidak sesuai sheet",IF(OR($C78="",$D78="",$E78="",$F78=""),"Lengkapi master PIC",IF(COUNTIFS($A$8:$A$507,$A78,$B$8:$B$507,$B78)&gt;1,"Laporan ganda",IF(COUNTIFS(G78:O78,"Tidak Berlaku")&gt;0,"N/A hanya untuk kegiatan bersyarat",IF(SUM(AF78,AG78,AH78,AI78,AJ78)&lt;&gt;13,"Status kegiatan tidak valid",IF(AJ78&gt;0,"Lengkapi status kegiatan",IF(AND(AI78&gt;0,T78=""),"Isi alasan Tidak Berlaku",IF(AND(SUM(AG78,AH78)&gt;0,OR(T78="",U78="",V78="",W78="")),"Isi kendala dan tindak lanjut",IF(AND(Y78&lt;&gt;"Draft",Y78&lt;&gt;"Dikirim"),"Isi status laporan yang valid",IF(AND(AA78&lt;&gt;"",AA78&lt;&gt;"Belum Diperiksa",AA78&lt;&gt;"Disetujui",AA78&lt;&gt;"Perlu Perbaikan"),"Hasil review tidak valid",IF(AND(Y78="Dikirim",OR(X78="",Z78="")),"Isi bukti dan waktu kirim",IF(AND(AA78="Disetujui",OR(Y78&lt;&gt;"Dikirim",AB78="",AC78="")),"Lengkapi pemeriksaan",IF(AND(AA78="Perlu Perbaikan",OR(AD78="",AB78="",AC78="")),"Isi pemeriksa dan catatan perbaikan","OK")))))))))))))))),"")</f>
        <v/>
      </c>
    </row>
    <row r="79" spans="1:38" ht="24.95" customHeight="1">
      <c r="A79" s="8"/>
      <c r="B79" s="6"/>
      <c r="C79" s="15" t="str">
        <f>IF(COUNTIFS(Master_PIC!$A$8:$A$73,$B79)=1,IF(VLOOKUP($B79,Master_PIC!$A$8:$G$73,2,FALSE)="","",VLOOKUP($B79,Master_PIC!$A$8:$G$73,2,FALSE)),"")</f>
        <v/>
      </c>
      <c r="D79" s="15" t="str">
        <f>IF(COUNTIFS(Master_PIC!$A$8:$A$73,$B79)=1,IF(VLOOKUP($B79,Master_PIC!$A$8:$G$73,4,FALSE)="","",VLOOKUP($B79,Master_PIC!$A$8:$G$73,4,FALSE)),"")</f>
        <v/>
      </c>
      <c r="E79" s="15" t="str">
        <f>IF(COUNTIFS(Master_PIC!$A$8:$A$73,$B79)=1,IF(VLOOKUP($B79,Master_PIC!$A$8:$G$73,5,FALSE)="","",VLOOKUP($B79,Master_PIC!$A$8:$G$73,5,FALSE)),"")</f>
        <v/>
      </c>
      <c r="F79" s="15" t="str">
        <f>IF(COUNTIFS(Master_PIC!$A$8:$A$73,$B79)=1,IF(VLOOKUP($B79,Master_PIC!$A$8:$G$73,6,FALSE)="","",VLOOKUP($B79,Master_PIC!$A$8:$G$73,6,FALSE)),"")</f>
        <v/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8"/>
      <c r="X79" s="5"/>
      <c r="Y79" s="5"/>
      <c r="Z79" s="9"/>
      <c r="AA79" s="5"/>
      <c r="AB79" s="5"/>
      <c r="AC79" s="9"/>
      <c r="AD79" s="5"/>
      <c r="AE79" s="7" t="str">
        <f t="shared" si="7"/>
        <v/>
      </c>
      <c r="AF79" s="7" t="str">
        <f t="shared" si="8"/>
        <v/>
      </c>
      <c r="AG79" s="7" t="str">
        <f t="shared" si="9"/>
        <v/>
      </c>
      <c r="AH79" s="7" t="str">
        <f t="shared" si="10"/>
        <v/>
      </c>
      <c r="AI79" s="7" t="str">
        <f t="shared" si="11"/>
        <v/>
      </c>
      <c r="AJ79" s="7" t="str">
        <f t="shared" si="12"/>
        <v/>
      </c>
      <c r="AK79" s="10" t="str">
        <f t="shared" si="13"/>
        <v/>
      </c>
      <c r="AL79" s="15" t="str">
        <f>IF(OR($A79&lt;&gt;"",$B79&lt;&gt;""),IF(OR($A79="",$B79=""),"Isi tanggal dan ID PIC",IF(NOT(ISNUMBER($A79)),"Tanggal harus berupa tanggal Excel",IF(COUNTIFS(Master_PIC!$A$8:$A$73,$B79)&lt;&gt;1,"ID PIC tidak unik/terdaftar",IF(VLOOKUP($B79,Master_PIC!$A$8:$G$73,3,FALSE)&lt;&gt;"ASM","Jabatan tidak sesuai sheet",IF(OR($C79="",$D79="",$E79="",$F79=""),"Lengkapi master PIC",IF(COUNTIFS($A$8:$A$507,$A79,$B$8:$B$507,$B79)&gt;1,"Laporan ganda",IF(COUNTIFS(G79:O79,"Tidak Berlaku")&gt;0,"N/A hanya untuk kegiatan bersyarat",IF(SUM(AF79,AG79,AH79,AI79,AJ79)&lt;&gt;13,"Status kegiatan tidak valid",IF(AJ79&gt;0,"Lengkapi status kegiatan",IF(AND(AI79&gt;0,T79=""),"Isi alasan Tidak Berlaku",IF(AND(SUM(AG79,AH79)&gt;0,OR(T79="",U79="",V79="",W79="")),"Isi kendala dan tindak lanjut",IF(AND(Y79&lt;&gt;"Draft",Y79&lt;&gt;"Dikirim"),"Isi status laporan yang valid",IF(AND(AA79&lt;&gt;"",AA79&lt;&gt;"Belum Diperiksa",AA79&lt;&gt;"Disetujui",AA79&lt;&gt;"Perlu Perbaikan"),"Hasil review tidak valid",IF(AND(Y79="Dikirim",OR(X79="",Z79="")),"Isi bukti dan waktu kirim",IF(AND(AA79="Disetujui",OR(Y79&lt;&gt;"Dikirim",AB79="",AC79="")),"Lengkapi pemeriksaan",IF(AND(AA79="Perlu Perbaikan",OR(AD79="",AB79="",AC79="")),"Isi pemeriksa dan catatan perbaikan","OK")))))))))))))))),"")</f>
        <v/>
      </c>
    </row>
    <row r="80" spans="1:38" ht="24.95" customHeight="1">
      <c r="A80" s="8"/>
      <c r="B80" s="6"/>
      <c r="C80" s="15" t="str">
        <f>IF(COUNTIFS(Master_PIC!$A$8:$A$73,$B80)=1,IF(VLOOKUP($B80,Master_PIC!$A$8:$G$73,2,FALSE)="","",VLOOKUP($B80,Master_PIC!$A$8:$G$73,2,FALSE)),"")</f>
        <v/>
      </c>
      <c r="D80" s="15" t="str">
        <f>IF(COUNTIFS(Master_PIC!$A$8:$A$73,$B80)=1,IF(VLOOKUP($B80,Master_PIC!$A$8:$G$73,4,FALSE)="","",VLOOKUP($B80,Master_PIC!$A$8:$G$73,4,FALSE)),"")</f>
        <v/>
      </c>
      <c r="E80" s="15" t="str">
        <f>IF(COUNTIFS(Master_PIC!$A$8:$A$73,$B80)=1,IF(VLOOKUP($B80,Master_PIC!$A$8:$G$73,5,FALSE)="","",VLOOKUP($B80,Master_PIC!$A$8:$G$73,5,FALSE)),"")</f>
        <v/>
      </c>
      <c r="F80" s="15" t="str">
        <f>IF(COUNTIFS(Master_PIC!$A$8:$A$73,$B80)=1,IF(VLOOKUP($B80,Master_PIC!$A$8:$G$73,6,FALSE)="","",VLOOKUP($B80,Master_PIC!$A$8:$G$73,6,FALSE)),"")</f>
        <v/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8"/>
      <c r="X80" s="5"/>
      <c r="Y80" s="5"/>
      <c r="Z80" s="9"/>
      <c r="AA80" s="5"/>
      <c r="AB80" s="5"/>
      <c r="AC80" s="9"/>
      <c r="AD80" s="5"/>
      <c r="AE80" s="7" t="str">
        <f t="shared" si="7"/>
        <v/>
      </c>
      <c r="AF80" s="7" t="str">
        <f t="shared" si="8"/>
        <v/>
      </c>
      <c r="AG80" s="7" t="str">
        <f t="shared" si="9"/>
        <v/>
      </c>
      <c r="AH80" s="7" t="str">
        <f t="shared" si="10"/>
        <v/>
      </c>
      <c r="AI80" s="7" t="str">
        <f t="shared" si="11"/>
        <v/>
      </c>
      <c r="AJ80" s="7" t="str">
        <f t="shared" si="12"/>
        <v/>
      </c>
      <c r="AK80" s="10" t="str">
        <f t="shared" si="13"/>
        <v/>
      </c>
      <c r="AL80" s="15" t="str">
        <f>IF(OR($A80&lt;&gt;"",$B80&lt;&gt;""),IF(OR($A80="",$B80=""),"Isi tanggal dan ID PIC",IF(NOT(ISNUMBER($A80)),"Tanggal harus berupa tanggal Excel",IF(COUNTIFS(Master_PIC!$A$8:$A$73,$B80)&lt;&gt;1,"ID PIC tidak unik/terdaftar",IF(VLOOKUP($B80,Master_PIC!$A$8:$G$73,3,FALSE)&lt;&gt;"ASM","Jabatan tidak sesuai sheet",IF(OR($C80="",$D80="",$E80="",$F80=""),"Lengkapi master PIC",IF(COUNTIFS($A$8:$A$507,$A80,$B$8:$B$507,$B80)&gt;1,"Laporan ganda",IF(COUNTIFS(G80:O80,"Tidak Berlaku")&gt;0,"N/A hanya untuk kegiatan bersyarat",IF(SUM(AF80,AG80,AH80,AI80,AJ80)&lt;&gt;13,"Status kegiatan tidak valid",IF(AJ80&gt;0,"Lengkapi status kegiatan",IF(AND(AI80&gt;0,T80=""),"Isi alasan Tidak Berlaku",IF(AND(SUM(AG80,AH80)&gt;0,OR(T80="",U80="",V80="",W80="")),"Isi kendala dan tindak lanjut",IF(AND(Y80&lt;&gt;"Draft",Y80&lt;&gt;"Dikirim"),"Isi status laporan yang valid",IF(AND(AA80&lt;&gt;"",AA80&lt;&gt;"Belum Diperiksa",AA80&lt;&gt;"Disetujui",AA80&lt;&gt;"Perlu Perbaikan"),"Hasil review tidak valid",IF(AND(Y80="Dikirim",OR(X80="",Z80="")),"Isi bukti dan waktu kirim",IF(AND(AA80="Disetujui",OR(Y80&lt;&gt;"Dikirim",AB80="",AC80="")),"Lengkapi pemeriksaan",IF(AND(AA80="Perlu Perbaikan",OR(AD80="",AB80="",AC80="")),"Isi pemeriksa dan catatan perbaikan","OK")))))))))))))))),"")</f>
        <v/>
      </c>
    </row>
    <row r="81" spans="1:38" ht="24.95" customHeight="1">
      <c r="A81" s="8"/>
      <c r="B81" s="6"/>
      <c r="C81" s="15" t="str">
        <f>IF(COUNTIFS(Master_PIC!$A$8:$A$73,$B81)=1,IF(VLOOKUP($B81,Master_PIC!$A$8:$G$73,2,FALSE)="","",VLOOKUP($B81,Master_PIC!$A$8:$G$73,2,FALSE)),"")</f>
        <v/>
      </c>
      <c r="D81" s="15" t="str">
        <f>IF(COUNTIFS(Master_PIC!$A$8:$A$73,$B81)=1,IF(VLOOKUP($B81,Master_PIC!$A$8:$G$73,4,FALSE)="","",VLOOKUP($B81,Master_PIC!$A$8:$G$73,4,FALSE)),"")</f>
        <v/>
      </c>
      <c r="E81" s="15" t="str">
        <f>IF(COUNTIFS(Master_PIC!$A$8:$A$73,$B81)=1,IF(VLOOKUP($B81,Master_PIC!$A$8:$G$73,5,FALSE)="","",VLOOKUP($B81,Master_PIC!$A$8:$G$73,5,FALSE)),"")</f>
        <v/>
      </c>
      <c r="F81" s="15" t="str">
        <f>IF(COUNTIFS(Master_PIC!$A$8:$A$73,$B81)=1,IF(VLOOKUP($B81,Master_PIC!$A$8:$G$73,6,FALSE)="","",VLOOKUP($B81,Master_PIC!$A$8:$G$73,6,FALSE)),"")</f>
        <v/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8"/>
      <c r="X81" s="5"/>
      <c r="Y81" s="5"/>
      <c r="Z81" s="9"/>
      <c r="AA81" s="5"/>
      <c r="AB81" s="5"/>
      <c r="AC81" s="9"/>
      <c r="AD81" s="5"/>
      <c r="AE81" s="7" t="str">
        <f t="shared" si="7"/>
        <v/>
      </c>
      <c r="AF81" s="7" t="str">
        <f t="shared" si="8"/>
        <v/>
      </c>
      <c r="AG81" s="7" t="str">
        <f t="shared" si="9"/>
        <v/>
      </c>
      <c r="AH81" s="7" t="str">
        <f t="shared" si="10"/>
        <v/>
      </c>
      <c r="AI81" s="7" t="str">
        <f t="shared" si="11"/>
        <v/>
      </c>
      <c r="AJ81" s="7" t="str">
        <f t="shared" si="12"/>
        <v/>
      </c>
      <c r="AK81" s="10" t="str">
        <f t="shared" si="13"/>
        <v/>
      </c>
      <c r="AL81" s="15" t="str">
        <f>IF(OR($A81&lt;&gt;"",$B81&lt;&gt;""),IF(OR($A81="",$B81=""),"Isi tanggal dan ID PIC",IF(NOT(ISNUMBER($A81)),"Tanggal harus berupa tanggal Excel",IF(COUNTIFS(Master_PIC!$A$8:$A$73,$B81)&lt;&gt;1,"ID PIC tidak unik/terdaftar",IF(VLOOKUP($B81,Master_PIC!$A$8:$G$73,3,FALSE)&lt;&gt;"ASM","Jabatan tidak sesuai sheet",IF(OR($C81="",$D81="",$E81="",$F81=""),"Lengkapi master PIC",IF(COUNTIFS($A$8:$A$507,$A81,$B$8:$B$507,$B81)&gt;1,"Laporan ganda",IF(COUNTIFS(G81:O81,"Tidak Berlaku")&gt;0,"N/A hanya untuk kegiatan bersyarat",IF(SUM(AF81,AG81,AH81,AI81,AJ81)&lt;&gt;13,"Status kegiatan tidak valid",IF(AJ81&gt;0,"Lengkapi status kegiatan",IF(AND(AI81&gt;0,T81=""),"Isi alasan Tidak Berlaku",IF(AND(SUM(AG81,AH81)&gt;0,OR(T81="",U81="",V81="",W81="")),"Isi kendala dan tindak lanjut",IF(AND(Y81&lt;&gt;"Draft",Y81&lt;&gt;"Dikirim"),"Isi status laporan yang valid",IF(AND(AA81&lt;&gt;"",AA81&lt;&gt;"Belum Diperiksa",AA81&lt;&gt;"Disetujui",AA81&lt;&gt;"Perlu Perbaikan"),"Hasil review tidak valid",IF(AND(Y81="Dikirim",OR(X81="",Z81="")),"Isi bukti dan waktu kirim",IF(AND(AA81="Disetujui",OR(Y81&lt;&gt;"Dikirim",AB81="",AC81="")),"Lengkapi pemeriksaan",IF(AND(AA81="Perlu Perbaikan",OR(AD81="",AB81="",AC81="")),"Isi pemeriksa dan catatan perbaikan","OK")))))))))))))))),"")</f>
        <v/>
      </c>
    </row>
    <row r="82" spans="1:38" ht="24.95" customHeight="1">
      <c r="A82" s="8"/>
      <c r="B82" s="6"/>
      <c r="C82" s="15" t="str">
        <f>IF(COUNTIFS(Master_PIC!$A$8:$A$73,$B82)=1,IF(VLOOKUP($B82,Master_PIC!$A$8:$G$73,2,FALSE)="","",VLOOKUP($B82,Master_PIC!$A$8:$G$73,2,FALSE)),"")</f>
        <v/>
      </c>
      <c r="D82" s="15" t="str">
        <f>IF(COUNTIFS(Master_PIC!$A$8:$A$73,$B82)=1,IF(VLOOKUP($B82,Master_PIC!$A$8:$G$73,4,FALSE)="","",VLOOKUP($B82,Master_PIC!$A$8:$G$73,4,FALSE)),"")</f>
        <v/>
      </c>
      <c r="E82" s="15" t="str">
        <f>IF(COUNTIFS(Master_PIC!$A$8:$A$73,$B82)=1,IF(VLOOKUP($B82,Master_PIC!$A$8:$G$73,5,FALSE)="","",VLOOKUP($B82,Master_PIC!$A$8:$G$73,5,FALSE)),"")</f>
        <v/>
      </c>
      <c r="F82" s="15" t="str">
        <f>IF(COUNTIFS(Master_PIC!$A$8:$A$73,$B82)=1,IF(VLOOKUP($B82,Master_PIC!$A$8:$G$73,6,FALSE)="","",VLOOKUP($B82,Master_PIC!$A$8:$G$73,6,FALSE)),"")</f>
        <v/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9"/>
      <c r="AA82" s="5"/>
      <c r="AB82" s="5"/>
      <c r="AC82" s="9"/>
      <c r="AD82" s="5"/>
      <c r="AE82" s="7" t="str">
        <f t="shared" si="7"/>
        <v/>
      </c>
      <c r="AF82" s="7" t="str">
        <f t="shared" si="8"/>
        <v/>
      </c>
      <c r="AG82" s="7" t="str">
        <f t="shared" si="9"/>
        <v/>
      </c>
      <c r="AH82" s="7" t="str">
        <f t="shared" si="10"/>
        <v/>
      </c>
      <c r="AI82" s="7" t="str">
        <f t="shared" si="11"/>
        <v/>
      </c>
      <c r="AJ82" s="7" t="str">
        <f t="shared" si="12"/>
        <v/>
      </c>
      <c r="AK82" s="10" t="str">
        <f t="shared" si="13"/>
        <v/>
      </c>
      <c r="AL82" s="15" t="str">
        <f>IF(OR($A82&lt;&gt;"",$B82&lt;&gt;""),IF(OR($A82="",$B82=""),"Isi tanggal dan ID PIC",IF(NOT(ISNUMBER($A82)),"Tanggal harus berupa tanggal Excel",IF(COUNTIFS(Master_PIC!$A$8:$A$73,$B82)&lt;&gt;1,"ID PIC tidak unik/terdaftar",IF(VLOOKUP($B82,Master_PIC!$A$8:$G$73,3,FALSE)&lt;&gt;"ASM","Jabatan tidak sesuai sheet",IF(OR($C82="",$D82="",$E82="",$F82=""),"Lengkapi master PIC",IF(COUNTIFS($A$8:$A$507,$A82,$B$8:$B$507,$B82)&gt;1,"Laporan ganda",IF(COUNTIFS(G82:O82,"Tidak Berlaku")&gt;0,"N/A hanya untuk kegiatan bersyarat",IF(SUM(AF82,AG82,AH82,AI82,AJ82)&lt;&gt;13,"Status kegiatan tidak valid",IF(AJ82&gt;0,"Lengkapi status kegiatan",IF(AND(AI82&gt;0,T82=""),"Isi alasan Tidak Berlaku",IF(AND(SUM(AG82,AH82)&gt;0,OR(T82="",U82="",V82="",W82="")),"Isi kendala dan tindak lanjut",IF(AND(Y82&lt;&gt;"Draft",Y82&lt;&gt;"Dikirim"),"Isi status laporan yang valid",IF(AND(AA82&lt;&gt;"",AA82&lt;&gt;"Belum Diperiksa",AA82&lt;&gt;"Disetujui",AA82&lt;&gt;"Perlu Perbaikan"),"Hasil review tidak valid",IF(AND(Y82="Dikirim",OR(X82="",Z82="")),"Isi bukti dan waktu kirim",IF(AND(AA82="Disetujui",OR(Y82&lt;&gt;"Dikirim",AB82="",AC82="")),"Lengkapi pemeriksaan",IF(AND(AA82="Perlu Perbaikan",OR(AD82="",AB82="",AC82="")),"Isi pemeriksa dan catatan perbaikan","OK")))))))))))))))),"")</f>
        <v/>
      </c>
    </row>
    <row r="83" spans="1:38" ht="24.95" customHeight="1">
      <c r="A83" s="8"/>
      <c r="B83" s="6"/>
      <c r="C83" s="15" t="str">
        <f>IF(COUNTIFS(Master_PIC!$A$8:$A$73,$B83)=1,IF(VLOOKUP($B83,Master_PIC!$A$8:$G$73,2,FALSE)="","",VLOOKUP($B83,Master_PIC!$A$8:$G$73,2,FALSE)),"")</f>
        <v/>
      </c>
      <c r="D83" s="15" t="str">
        <f>IF(COUNTIFS(Master_PIC!$A$8:$A$73,$B83)=1,IF(VLOOKUP($B83,Master_PIC!$A$8:$G$73,4,FALSE)="","",VLOOKUP($B83,Master_PIC!$A$8:$G$73,4,FALSE)),"")</f>
        <v/>
      </c>
      <c r="E83" s="15" t="str">
        <f>IF(COUNTIFS(Master_PIC!$A$8:$A$73,$B83)=1,IF(VLOOKUP($B83,Master_PIC!$A$8:$G$73,5,FALSE)="","",VLOOKUP($B83,Master_PIC!$A$8:$G$73,5,FALSE)),"")</f>
        <v/>
      </c>
      <c r="F83" s="15" t="str">
        <f>IF(COUNTIFS(Master_PIC!$A$8:$A$73,$B83)=1,IF(VLOOKUP($B83,Master_PIC!$A$8:$G$73,6,FALSE)="","",VLOOKUP($B83,Master_PIC!$A$8:$G$73,6,FALSE)),"")</f>
        <v/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8"/>
      <c r="X83" s="5"/>
      <c r="Y83" s="5"/>
      <c r="Z83" s="9"/>
      <c r="AA83" s="5"/>
      <c r="AB83" s="5"/>
      <c r="AC83" s="9"/>
      <c r="AD83" s="5"/>
      <c r="AE83" s="7" t="str">
        <f t="shared" si="7"/>
        <v/>
      </c>
      <c r="AF83" s="7" t="str">
        <f t="shared" si="8"/>
        <v/>
      </c>
      <c r="AG83" s="7" t="str">
        <f t="shared" si="9"/>
        <v/>
      </c>
      <c r="AH83" s="7" t="str">
        <f t="shared" si="10"/>
        <v/>
      </c>
      <c r="AI83" s="7" t="str">
        <f t="shared" si="11"/>
        <v/>
      </c>
      <c r="AJ83" s="7" t="str">
        <f t="shared" si="12"/>
        <v/>
      </c>
      <c r="AK83" s="10" t="str">
        <f t="shared" si="13"/>
        <v/>
      </c>
      <c r="AL83" s="15" t="str">
        <f>IF(OR($A83&lt;&gt;"",$B83&lt;&gt;""),IF(OR($A83="",$B83=""),"Isi tanggal dan ID PIC",IF(NOT(ISNUMBER($A83)),"Tanggal harus berupa tanggal Excel",IF(COUNTIFS(Master_PIC!$A$8:$A$73,$B83)&lt;&gt;1,"ID PIC tidak unik/terdaftar",IF(VLOOKUP($B83,Master_PIC!$A$8:$G$73,3,FALSE)&lt;&gt;"ASM","Jabatan tidak sesuai sheet",IF(OR($C83="",$D83="",$E83="",$F83=""),"Lengkapi master PIC",IF(COUNTIFS($A$8:$A$507,$A83,$B$8:$B$507,$B83)&gt;1,"Laporan ganda",IF(COUNTIFS(G83:O83,"Tidak Berlaku")&gt;0,"N/A hanya untuk kegiatan bersyarat",IF(SUM(AF83,AG83,AH83,AI83,AJ83)&lt;&gt;13,"Status kegiatan tidak valid",IF(AJ83&gt;0,"Lengkapi status kegiatan",IF(AND(AI83&gt;0,T83=""),"Isi alasan Tidak Berlaku",IF(AND(SUM(AG83,AH83)&gt;0,OR(T83="",U83="",V83="",W83="")),"Isi kendala dan tindak lanjut",IF(AND(Y83&lt;&gt;"Draft",Y83&lt;&gt;"Dikirim"),"Isi status laporan yang valid",IF(AND(AA83&lt;&gt;"",AA83&lt;&gt;"Belum Diperiksa",AA83&lt;&gt;"Disetujui",AA83&lt;&gt;"Perlu Perbaikan"),"Hasil review tidak valid",IF(AND(Y83="Dikirim",OR(X83="",Z83="")),"Isi bukti dan waktu kirim",IF(AND(AA83="Disetujui",OR(Y83&lt;&gt;"Dikirim",AB83="",AC83="")),"Lengkapi pemeriksaan",IF(AND(AA83="Perlu Perbaikan",OR(AD83="",AB83="",AC83="")),"Isi pemeriksa dan catatan perbaikan","OK")))))))))))))))),"")</f>
        <v/>
      </c>
    </row>
    <row r="84" spans="1:38" ht="24.95" customHeight="1">
      <c r="A84" s="8"/>
      <c r="B84" s="6"/>
      <c r="C84" s="15" t="str">
        <f>IF(COUNTIFS(Master_PIC!$A$8:$A$73,$B84)=1,IF(VLOOKUP($B84,Master_PIC!$A$8:$G$73,2,FALSE)="","",VLOOKUP($B84,Master_PIC!$A$8:$G$73,2,FALSE)),"")</f>
        <v/>
      </c>
      <c r="D84" s="15" t="str">
        <f>IF(COUNTIFS(Master_PIC!$A$8:$A$73,$B84)=1,IF(VLOOKUP($B84,Master_PIC!$A$8:$G$73,4,FALSE)="","",VLOOKUP($B84,Master_PIC!$A$8:$G$73,4,FALSE)),"")</f>
        <v/>
      </c>
      <c r="E84" s="15" t="str">
        <f>IF(COUNTIFS(Master_PIC!$A$8:$A$73,$B84)=1,IF(VLOOKUP($B84,Master_PIC!$A$8:$G$73,5,FALSE)="","",VLOOKUP($B84,Master_PIC!$A$8:$G$73,5,FALSE)),"")</f>
        <v/>
      </c>
      <c r="F84" s="15" t="str">
        <f>IF(COUNTIFS(Master_PIC!$A$8:$A$73,$B84)=1,IF(VLOOKUP($B84,Master_PIC!$A$8:$G$73,6,FALSE)="","",VLOOKUP($B84,Master_PIC!$A$8:$G$73,6,FALSE)),"")</f>
        <v/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8"/>
      <c r="X84" s="5"/>
      <c r="Y84" s="5"/>
      <c r="Z84" s="9"/>
      <c r="AA84" s="5"/>
      <c r="AB84" s="5"/>
      <c r="AC84" s="9"/>
      <c r="AD84" s="5"/>
      <c r="AE84" s="7" t="str">
        <f t="shared" si="7"/>
        <v/>
      </c>
      <c r="AF84" s="7" t="str">
        <f t="shared" si="8"/>
        <v/>
      </c>
      <c r="AG84" s="7" t="str">
        <f t="shared" si="9"/>
        <v/>
      </c>
      <c r="AH84" s="7" t="str">
        <f t="shared" si="10"/>
        <v/>
      </c>
      <c r="AI84" s="7" t="str">
        <f t="shared" si="11"/>
        <v/>
      </c>
      <c r="AJ84" s="7" t="str">
        <f t="shared" si="12"/>
        <v/>
      </c>
      <c r="AK84" s="10" t="str">
        <f t="shared" si="13"/>
        <v/>
      </c>
      <c r="AL84" s="15" t="str">
        <f>IF(OR($A84&lt;&gt;"",$B84&lt;&gt;""),IF(OR($A84="",$B84=""),"Isi tanggal dan ID PIC",IF(NOT(ISNUMBER($A84)),"Tanggal harus berupa tanggal Excel",IF(COUNTIFS(Master_PIC!$A$8:$A$73,$B84)&lt;&gt;1,"ID PIC tidak unik/terdaftar",IF(VLOOKUP($B84,Master_PIC!$A$8:$G$73,3,FALSE)&lt;&gt;"ASM","Jabatan tidak sesuai sheet",IF(OR($C84="",$D84="",$E84="",$F84=""),"Lengkapi master PIC",IF(COUNTIFS($A$8:$A$507,$A84,$B$8:$B$507,$B84)&gt;1,"Laporan ganda",IF(COUNTIFS(G84:O84,"Tidak Berlaku")&gt;0,"N/A hanya untuk kegiatan bersyarat",IF(SUM(AF84,AG84,AH84,AI84,AJ84)&lt;&gt;13,"Status kegiatan tidak valid",IF(AJ84&gt;0,"Lengkapi status kegiatan",IF(AND(AI84&gt;0,T84=""),"Isi alasan Tidak Berlaku",IF(AND(SUM(AG84,AH84)&gt;0,OR(T84="",U84="",V84="",W84="")),"Isi kendala dan tindak lanjut",IF(AND(Y84&lt;&gt;"Draft",Y84&lt;&gt;"Dikirim"),"Isi status laporan yang valid",IF(AND(AA84&lt;&gt;"",AA84&lt;&gt;"Belum Diperiksa",AA84&lt;&gt;"Disetujui",AA84&lt;&gt;"Perlu Perbaikan"),"Hasil review tidak valid",IF(AND(Y84="Dikirim",OR(X84="",Z84="")),"Isi bukti dan waktu kirim",IF(AND(AA84="Disetujui",OR(Y84&lt;&gt;"Dikirim",AB84="",AC84="")),"Lengkapi pemeriksaan",IF(AND(AA84="Perlu Perbaikan",OR(AD84="",AB84="",AC84="")),"Isi pemeriksa dan catatan perbaikan","OK")))))))))))))))),"")</f>
        <v/>
      </c>
    </row>
    <row r="85" spans="1:38" ht="24.95" customHeight="1">
      <c r="A85" s="8"/>
      <c r="B85" s="6"/>
      <c r="C85" s="15" t="str">
        <f>IF(COUNTIFS(Master_PIC!$A$8:$A$73,$B85)=1,IF(VLOOKUP($B85,Master_PIC!$A$8:$G$73,2,FALSE)="","",VLOOKUP($B85,Master_PIC!$A$8:$G$73,2,FALSE)),"")</f>
        <v/>
      </c>
      <c r="D85" s="15" t="str">
        <f>IF(COUNTIFS(Master_PIC!$A$8:$A$73,$B85)=1,IF(VLOOKUP($B85,Master_PIC!$A$8:$G$73,4,FALSE)="","",VLOOKUP($B85,Master_PIC!$A$8:$G$73,4,FALSE)),"")</f>
        <v/>
      </c>
      <c r="E85" s="15" t="str">
        <f>IF(COUNTIFS(Master_PIC!$A$8:$A$73,$B85)=1,IF(VLOOKUP($B85,Master_PIC!$A$8:$G$73,5,FALSE)="","",VLOOKUP($B85,Master_PIC!$A$8:$G$73,5,FALSE)),"")</f>
        <v/>
      </c>
      <c r="F85" s="15" t="str">
        <f>IF(COUNTIFS(Master_PIC!$A$8:$A$73,$B85)=1,IF(VLOOKUP($B85,Master_PIC!$A$8:$G$73,6,FALSE)="","",VLOOKUP($B85,Master_PIC!$A$8:$G$73,6,FALSE)),"")</f>
        <v/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8"/>
      <c r="X85" s="5"/>
      <c r="Y85" s="5"/>
      <c r="Z85" s="9"/>
      <c r="AA85" s="5"/>
      <c r="AB85" s="5"/>
      <c r="AC85" s="9"/>
      <c r="AD85" s="5"/>
      <c r="AE85" s="7" t="str">
        <f t="shared" si="7"/>
        <v/>
      </c>
      <c r="AF85" s="7" t="str">
        <f t="shared" si="8"/>
        <v/>
      </c>
      <c r="AG85" s="7" t="str">
        <f t="shared" si="9"/>
        <v/>
      </c>
      <c r="AH85" s="7" t="str">
        <f t="shared" si="10"/>
        <v/>
      </c>
      <c r="AI85" s="7" t="str">
        <f t="shared" si="11"/>
        <v/>
      </c>
      <c r="AJ85" s="7" t="str">
        <f t="shared" si="12"/>
        <v/>
      </c>
      <c r="AK85" s="10" t="str">
        <f t="shared" si="13"/>
        <v/>
      </c>
      <c r="AL85" s="15" t="str">
        <f>IF(OR($A85&lt;&gt;"",$B85&lt;&gt;""),IF(OR($A85="",$B85=""),"Isi tanggal dan ID PIC",IF(NOT(ISNUMBER($A85)),"Tanggal harus berupa tanggal Excel",IF(COUNTIFS(Master_PIC!$A$8:$A$73,$B85)&lt;&gt;1,"ID PIC tidak unik/terdaftar",IF(VLOOKUP($B85,Master_PIC!$A$8:$G$73,3,FALSE)&lt;&gt;"ASM","Jabatan tidak sesuai sheet",IF(OR($C85="",$D85="",$E85="",$F85=""),"Lengkapi master PIC",IF(COUNTIFS($A$8:$A$507,$A85,$B$8:$B$507,$B85)&gt;1,"Laporan ganda",IF(COUNTIFS(G85:O85,"Tidak Berlaku")&gt;0,"N/A hanya untuk kegiatan bersyarat",IF(SUM(AF85,AG85,AH85,AI85,AJ85)&lt;&gt;13,"Status kegiatan tidak valid",IF(AJ85&gt;0,"Lengkapi status kegiatan",IF(AND(AI85&gt;0,T85=""),"Isi alasan Tidak Berlaku",IF(AND(SUM(AG85,AH85)&gt;0,OR(T85="",U85="",V85="",W85="")),"Isi kendala dan tindak lanjut",IF(AND(Y85&lt;&gt;"Draft",Y85&lt;&gt;"Dikirim"),"Isi status laporan yang valid",IF(AND(AA85&lt;&gt;"",AA85&lt;&gt;"Belum Diperiksa",AA85&lt;&gt;"Disetujui",AA85&lt;&gt;"Perlu Perbaikan"),"Hasil review tidak valid",IF(AND(Y85="Dikirim",OR(X85="",Z85="")),"Isi bukti dan waktu kirim",IF(AND(AA85="Disetujui",OR(Y85&lt;&gt;"Dikirim",AB85="",AC85="")),"Lengkapi pemeriksaan",IF(AND(AA85="Perlu Perbaikan",OR(AD85="",AB85="",AC85="")),"Isi pemeriksa dan catatan perbaikan","OK")))))))))))))))),"")</f>
        <v/>
      </c>
    </row>
    <row r="86" spans="1:38" ht="24.95" customHeight="1">
      <c r="A86" s="8"/>
      <c r="B86" s="6"/>
      <c r="C86" s="15" t="str">
        <f>IF(COUNTIFS(Master_PIC!$A$8:$A$73,$B86)=1,IF(VLOOKUP($B86,Master_PIC!$A$8:$G$73,2,FALSE)="","",VLOOKUP($B86,Master_PIC!$A$8:$G$73,2,FALSE)),"")</f>
        <v/>
      </c>
      <c r="D86" s="15" t="str">
        <f>IF(COUNTIFS(Master_PIC!$A$8:$A$73,$B86)=1,IF(VLOOKUP($B86,Master_PIC!$A$8:$G$73,4,FALSE)="","",VLOOKUP($B86,Master_PIC!$A$8:$G$73,4,FALSE)),"")</f>
        <v/>
      </c>
      <c r="E86" s="15" t="str">
        <f>IF(COUNTIFS(Master_PIC!$A$8:$A$73,$B86)=1,IF(VLOOKUP($B86,Master_PIC!$A$8:$G$73,5,FALSE)="","",VLOOKUP($B86,Master_PIC!$A$8:$G$73,5,FALSE)),"")</f>
        <v/>
      </c>
      <c r="F86" s="15" t="str">
        <f>IF(COUNTIFS(Master_PIC!$A$8:$A$73,$B86)=1,IF(VLOOKUP($B86,Master_PIC!$A$8:$G$73,6,FALSE)="","",VLOOKUP($B86,Master_PIC!$A$8:$G$73,6,FALSE)),"")</f>
        <v/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8"/>
      <c r="X86" s="5"/>
      <c r="Y86" s="5"/>
      <c r="Z86" s="9"/>
      <c r="AA86" s="5"/>
      <c r="AB86" s="5"/>
      <c r="AC86" s="9"/>
      <c r="AD86" s="5"/>
      <c r="AE86" s="7" t="str">
        <f t="shared" si="7"/>
        <v/>
      </c>
      <c r="AF86" s="7" t="str">
        <f t="shared" si="8"/>
        <v/>
      </c>
      <c r="AG86" s="7" t="str">
        <f t="shared" si="9"/>
        <v/>
      </c>
      <c r="AH86" s="7" t="str">
        <f t="shared" si="10"/>
        <v/>
      </c>
      <c r="AI86" s="7" t="str">
        <f t="shared" si="11"/>
        <v/>
      </c>
      <c r="AJ86" s="7" t="str">
        <f t="shared" si="12"/>
        <v/>
      </c>
      <c r="AK86" s="10" t="str">
        <f t="shared" si="13"/>
        <v/>
      </c>
      <c r="AL86" s="15" t="str">
        <f>IF(OR($A86&lt;&gt;"",$B86&lt;&gt;""),IF(OR($A86="",$B86=""),"Isi tanggal dan ID PIC",IF(NOT(ISNUMBER($A86)),"Tanggal harus berupa tanggal Excel",IF(COUNTIFS(Master_PIC!$A$8:$A$73,$B86)&lt;&gt;1,"ID PIC tidak unik/terdaftar",IF(VLOOKUP($B86,Master_PIC!$A$8:$G$73,3,FALSE)&lt;&gt;"ASM","Jabatan tidak sesuai sheet",IF(OR($C86="",$D86="",$E86="",$F86=""),"Lengkapi master PIC",IF(COUNTIFS($A$8:$A$507,$A86,$B$8:$B$507,$B86)&gt;1,"Laporan ganda",IF(COUNTIFS(G86:O86,"Tidak Berlaku")&gt;0,"N/A hanya untuk kegiatan bersyarat",IF(SUM(AF86,AG86,AH86,AI86,AJ86)&lt;&gt;13,"Status kegiatan tidak valid",IF(AJ86&gt;0,"Lengkapi status kegiatan",IF(AND(AI86&gt;0,T86=""),"Isi alasan Tidak Berlaku",IF(AND(SUM(AG86,AH86)&gt;0,OR(T86="",U86="",V86="",W86="")),"Isi kendala dan tindak lanjut",IF(AND(Y86&lt;&gt;"Draft",Y86&lt;&gt;"Dikirim"),"Isi status laporan yang valid",IF(AND(AA86&lt;&gt;"",AA86&lt;&gt;"Belum Diperiksa",AA86&lt;&gt;"Disetujui",AA86&lt;&gt;"Perlu Perbaikan"),"Hasil review tidak valid",IF(AND(Y86="Dikirim",OR(X86="",Z86="")),"Isi bukti dan waktu kirim",IF(AND(AA86="Disetujui",OR(Y86&lt;&gt;"Dikirim",AB86="",AC86="")),"Lengkapi pemeriksaan",IF(AND(AA86="Perlu Perbaikan",OR(AD86="",AB86="",AC86="")),"Isi pemeriksa dan catatan perbaikan","OK")))))))))))))))),"")</f>
        <v/>
      </c>
    </row>
    <row r="87" spans="1:38" ht="24.95" customHeight="1">
      <c r="A87" s="8"/>
      <c r="B87" s="6"/>
      <c r="C87" s="15" t="str">
        <f>IF(COUNTIFS(Master_PIC!$A$8:$A$73,$B87)=1,IF(VLOOKUP($B87,Master_PIC!$A$8:$G$73,2,FALSE)="","",VLOOKUP($B87,Master_PIC!$A$8:$G$73,2,FALSE)),"")</f>
        <v/>
      </c>
      <c r="D87" s="15" t="str">
        <f>IF(COUNTIFS(Master_PIC!$A$8:$A$73,$B87)=1,IF(VLOOKUP($B87,Master_PIC!$A$8:$G$73,4,FALSE)="","",VLOOKUP($B87,Master_PIC!$A$8:$G$73,4,FALSE)),"")</f>
        <v/>
      </c>
      <c r="E87" s="15" t="str">
        <f>IF(COUNTIFS(Master_PIC!$A$8:$A$73,$B87)=1,IF(VLOOKUP($B87,Master_PIC!$A$8:$G$73,5,FALSE)="","",VLOOKUP($B87,Master_PIC!$A$8:$G$73,5,FALSE)),"")</f>
        <v/>
      </c>
      <c r="F87" s="15" t="str">
        <f>IF(COUNTIFS(Master_PIC!$A$8:$A$73,$B87)=1,IF(VLOOKUP($B87,Master_PIC!$A$8:$G$73,6,FALSE)="","",VLOOKUP($B87,Master_PIC!$A$8:$G$73,6,FALSE)),"")</f>
        <v/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8"/>
      <c r="X87" s="5"/>
      <c r="Y87" s="5"/>
      <c r="Z87" s="9"/>
      <c r="AA87" s="5"/>
      <c r="AB87" s="5"/>
      <c r="AC87" s="9"/>
      <c r="AD87" s="5"/>
      <c r="AE87" s="7" t="str">
        <f t="shared" si="7"/>
        <v/>
      </c>
      <c r="AF87" s="7" t="str">
        <f t="shared" si="8"/>
        <v/>
      </c>
      <c r="AG87" s="7" t="str">
        <f t="shared" si="9"/>
        <v/>
      </c>
      <c r="AH87" s="7" t="str">
        <f t="shared" si="10"/>
        <v/>
      </c>
      <c r="AI87" s="7" t="str">
        <f t="shared" si="11"/>
        <v/>
      </c>
      <c r="AJ87" s="7" t="str">
        <f t="shared" si="12"/>
        <v/>
      </c>
      <c r="AK87" s="10" t="str">
        <f t="shared" si="13"/>
        <v/>
      </c>
      <c r="AL87" s="15" t="str">
        <f>IF(OR($A87&lt;&gt;"",$B87&lt;&gt;""),IF(OR($A87="",$B87=""),"Isi tanggal dan ID PIC",IF(NOT(ISNUMBER($A87)),"Tanggal harus berupa tanggal Excel",IF(COUNTIFS(Master_PIC!$A$8:$A$73,$B87)&lt;&gt;1,"ID PIC tidak unik/terdaftar",IF(VLOOKUP($B87,Master_PIC!$A$8:$G$73,3,FALSE)&lt;&gt;"ASM","Jabatan tidak sesuai sheet",IF(OR($C87="",$D87="",$E87="",$F87=""),"Lengkapi master PIC",IF(COUNTIFS($A$8:$A$507,$A87,$B$8:$B$507,$B87)&gt;1,"Laporan ganda",IF(COUNTIFS(G87:O87,"Tidak Berlaku")&gt;0,"N/A hanya untuk kegiatan bersyarat",IF(SUM(AF87,AG87,AH87,AI87,AJ87)&lt;&gt;13,"Status kegiatan tidak valid",IF(AJ87&gt;0,"Lengkapi status kegiatan",IF(AND(AI87&gt;0,T87=""),"Isi alasan Tidak Berlaku",IF(AND(SUM(AG87,AH87)&gt;0,OR(T87="",U87="",V87="",W87="")),"Isi kendala dan tindak lanjut",IF(AND(Y87&lt;&gt;"Draft",Y87&lt;&gt;"Dikirim"),"Isi status laporan yang valid",IF(AND(AA87&lt;&gt;"",AA87&lt;&gt;"Belum Diperiksa",AA87&lt;&gt;"Disetujui",AA87&lt;&gt;"Perlu Perbaikan"),"Hasil review tidak valid",IF(AND(Y87="Dikirim",OR(X87="",Z87="")),"Isi bukti dan waktu kirim",IF(AND(AA87="Disetujui",OR(Y87&lt;&gt;"Dikirim",AB87="",AC87="")),"Lengkapi pemeriksaan",IF(AND(AA87="Perlu Perbaikan",OR(AD87="",AB87="",AC87="")),"Isi pemeriksa dan catatan perbaikan","OK")))))))))))))))),"")</f>
        <v/>
      </c>
    </row>
    <row r="88" spans="1:38" ht="24.95" customHeight="1">
      <c r="A88" s="8"/>
      <c r="B88" s="6"/>
      <c r="C88" s="15" t="str">
        <f>IF(COUNTIFS(Master_PIC!$A$8:$A$73,$B88)=1,IF(VLOOKUP($B88,Master_PIC!$A$8:$G$73,2,FALSE)="","",VLOOKUP($B88,Master_PIC!$A$8:$G$73,2,FALSE)),"")</f>
        <v/>
      </c>
      <c r="D88" s="15" t="str">
        <f>IF(COUNTIFS(Master_PIC!$A$8:$A$73,$B88)=1,IF(VLOOKUP($B88,Master_PIC!$A$8:$G$73,4,FALSE)="","",VLOOKUP($B88,Master_PIC!$A$8:$G$73,4,FALSE)),"")</f>
        <v/>
      </c>
      <c r="E88" s="15" t="str">
        <f>IF(COUNTIFS(Master_PIC!$A$8:$A$73,$B88)=1,IF(VLOOKUP($B88,Master_PIC!$A$8:$G$73,5,FALSE)="","",VLOOKUP($B88,Master_PIC!$A$8:$G$73,5,FALSE)),"")</f>
        <v/>
      </c>
      <c r="F88" s="15" t="str">
        <f>IF(COUNTIFS(Master_PIC!$A$8:$A$73,$B88)=1,IF(VLOOKUP($B88,Master_PIC!$A$8:$G$73,6,FALSE)="","",VLOOKUP($B88,Master_PIC!$A$8:$G$73,6,FALSE)),"")</f>
        <v/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9"/>
      <c r="AA88" s="5"/>
      <c r="AB88" s="5"/>
      <c r="AC88" s="9"/>
      <c r="AD88" s="5"/>
      <c r="AE88" s="7" t="str">
        <f t="shared" si="7"/>
        <v/>
      </c>
      <c r="AF88" s="7" t="str">
        <f t="shared" si="8"/>
        <v/>
      </c>
      <c r="AG88" s="7" t="str">
        <f t="shared" si="9"/>
        <v/>
      </c>
      <c r="AH88" s="7" t="str">
        <f t="shared" si="10"/>
        <v/>
      </c>
      <c r="AI88" s="7" t="str">
        <f t="shared" si="11"/>
        <v/>
      </c>
      <c r="AJ88" s="7" t="str">
        <f t="shared" si="12"/>
        <v/>
      </c>
      <c r="AK88" s="10" t="str">
        <f t="shared" si="13"/>
        <v/>
      </c>
      <c r="AL88" s="15" t="str">
        <f>IF(OR($A88&lt;&gt;"",$B88&lt;&gt;""),IF(OR($A88="",$B88=""),"Isi tanggal dan ID PIC",IF(NOT(ISNUMBER($A88)),"Tanggal harus berupa tanggal Excel",IF(COUNTIFS(Master_PIC!$A$8:$A$73,$B88)&lt;&gt;1,"ID PIC tidak unik/terdaftar",IF(VLOOKUP($B88,Master_PIC!$A$8:$G$73,3,FALSE)&lt;&gt;"ASM","Jabatan tidak sesuai sheet",IF(OR($C88="",$D88="",$E88="",$F88=""),"Lengkapi master PIC",IF(COUNTIFS($A$8:$A$507,$A88,$B$8:$B$507,$B88)&gt;1,"Laporan ganda",IF(COUNTIFS(G88:O88,"Tidak Berlaku")&gt;0,"N/A hanya untuk kegiatan bersyarat",IF(SUM(AF88,AG88,AH88,AI88,AJ88)&lt;&gt;13,"Status kegiatan tidak valid",IF(AJ88&gt;0,"Lengkapi status kegiatan",IF(AND(AI88&gt;0,T88=""),"Isi alasan Tidak Berlaku",IF(AND(SUM(AG88,AH88)&gt;0,OR(T88="",U88="",V88="",W88="")),"Isi kendala dan tindak lanjut",IF(AND(Y88&lt;&gt;"Draft",Y88&lt;&gt;"Dikirim"),"Isi status laporan yang valid",IF(AND(AA88&lt;&gt;"",AA88&lt;&gt;"Belum Diperiksa",AA88&lt;&gt;"Disetujui",AA88&lt;&gt;"Perlu Perbaikan"),"Hasil review tidak valid",IF(AND(Y88="Dikirim",OR(X88="",Z88="")),"Isi bukti dan waktu kirim",IF(AND(AA88="Disetujui",OR(Y88&lt;&gt;"Dikirim",AB88="",AC88="")),"Lengkapi pemeriksaan",IF(AND(AA88="Perlu Perbaikan",OR(AD88="",AB88="",AC88="")),"Isi pemeriksa dan catatan perbaikan","OK")))))))))))))))),"")</f>
        <v/>
      </c>
    </row>
    <row r="89" spans="1:38" ht="24.95" customHeight="1">
      <c r="A89" s="8"/>
      <c r="B89" s="6"/>
      <c r="C89" s="15" t="str">
        <f>IF(COUNTIFS(Master_PIC!$A$8:$A$73,$B89)=1,IF(VLOOKUP($B89,Master_PIC!$A$8:$G$73,2,FALSE)="","",VLOOKUP($B89,Master_PIC!$A$8:$G$73,2,FALSE)),"")</f>
        <v/>
      </c>
      <c r="D89" s="15" t="str">
        <f>IF(COUNTIFS(Master_PIC!$A$8:$A$73,$B89)=1,IF(VLOOKUP($B89,Master_PIC!$A$8:$G$73,4,FALSE)="","",VLOOKUP($B89,Master_PIC!$A$8:$G$73,4,FALSE)),"")</f>
        <v/>
      </c>
      <c r="E89" s="15" t="str">
        <f>IF(COUNTIFS(Master_PIC!$A$8:$A$73,$B89)=1,IF(VLOOKUP($B89,Master_PIC!$A$8:$G$73,5,FALSE)="","",VLOOKUP($B89,Master_PIC!$A$8:$G$73,5,FALSE)),"")</f>
        <v/>
      </c>
      <c r="F89" s="15" t="str">
        <f>IF(COUNTIFS(Master_PIC!$A$8:$A$73,$B89)=1,IF(VLOOKUP($B89,Master_PIC!$A$8:$G$73,6,FALSE)="","",VLOOKUP($B89,Master_PIC!$A$8:$G$73,6,FALSE)),"")</f>
        <v/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8"/>
      <c r="X89" s="5"/>
      <c r="Y89" s="5"/>
      <c r="Z89" s="9"/>
      <c r="AA89" s="5"/>
      <c r="AB89" s="5"/>
      <c r="AC89" s="9"/>
      <c r="AD89" s="5"/>
      <c r="AE89" s="7" t="str">
        <f t="shared" si="7"/>
        <v/>
      </c>
      <c r="AF89" s="7" t="str">
        <f t="shared" si="8"/>
        <v/>
      </c>
      <c r="AG89" s="7" t="str">
        <f t="shared" si="9"/>
        <v/>
      </c>
      <c r="AH89" s="7" t="str">
        <f t="shared" si="10"/>
        <v/>
      </c>
      <c r="AI89" s="7" t="str">
        <f t="shared" si="11"/>
        <v/>
      </c>
      <c r="AJ89" s="7" t="str">
        <f t="shared" si="12"/>
        <v/>
      </c>
      <c r="AK89" s="10" t="str">
        <f t="shared" si="13"/>
        <v/>
      </c>
      <c r="AL89" s="15" t="str">
        <f>IF(OR($A89&lt;&gt;"",$B89&lt;&gt;""),IF(OR($A89="",$B89=""),"Isi tanggal dan ID PIC",IF(NOT(ISNUMBER($A89)),"Tanggal harus berupa tanggal Excel",IF(COUNTIFS(Master_PIC!$A$8:$A$73,$B89)&lt;&gt;1,"ID PIC tidak unik/terdaftar",IF(VLOOKUP($B89,Master_PIC!$A$8:$G$73,3,FALSE)&lt;&gt;"ASM","Jabatan tidak sesuai sheet",IF(OR($C89="",$D89="",$E89="",$F89=""),"Lengkapi master PIC",IF(COUNTIFS($A$8:$A$507,$A89,$B$8:$B$507,$B89)&gt;1,"Laporan ganda",IF(COUNTIFS(G89:O89,"Tidak Berlaku")&gt;0,"N/A hanya untuk kegiatan bersyarat",IF(SUM(AF89,AG89,AH89,AI89,AJ89)&lt;&gt;13,"Status kegiatan tidak valid",IF(AJ89&gt;0,"Lengkapi status kegiatan",IF(AND(AI89&gt;0,T89=""),"Isi alasan Tidak Berlaku",IF(AND(SUM(AG89,AH89)&gt;0,OR(T89="",U89="",V89="",W89="")),"Isi kendala dan tindak lanjut",IF(AND(Y89&lt;&gt;"Draft",Y89&lt;&gt;"Dikirim"),"Isi status laporan yang valid",IF(AND(AA89&lt;&gt;"",AA89&lt;&gt;"Belum Diperiksa",AA89&lt;&gt;"Disetujui",AA89&lt;&gt;"Perlu Perbaikan"),"Hasil review tidak valid",IF(AND(Y89="Dikirim",OR(X89="",Z89="")),"Isi bukti dan waktu kirim",IF(AND(AA89="Disetujui",OR(Y89&lt;&gt;"Dikirim",AB89="",AC89="")),"Lengkapi pemeriksaan",IF(AND(AA89="Perlu Perbaikan",OR(AD89="",AB89="",AC89="")),"Isi pemeriksa dan catatan perbaikan","OK")))))))))))))))),"")</f>
        <v/>
      </c>
    </row>
    <row r="90" spans="1:38" ht="24.95" customHeight="1">
      <c r="A90" s="8"/>
      <c r="B90" s="6"/>
      <c r="C90" s="15" t="str">
        <f>IF(COUNTIFS(Master_PIC!$A$8:$A$73,$B90)=1,IF(VLOOKUP($B90,Master_PIC!$A$8:$G$73,2,FALSE)="","",VLOOKUP($B90,Master_PIC!$A$8:$G$73,2,FALSE)),"")</f>
        <v/>
      </c>
      <c r="D90" s="15" t="str">
        <f>IF(COUNTIFS(Master_PIC!$A$8:$A$73,$B90)=1,IF(VLOOKUP($B90,Master_PIC!$A$8:$G$73,4,FALSE)="","",VLOOKUP($B90,Master_PIC!$A$8:$G$73,4,FALSE)),"")</f>
        <v/>
      </c>
      <c r="E90" s="15" t="str">
        <f>IF(COUNTIFS(Master_PIC!$A$8:$A$73,$B90)=1,IF(VLOOKUP($B90,Master_PIC!$A$8:$G$73,5,FALSE)="","",VLOOKUP($B90,Master_PIC!$A$8:$G$73,5,FALSE)),"")</f>
        <v/>
      </c>
      <c r="F90" s="15" t="str">
        <f>IF(COUNTIFS(Master_PIC!$A$8:$A$73,$B90)=1,IF(VLOOKUP($B90,Master_PIC!$A$8:$G$73,6,FALSE)="","",VLOOKUP($B90,Master_PIC!$A$8:$G$73,6,FALSE)),"")</f>
        <v/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8"/>
      <c r="X90" s="5"/>
      <c r="Y90" s="5"/>
      <c r="Z90" s="9"/>
      <c r="AA90" s="5"/>
      <c r="AB90" s="5"/>
      <c r="AC90" s="9"/>
      <c r="AD90" s="5"/>
      <c r="AE90" s="7" t="str">
        <f t="shared" si="7"/>
        <v/>
      </c>
      <c r="AF90" s="7" t="str">
        <f t="shared" si="8"/>
        <v/>
      </c>
      <c r="AG90" s="7" t="str">
        <f t="shared" si="9"/>
        <v/>
      </c>
      <c r="AH90" s="7" t="str">
        <f t="shared" si="10"/>
        <v/>
      </c>
      <c r="AI90" s="7" t="str">
        <f t="shared" si="11"/>
        <v/>
      </c>
      <c r="AJ90" s="7" t="str">
        <f t="shared" si="12"/>
        <v/>
      </c>
      <c r="AK90" s="10" t="str">
        <f t="shared" si="13"/>
        <v/>
      </c>
      <c r="AL90" s="15" t="str">
        <f>IF(OR($A90&lt;&gt;"",$B90&lt;&gt;""),IF(OR($A90="",$B90=""),"Isi tanggal dan ID PIC",IF(NOT(ISNUMBER($A90)),"Tanggal harus berupa tanggal Excel",IF(COUNTIFS(Master_PIC!$A$8:$A$73,$B90)&lt;&gt;1,"ID PIC tidak unik/terdaftar",IF(VLOOKUP($B90,Master_PIC!$A$8:$G$73,3,FALSE)&lt;&gt;"ASM","Jabatan tidak sesuai sheet",IF(OR($C90="",$D90="",$E90="",$F90=""),"Lengkapi master PIC",IF(COUNTIFS($A$8:$A$507,$A90,$B$8:$B$507,$B90)&gt;1,"Laporan ganda",IF(COUNTIFS(G90:O90,"Tidak Berlaku")&gt;0,"N/A hanya untuk kegiatan bersyarat",IF(SUM(AF90,AG90,AH90,AI90,AJ90)&lt;&gt;13,"Status kegiatan tidak valid",IF(AJ90&gt;0,"Lengkapi status kegiatan",IF(AND(AI90&gt;0,T90=""),"Isi alasan Tidak Berlaku",IF(AND(SUM(AG90,AH90)&gt;0,OR(T90="",U90="",V90="",W90="")),"Isi kendala dan tindak lanjut",IF(AND(Y90&lt;&gt;"Draft",Y90&lt;&gt;"Dikirim"),"Isi status laporan yang valid",IF(AND(AA90&lt;&gt;"",AA90&lt;&gt;"Belum Diperiksa",AA90&lt;&gt;"Disetujui",AA90&lt;&gt;"Perlu Perbaikan"),"Hasil review tidak valid",IF(AND(Y90="Dikirim",OR(X90="",Z90="")),"Isi bukti dan waktu kirim",IF(AND(AA90="Disetujui",OR(Y90&lt;&gt;"Dikirim",AB90="",AC90="")),"Lengkapi pemeriksaan",IF(AND(AA90="Perlu Perbaikan",OR(AD90="",AB90="",AC90="")),"Isi pemeriksa dan catatan perbaikan","OK")))))))))))))))),"")</f>
        <v/>
      </c>
    </row>
    <row r="91" spans="1:38" ht="24.95" customHeight="1">
      <c r="A91" s="8"/>
      <c r="B91" s="6"/>
      <c r="C91" s="15" t="str">
        <f>IF(COUNTIFS(Master_PIC!$A$8:$A$73,$B91)=1,IF(VLOOKUP($B91,Master_PIC!$A$8:$G$73,2,FALSE)="","",VLOOKUP($B91,Master_PIC!$A$8:$G$73,2,FALSE)),"")</f>
        <v/>
      </c>
      <c r="D91" s="15" t="str">
        <f>IF(COUNTIFS(Master_PIC!$A$8:$A$73,$B91)=1,IF(VLOOKUP($B91,Master_PIC!$A$8:$G$73,4,FALSE)="","",VLOOKUP($B91,Master_PIC!$A$8:$G$73,4,FALSE)),"")</f>
        <v/>
      </c>
      <c r="E91" s="15" t="str">
        <f>IF(COUNTIFS(Master_PIC!$A$8:$A$73,$B91)=1,IF(VLOOKUP($B91,Master_PIC!$A$8:$G$73,5,FALSE)="","",VLOOKUP($B91,Master_PIC!$A$8:$G$73,5,FALSE)),"")</f>
        <v/>
      </c>
      <c r="F91" s="15" t="str">
        <f>IF(COUNTIFS(Master_PIC!$A$8:$A$73,$B91)=1,IF(VLOOKUP($B91,Master_PIC!$A$8:$G$73,6,FALSE)="","",VLOOKUP($B91,Master_PIC!$A$8:$G$73,6,FALSE)),"")</f>
        <v/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9"/>
      <c r="AA91" s="5"/>
      <c r="AB91" s="5"/>
      <c r="AC91" s="9"/>
      <c r="AD91" s="5"/>
      <c r="AE91" s="7" t="str">
        <f t="shared" si="7"/>
        <v/>
      </c>
      <c r="AF91" s="7" t="str">
        <f t="shared" si="8"/>
        <v/>
      </c>
      <c r="AG91" s="7" t="str">
        <f t="shared" si="9"/>
        <v/>
      </c>
      <c r="AH91" s="7" t="str">
        <f t="shared" si="10"/>
        <v/>
      </c>
      <c r="AI91" s="7" t="str">
        <f t="shared" si="11"/>
        <v/>
      </c>
      <c r="AJ91" s="7" t="str">
        <f t="shared" si="12"/>
        <v/>
      </c>
      <c r="AK91" s="10" t="str">
        <f t="shared" si="13"/>
        <v/>
      </c>
      <c r="AL91" s="15" t="str">
        <f>IF(OR($A91&lt;&gt;"",$B91&lt;&gt;""),IF(OR($A91="",$B91=""),"Isi tanggal dan ID PIC",IF(NOT(ISNUMBER($A91)),"Tanggal harus berupa tanggal Excel",IF(COUNTIFS(Master_PIC!$A$8:$A$73,$B91)&lt;&gt;1,"ID PIC tidak unik/terdaftar",IF(VLOOKUP($B91,Master_PIC!$A$8:$G$73,3,FALSE)&lt;&gt;"ASM","Jabatan tidak sesuai sheet",IF(OR($C91="",$D91="",$E91="",$F91=""),"Lengkapi master PIC",IF(COUNTIFS($A$8:$A$507,$A91,$B$8:$B$507,$B91)&gt;1,"Laporan ganda",IF(COUNTIFS(G91:O91,"Tidak Berlaku")&gt;0,"N/A hanya untuk kegiatan bersyarat",IF(SUM(AF91,AG91,AH91,AI91,AJ91)&lt;&gt;13,"Status kegiatan tidak valid",IF(AJ91&gt;0,"Lengkapi status kegiatan",IF(AND(AI91&gt;0,T91=""),"Isi alasan Tidak Berlaku",IF(AND(SUM(AG91,AH91)&gt;0,OR(T91="",U91="",V91="",W91="")),"Isi kendala dan tindak lanjut",IF(AND(Y91&lt;&gt;"Draft",Y91&lt;&gt;"Dikirim"),"Isi status laporan yang valid",IF(AND(AA91&lt;&gt;"",AA91&lt;&gt;"Belum Diperiksa",AA91&lt;&gt;"Disetujui",AA91&lt;&gt;"Perlu Perbaikan"),"Hasil review tidak valid",IF(AND(Y91="Dikirim",OR(X91="",Z91="")),"Isi bukti dan waktu kirim",IF(AND(AA91="Disetujui",OR(Y91&lt;&gt;"Dikirim",AB91="",AC91="")),"Lengkapi pemeriksaan",IF(AND(AA91="Perlu Perbaikan",OR(AD91="",AB91="",AC91="")),"Isi pemeriksa dan catatan perbaikan","OK")))))))))))))))),"")</f>
        <v/>
      </c>
    </row>
    <row r="92" spans="1:38" ht="24.95" customHeight="1">
      <c r="A92" s="8"/>
      <c r="B92" s="6"/>
      <c r="C92" s="15" t="str">
        <f>IF(COUNTIFS(Master_PIC!$A$8:$A$73,$B92)=1,IF(VLOOKUP($B92,Master_PIC!$A$8:$G$73,2,FALSE)="","",VLOOKUP($B92,Master_PIC!$A$8:$G$73,2,FALSE)),"")</f>
        <v/>
      </c>
      <c r="D92" s="15" t="str">
        <f>IF(COUNTIFS(Master_PIC!$A$8:$A$73,$B92)=1,IF(VLOOKUP($B92,Master_PIC!$A$8:$G$73,4,FALSE)="","",VLOOKUP($B92,Master_PIC!$A$8:$G$73,4,FALSE)),"")</f>
        <v/>
      </c>
      <c r="E92" s="15" t="str">
        <f>IF(COUNTIFS(Master_PIC!$A$8:$A$73,$B92)=1,IF(VLOOKUP($B92,Master_PIC!$A$8:$G$73,5,FALSE)="","",VLOOKUP($B92,Master_PIC!$A$8:$G$73,5,FALSE)),"")</f>
        <v/>
      </c>
      <c r="F92" s="15" t="str">
        <f>IF(COUNTIFS(Master_PIC!$A$8:$A$73,$B92)=1,IF(VLOOKUP($B92,Master_PIC!$A$8:$G$73,6,FALSE)="","",VLOOKUP($B92,Master_PIC!$A$8:$G$73,6,FALSE)),"")</f>
        <v/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8"/>
      <c r="X92" s="5"/>
      <c r="Y92" s="5"/>
      <c r="Z92" s="9"/>
      <c r="AA92" s="5"/>
      <c r="AB92" s="5"/>
      <c r="AC92" s="9"/>
      <c r="AD92" s="5"/>
      <c r="AE92" s="7" t="str">
        <f t="shared" si="7"/>
        <v/>
      </c>
      <c r="AF92" s="7" t="str">
        <f t="shared" si="8"/>
        <v/>
      </c>
      <c r="AG92" s="7" t="str">
        <f t="shared" si="9"/>
        <v/>
      </c>
      <c r="AH92" s="7" t="str">
        <f t="shared" si="10"/>
        <v/>
      </c>
      <c r="AI92" s="7" t="str">
        <f t="shared" si="11"/>
        <v/>
      </c>
      <c r="AJ92" s="7" t="str">
        <f t="shared" si="12"/>
        <v/>
      </c>
      <c r="AK92" s="10" t="str">
        <f t="shared" si="13"/>
        <v/>
      </c>
      <c r="AL92" s="15" t="str">
        <f>IF(OR($A92&lt;&gt;"",$B92&lt;&gt;""),IF(OR($A92="",$B92=""),"Isi tanggal dan ID PIC",IF(NOT(ISNUMBER($A92)),"Tanggal harus berupa tanggal Excel",IF(COUNTIFS(Master_PIC!$A$8:$A$73,$B92)&lt;&gt;1,"ID PIC tidak unik/terdaftar",IF(VLOOKUP($B92,Master_PIC!$A$8:$G$73,3,FALSE)&lt;&gt;"ASM","Jabatan tidak sesuai sheet",IF(OR($C92="",$D92="",$E92="",$F92=""),"Lengkapi master PIC",IF(COUNTIFS($A$8:$A$507,$A92,$B$8:$B$507,$B92)&gt;1,"Laporan ganda",IF(COUNTIFS(G92:O92,"Tidak Berlaku")&gt;0,"N/A hanya untuk kegiatan bersyarat",IF(SUM(AF92,AG92,AH92,AI92,AJ92)&lt;&gt;13,"Status kegiatan tidak valid",IF(AJ92&gt;0,"Lengkapi status kegiatan",IF(AND(AI92&gt;0,T92=""),"Isi alasan Tidak Berlaku",IF(AND(SUM(AG92,AH92)&gt;0,OR(T92="",U92="",V92="",W92="")),"Isi kendala dan tindak lanjut",IF(AND(Y92&lt;&gt;"Draft",Y92&lt;&gt;"Dikirim"),"Isi status laporan yang valid",IF(AND(AA92&lt;&gt;"",AA92&lt;&gt;"Belum Diperiksa",AA92&lt;&gt;"Disetujui",AA92&lt;&gt;"Perlu Perbaikan"),"Hasil review tidak valid",IF(AND(Y92="Dikirim",OR(X92="",Z92="")),"Isi bukti dan waktu kirim",IF(AND(AA92="Disetujui",OR(Y92&lt;&gt;"Dikirim",AB92="",AC92="")),"Lengkapi pemeriksaan",IF(AND(AA92="Perlu Perbaikan",OR(AD92="",AB92="",AC92="")),"Isi pemeriksa dan catatan perbaikan","OK")))))))))))))))),"")</f>
        <v/>
      </c>
    </row>
    <row r="93" spans="1:38" ht="24.95" customHeight="1">
      <c r="A93" s="8"/>
      <c r="B93" s="6"/>
      <c r="C93" s="15" t="str">
        <f>IF(COUNTIFS(Master_PIC!$A$8:$A$73,$B93)=1,IF(VLOOKUP($B93,Master_PIC!$A$8:$G$73,2,FALSE)="","",VLOOKUP($B93,Master_PIC!$A$8:$G$73,2,FALSE)),"")</f>
        <v/>
      </c>
      <c r="D93" s="15" t="str">
        <f>IF(COUNTIFS(Master_PIC!$A$8:$A$73,$B93)=1,IF(VLOOKUP($B93,Master_PIC!$A$8:$G$73,4,FALSE)="","",VLOOKUP($B93,Master_PIC!$A$8:$G$73,4,FALSE)),"")</f>
        <v/>
      </c>
      <c r="E93" s="15" t="str">
        <f>IF(COUNTIFS(Master_PIC!$A$8:$A$73,$B93)=1,IF(VLOOKUP($B93,Master_PIC!$A$8:$G$73,5,FALSE)="","",VLOOKUP($B93,Master_PIC!$A$8:$G$73,5,FALSE)),"")</f>
        <v/>
      </c>
      <c r="F93" s="15" t="str">
        <f>IF(COUNTIFS(Master_PIC!$A$8:$A$73,$B93)=1,IF(VLOOKUP($B93,Master_PIC!$A$8:$G$73,6,FALSE)="","",VLOOKUP($B93,Master_PIC!$A$8:$G$73,6,FALSE)),"")</f>
        <v/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8"/>
      <c r="X93" s="5"/>
      <c r="Y93" s="5"/>
      <c r="Z93" s="9"/>
      <c r="AA93" s="5"/>
      <c r="AB93" s="5"/>
      <c r="AC93" s="9"/>
      <c r="AD93" s="5"/>
      <c r="AE93" s="7" t="str">
        <f t="shared" si="7"/>
        <v/>
      </c>
      <c r="AF93" s="7" t="str">
        <f t="shared" si="8"/>
        <v/>
      </c>
      <c r="AG93" s="7" t="str">
        <f t="shared" si="9"/>
        <v/>
      </c>
      <c r="AH93" s="7" t="str">
        <f t="shared" si="10"/>
        <v/>
      </c>
      <c r="AI93" s="7" t="str">
        <f t="shared" si="11"/>
        <v/>
      </c>
      <c r="AJ93" s="7" t="str">
        <f t="shared" si="12"/>
        <v/>
      </c>
      <c r="AK93" s="10" t="str">
        <f t="shared" si="13"/>
        <v/>
      </c>
      <c r="AL93" s="15" t="str">
        <f>IF(OR($A93&lt;&gt;"",$B93&lt;&gt;""),IF(OR($A93="",$B93=""),"Isi tanggal dan ID PIC",IF(NOT(ISNUMBER($A93)),"Tanggal harus berupa tanggal Excel",IF(COUNTIFS(Master_PIC!$A$8:$A$73,$B93)&lt;&gt;1,"ID PIC tidak unik/terdaftar",IF(VLOOKUP($B93,Master_PIC!$A$8:$G$73,3,FALSE)&lt;&gt;"ASM","Jabatan tidak sesuai sheet",IF(OR($C93="",$D93="",$E93="",$F93=""),"Lengkapi master PIC",IF(COUNTIFS($A$8:$A$507,$A93,$B$8:$B$507,$B93)&gt;1,"Laporan ganda",IF(COUNTIFS(G93:O93,"Tidak Berlaku")&gt;0,"N/A hanya untuk kegiatan bersyarat",IF(SUM(AF93,AG93,AH93,AI93,AJ93)&lt;&gt;13,"Status kegiatan tidak valid",IF(AJ93&gt;0,"Lengkapi status kegiatan",IF(AND(AI93&gt;0,T93=""),"Isi alasan Tidak Berlaku",IF(AND(SUM(AG93,AH93)&gt;0,OR(T93="",U93="",V93="",W93="")),"Isi kendala dan tindak lanjut",IF(AND(Y93&lt;&gt;"Draft",Y93&lt;&gt;"Dikirim"),"Isi status laporan yang valid",IF(AND(AA93&lt;&gt;"",AA93&lt;&gt;"Belum Diperiksa",AA93&lt;&gt;"Disetujui",AA93&lt;&gt;"Perlu Perbaikan"),"Hasil review tidak valid",IF(AND(Y93="Dikirim",OR(X93="",Z93="")),"Isi bukti dan waktu kirim",IF(AND(AA93="Disetujui",OR(Y93&lt;&gt;"Dikirim",AB93="",AC93="")),"Lengkapi pemeriksaan",IF(AND(AA93="Perlu Perbaikan",OR(AD93="",AB93="",AC93="")),"Isi pemeriksa dan catatan perbaikan","OK")))))))))))))))),"")</f>
        <v/>
      </c>
    </row>
    <row r="94" spans="1:38" ht="24.95" customHeight="1">
      <c r="A94" s="8"/>
      <c r="B94" s="6"/>
      <c r="C94" s="15" t="str">
        <f>IF(COUNTIFS(Master_PIC!$A$8:$A$73,$B94)=1,IF(VLOOKUP($B94,Master_PIC!$A$8:$G$73,2,FALSE)="","",VLOOKUP($B94,Master_PIC!$A$8:$G$73,2,FALSE)),"")</f>
        <v/>
      </c>
      <c r="D94" s="15" t="str">
        <f>IF(COUNTIFS(Master_PIC!$A$8:$A$73,$B94)=1,IF(VLOOKUP($B94,Master_PIC!$A$8:$G$73,4,FALSE)="","",VLOOKUP($B94,Master_PIC!$A$8:$G$73,4,FALSE)),"")</f>
        <v/>
      </c>
      <c r="E94" s="15" t="str">
        <f>IF(COUNTIFS(Master_PIC!$A$8:$A$73,$B94)=1,IF(VLOOKUP($B94,Master_PIC!$A$8:$G$73,5,FALSE)="","",VLOOKUP($B94,Master_PIC!$A$8:$G$73,5,FALSE)),"")</f>
        <v/>
      </c>
      <c r="F94" s="15" t="str">
        <f>IF(COUNTIFS(Master_PIC!$A$8:$A$73,$B94)=1,IF(VLOOKUP($B94,Master_PIC!$A$8:$G$73,6,FALSE)="","",VLOOKUP($B94,Master_PIC!$A$8:$G$73,6,FALSE)),"")</f>
        <v/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9"/>
      <c r="AA94" s="5"/>
      <c r="AB94" s="5"/>
      <c r="AC94" s="9"/>
      <c r="AD94" s="5"/>
      <c r="AE94" s="7" t="str">
        <f t="shared" si="7"/>
        <v/>
      </c>
      <c r="AF94" s="7" t="str">
        <f t="shared" si="8"/>
        <v/>
      </c>
      <c r="AG94" s="7" t="str">
        <f t="shared" si="9"/>
        <v/>
      </c>
      <c r="AH94" s="7" t="str">
        <f t="shared" si="10"/>
        <v/>
      </c>
      <c r="AI94" s="7" t="str">
        <f t="shared" si="11"/>
        <v/>
      </c>
      <c r="AJ94" s="7" t="str">
        <f t="shared" si="12"/>
        <v/>
      </c>
      <c r="AK94" s="10" t="str">
        <f t="shared" si="13"/>
        <v/>
      </c>
      <c r="AL94" s="15" t="str">
        <f>IF(OR($A94&lt;&gt;"",$B94&lt;&gt;""),IF(OR($A94="",$B94=""),"Isi tanggal dan ID PIC",IF(NOT(ISNUMBER($A94)),"Tanggal harus berupa tanggal Excel",IF(COUNTIFS(Master_PIC!$A$8:$A$73,$B94)&lt;&gt;1,"ID PIC tidak unik/terdaftar",IF(VLOOKUP($B94,Master_PIC!$A$8:$G$73,3,FALSE)&lt;&gt;"ASM","Jabatan tidak sesuai sheet",IF(OR($C94="",$D94="",$E94="",$F94=""),"Lengkapi master PIC",IF(COUNTIFS($A$8:$A$507,$A94,$B$8:$B$507,$B94)&gt;1,"Laporan ganda",IF(COUNTIFS(G94:O94,"Tidak Berlaku")&gt;0,"N/A hanya untuk kegiatan bersyarat",IF(SUM(AF94,AG94,AH94,AI94,AJ94)&lt;&gt;13,"Status kegiatan tidak valid",IF(AJ94&gt;0,"Lengkapi status kegiatan",IF(AND(AI94&gt;0,T94=""),"Isi alasan Tidak Berlaku",IF(AND(SUM(AG94,AH94)&gt;0,OR(T94="",U94="",V94="",W94="")),"Isi kendala dan tindak lanjut",IF(AND(Y94&lt;&gt;"Draft",Y94&lt;&gt;"Dikirim"),"Isi status laporan yang valid",IF(AND(AA94&lt;&gt;"",AA94&lt;&gt;"Belum Diperiksa",AA94&lt;&gt;"Disetujui",AA94&lt;&gt;"Perlu Perbaikan"),"Hasil review tidak valid",IF(AND(Y94="Dikirim",OR(X94="",Z94="")),"Isi bukti dan waktu kirim",IF(AND(AA94="Disetujui",OR(Y94&lt;&gt;"Dikirim",AB94="",AC94="")),"Lengkapi pemeriksaan",IF(AND(AA94="Perlu Perbaikan",OR(AD94="",AB94="",AC94="")),"Isi pemeriksa dan catatan perbaikan","OK")))))))))))))))),"")</f>
        <v/>
      </c>
    </row>
    <row r="95" spans="1:38" ht="24.95" customHeight="1">
      <c r="A95" s="8"/>
      <c r="B95" s="6"/>
      <c r="C95" s="15" t="str">
        <f>IF(COUNTIFS(Master_PIC!$A$8:$A$73,$B95)=1,IF(VLOOKUP($B95,Master_PIC!$A$8:$G$73,2,FALSE)="","",VLOOKUP($B95,Master_PIC!$A$8:$G$73,2,FALSE)),"")</f>
        <v/>
      </c>
      <c r="D95" s="15" t="str">
        <f>IF(COUNTIFS(Master_PIC!$A$8:$A$73,$B95)=1,IF(VLOOKUP($B95,Master_PIC!$A$8:$G$73,4,FALSE)="","",VLOOKUP($B95,Master_PIC!$A$8:$G$73,4,FALSE)),"")</f>
        <v/>
      </c>
      <c r="E95" s="15" t="str">
        <f>IF(COUNTIFS(Master_PIC!$A$8:$A$73,$B95)=1,IF(VLOOKUP($B95,Master_PIC!$A$8:$G$73,5,FALSE)="","",VLOOKUP($B95,Master_PIC!$A$8:$G$73,5,FALSE)),"")</f>
        <v/>
      </c>
      <c r="F95" s="15" t="str">
        <f>IF(COUNTIFS(Master_PIC!$A$8:$A$73,$B95)=1,IF(VLOOKUP($B95,Master_PIC!$A$8:$G$73,6,FALSE)="","",VLOOKUP($B95,Master_PIC!$A$8:$G$73,6,FALSE)),"")</f>
        <v/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9"/>
      <c r="AA95" s="5"/>
      <c r="AB95" s="5"/>
      <c r="AC95" s="9"/>
      <c r="AD95" s="5"/>
      <c r="AE95" s="7" t="str">
        <f t="shared" si="7"/>
        <v/>
      </c>
      <c r="AF95" s="7" t="str">
        <f t="shared" si="8"/>
        <v/>
      </c>
      <c r="AG95" s="7" t="str">
        <f t="shared" si="9"/>
        <v/>
      </c>
      <c r="AH95" s="7" t="str">
        <f t="shared" si="10"/>
        <v/>
      </c>
      <c r="AI95" s="7" t="str">
        <f t="shared" si="11"/>
        <v/>
      </c>
      <c r="AJ95" s="7" t="str">
        <f t="shared" si="12"/>
        <v/>
      </c>
      <c r="AK95" s="10" t="str">
        <f t="shared" si="13"/>
        <v/>
      </c>
      <c r="AL95" s="15" t="str">
        <f>IF(OR($A95&lt;&gt;"",$B95&lt;&gt;""),IF(OR($A95="",$B95=""),"Isi tanggal dan ID PIC",IF(NOT(ISNUMBER($A95)),"Tanggal harus berupa tanggal Excel",IF(COUNTIFS(Master_PIC!$A$8:$A$73,$B95)&lt;&gt;1,"ID PIC tidak unik/terdaftar",IF(VLOOKUP($B95,Master_PIC!$A$8:$G$73,3,FALSE)&lt;&gt;"ASM","Jabatan tidak sesuai sheet",IF(OR($C95="",$D95="",$E95="",$F95=""),"Lengkapi master PIC",IF(COUNTIFS($A$8:$A$507,$A95,$B$8:$B$507,$B95)&gt;1,"Laporan ganda",IF(COUNTIFS(G95:O95,"Tidak Berlaku")&gt;0,"N/A hanya untuk kegiatan bersyarat",IF(SUM(AF95,AG95,AH95,AI95,AJ95)&lt;&gt;13,"Status kegiatan tidak valid",IF(AJ95&gt;0,"Lengkapi status kegiatan",IF(AND(AI95&gt;0,T95=""),"Isi alasan Tidak Berlaku",IF(AND(SUM(AG95,AH95)&gt;0,OR(T95="",U95="",V95="",W95="")),"Isi kendala dan tindak lanjut",IF(AND(Y95&lt;&gt;"Draft",Y95&lt;&gt;"Dikirim"),"Isi status laporan yang valid",IF(AND(AA95&lt;&gt;"",AA95&lt;&gt;"Belum Diperiksa",AA95&lt;&gt;"Disetujui",AA95&lt;&gt;"Perlu Perbaikan"),"Hasil review tidak valid",IF(AND(Y95="Dikirim",OR(X95="",Z95="")),"Isi bukti dan waktu kirim",IF(AND(AA95="Disetujui",OR(Y95&lt;&gt;"Dikirim",AB95="",AC95="")),"Lengkapi pemeriksaan",IF(AND(AA95="Perlu Perbaikan",OR(AD95="",AB95="",AC95="")),"Isi pemeriksa dan catatan perbaikan","OK")))))))))))))))),"")</f>
        <v/>
      </c>
    </row>
    <row r="96" spans="1:38" ht="24.95" customHeight="1">
      <c r="A96" s="8"/>
      <c r="B96" s="6"/>
      <c r="C96" s="15" t="str">
        <f>IF(COUNTIFS(Master_PIC!$A$8:$A$73,$B96)=1,IF(VLOOKUP($B96,Master_PIC!$A$8:$G$73,2,FALSE)="","",VLOOKUP($B96,Master_PIC!$A$8:$G$73,2,FALSE)),"")</f>
        <v/>
      </c>
      <c r="D96" s="15" t="str">
        <f>IF(COUNTIFS(Master_PIC!$A$8:$A$73,$B96)=1,IF(VLOOKUP($B96,Master_PIC!$A$8:$G$73,4,FALSE)="","",VLOOKUP($B96,Master_PIC!$A$8:$G$73,4,FALSE)),"")</f>
        <v/>
      </c>
      <c r="E96" s="15" t="str">
        <f>IF(COUNTIFS(Master_PIC!$A$8:$A$73,$B96)=1,IF(VLOOKUP($B96,Master_PIC!$A$8:$G$73,5,FALSE)="","",VLOOKUP($B96,Master_PIC!$A$8:$G$73,5,FALSE)),"")</f>
        <v/>
      </c>
      <c r="F96" s="15" t="str">
        <f>IF(COUNTIFS(Master_PIC!$A$8:$A$73,$B96)=1,IF(VLOOKUP($B96,Master_PIC!$A$8:$G$73,6,FALSE)="","",VLOOKUP($B96,Master_PIC!$A$8:$G$73,6,FALSE)),"")</f>
        <v/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9"/>
      <c r="AA96" s="5"/>
      <c r="AB96" s="5"/>
      <c r="AC96" s="9"/>
      <c r="AD96" s="5"/>
      <c r="AE96" s="7" t="str">
        <f t="shared" si="7"/>
        <v/>
      </c>
      <c r="AF96" s="7" t="str">
        <f t="shared" si="8"/>
        <v/>
      </c>
      <c r="AG96" s="7" t="str">
        <f t="shared" si="9"/>
        <v/>
      </c>
      <c r="AH96" s="7" t="str">
        <f t="shared" si="10"/>
        <v/>
      </c>
      <c r="AI96" s="7" t="str">
        <f t="shared" si="11"/>
        <v/>
      </c>
      <c r="AJ96" s="7" t="str">
        <f t="shared" si="12"/>
        <v/>
      </c>
      <c r="AK96" s="10" t="str">
        <f t="shared" si="13"/>
        <v/>
      </c>
      <c r="AL96" s="15" t="str">
        <f>IF(OR($A96&lt;&gt;"",$B96&lt;&gt;""),IF(OR($A96="",$B96=""),"Isi tanggal dan ID PIC",IF(NOT(ISNUMBER($A96)),"Tanggal harus berupa tanggal Excel",IF(COUNTIFS(Master_PIC!$A$8:$A$73,$B96)&lt;&gt;1,"ID PIC tidak unik/terdaftar",IF(VLOOKUP($B96,Master_PIC!$A$8:$G$73,3,FALSE)&lt;&gt;"ASM","Jabatan tidak sesuai sheet",IF(OR($C96="",$D96="",$E96="",$F96=""),"Lengkapi master PIC",IF(COUNTIFS($A$8:$A$507,$A96,$B$8:$B$507,$B96)&gt;1,"Laporan ganda",IF(COUNTIFS(G96:O96,"Tidak Berlaku")&gt;0,"N/A hanya untuk kegiatan bersyarat",IF(SUM(AF96,AG96,AH96,AI96,AJ96)&lt;&gt;13,"Status kegiatan tidak valid",IF(AJ96&gt;0,"Lengkapi status kegiatan",IF(AND(AI96&gt;0,T96=""),"Isi alasan Tidak Berlaku",IF(AND(SUM(AG96,AH96)&gt;0,OR(T96="",U96="",V96="",W96="")),"Isi kendala dan tindak lanjut",IF(AND(Y96&lt;&gt;"Draft",Y96&lt;&gt;"Dikirim"),"Isi status laporan yang valid",IF(AND(AA96&lt;&gt;"",AA96&lt;&gt;"Belum Diperiksa",AA96&lt;&gt;"Disetujui",AA96&lt;&gt;"Perlu Perbaikan"),"Hasil review tidak valid",IF(AND(Y96="Dikirim",OR(X96="",Z96="")),"Isi bukti dan waktu kirim",IF(AND(AA96="Disetujui",OR(Y96&lt;&gt;"Dikirim",AB96="",AC96="")),"Lengkapi pemeriksaan",IF(AND(AA96="Perlu Perbaikan",OR(AD96="",AB96="",AC96="")),"Isi pemeriksa dan catatan perbaikan","OK")))))))))))))))),"")</f>
        <v/>
      </c>
    </row>
    <row r="97" spans="1:38" ht="24.95" customHeight="1">
      <c r="A97" s="8"/>
      <c r="B97" s="6"/>
      <c r="C97" s="15" t="str">
        <f>IF(COUNTIFS(Master_PIC!$A$8:$A$73,$B97)=1,IF(VLOOKUP($B97,Master_PIC!$A$8:$G$73,2,FALSE)="","",VLOOKUP($B97,Master_PIC!$A$8:$G$73,2,FALSE)),"")</f>
        <v/>
      </c>
      <c r="D97" s="15" t="str">
        <f>IF(COUNTIFS(Master_PIC!$A$8:$A$73,$B97)=1,IF(VLOOKUP($B97,Master_PIC!$A$8:$G$73,4,FALSE)="","",VLOOKUP($B97,Master_PIC!$A$8:$G$73,4,FALSE)),"")</f>
        <v/>
      </c>
      <c r="E97" s="15" t="str">
        <f>IF(COUNTIFS(Master_PIC!$A$8:$A$73,$B97)=1,IF(VLOOKUP($B97,Master_PIC!$A$8:$G$73,5,FALSE)="","",VLOOKUP($B97,Master_PIC!$A$8:$G$73,5,FALSE)),"")</f>
        <v/>
      </c>
      <c r="F97" s="15" t="str">
        <f>IF(COUNTIFS(Master_PIC!$A$8:$A$73,$B97)=1,IF(VLOOKUP($B97,Master_PIC!$A$8:$G$73,6,FALSE)="","",VLOOKUP($B97,Master_PIC!$A$8:$G$73,6,FALSE)),"")</f>
        <v/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8"/>
      <c r="X97" s="5"/>
      <c r="Y97" s="5"/>
      <c r="Z97" s="9"/>
      <c r="AA97" s="5"/>
      <c r="AB97" s="5"/>
      <c r="AC97" s="9"/>
      <c r="AD97" s="5"/>
      <c r="AE97" s="7" t="str">
        <f t="shared" si="7"/>
        <v/>
      </c>
      <c r="AF97" s="7" t="str">
        <f t="shared" si="8"/>
        <v/>
      </c>
      <c r="AG97" s="7" t="str">
        <f t="shared" si="9"/>
        <v/>
      </c>
      <c r="AH97" s="7" t="str">
        <f t="shared" si="10"/>
        <v/>
      </c>
      <c r="AI97" s="7" t="str">
        <f t="shared" si="11"/>
        <v/>
      </c>
      <c r="AJ97" s="7" t="str">
        <f t="shared" si="12"/>
        <v/>
      </c>
      <c r="AK97" s="10" t="str">
        <f t="shared" si="13"/>
        <v/>
      </c>
      <c r="AL97" s="15" t="str">
        <f>IF(OR($A97&lt;&gt;"",$B97&lt;&gt;""),IF(OR($A97="",$B97=""),"Isi tanggal dan ID PIC",IF(NOT(ISNUMBER($A97)),"Tanggal harus berupa tanggal Excel",IF(COUNTIFS(Master_PIC!$A$8:$A$73,$B97)&lt;&gt;1,"ID PIC tidak unik/terdaftar",IF(VLOOKUP($B97,Master_PIC!$A$8:$G$73,3,FALSE)&lt;&gt;"ASM","Jabatan tidak sesuai sheet",IF(OR($C97="",$D97="",$E97="",$F97=""),"Lengkapi master PIC",IF(COUNTIFS($A$8:$A$507,$A97,$B$8:$B$507,$B97)&gt;1,"Laporan ganda",IF(COUNTIFS(G97:O97,"Tidak Berlaku")&gt;0,"N/A hanya untuk kegiatan bersyarat",IF(SUM(AF97,AG97,AH97,AI97,AJ97)&lt;&gt;13,"Status kegiatan tidak valid",IF(AJ97&gt;0,"Lengkapi status kegiatan",IF(AND(AI97&gt;0,T97=""),"Isi alasan Tidak Berlaku",IF(AND(SUM(AG97,AH97)&gt;0,OR(T97="",U97="",V97="",W97="")),"Isi kendala dan tindak lanjut",IF(AND(Y97&lt;&gt;"Draft",Y97&lt;&gt;"Dikirim"),"Isi status laporan yang valid",IF(AND(AA97&lt;&gt;"",AA97&lt;&gt;"Belum Diperiksa",AA97&lt;&gt;"Disetujui",AA97&lt;&gt;"Perlu Perbaikan"),"Hasil review tidak valid",IF(AND(Y97="Dikirim",OR(X97="",Z97="")),"Isi bukti dan waktu kirim",IF(AND(AA97="Disetujui",OR(Y97&lt;&gt;"Dikirim",AB97="",AC97="")),"Lengkapi pemeriksaan",IF(AND(AA97="Perlu Perbaikan",OR(AD97="",AB97="",AC97="")),"Isi pemeriksa dan catatan perbaikan","OK")))))))))))))))),"")</f>
        <v/>
      </c>
    </row>
    <row r="98" spans="1:38" ht="24.95" customHeight="1">
      <c r="A98" s="8"/>
      <c r="B98" s="6"/>
      <c r="C98" s="15" t="str">
        <f>IF(COUNTIFS(Master_PIC!$A$8:$A$73,$B98)=1,IF(VLOOKUP($B98,Master_PIC!$A$8:$G$73,2,FALSE)="","",VLOOKUP($B98,Master_PIC!$A$8:$G$73,2,FALSE)),"")</f>
        <v/>
      </c>
      <c r="D98" s="15" t="str">
        <f>IF(COUNTIFS(Master_PIC!$A$8:$A$73,$B98)=1,IF(VLOOKUP($B98,Master_PIC!$A$8:$G$73,4,FALSE)="","",VLOOKUP($B98,Master_PIC!$A$8:$G$73,4,FALSE)),"")</f>
        <v/>
      </c>
      <c r="E98" s="15" t="str">
        <f>IF(COUNTIFS(Master_PIC!$A$8:$A$73,$B98)=1,IF(VLOOKUP($B98,Master_PIC!$A$8:$G$73,5,FALSE)="","",VLOOKUP($B98,Master_PIC!$A$8:$G$73,5,FALSE)),"")</f>
        <v/>
      </c>
      <c r="F98" s="15" t="str">
        <f>IF(COUNTIFS(Master_PIC!$A$8:$A$73,$B98)=1,IF(VLOOKUP($B98,Master_PIC!$A$8:$G$73,6,FALSE)="","",VLOOKUP($B98,Master_PIC!$A$8:$G$73,6,FALSE)),"")</f>
        <v/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8"/>
      <c r="X98" s="5"/>
      <c r="Y98" s="5"/>
      <c r="Z98" s="9"/>
      <c r="AA98" s="5"/>
      <c r="AB98" s="5"/>
      <c r="AC98" s="9"/>
      <c r="AD98" s="5"/>
      <c r="AE98" s="7" t="str">
        <f t="shared" si="7"/>
        <v/>
      </c>
      <c r="AF98" s="7" t="str">
        <f t="shared" si="8"/>
        <v/>
      </c>
      <c r="AG98" s="7" t="str">
        <f t="shared" si="9"/>
        <v/>
      </c>
      <c r="AH98" s="7" t="str">
        <f t="shared" si="10"/>
        <v/>
      </c>
      <c r="AI98" s="7" t="str">
        <f t="shared" si="11"/>
        <v/>
      </c>
      <c r="AJ98" s="7" t="str">
        <f t="shared" si="12"/>
        <v/>
      </c>
      <c r="AK98" s="10" t="str">
        <f t="shared" si="13"/>
        <v/>
      </c>
      <c r="AL98" s="15" t="str">
        <f>IF(OR($A98&lt;&gt;"",$B98&lt;&gt;""),IF(OR($A98="",$B98=""),"Isi tanggal dan ID PIC",IF(NOT(ISNUMBER($A98)),"Tanggal harus berupa tanggal Excel",IF(COUNTIFS(Master_PIC!$A$8:$A$73,$B98)&lt;&gt;1,"ID PIC tidak unik/terdaftar",IF(VLOOKUP($B98,Master_PIC!$A$8:$G$73,3,FALSE)&lt;&gt;"ASM","Jabatan tidak sesuai sheet",IF(OR($C98="",$D98="",$E98="",$F98=""),"Lengkapi master PIC",IF(COUNTIFS($A$8:$A$507,$A98,$B$8:$B$507,$B98)&gt;1,"Laporan ganda",IF(COUNTIFS(G98:O98,"Tidak Berlaku")&gt;0,"N/A hanya untuk kegiatan bersyarat",IF(SUM(AF98,AG98,AH98,AI98,AJ98)&lt;&gt;13,"Status kegiatan tidak valid",IF(AJ98&gt;0,"Lengkapi status kegiatan",IF(AND(AI98&gt;0,T98=""),"Isi alasan Tidak Berlaku",IF(AND(SUM(AG98,AH98)&gt;0,OR(T98="",U98="",V98="",W98="")),"Isi kendala dan tindak lanjut",IF(AND(Y98&lt;&gt;"Draft",Y98&lt;&gt;"Dikirim"),"Isi status laporan yang valid",IF(AND(AA98&lt;&gt;"",AA98&lt;&gt;"Belum Diperiksa",AA98&lt;&gt;"Disetujui",AA98&lt;&gt;"Perlu Perbaikan"),"Hasil review tidak valid",IF(AND(Y98="Dikirim",OR(X98="",Z98="")),"Isi bukti dan waktu kirim",IF(AND(AA98="Disetujui",OR(Y98&lt;&gt;"Dikirim",AB98="",AC98="")),"Lengkapi pemeriksaan",IF(AND(AA98="Perlu Perbaikan",OR(AD98="",AB98="",AC98="")),"Isi pemeriksa dan catatan perbaikan","OK")))))))))))))))),"")</f>
        <v/>
      </c>
    </row>
    <row r="99" spans="1:38" ht="24.95" customHeight="1">
      <c r="A99" s="8"/>
      <c r="B99" s="6"/>
      <c r="C99" s="15" t="str">
        <f>IF(COUNTIFS(Master_PIC!$A$8:$A$73,$B99)=1,IF(VLOOKUP($B99,Master_PIC!$A$8:$G$73,2,FALSE)="","",VLOOKUP($B99,Master_PIC!$A$8:$G$73,2,FALSE)),"")</f>
        <v/>
      </c>
      <c r="D99" s="15" t="str">
        <f>IF(COUNTIFS(Master_PIC!$A$8:$A$73,$B99)=1,IF(VLOOKUP($B99,Master_PIC!$A$8:$G$73,4,FALSE)="","",VLOOKUP($B99,Master_PIC!$A$8:$G$73,4,FALSE)),"")</f>
        <v/>
      </c>
      <c r="E99" s="15" t="str">
        <f>IF(COUNTIFS(Master_PIC!$A$8:$A$73,$B99)=1,IF(VLOOKUP($B99,Master_PIC!$A$8:$G$73,5,FALSE)="","",VLOOKUP($B99,Master_PIC!$A$8:$G$73,5,FALSE)),"")</f>
        <v/>
      </c>
      <c r="F99" s="15" t="str">
        <f>IF(COUNTIFS(Master_PIC!$A$8:$A$73,$B99)=1,IF(VLOOKUP($B99,Master_PIC!$A$8:$G$73,6,FALSE)="","",VLOOKUP($B99,Master_PIC!$A$8:$G$73,6,FALSE)),"")</f>
        <v/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8"/>
      <c r="X99" s="5"/>
      <c r="Y99" s="5"/>
      <c r="Z99" s="9"/>
      <c r="AA99" s="5"/>
      <c r="AB99" s="5"/>
      <c r="AC99" s="9"/>
      <c r="AD99" s="5"/>
      <c r="AE99" s="7" t="str">
        <f t="shared" si="7"/>
        <v/>
      </c>
      <c r="AF99" s="7" t="str">
        <f t="shared" si="8"/>
        <v/>
      </c>
      <c r="AG99" s="7" t="str">
        <f t="shared" si="9"/>
        <v/>
      </c>
      <c r="AH99" s="7" t="str">
        <f t="shared" si="10"/>
        <v/>
      </c>
      <c r="AI99" s="7" t="str">
        <f t="shared" si="11"/>
        <v/>
      </c>
      <c r="AJ99" s="7" t="str">
        <f t="shared" si="12"/>
        <v/>
      </c>
      <c r="AK99" s="10" t="str">
        <f t="shared" si="13"/>
        <v/>
      </c>
      <c r="AL99" s="15" t="str">
        <f>IF(OR($A99&lt;&gt;"",$B99&lt;&gt;""),IF(OR($A99="",$B99=""),"Isi tanggal dan ID PIC",IF(NOT(ISNUMBER($A99)),"Tanggal harus berupa tanggal Excel",IF(COUNTIFS(Master_PIC!$A$8:$A$73,$B99)&lt;&gt;1,"ID PIC tidak unik/terdaftar",IF(VLOOKUP($B99,Master_PIC!$A$8:$G$73,3,FALSE)&lt;&gt;"ASM","Jabatan tidak sesuai sheet",IF(OR($C99="",$D99="",$E99="",$F99=""),"Lengkapi master PIC",IF(COUNTIFS($A$8:$A$507,$A99,$B$8:$B$507,$B99)&gt;1,"Laporan ganda",IF(COUNTIFS(G99:O99,"Tidak Berlaku")&gt;0,"N/A hanya untuk kegiatan bersyarat",IF(SUM(AF99,AG99,AH99,AI99,AJ99)&lt;&gt;13,"Status kegiatan tidak valid",IF(AJ99&gt;0,"Lengkapi status kegiatan",IF(AND(AI99&gt;0,T99=""),"Isi alasan Tidak Berlaku",IF(AND(SUM(AG99,AH99)&gt;0,OR(T99="",U99="",V99="",W99="")),"Isi kendala dan tindak lanjut",IF(AND(Y99&lt;&gt;"Draft",Y99&lt;&gt;"Dikirim"),"Isi status laporan yang valid",IF(AND(AA99&lt;&gt;"",AA99&lt;&gt;"Belum Diperiksa",AA99&lt;&gt;"Disetujui",AA99&lt;&gt;"Perlu Perbaikan"),"Hasil review tidak valid",IF(AND(Y99="Dikirim",OR(X99="",Z99="")),"Isi bukti dan waktu kirim",IF(AND(AA99="Disetujui",OR(Y99&lt;&gt;"Dikirim",AB99="",AC99="")),"Lengkapi pemeriksaan",IF(AND(AA99="Perlu Perbaikan",OR(AD99="",AB99="",AC99="")),"Isi pemeriksa dan catatan perbaikan","OK")))))))))))))))),"")</f>
        <v/>
      </c>
    </row>
    <row r="100" spans="1:38" ht="24.95" customHeight="1">
      <c r="A100" s="8"/>
      <c r="B100" s="6"/>
      <c r="C100" s="15" t="str">
        <f>IF(COUNTIFS(Master_PIC!$A$8:$A$73,$B100)=1,IF(VLOOKUP($B100,Master_PIC!$A$8:$G$73,2,FALSE)="","",VLOOKUP($B100,Master_PIC!$A$8:$G$73,2,FALSE)),"")</f>
        <v/>
      </c>
      <c r="D100" s="15" t="str">
        <f>IF(COUNTIFS(Master_PIC!$A$8:$A$73,$B100)=1,IF(VLOOKUP($B100,Master_PIC!$A$8:$G$73,4,FALSE)="","",VLOOKUP($B100,Master_PIC!$A$8:$G$73,4,FALSE)),"")</f>
        <v/>
      </c>
      <c r="E100" s="15" t="str">
        <f>IF(COUNTIFS(Master_PIC!$A$8:$A$73,$B100)=1,IF(VLOOKUP($B100,Master_PIC!$A$8:$G$73,5,FALSE)="","",VLOOKUP($B100,Master_PIC!$A$8:$G$73,5,FALSE)),"")</f>
        <v/>
      </c>
      <c r="F100" s="15" t="str">
        <f>IF(COUNTIFS(Master_PIC!$A$8:$A$73,$B100)=1,IF(VLOOKUP($B100,Master_PIC!$A$8:$G$73,6,FALSE)="","",VLOOKUP($B100,Master_PIC!$A$8:$G$73,6,FALSE)),"")</f>
        <v/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8"/>
      <c r="X100" s="5"/>
      <c r="Y100" s="5"/>
      <c r="Z100" s="9"/>
      <c r="AA100" s="5"/>
      <c r="AB100" s="5"/>
      <c r="AC100" s="9"/>
      <c r="AD100" s="5"/>
      <c r="AE100" s="7" t="str">
        <f t="shared" si="7"/>
        <v/>
      </c>
      <c r="AF100" s="7" t="str">
        <f t="shared" si="8"/>
        <v/>
      </c>
      <c r="AG100" s="7" t="str">
        <f t="shared" si="9"/>
        <v/>
      </c>
      <c r="AH100" s="7" t="str">
        <f t="shared" si="10"/>
        <v/>
      </c>
      <c r="AI100" s="7" t="str">
        <f t="shared" si="11"/>
        <v/>
      </c>
      <c r="AJ100" s="7" t="str">
        <f t="shared" si="12"/>
        <v/>
      </c>
      <c r="AK100" s="10" t="str">
        <f t="shared" si="13"/>
        <v/>
      </c>
      <c r="AL100" s="15" t="str">
        <f>IF(OR($A100&lt;&gt;"",$B100&lt;&gt;""),IF(OR($A100="",$B100=""),"Isi tanggal dan ID PIC",IF(NOT(ISNUMBER($A100)),"Tanggal harus berupa tanggal Excel",IF(COUNTIFS(Master_PIC!$A$8:$A$73,$B100)&lt;&gt;1,"ID PIC tidak unik/terdaftar",IF(VLOOKUP($B100,Master_PIC!$A$8:$G$73,3,FALSE)&lt;&gt;"ASM","Jabatan tidak sesuai sheet",IF(OR($C100="",$D100="",$E100="",$F100=""),"Lengkapi master PIC",IF(COUNTIFS($A$8:$A$507,$A100,$B$8:$B$507,$B100)&gt;1,"Laporan ganda",IF(COUNTIFS(G100:O100,"Tidak Berlaku")&gt;0,"N/A hanya untuk kegiatan bersyarat",IF(SUM(AF100,AG100,AH100,AI100,AJ100)&lt;&gt;13,"Status kegiatan tidak valid",IF(AJ100&gt;0,"Lengkapi status kegiatan",IF(AND(AI100&gt;0,T100=""),"Isi alasan Tidak Berlaku",IF(AND(SUM(AG100,AH100)&gt;0,OR(T100="",U100="",V100="",W100="")),"Isi kendala dan tindak lanjut",IF(AND(Y100&lt;&gt;"Draft",Y100&lt;&gt;"Dikirim"),"Isi status laporan yang valid",IF(AND(AA100&lt;&gt;"",AA100&lt;&gt;"Belum Diperiksa",AA100&lt;&gt;"Disetujui",AA100&lt;&gt;"Perlu Perbaikan"),"Hasil review tidak valid",IF(AND(Y100="Dikirim",OR(X100="",Z100="")),"Isi bukti dan waktu kirim",IF(AND(AA100="Disetujui",OR(Y100&lt;&gt;"Dikirim",AB100="",AC100="")),"Lengkapi pemeriksaan",IF(AND(AA100="Perlu Perbaikan",OR(AD100="",AB100="",AC100="")),"Isi pemeriksa dan catatan perbaikan","OK")))))))))))))))),"")</f>
        <v/>
      </c>
    </row>
    <row r="101" spans="1:38" ht="24.95" customHeight="1">
      <c r="A101" s="8"/>
      <c r="B101" s="6"/>
      <c r="C101" s="15" t="str">
        <f>IF(COUNTIFS(Master_PIC!$A$8:$A$73,$B101)=1,IF(VLOOKUP($B101,Master_PIC!$A$8:$G$73,2,FALSE)="","",VLOOKUP($B101,Master_PIC!$A$8:$G$73,2,FALSE)),"")</f>
        <v/>
      </c>
      <c r="D101" s="15" t="str">
        <f>IF(COUNTIFS(Master_PIC!$A$8:$A$73,$B101)=1,IF(VLOOKUP($B101,Master_PIC!$A$8:$G$73,4,FALSE)="","",VLOOKUP($B101,Master_PIC!$A$8:$G$73,4,FALSE)),"")</f>
        <v/>
      </c>
      <c r="E101" s="15" t="str">
        <f>IF(COUNTIFS(Master_PIC!$A$8:$A$73,$B101)=1,IF(VLOOKUP($B101,Master_PIC!$A$8:$G$73,5,FALSE)="","",VLOOKUP($B101,Master_PIC!$A$8:$G$73,5,FALSE)),"")</f>
        <v/>
      </c>
      <c r="F101" s="15" t="str">
        <f>IF(COUNTIFS(Master_PIC!$A$8:$A$73,$B101)=1,IF(VLOOKUP($B101,Master_PIC!$A$8:$G$73,6,FALSE)="","",VLOOKUP($B101,Master_PIC!$A$8:$G$73,6,FALSE)),"")</f>
        <v/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8"/>
      <c r="X101" s="5"/>
      <c r="Y101" s="5"/>
      <c r="Z101" s="9"/>
      <c r="AA101" s="5"/>
      <c r="AB101" s="5"/>
      <c r="AC101" s="9"/>
      <c r="AD101" s="5"/>
      <c r="AE101" s="7" t="str">
        <f t="shared" si="7"/>
        <v/>
      </c>
      <c r="AF101" s="7" t="str">
        <f t="shared" si="8"/>
        <v/>
      </c>
      <c r="AG101" s="7" t="str">
        <f t="shared" si="9"/>
        <v/>
      </c>
      <c r="AH101" s="7" t="str">
        <f t="shared" si="10"/>
        <v/>
      </c>
      <c r="AI101" s="7" t="str">
        <f t="shared" si="11"/>
        <v/>
      </c>
      <c r="AJ101" s="7" t="str">
        <f t="shared" si="12"/>
        <v/>
      </c>
      <c r="AK101" s="10" t="str">
        <f t="shared" si="13"/>
        <v/>
      </c>
      <c r="AL101" s="15" t="str">
        <f>IF(OR($A101&lt;&gt;"",$B101&lt;&gt;""),IF(OR($A101="",$B101=""),"Isi tanggal dan ID PIC",IF(NOT(ISNUMBER($A101)),"Tanggal harus berupa tanggal Excel",IF(COUNTIFS(Master_PIC!$A$8:$A$73,$B101)&lt;&gt;1,"ID PIC tidak unik/terdaftar",IF(VLOOKUP($B101,Master_PIC!$A$8:$G$73,3,FALSE)&lt;&gt;"ASM","Jabatan tidak sesuai sheet",IF(OR($C101="",$D101="",$E101="",$F101=""),"Lengkapi master PIC",IF(COUNTIFS($A$8:$A$507,$A101,$B$8:$B$507,$B101)&gt;1,"Laporan ganda",IF(COUNTIFS(G101:O101,"Tidak Berlaku")&gt;0,"N/A hanya untuk kegiatan bersyarat",IF(SUM(AF101,AG101,AH101,AI101,AJ101)&lt;&gt;13,"Status kegiatan tidak valid",IF(AJ101&gt;0,"Lengkapi status kegiatan",IF(AND(AI101&gt;0,T101=""),"Isi alasan Tidak Berlaku",IF(AND(SUM(AG101,AH101)&gt;0,OR(T101="",U101="",V101="",W101="")),"Isi kendala dan tindak lanjut",IF(AND(Y101&lt;&gt;"Draft",Y101&lt;&gt;"Dikirim"),"Isi status laporan yang valid",IF(AND(AA101&lt;&gt;"",AA101&lt;&gt;"Belum Diperiksa",AA101&lt;&gt;"Disetujui",AA101&lt;&gt;"Perlu Perbaikan"),"Hasil review tidak valid",IF(AND(Y101="Dikirim",OR(X101="",Z101="")),"Isi bukti dan waktu kirim",IF(AND(AA101="Disetujui",OR(Y101&lt;&gt;"Dikirim",AB101="",AC101="")),"Lengkapi pemeriksaan",IF(AND(AA101="Perlu Perbaikan",OR(AD101="",AB101="",AC101="")),"Isi pemeriksa dan catatan perbaikan","OK")))))))))))))))),"")</f>
        <v/>
      </c>
    </row>
    <row r="102" spans="1:38" ht="24.95" customHeight="1">
      <c r="A102" s="8"/>
      <c r="B102" s="6"/>
      <c r="C102" s="15" t="str">
        <f>IF(COUNTIFS(Master_PIC!$A$8:$A$73,$B102)=1,IF(VLOOKUP($B102,Master_PIC!$A$8:$G$73,2,FALSE)="","",VLOOKUP($B102,Master_PIC!$A$8:$G$73,2,FALSE)),"")</f>
        <v/>
      </c>
      <c r="D102" s="15" t="str">
        <f>IF(COUNTIFS(Master_PIC!$A$8:$A$73,$B102)=1,IF(VLOOKUP($B102,Master_PIC!$A$8:$G$73,4,FALSE)="","",VLOOKUP($B102,Master_PIC!$A$8:$G$73,4,FALSE)),"")</f>
        <v/>
      </c>
      <c r="E102" s="15" t="str">
        <f>IF(COUNTIFS(Master_PIC!$A$8:$A$73,$B102)=1,IF(VLOOKUP($B102,Master_PIC!$A$8:$G$73,5,FALSE)="","",VLOOKUP($B102,Master_PIC!$A$8:$G$73,5,FALSE)),"")</f>
        <v/>
      </c>
      <c r="F102" s="15" t="str">
        <f>IF(COUNTIFS(Master_PIC!$A$8:$A$73,$B102)=1,IF(VLOOKUP($B102,Master_PIC!$A$8:$G$73,6,FALSE)="","",VLOOKUP($B102,Master_PIC!$A$8:$G$73,6,FALSE)),"")</f>
        <v/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9"/>
      <c r="AA102" s="5"/>
      <c r="AB102" s="5"/>
      <c r="AC102" s="9"/>
      <c r="AD102" s="5"/>
      <c r="AE102" s="7" t="str">
        <f t="shared" si="7"/>
        <v/>
      </c>
      <c r="AF102" s="7" t="str">
        <f t="shared" si="8"/>
        <v/>
      </c>
      <c r="AG102" s="7" t="str">
        <f t="shared" si="9"/>
        <v/>
      </c>
      <c r="AH102" s="7" t="str">
        <f t="shared" si="10"/>
        <v/>
      </c>
      <c r="AI102" s="7" t="str">
        <f t="shared" si="11"/>
        <v/>
      </c>
      <c r="AJ102" s="7" t="str">
        <f t="shared" si="12"/>
        <v/>
      </c>
      <c r="AK102" s="10" t="str">
        <f t="shared" si="13"/>
        <v/>
      </c>
      <c r="AL102" s="15" t="str">
        <f>IF(OR($A102&lt;&gt;"",$B102&lt;&gt;""),IF(OR($A102="",$B102=""),"Isi tanggal dan ID PIC",IF(NOT(ISNUMBER($A102)),"Tanggal harus berupa tanggal Excel",IF(COUNTIFS(Master_PIC!$A$8:$A$73,$B102)&lt;&gt;1,"ID PIC tidak unik/terdaftar",IF(VLOOKUP($B102,Master_PIC!$A$8:$G$73,3,FALSE)&lt;&gt;"ASM","Jabatan tidak sesuai sheet",IF(OR($C102="",$D102="",$E102="",$F102=""),"Lengkapi master PIC",IF(COUNTIFS($A$8:$A$507,$A102,$B$8:$B$507,$B102)&gt;1,"Laporan ganda",IF(COUNTIFS(G102:O102,"Tidak Berlaku")&gt;0,"N/A hanya untuk kegiatan bersyarat",IF(SUM(AF102,AG102,AH102,AI102,AJ102)&lt;&gt;13,"Status kegiatan tidak valid",IF(AJ102&gt;0,"Lengkapi status kegiatan",IF(AND(AI102&gt;0,T102=""),"Isi alasan Tidak Berlaku",IF(AND(SUM(AG102,AH102)&gt;0,OR(T102="",U102="",V102="",W102="")),"Isi kendala dan tindak lanjut",IF(AND(Y102&lt;&gt;"Draft",Y102&lt;&gt;"Dikirim"),"Isi status laporan yang valid",IF(AND(AA102&lt;&gt;"",AA102&lt;&gt;"Belum Diperiksa",AA102&lt;&gt;"Disetujui",AA102&lt;&gt;"Perlu Perbaikan"),"Hasil review tidak valid",IF(AND(Y102="Dikirim",OR(X102="",Z102="")),"Isi bukti dan waktu kirim",IF(AND(AA102="Disetujui",OR(Y102&lt;&gt;"Dikirim",AB102="",AC102="")),"Lengkapi pemeriksaan",IF(AND(AA102="Perlu Perbaikan",OR(AD102="",AB102="",AC102="")),"Isi pemeriksa dan catatan perbaikan","OK")))))))))))))))),"")</f>
        <v/>
      </c>
    </row>
    <row r="103" spans="1:38" ht="24.95" customHeight="1">
      <c r="A103" s="8"/>
      <c r="B103" s="6"/>
      <c r="C103" s="15" t="str">
        <f>IF(COUNTIFS(Master_PIC!$A$8:$A$73,$B103)=1,IF(VLOOKUP($B103,Master_PIC!$A$8:$G$73,2,FALSE)="","",VLOOKUP($B103,Master_PIC!$A$8:$G$73,2,FALSE)),"")</f>
        <v/>
      </c>
      <c r="D103" s="15" t="str">
        <f>IF(COUNTIFS(Master_PIC!$A$8:$A$73,$B103)=1,IF(VLOOKUP($B103,Master_PIC!$A$8:$G$73,4,FALSE)="","",VLOOKUP($B103,Master_PIC!$A$8:$G$73,4,FALSE)),"")</f>
        <v/>
      </c>
      <c r="E103" s="15" t="str">
        <f>IF(COUNTIFS(Master_PIC!$A$8:$A$73,$B103)=1,IF(VLOOKUP($B103,Master_PIC!$A$8:$G$73,5,FALSE)="","",VLOOKUP($B103,Master_PIC!$A$8:$G$73,5,FALSE)),"")</f>
        <v/>
      </c>
      <c r="F103" s="15" t="str">
        <f>IF(COUNTIFS(Master_PIC!$A$8:$A$73,$B103)=1,IF(VLOOKUP($B103,Master_PIC!$A$8:$G$73,6,FALSE)="","",VLOOKUP($B103,Master_PIC!$A$8:$G$73,6,FALSE)),"")</f>
        <v/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8"/>
      <c r="X103" s="5"/>
      <c r="Y103" s="5"/>
      <c r="Z103" s="9"/>
      <c r="AA103" s="5"/>
      <c r="AB103" s="5"/>
      <c r="AC103" s="9"/>
      <c r="AD103" s="5"/>
      <c r="AE103" s="7" t="str">
        <f t="shared" si="7"/>
        <v/>
      </c>
      <c r="AF103" s="7" t="str">
        <f t="shared" si="8"/>
        <v/>
      </c>
      <c r="AG103" s="7" t="str">
        <f t="shared" si="9"/>
        <v/>
      </c>
      <c r="AH103" s="7" t="str">
        <f t="shared" si="10"/>
        <v/>
      </c>
      <c r="AI103" s="7" t="str">
        <f t="shared" si="11"/>
        <v/>
      </c>
      <c r="AJ103" s="7" t="str">
        <f t="shared" si="12"/>
        <v/>
      </c>
      <c r="AK103" s="10" t="str">
        <f t="shared" si="13"/>
        <v/>
      </c>
      <c r="AL103" s="15" t="str">
        <f>IF(OR($A103&lt;&gt;"",$B103&lt;&gt;""),IF(OR($A103="",$B103=""),"Isi tanggal dan ID PIC",IF(NOT(ISNUMBER($A103)),"Tanggal harus berupa tanggal Excel",IF(COUNTIFS(Master_PIC!$A$8:$A$73,$B103)&lt;&gt;1,"ID PIC tidak unik/terdaftar",IF(VLOOKUP($B103,Master_PIC!$A$8:$G$73,3,FALSE)&lt;&gt;"ASM","Jabatan tidak sesuai sheet",IF(OR($C103="",$D103="",$E103="",$F103=""),"Lengkapi master PIC",IF(COUNTIFS($A$8:$A$507,$A103,$B$8:$B$507,$B103)&gt;1,"Laporan ganda",IF(COUNTIFS(G103:O103,"Tidak Berlaku")&gt;0,"N/A hanya untuk kegiatan bersyarat",IF(SUM(AF103,AG103,AH103,AI103,AJ103)&lt;&gt;13,"Status kegiatan tidak valid",IF(AJ103&gt;0,"Lengkapi status kegiatan",IF(AND(AI103&gt;0,T103=""),"Isi alasan Tidak Berlaku",IF(AND(SUM(AG103,AH103)&gt;0,OR(T103="",U103="",V103="",W103="")),"Isi kendala dan tindak lanjut",IF(AND(Y103&lt;&gt;"Draft",Y103&lt;&gt;"Dikirim"),"Isi status laporan yang valid",IF(AND(AA103&lt;&gt;"",AA103&lt;&gt;"Belum Diperiksa",AA103&lt;&gt;"Disetujui",AA103&lt;&gt;"Perlu Perbaikan"),"Hasil review tidak valid",IF(AND(Y103="Dikirim",OR(X103="",Z103="")),"Isi bukti dan waktu kirim",IF(AND(AA103="Disetujui",OR(Y103&lt;&gt;"Dikirim",AB103="",AC103="")),"Lengkapi pemeriksaan",IF(AND(AA103="Perlu Perbaikan",OR(AD103="",AB103="",AC103="")),"Isi pemeriksa dan catatan perbaikan","OK")))))))))))))))),"")</f>
        <v/>
      </c>
    </row>
    <row r="104" spans="1:38" ht="24.95" customHeight="1">
      <c r="A104" s="8"/>
      <c r="B104" s="6"/>
      <c r="C104" s="15" t="str">
        <f>IF(COUNTIFS(Master_PIC!$A$8:$A$73,$B104)=1,IF(VLOOKUP($B104,Master_PIC!$A$8:$G$73,2,FALSE)="","",VLOOKUP($B104,Master_PIC!$A$8:$G$73,2,FALSE)),"")</f>
        <v/>
      </c>
      <c r="D104" s="15" t="str">
        <f>IF(COUNTIFS(Master_PIC!$A$8:$A$73,$B104)=1,IF(VLOOKUP($B104,Master_PIC!$A$8:$G$73,4,FALSE)="","",VLOOKUP($B104,Master_PIC!$A$8:$G$73,4,FALSE)),"")</f>
        <v/>
      </c>
      <c r="E104" s="15" t="str">
        <f>IF(COUNTIFS(Master_PIC!$A$8:$A$73,$B104)=1,IF(VLOOKUP($B104,Master_PIC!$A$8:$G$73,5,FALSE)="","",VLOOKUP($B104,Master_PIC!$A$8:$G$73,5,FALSE)),"")</f>
        <v/>
      </c>
      <c r="F104" s="15" t="str">
        <f>IF(COUNTIFS(Master_PIC!$A$8:$A$73,$B104)=1,IF(VLOOKUP($B104,Master_PIC!$A$8:$G$73,6,FALSE)="","",VLOOKUP($B104,Master_PIC!$A$8:$G$73,6,FALSE)),"")</f>
        <v/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8"/>
      <c r="X104" s="5"/>
      <c r="Y104" s="5"/>
      <c r="Z104" s="9"/>
      <c r="AA104" s="5"/>
      <c r="AB104" s="5"/>
      <c r="AC104" s="9"/>
      <c r="AD104" s="5"/>
      <c r="AE104" s="7" t="str">
        <f t="shared" si="7"/>
        <v/>
      </c>
      <c r="AF104" s="7" t="str">
        <f t="shared" si="8"/>
        <v/>
      </c>
      <c r="AG104" s="7" t="str">
        <f t="shared" si="9"/>
        <v/>
      </c>
      <c r="AH104" s="7" t="str">
        <f t="shared" si="10"/>
        <v/>
      </c>
      <c r="AI104" s="7" t="str">
        <f t="shared" si="11"/>
        <v/>
      </c>
      <c r="AJ104" s="7" t="str">
        <f t="shared" si="12"/>
        <v/>
      </c>
      <c r="AK104" s="10" t="str">
        <f t="shared" si="13"/>
        <v/>
      </c>
      <c r="AL104" s="15" t="str">
        <f>IF(OR($A104&lt;&gt;"",$B104&lt;&gt;""),IF(OR($A104="",$B104=""),"Isi tanggal dan ID PIC",IF(NOT(ISNUMBER($A104)),"Tanggal harus berupa tanggal Excel",IF(COUNTIFS(Master_PIC!$A$8:$A$73,$B104)&lt;&gt;1,"ID PIC tidak unik/terdaftar",IF(VLOOKUP($B104,Master_PIC!$A$8:$G$73,3,FALSE)&lt;&gt;"ASM","Jabatan tidak sesuai sheet",IF(OR($C104="",$D104="",$E104="",$F104=""),"Lengkapi master PIC",IF(COUNTIFS($A$8:$A$507,$A104,$B$8:$B$507,$B104)&gt;1,"Laporan ganda",IF(COUNTIFS(G104:O104,"Tidak Berlaku")&gt;0,"N/A hanya untuk kegiatan bersyarat",IF(SUM(AF104,AG104,AH104,AI104,AJ104)&lt;&gt;13,"Status kegiatan tidak valid",IF(AJ104&gt;0,"Lengkapi status kegiatan",IF(AND(AI104&gt;0,T104=""),"Isi alasan Tidak Berlaku",IF(AND(SUM(AG104,AH104)&gt;0,OR(T104="",U104="",V104="",W104="")),"Isi kendala dan tindak lanjut",IF(AND(Y104&lt;&gt;"Draft",Y104&lt;&gt;"Dikirim"),"Isi status laporan yang valid",IF(AND(AA104&lt;&gt;"",AA104&lt;&gt;"Belum Diperiksa",AA104&lt;&gt;"Disetujui",AA104&lt;&gt;"Perlu Perbaikan"),"Hasil review tidak valid",IF(AND(Y104="Dikirim",OR(X104="",Z104="")),"Isi bukti dan waktu kirim",IF(AND(AA104="Disetujui",OR(Y104&lt;&gt;"Dikirim",AB104="",AC104="")),"Lengkapi pemeriksaan",IF(AND(AA104="Perlu Perbaikan",OR(AD104="",AB104="",AC104="")),"Isi pemeriksa dan catatan perbaikan","OK")))))))))))))))),"")</f>
        <v/>
      </c>
    </row>
    <row r="105" spans="1:38" ht="24.95" customHeight="1">
      <c r="A105" s="8"/>
      <c r="B105" s="6"/>
      <c r="C105" s="15" t="str">
        <f>IF(COUNTIFS(Master_PIC!$A$8:$A$73,$B105)=1,IF(VLOOKUP($B105,Master_PIC!$A$8:$G$73,2,FALSE)="","",VLOOKUP($B105,Master_PIC!$A$8:$G$73,2,FALSE)),"")</f>
        <v/>
      </c>
      <c r="D105" s="15" t="str">
        <f>IF(COUNTIFS(Master_PIC!$A$8:$A$73,$B105)=1,IF(VLOOKUP($B105,Master_PIC!$A$8:$G$73,4,FALSE)="","",VLOOKUP($B105,Master_PIC!$A$8:$G$73,4,FALSE)),"")</f>
        <v/>
      </c>
      <c r="E105" s="15" t="str">
        <f>IF(COUNTIFS(Master_PIC!$A$8:$A$73,$B105)=1,IF(VLOOKUP($B105,Master_PIC!$A$8:$G$73,5,FALSE)="","",VLOOKUP($B105,Master_PIC!$A$8:$G$73,5,FALSE)),"")</f>
        <v/>
      </c>
      <c r="F105" s="15" t="str">
        <f>IF(COUNTIFS(Master_PIC!$A$8:$A$73,$B105)=1,IF(VLOOKUP($B105,Master_PIC!$A$8:$G$73,6,FALSE)="","",VLOOKUP($B105,Master_PIC!$A$8:$G$73,6,FALSE)),"")</f>
        <v/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8"/>
      <c r="X105" s="5"/>
      <c r="Y105" s="5"/>
      <c r="Z105" s="9"/>
      <c r="AA105" s="5"/>
      <c r="AB105" s="5"/>
      <c r="AC105" s="9"/>
      <c r="AD105" s="5"/>
      <c r="AE105" s="7" t="str">
        <f t="shared" si="7"/>
        <v/>
      </c>
      <c r="AF105" s="7" t="str">
        <f t="shared" si="8"/>
        <v/>
      </c>
      <c r="AG105" s="7" t="str">
        <f t="shared" si="9"/>
        <v/>
      </c>
      <c r="AH105" s="7" t="str">
        <f t="shared" si="10"/>
        <v/>
      </c>
      <c r="AI105" s="7" t="str">
        <f t="shared" si="11"/>
        <v/>
      </c>
      <c r="AJ105" s="7" t="str">
        <f t="shared" si="12"/>
        <v/>
      </c>
      <c r="AK105" s="10" t="str">
        <f t="shared" si="13"/>
        <v/>
      </c>
      <c r="AL105" s="15" t="str">
        <f>IF(OR($A105&lt;&gt;"",$B105&lt;&gt;""),IF(OR($A105="",$B105=""),"Isi tanggal dan ID PIC",IF(NOT(ISNUMBER($A105)),"Tanggal harus berupa tanggal Excel",IF(COUNTIFS(Master_PIC!$A$8:$A$73,$B105)&lt;&gt;1,"ID PIC tidak unik/terdaftar",IF(VLOOKUP($B105,Master_PIC!$A$8:$G$73,3,FALSE)&lt;&gt;"ASM","Jabatan tidak sesuai sheet",IF(OR($C105="",$D105="",$E105="",$F105=""),"Lengkapi master PIC",IF(COUNTIFS($A$8:$A$507,$A105,$B$8:$B$507,$B105)&gt;1,"Laporan ganda",IF(COUNTIFS(G105:O105,"Tidak Berlaku")&gt;0,"N/A hanya untuk kegiatan bersyarat",IF(SUM(AF105,AG105,AH105,AI105,AJ105)&lt;&gt;13,"Status kegiatan tidak valid",IF(AJ105&gt;0,"Lengkapi status kegiatan",IF(AND(AI105&gt;0,T105=""),"Isi alasan Tidak Berlaku",IF(AND(SUM(AG105,AH105)&gt;0,OR(T105="",U105="",V105="",W105="")),"Isi kendala dan tindak lanjut",IF(AND(Y105&lt;&gt;"Draft",Y105&lt;&gt;"Dikirim"),"Isi status laporan yang valid",IF(AND(AA105&lt;&gt;"",AA105&lt;&gt;"Belum Diperiksa",AA105&lt;&gt;"Disetujui",AA105&lt;&gt;"Perlu Perbaikan"),"Hasil review tidak valid",IF(AND(Y105="Dikirim",OR(X105="",Z105="")),"Isi bukti dan waktu kirim",IF(AND(AA105="Disetujui",OR(Y105&lt;&gt;"Dikirim",AB105="",AC105="")),"Lengkapi pemeriksaan",IF(AND(AA105="Perlu Perbaikan",OR(AD105="",AB105="",AC105="")),"Isi pemeriksa dan catatan perbaikan","OK")))))))))))))))),"")</f>
        <v/>
      </c>
    </row>
    <row r="106" spans="1:38" ht="24.95" customHeight="1">
      <c r="A106" s="8"/>
      <c r="B106" s="6"/>
      <c r="C106" s="15" t="str">
        <f>IF(COUNTIFS(Master_PIC!$A$8:$A$73,$B106)=1,IF(VLOOKUP($B106,Master_PIC!$A$8:$G$73,2,FALSE)="","",VLOOKUP($B106,Master_PIC!$A$8:$G$73,2,FALSE)),"")</f>
        <v/>
      </c>
      <c r="D106" s="15" t="str">
        <f>IF(COUNTIFS(Master_PIC!$A$8:$A$73,$B106)=1,IF(VLOOKUP($B106,Master_PIC!$A$8:$G$73,4,FALSE)="","",VLOOKUP($B106,Master_PIC!$A$8:$G$73,4,FALSE)),"")</f>
        <v/>
      </c>
      <c r="E106" s="15" t="str">
        <f>IF(COUNTIFS(Master_PIC!$A$8:$A$73,$B106)=1,IF(VLOOKUP($B106,Master_PIC!$A$8:$G$73,5,FALSE)="","",VLOOKUP($B106,Master_PIC!$A$8:$G$73,5,FALSE)),"")</f>
        <v/>
      </c>
      <c r="F106" s="15" t="str">
        <f>IF(COUNTIFS(Master_PIC!$A$8:$A$73,$B106)=1,IF(VLOOKUP($B106,Master_PIC!$A$8:$G$73,6,FALSE)="","",VLOOKUP($B106,Master_PIC!$A$8:$G$73,6,FALSE)),"")</f>
        <v/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9"/>
      <c r="AA106" s="5"/>
      <c r="AB106" s="5"/>
      <c r="AC106" s="9"/>
      <c r="AD106" s="5"/>
      <c r="AE106" s="7" t="str">
        <f t="shared" si="7"/>
        <v/>
      </c>
      <c r="AF106" s="7" t="str">
        <f t="shared" si="8"/>
        <v/>
      </c>
      <c r="AG106" s="7" t="str">
        <f t="shared" si="9"/>
        <v/>
      </c>
      <c r="AH106" s="7" t="str">
        <f t="shared" si="10"/>
        <v/>
      </c>
      <c r="AI106" s="7" t="str">
        <f t="shared" si="11"/>
        <v/>
      </c>
      <c r="AJ106" s="7" t="str">
        <f t="shared" si="12"/>
        <v/>
      </c>
      <c r="AK106" s="10" t="str">
        <f t="shared" si="13"/>
        <v/>
      </c>
      <c r="AL106" s="15" t="str">
        <f>IF(OR($A106&lt;&gt;"",$B106&lt;&gt;""),IF(OR($A106="",$B106=""),"Isi tanggal dan ID PIC",IF(NOT(ISNUMBER($A106)),"Tanggal harus berupa tanggal Excel",IF(COUNTIFS(Master_PIC!$A$8:$A$73,$B106)&lt;&gt;1,"ID PIC tidak unik/terdaftar",IF(VLOOKUP($B106,Master_PIC!$A$8:$G$73,3,FALSE)&lt;&gt;"ASM","Jabatan tidak sesuai sheet",IF(OR($C106="",$D106="",$E106="",$F106=""),"Lengkapi master PIC",IF(COUNTIFS($A$8:$A$507,$A106,$B$8:$B$507,$B106)&gt;1,"Laporan ganda",IF(COUNTIFS(G106:O106,"Tidak Berlaku")&gt;0,"N/A hanya untuk kegiatan bersyarat",IF(SUM(AF106,AG106,AH106,AI106,AJ106)&lt;&gt;13,"Status kegiatan tidak valid",IF(AJ106&gt;0,"Lengkapi status kegiatan",IF(AND(AI106&gt;0,T106=""),"Isi alasan Tidak Berlaku",IF(AND(SUM(AG106,AH106)&gt;0,OR(T106="",U106="",V106="",W106="")),"Isi kendala dan tindak lanjut",IF(AND(Y106&lt;&gt;"Draft",Y106&lt;&gt;"Dikirim"),"Isi status laporan yang valid",IF(AND(AA106&lt;&gt;"",AA106&lt;&gt;"Belum Diperiksa",AA106&lt;&gt;"Disetujui",AA106&lt;&gt;"Perlu Perbaikan"),"Hasil review tidak valid",IF(AND(Y106="Dikirim",OR(X106="",Z106="")),"Isi bukti dan waktu kirim",IF(AND(AA106="Disetujui",OR(Y106&lt;&gt;"Dikirim",AB106="",AC106="")),"Lengkapi pemeriksaan",IF(AND(AA106="Perlu Perbaikan",OR(AD106="",AB106="",AC106="")),"Isi pemeriksa dan catatan perbaikan","OK")))))))))))))))),"")</f>
        <v/>
      </c>
    </row>
    <row r="107" spans="1:38" ht="24.95" customHeight="1">
      <c r="A107" s="8"/>
      <c r="B107" s="6"/>
      <c r="C107" s="15" t="str">
        <f>IF(COUNTIFS(Master_PIC!$A$8:$A$73,$B107)=1,IF(VLOOKUP($B107,Master_PIC!$A$8:$G$73,2,FALSE)="","",VLOOKUP($B107,Master_PIC!$A$8:$G$73,2,FALSE)),"")</f>
        <v/>
      </c>
      <c r="D107" s="15" t="str">
        <f>IF(COUNTIFS(Master_PIC!$A$8:$A$73,$B107)=1,IF(VLOOKUP($B107,Master_PIC!$A$8:$G$73,4,FALSE)="","",VLOOKUP($B107,Master_PIC!$A$8:$G$73,4,FALSE)),"")</f>
        <v/>
      </c>
      <c r="E107" s="15" t="str">
        <f>IF(COUNTIFS(Master_PIC!$A$8:$A$73,$B107)=1,IF(VLOOKUP($B107,Master_PIC!$A$8:$G$73,5,FALSE)="","",VLOOKUP($B107,Master_PIC!$A$8:$G$73,5,FALSE)),"")</f>
        <v/>
      </c>
      <c r="F107" s="15" t="str">
        <f>IF(COUNTIFS(Master_PIC!$A$8:$A$73,$B107)=1,IF(VLOOKUP($B107,Master_PIC!$A$8:$G$73,6,FALSE)="","",VLOOKUP($B107,Master_PIC!$A$8:$G$73,6,FALSE)),"")</f>
        <v/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9"/>
      <c r="AA107" s="5"/>
      <c r="AB107" s="5"/>
      <c r="AC107" s="9"/>
      <c r="AD107" s="5"/>
      <c r="AE107" s="7" t="str">
        <f t="shared" si="7"/>
        <v/>
      </c>
      <c r="AF107" s="7" t="str">
        <f t="shared" si="8"/>
        <v/>
      </c>
      <c r="AG107" s="7" t="str">
        <f t="shared" si="9"/>
        <v/>
      </c>
      <c r="AH107" s="7" t="str">
        <f t="shared" si="10"/>
        <v/>
      </c>
      <c r="AI107" s="7" t="str">
        <f t="shared" si="11"/>
        <v/>
      </c>
      <c r="AJ107" s="7" t="str">
        <f t="shared" si="12"/>
        <v/>
      </c>
      <c r="AK107" s="10" t="str">
        <f t="shared" si="13"/>
        <v/>
      </c>
      <c r="AL107" s="15" t="str">
        <f>IF(OR($A107&lt;&gt;"",$B107&lt;&gt;""),IF(OR($A107="",$B107=""),"Isi tanggal dan ID PIC",IF(NOT(ISNUMBER($A107)),"Tanggal harus berupa tanggal Excel",IF(COUNTIFS(Master_PIC!$A$8:$A$73,$B107)&lt;&gt;1,"ID PIC tidak unik/terdaftar",IF(VLOOKUP($B107,Master_PIC!$A$8:$G$73,3,FALSE)&lt;&gt;"ASM","Jabatan tidak sesuai sheet",IF(OR($C107="",$D107="",$E107="",$F107=""),"Lengkapi master PIC",IF(COUNTIFS($A$8:$A$507,$A107,$B$8:$B$507,$B107)&gt;1,"Laporan ganda",IF(COUNTIFS(G107:O107,"Tidak Berlaku")&gt;0,"N/A hanya untuk kegiatan bersyarat",IF(SUM(AF107,AG107,AH107,AI107,AJ107)&lt;&gt;13,"Status kegiatan tidak valid",IF(AJ107&gt;0,"Lengkapi status kegiatan",IF(AND(AI107&gt;0,T107=""),"Isi alasan Tidak Berlaku",IF(AND(SUM(AG107,AH107)&gt;0,OR(T107="",U107="",V107="",W107="")),"Isi kendala dan tindak lanjut",IF(AND(Y107&lt;&gt;"Draft",Y107&lt;&gt;"Dikirim"),"Isi status laporan yang valid",IF(AND(AA107&lt;&gt;"",AA107&lt;&gt;"Belum Diperiksa",AA107&lt;&gt;"Disetujui",AA107&lt;&gt;"Perlu Perbaikan"),"Hasil review tidak valid",IF(AND(Y107="Dikirim",OR(X107="",Z107="")),"Isi bukti dan waktu kirim",IF(AND(AA107="Disetujui",OR(Y107&lt;&gt;"Dikirim",AB107="",AC107="")),"Lengkapi pemeriksaan",IF(AND(AA107="Perlu Perbaikan",OR(AD107="",AB107="",AC107="")),"Isi pemeriksa dan catatan perbaikan","OK")))))))))))))))),"")</f>
        <v/>
      </c>
    </row>
    <row r="108" spans="1:38" ht="24.95" customHeight="1">
      <c r="A108" s="8"/>
      <c r="B108" s="6"/>
      <c r="C108" s="15" t="str">
        <f>IF(COUNTIFS(Master_PIC!$A$8:$A$73,$B108)=1,IF(VLOOKUP($B108,Master_PIC!$A$8:$G$73,2,FALSE)="","",VLOOKUP($B108,Master_PIC!$A$8:$G$73,2,FALSE)),"")</f>
        <v/>
      </c>
      <c r="D108" s="15" t="str">
        <f>IF(COUNTIFS(Master_PIC!$A$8:$A$73,$B108)=1,IF(VLOOKUP($B108,Master_PIC!$A$8:$G$73,4,FALSE)="","",VLOOKUP($B108,Master_PIC!$A$8:$G$73,4,FALSE)),"")</f>
        <v/>
      </c>
      <c r="E108" s="15" t="str">
        <f>IF(COUNTIFS(Master_PIC!$A$8:$A$73,$B108)=1,IF(VLOOKUP($B108,Master_PIC!$A$8:$G$73,5,FALSE)="","",VLOOKUP($B108,Master_PIC!$A$8:$G$73,5,FALSE)),"")</f>
        <v/>
      </c>
      <c r="F108" s="15" t="str">
        <f>IF(COUNTIFS(Master_PIC!$A$8:$A$73,$B108)=1,IF(VLOOKUP($B108,Master_PIC!$A$8:$G$73,6,FALSE)="","",VLOOKUP($B108,Master_PIC!$A$8:$G$73,6,FALSE)),"")</f>
        <v/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9"/>
      <c r="AA108" s="5"/>
      <c r="AB108" s="5"/>
      <c r="AC108" s="9"/>
      <c r="AD108" s="5"/>
      <c r="AE108" s="7" t="str">
        <f t="shared" si="7"/>
        <v/>
      </c>
      <c r="AF108" s="7" t="str">
        <f t="shared" si="8"/>
        <v/>
      </c>
      <c r="AG108" s="7" t="str">
        <f t="shared" si="9"/>
        <v/>
      </c>
      <c r="AH108" s="7" t="str">
        <f t="shared" si="10"/>
        <v/>
      </c>
      <c r="AI108" s="7" t="str">
        <f t="shared" si="11"/>
        <v/>
      </c>
      <c r="AJ108" s="7" t="str">
        <f t="shared" si="12"/>
        <v/>
      </c>
      <c r="AK108" s="10" t="str">
        <f t="shared" si="13"/>
        <v/>
      </c>
      <c r="AL108" s="15" t="str">
        <f>IF(OR($A108&lt;&gt;"",$B108&lt;&gt;""),IF(OR($A108="",$B108=""),"Isi tanggal dan ID PIC",IF(NOT(ISNUMBER($A108)),"Tanggal harus berupa tanggal Excel",IF(COUNTIFS(Master_PIC!$A$8:$A$73,$B108)&lt;&gt;1,"ID PIC tidak unik/terdaftar",IF(VLOOKUP($B108,Master_PIC!$A$8:$G$73,3,FALSE)&lt;&gt;"ASM","Jabatan tidak sesuai sheet",IF(OR($C108="",$D108="",$E108="",$F108=""),"Lengkapi master PIC",IF(COUNTIFS($A$8:$A$507,$A108,$B$8:$B$507,$B108)&gt;1,"Laporan ganda",IF(COUNTIFS(G108:O108,"Tidak Berlaku")&gt;0,"N/A hanya untuk kegiatan bersyarat",IF(SUM(AF108,AG108,AH108,AI108,AJ108)&lt;&gt;13,"Status kegiatan tidak valid",IF(AJ108&gt;0,"Lengkapi status kegiatan",IF(AND(AI108&gt;0,T108=""),"Isi alasan Tidak Berlaku",IF(AND(SUM(AG108,AH108)&gt;0,OR(T108="",U108="",V108="",W108="")),"Isi kendala dan tindak lanjut",IF(AND(Y108&lt;&gt;"Draft",Y108&lt;&gt;"Dikirim"),"Isi status laporan yang valid",IF(AND(AA108&lt;&gt;"",AA108&lt;&gt;"Belum Diperiksa",AA108&lt;&gt;"Disetujui",AA108&lt;&gt;"Perlu Perbaikan"),"Hasil review tidak valid",IF(AND(Y108="Dikirim",OR(X108="",Z108="")),"Isi bukti dan waktu kirim",IF(AND(AA108="Disetujui",OR(Y108&lt;&gt;"Dikirim",AB108="",AC108="")),"Lengkapi pemeriksaan",IF(AND(AA108="Perlu Perbaikan",OR(AD108="",AB108="",AC108="")),"Isi pemeriksa dan catatan perbaikan","OK")))))))))))))))),"")</f>
        <v/>
      </c>
    </row>
    <row r="109" spans="1:38" ht="24.95" customHeight="1">
      <c r="A109" s="8"/>
      <c r="B109" s="6"/>
      <c r="C109" s="15" t="str">
        <f>IF(COUNTIFS(Master_PIC!$A$8:$A$73,$B109)=1,IF(VLOOKUP($B109,Master_PIC!$A$8:$G$73,2,FALSE)="","",VLOOKUP($B109,Master_PIC!$A$8:$G$73,2,FALSE)),"")</f>
        <v/>
      </c>
      <c r="D109" s="15" t="str">
        <f>IF(COUNTIFS(Master_PIC!$A$8:$A$73,$B109)=1,IF(VLOOKUP($B109,Master_PIC!$A$8:$G$73,4,FALSE)="","",VLOOKUP($B109,Master_PIC!$A$8:$G$73,4,FALSE)),"")</f>
        <v/>
      </c>
      <c r="E109" s="15" t="str">
        <f>IF(COUNTIFS(Master_PIC!$A$8:$A$73,$B109)=1,IF(VLOOKUP($B109,Master_PIC!$A$8:$G$73,5,FALSE)="","",VLOOKUP($B109,Master_PIC!$A$8:$G$73,5,FALSE)),"")</f>
        <v/>
      </c>
      <c r="F109" s="15" t="str">
        <f>IF(COUNTIFS(Master_PIC!$A$8:$A$73,$B109)=1,IF(VLOOKUP($B109,Master_PIC!$A$8:$G$73,6,FALSE)="","",VLOOKUP($B109,Master_PIC!$A$8:$G$73,6,FALSE)),"")</f>
        <v/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8"/>
      <c r="X109" s="5"/>
      <c r="Y109" s="5"/>
      <c r="Z109" s="9"/>
      <c r="AA109" s="5"/>
      <c r="AB109" s="5"/>
      <c r="AC109" s="9"/>
      <c r="AD109" s="5"/>
      <c r="AE109" s="7" t="str">
        <f t="shared" si="7"/>
        <v/>
      </c>
      <c r="AF109" s="7" t="str">
        <f t="shared" si="8"/>
        <v/>
      </c>
      <c r="AG109" s="7" t="str">
        <f t="shared" si="9"/>
        <v/>
      </c>
      <c r="AH109" s="7" t="str">
        <f t="shared" si="10"/>
        <v/>
      </c>
      <c r="AI109" s="7" t="str">
        <f t="shared" si="11"/>
        <v/>
      </c>
      <c r="AJ109" s="7" t="str">
        <f t="shared" si="12"/>
        <v/>
      </c>
      <c r="AK109" s="10" t="str">
        <f t="shared" si="13"/>
        <v/>
      </c>
      <c r="AL109" s="15" t="str">
        <f>IF(OR($A109&lt;&gt;"",$B109&lt;&gt;""),IF(OR($A109="",$B109=""),"Isi tanggal dan ID PIC",IF(NOT(ISNUMBER($A109)),"Tanggal harus berupa tanggal Excel",IF(COUNTIFS(Master_PIC!$A$8:$A$73,$B109)&lt;&gt;1,"ID PIC tidak unik/terdaftar",IF(VLOOKUP($B109,Master_PIC!$A$8:$G$73,3,FALSE)&lt;&gt;"ASM","Jabatan tidak sesuai sheet",IF(OR($C109="",$D109="",$E109="",$F109=""),"Lengkapi master PIC",IF(COUNTIFS($A$8:$A$507,$A109,$B$8:$B$507,$B109)&gt;1,"Laporan ganda",IF(COUNTIFS(G109:O109,"Tidak Berlaku")&gt;0,"N/A hanya untuk kegiatan bersyarat",IF(SUM(AF109,AG109,AH109,AI109,AJ109)&lt;&gt;13,"Status kegiatan tidak valid",IF(AJ109&gt;0,"Lengkapi status kegiatan",IF(AND(AI109&gt;0,T109=""),"Isi alasan Tidak Berlaku",IF(AND(SUM(AG109,AH109)&gt;0,OR(T109="",U109="",V109="",W109="")),"Isi kendala dan tindak lanjut",IF(AND(Y109&lt;&gt;"Draft",Y109&lt;&gt;"Dikirim"),"Isi status laporan yang valid",IF(AND(AA109&lt;&gt;"",AA109&lt;&gt;"Belum Diperiksa",AA109&lt;&gt;"Disetujui",AA109&lt;&gt;"Perlu Perbaikan"),"Hasil review tidak valid",IF(AND(Y109="Dikirim",OR(X109="",Z109="")),"Isi bukti dan waktu kirim",IF(AND(AA109="Disetujui",OR(Y109&lt;&gt;"Dikirim",AB109="",AC109="")),"Lengkapi pemeriksaan",IF(AND(AA109="Perlu Perbaikan",OR(AD109="",AB109="",AC109="")),"Isi pemeriksa dan catatan perbaikan","OK")))))))))))))))),"")</f>
        <v/>
      </c>
    </row>
    <row r="110" spans="1:38" ht="24.95" customHeight="1">
      <c r="A110" s="8"/>
      <c r="B110" s="6"/>
      <c r="C110" s="15" t="str">
        <f>IF(COUNTIFS(Master_PIC!$A$8:$A$73,$B110)=1,IF(VLOOKUP($B110,Master_PIC!$A$8:$G$73,2,FALSE)="","",VLOOKUP($B110,Master_PIC!$A$8:$G$73,2,FALSE)),"")</f>
        <v/>
      </c>
      <c r="D110" s="15" t="str">
        <f>IF(COUNTIFS(Master_PIC!$A$8:$A$73,$B110)=1,IF(VLOOKUP($B110,Master_PIC!$A$8:$G$73,4,FALSE)="","",VLOOKUP($B110,Master_PIC!$A$8:$G$73,4,FALSE)),"")</f>
        <v/>
      </c>
      <c r="E110" s="15" t="str">
        <f>IF(COUNTIFS(Master_PIC!$A$8:$A$73,$B110)=1,IF(VLOOKUP($B110,Master_PIC!$A$8:$G$73,5,FALSE)="","",VLOOKUP($B110,Master_PIC!$A$8:$G$73,5,FALSE)),"")</f>
        <v/>
      </c>
      <c r="F110" s="15" t="str">
        <f>IF(COUNTIFS(Master_PIC!$A$8:$A$73,$B110)=1,IF(VLOOKUP($B110,Master_PIC!$A$8:$G$73,6,FALSE)="","",VLOOKUP($B110,Master_PIC!$A$8:$G$73,6,FALSE)),"")</f>
        <v/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8"/>
      <c r="X110" s="5"/>
      <c r="Y110" s="5"/>
      <c r="Z110" s="9"/>
      <c r="AA110" s="5"/>
      <c r="AB110" s="5"/>
      <c r="AC110" s="9"/>
      <c r="AD110" s="5"/>
      <c r="AE110" s="7" t="str">
        <f t="shared" si="7"/>
        <v/>
      </c>
      <c r="AF110" s="7" t="str">
        <f t="shared" si="8"/>
        <v/>
      </c>
      <c r="AG110" s="7" t="str">
        <f t="shared" si="9"/>
        <v/>
      </c>
      <c r="AH110" s="7" t="str">
        <f t="shared" si="10"/>
        <v/>
      </c>
      <c r="AI110" s="7" t="str">
        <f t="shared" si="11"/>
        <v/>
      </c>
      <c r="AJ110" s="7" t="str">
        <f t="shared" si="12"/>
        <v/>
      </c>
      <c r="AK110" s="10" t="str">
        <f t="shared" si="13"/>
        <v/>
      </c>
      <c r="AL110" s="15" t="str">
        <f>IF(OR($A110&lt;&gt;"",$B110&lt;&gt;""),IF(OR($A110="",$B110=""),"Isi tanggal dan ID PIC",IF(NOT(ISNUMBER($A110)),"Tanggal harus berupa tanggal Excel",IF(COUNTIFS(Master_PIC!$A$8:$A$73,$B110)&lt;&gt;1,"ID PIC tidak unik/terdaftar",IF(VLOOKUP($B110,Master_PIC!$A$8:$G$73,3,FALSE)&lt;&gt;"ASM","Jabatan tidak sesuai sheet",IF(OR($C110="",$D110="",$E110="",$F110=""),"Lengkapi master PIC",IF(COUNTIFS($A$8:$A$507,$A110,$B$8:$B$507,$B110)&gt;1,"Laporan ganda",IF(COUNTIFS(G110:O110,"Tidak Berlaku")&gt;0,"N/A hanya untuk kegiatan bersyarat",IF(SUM(AF110,AG110,AH110,AI110,AJ110)&lt;&gt;13,"Status kegiatan tidak valid",IF(AJ110&gt;0,"Lengkapi status kegiatan",IF(AND(AI110&gt;0,T110=""),"Isi alasan Tidak Berlaku",IF(AND(SUM(AG110,AH110)&gt;0,OR(T110="",U110="",V110="",W110="")),"Isi kendala dan tindak lanjut",IF(AND(Y110&lt;&gt;"Draft",Y110&lt;&gt;"Dikirim"),"Isi status laporan yang valid",IF(AND(AA110&lt;&gt;"",AA110&lt;&gt;"Belum Diperiksa",AA110&lt;&gt;"Disetujui",AA110&lt;&gt;"Perlu Perbaikan"),"Hasil review tidak valid",IF(AND(Y110="Dikirim",OR(X110="",Z110="")),"Isi bukti dan waktu kirim",IF(AND(AA110="Disetujui",OR(Y110&lt;&gt;"Dikirim",AB110="",AC110="")),"Lengkapi pemeriksaan",IF(AND(AA110="Perlu Perbaikan",OR(AD110="",AB110="",AC110="")),"Isi pemeriksa dan catatan perbaikan","OK")))))))))))))))),"")</f>
        <v/>
      </c>
    </row>
    <row r="111" spans="1:38" ht="24.95" customHeight="1">
      <c r="A111" s="8"/>
      <c r="B111" s="6"/>
      <c r="C111" s="15" t="str">
        <f>IF(COUNTIFS(Master_PIC!$A$8:$A$73,$B111)=1,IF(VLOOKUP($B111,Master_PIC!$A$8:$G$73,2,FALSE)="","",VLOOKUP($B111,Master_PIC!$A$8:$G$73,2,FALSE)),"")</f>
        <v/>
      </c>
      <c r="D111" s="15" t="str">
        <f>IF(COUNTIFS(Master_PIC!$A$8:$A$73,$B111)=1,IF(VLOOKUP($B111,Master_PIC!$A$8:$G$73,4,FALSE)="","",VLOOKUP($B111,Master_PIC!$A$8:$G$73,4,FALSE)),"")</f>
        <v/>
      </c>
      <c r="E111" s="15" t="str">
        <f>IF(COUNTIFS(Master_PIC!$A$8:$A$73,$B111)=1,IF(VLOOKUP($B111,Master_PIC!$A$8:$G$73,5,FALSE)="","",VLOOKUP($B111,Master_PIC!$A$8:$G$73,5,FALSE)),"")</f>
        <v/>
      </c>
      <c r="F111" s="15" t="str">
        <f>IF(COUNTIFS(Master_PIC!$A$8:$A$73,$B111)=1,IF(VLOOKUP($B111,Master_PIC!$A$8:$G$73,6,FALSE)="","",VLOOKUP($B111,Master_PIC!$A$8:$G$73,6,FALSE)),"")</f>
        <v/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8"/>
      <c r="X111" s="5"/>
      <c r="Y111" s="5"/>
      <c r="Z111" s="9"/>
      <c r="AA111" s="5"/>
      <c r="AB111" s="5"/>
      <c r="AC111" s="9"/>
      <c r="AD111" s="5"/>
      <c r="AE111" s="7" t="str">
        <f t="shared" si="7"/>
        <v/>
      </c>
      <c r="AF111" s="7" t="str">
        <f t="shared" si="8"/>
        <v/>
      </c>
      <c r="AG111" s="7" t="str">
        <f t="shared" si="9"/>
        <v/>
      </c>
      <c r="AH111" s="7" t="str">
        <f t="shared" si="10"/>
        <v/>
      </c>
      <c r="AI111" s="7" t="str">
        <f t="shared" si="11"/>
        <v/>
      </c>
      <c r="AJ111" s="7" t="str">
        <f t="shared" si="12"/>
        <v/>
      </c>
      <c r="AK111" s="10" t="str">
        <f t="shared" si="13"/>
        <v/>
      </c>
      <c r="AL111" s="15" t="str">
        <f>IF(OR($A111&lt;&gt;"",$B111&lt;&gt;""),IF(OR($A111="",$B111=""),"Isi tanggal dan ID PIC",IF(NOT(ISNUMBER($A111)),"Tanggal harus berupa tanggal Excel",IF(COUNTIFS(Master_PIC!$A$8:$A$73,$B111)&lt;&gt;1,"ID PIC tidak unik/terdaftar",IF(VLOOKUP($B111,Master_PIC!$A$8:$G$73,3,FALSE)&lt;&gt;"ASM","Jabatan tidak sesuai sheet",IF(OR($C111="",$D111="",$E111="",$F111=""),"Lengkapi master PIC",IF(COUNTIFS($A$8:$A$507,$A111,$B$8:$B$507,$B111)&gt;1,"Laporan ganda",IF(COUNTIFS(G111:O111,"Tidak Berlaku")&gt;0,"N/A hanya untuk kegiatan bersyarat",IF(SUM(AF111,AG111,AH111,AI111,AJ111)&lt;&gt;13,"Status kegiatan tidak valid",IF(AJ111&gt;0,"Lengkapi status kegiatan",IF(AND(AI111&gt;0,T111=""),"Isi alasan Tidak Berlaku",IF(AND(SUM(AG111,AH111)&gt;0,OR(T111="",U111="",V111="",W111="")),"Isi kendala dan tindak lanjut",IF(AND(Y111&lt;&gt;"Draft",Y111&lt;&gt;"Dikirim"),"Isi status laporan yang valid",IF(AND(AA111&lt;&gt;"",AA111&lt;&gt;"Belum Diperiksa",AA111&lt;&gt;"Disetujui",AA111&lt;&gt;"Perlu Perbaikan"),"Hasil review tidak valid",IF(AND(Y111="Dikirim",OR(X111="",Z111="")),"Isi bukti dan waktu kirim",IF(AND(AA111="Disetujui",OR(Y111&lt;&gt;"Dikirim",AB111="",AC111="")),"Lengkapi pemeriksaan",IF(AND(AA111="Perlu Perbaikan",OR(AD111="",AB111="",AC111="")),"Isi pemeriksa dan catatan perbaikan","OK")))))))))))))))),"")</f>
        <v/>
      </c>
    </row>
    <row r="112" spans="1:38" ht="24.95" customHeight="1">
      <c r="A112" s="8"/>
      <c r="B112" s="6"/>
      <c r="C112" s="15" t="str">
        <f>IF(COUNTIFS(Master_PIC!$A$8:$A$73,$B112)=1,IF(VLOOKUP($B112,Master_PIC!$A$8:$G$73,2,FALSE)="","",VLOOKUP($B112,Master_PIC!$A$8:$G$73,2,FALSE)),"")</f>
        <v/>
      </c>
      <c r="D112" s="15" t="str">
        <f>IF(COUNTIFS(Master_PIC!$A$8:$A$73,$B112)=1,IF(VLOOKUP($B112,Master_PIC!$A$8:$G$73,4,FALSE)="","",VLOOKUP($B112,Master_PIC!$A$8:$G$73,4,FALSE)),"")</f>
        <v/>
      </c>
      <c r="E112" s="15" t="str">
        <f>IF(COUNTIFS(Master_PIC!$A$8:$A$73,$B112)=1,IF(VLOOKUP($B112,Master_PIC!$A$8:$G$73,5,FALSE)="","",VLOOKUP($B112,Master_PIC!$A$8:$G$73,5,FALSE)),"")</f>
        <v/>
      </c>
      <c r="F112" s="15" t="str">
        <f>IF(COUNTIFS(Master_PIC!$A$8:$A$73,$B112)=1,IF(VLOOKUP($B112,Master_PIC!$A$8:$G$73,6,FALSE)="","",VLOOKUP($B112,Master_PIC!$A$8:$G$73,6,FALSE)),"")</f>
        <v/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8"/>
      <c r="X112" s="5"/>
      <c r="Y112" s="5"/>
      <c r="Z112" s="9"/>
      <c r="AA112" s="5"/>
      <c r="AB112" s="5"/>
      <c r="AC112" s="9"/>
      <c r="AD112" s="5"/>
      <c r="AE112" s="7" t="str">
        <f t="shared" si="7"/>
        <v/>
      </c>
      <c r="AF112" s="7" t="str">
        <f t="shared" si="8"/>
        <v/>
      </c>
      <c r="AG112" s="7" t="str">
        <f t="shared" si="9"/>
        <v/>
      </c>
      <c r="AH112" s="7" t="str">
        <f t="shared" si="10"/>
        <v/>
      </c>
      <c r="AI112" s="7" t="str">
        <f t="shared" si="11"/>
        <v/>
      </c>
      <c r="AJ112" s="7" t="str">
        <f t="shared" si="12"/>
        <v/>
      </c>
      <c r="AK112" s="10" t="str">
        <f t="shared" si="13"/>
        <v/>
      </c>
      <c r="AL112" s="15" t="str">
        <f>IF(OR($A112&lt;&gt;"",$B112&lt;&gt;""),IF(OR($A112="",$B112=""),"Isi tanggal dan ID PIC",IF(NOT(ISNUMBER($A112)),"Tanggal harus berupa tanggal Excel",IF(COUNTIFS(Master_PIC!$A$8:$A$73,$B112)&lt;&gt;1,"ID PIC tidak unik/terdaftar",IF(VLOOKUP($B112,Master_PIC!$A$8:$G$73,3,FALSE)&lt;&gt;"ASM","Jabatan tidak sesuai sheet",IF(OR($C112="",$D112="",$E112="",$F112=""),"Lengkapi master PIC",IF(COUNTIFS($A$8:$A$507,$A112,$B$8:$B$507,$B112)&gt;1,"Laporan ganda",IF(COUNTIFS(G112:O112,"Tidak Berlaku")&gt;0,"N/A hanya untuk kegiatan bersyarat",IF(SUM(AF112,AG112,AH112,AI112,AJ112)&lt;&gt;13,"Status kegiatan tidak valid",IF(AJ112&gt;0,"Lengkapi status kegiatan",IF(AND(AI112&gt;0,T112=""),"Isi alasan Tidak Berlaku",IF(AND(SUM(AG112,AH112)&gt;0,OR(T112="",U112="",V112="",W112="")),"Isi kendala dan tindak lanjut",IF(AND(Y112&lt;&gt;"Draft",Y112&lt;&gt;"Dikirim"),"Isi status laporan yang valid",IF(AND(AA112&lt;&gt;"",AA112&lt;&gt;"Belum Diperiksa",AA112&lt;&gt;"Disetujui",AA112&lt;&gt;"Perlu Perbaikan"),"Hasil review tidak valid",IF(AND(Y112="Dikirim",OR(X112="",Z112="")),"Isi bukti dan waktu kirim",IF(AND(AA112="Disetujui",OR(Y112&lt;&gt;"Dikirim",AB112="",AC112="")),"Lengkapi pemeriksaan",IF(AND(AA112="Perlu Perbaikan",OR(AD112="",AB112="",AC112="")),"Isi pemeriksa dan catatan perbaikan","OK")))))))))))))))),"")</f>
        <v/>
      </c>
    </row>
    <row r="113" spans="1:38" ht="24.95" customHeight="1">
      <c r="A113" s="8"/>
      <c r="B113" s="6"/>
      <c r="C113" s="15" t="str">
        <f>IF(COUNTIFS(Master_PIC!$A$8:$A$73,$B113)=1,IF(VLOOKUP($B113,Master_PIC!$A$8:$G$73,2,FALSE)="","",VLOOKUP($B113,Master_PIC!$A$8:$G$73,2,FALSE)),"")</f>
        <v/>
      </c>
      <c r="D113" s="15" t="str">
        <f>IF(COUNTIFS(Master_PIC!$A$8:$A$73,$B113)=1,IF(VLOOKUP($B113,Master_PIC!$A$8:$G$73,4,FALSE)="","",VLOOKUP($B113,Master_PIC!$A$8:$G$73,4,FALSE)),"")</f>
        <v/>
      </c>
      <c r="E113" s="15" t="str">
        <f>IF(COUNTIFS(Master_PIC!$A$8:$A$73,$B113)=1,IF(VLOOKUP($B113,Master_PIC!$A$8:$G$73,5,FALSE)="","",VLOOKUP($B113,Master_PIC!$A$8:$G$73,5,FALSE)),"")</f>
        <v/>
      </c>
      <c r="F113" s="15" t="str">
        <f>IF(COUNTIFS(Master_PIC!$A$8:$A$73,$B113)=1,IF(VLOOKUP($B113,Master_PIC!$A$8:$G$73,6,FALSE)="","",VLOOKUP($B113,Master_PIC!$A$8:$G$73,6,FALSE)),"")</f>
        <v/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8"/>
      <c r="X113" s="5"/>
      <c r="Y113" s="5"/>
      <c r="Z113" s="9"/>
      <c r="AA113" s="5"/>
      <c r="AB113" s="5"/>
      <c r="AC113" s="9"/>
      <c r="AD113" s="5"/>
      <c r="AE113" s="7" t="str">
        <f t="shared" si="7"/>
        <v/>
      </c>
      <c r="AF113" s="7" t="str">
        <f t="shared" si="8"/>
        <v/>
      </c>
      <c r="AG113" s="7" t="str">
        <f t="shared" si="9"/>
        <v/>
      </c>
      <c r="AH113" s="7" t="str">
        <f t="shared" si="10"/>
        <v/>
      </c>
      <c r="AI113" s="7" t="str">
        <f t="shared" si="11"/>
        <v/>
      </c>
      <c r="AJ113" s="7" t="str">
        <f t="shared" si="12"/>
        <v/>
      </c>
      <c r="AK113" s="10" t="str">
        <f t="shared" si="13"/>
        <v/>
      </c>
      <c r="AL113" s="15" t="str">
        <f>IF(OR($A113&lt;&gt;"",$B113&lt;&gt;""),IF(OR($A113="",$B113=""),"Isi tanggal dan ID PIC",IF(NOT(ISNUMBER($A113)),"Tanggal harus berupa tanggal Excel",IF(COUNTIFS(Master_PIC!$A$8:$A$73,$B113)&lt;&gt;1,"ID PIC tidak unik/terdaftar",IF(VLOOKUP($B113,Master_PIC!$A$8:$G$73,3,FALSE)&lt;&gt;"ASM","Jabatan tidak sesuai sheet",IF(OR($C113="",$D113="",$E113="",$F113=""),"Lengkapi master PIC",IF(COUNTIFS($A$8:$A$507,$A113,$B$8:$B$507,$B113)&gt;1,"Laporan ganda",IF(COUNTIFS(G113:O113,"Tidak Berlaku")&gt;0,"N/A hanya untuk kegiatan bersyarat",IF(SUM(AF113,AG113,AH113,AI113,AJ113)&lt;&gt;13,"Status kegiatan tidak valid",IF(AJ113&gt;0,"Lengkapi status kegiatan",IF(AND(AI113&gt;0,T113=""),"Isi alasan Tidak Berlaku",IF(AND(SUM(AG113,AH113)&gt;0,OR(T113="",U113="",V113="",W113="")),"Isi kendala dan tindak lanjut",IF(AND(Y113&lt;&gt;"Draft",Y113&lt;&gt;"Dikirim"),"Isi status laporan yang valid",IF(AND(AA113&lt;&gt;"",AA113&lt;&gt;"Belum Diperiksa",AA113&lt;&gt;"Disetujui",AA113&lt;&gt;"Perlu Perbaikan"),"Hasil review tidak valid",IF(AND(Y113="Dikirim",OR(X113="",Z113="")),"Isi bukti dan waktu kirim",IF(AND(AA113="Disetujui",OR(Y113&lt;&gt;"Dikirim",AB113="",AC113="")),"Lengkapi pemeriksaan",IF(AND(AA113="Perlu Perbaikan",OR(AD113="",AB113="",AC113="")),"Isi pemeriksa dan catatan perbaikan","OK")))))))))))))))),"")</f>
        <v/>
      </c>
    </row>
    <row r="114" spans="1:38" ht="24.95" customHeight="1">
      <c r="A114" s="8"/>
      <c r="B114" s="6"/>
      <c r="C114" s="15" t="str">
        <f>IF(COUNTIFS(Master_PIC!$A$8:$A$73,$B114)=1,IF(VLOOKUP($B114,Master_PIC!$A$8:$G$73,2,FALSE)="","",VLOOKUP($B114,Master_PIC!$A$8:$G$73,2,FALSE)),"")</f>
        <v/>
      </c>
      <c r="D114" s="15" t="str">
        <f>IF(COUNTIFS(Master_PIC!$A$8:$A$73,$B114)=1,IF(VLOOKUP($B114,Master_PIC!$A$8:$G$73,4,FALSE)="","",VLOOKUP($B114,Master_PIC!$A$8:$G$73,4,FALSE)),"")</f>
        <v/>
      </c>
      <c r="E114" s="15" t="str">
        <f>IF(COUNTIFS(Master_PIC!$A$8:$A$73,$B114)=1,IF(VLOOKUP($B114,Master_PIC!$A$8:$G$73,5,FALSE)="","",VLOOKUP($B114,Master_PIC!$A$8:$G$73,5,FALSE)),"")</f>
        <v/>
      </c>
      <c r="F114" s="15" t="str">
        <f>IF(COUNTIFS(Master_PIC!$A$8:$A$73,$B114)=1,IF(VLOOKUP($B114,Master_PIC!$A$8:$G$73,6,FALSE)="","",VLOOKUP($B114,Master_PIC!$A$8:$G$73,6,FALSE)),"")</f>
        <v/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9"/>
      <c r="AA114" s="5"/>
      <c r="AB114" s="5"/>
      <c r="AC114" s="9"/>
      <c r="AD114" s="5"/>
      <c r="AE114" s="7" t="str">
        <f t="shared" si="7"/>
        <v/>
      </c>
      <c r="AF114" s="7" t="str">
        <f t="shared" si="8"/>
        <v/>
      </c>
      <c r="AG114" s="7" t="str">
        <f t="shared" si="9"/>
        <v/>
      </c>
      <c r="AH114" s="7" t="str">
        <f t="shared" si="10"/>
        <v/>
      </c>
      <c r="AI114" s="7" t="str">
        <f t="shared" si="11"/>
        <v/>
      </c>
      <c r="AJ114" s="7" t="str">
        <f t="shared" si="12"/>
        <v/>
      </c>
      <c r="AK114" s="10" t="str">
        <f t="shared" si="13"/>
        <v/>
      </c>
      <c r="AL114" s="15" t="str">
        <f>IF(OR($A114&lt;&gt;"",$B114&lt;&gt;""),IF(OR($A114="",$B114=""),"Isi tanggal dan ID PIC",IF(NOT(ISNUMBER($A114)),"Tanggal harus berupa tanggal Excel",IF(COUNTIFS(Master_PIC!$A$8:$A$73,$B114)&lt;&gt;1,"ID PIC tidak unik/terdaftar",IF(VLOOKUP($B114,Master_PIC!$A$8:$G$73,3,FALSE)&lt;&gt;"ASM","Jabatan tidak sesuai sheet",IF(OR($C114="",$D114="",$E114="",$F114=""),"Lengkapi master PIC",IF(COUNTIFS($A$8:$A$507,$A114,$B$8:$B$507,$B114)&gt;1,"Laporan ganda",IF(COUNTIFS(G114:O114,"Tidak Berlaku")&gt;0,"N/A hanya untuk kegiatan bersyarat",IF(SUM(AF114,AG114,AH114,AI114,AJ114)&lt;&gt;13,"Status kegiatan tidak valid",IF(AJ114&gt;0,"Lengkapi status kegiatan",IF(AND(AI114&gt;0,T114=""),"Isi alasan Tidak Berlaku",IF(AND(SUM(AG114,AH114)&gt;0,OR(T114="",U114="",V114="",W114="")),"Isi kendala dan tindak lanjut",IF(AND(Y114&lt;&gt;"Draft",Y114&lt;&gt;"Dikirim"),"Isi status laporan yang valid",IF(AND(AA114&lt;&gt;"",AA114&lt;&gt;"Belum Diperiksa",AA114&lt;&gt;"Disetujui",AA114&lt;&gt;"Perlu Perbaikan"),"Hasil review tidak valid",IF(AND(Y114="Dikirim",OR(X114="",Z114="")),"Isi bukti dan waktu kirim",IF(AND(AA114="Disetujui",OR(Y114&lt;&gt;"Dikirim",AB114="",AC114="")),"Lengkapi pemeriksaan",IF(AND(AA114="Perlu Perbaikan",OR(AD114="",AB114="",AC114="")),"Isi pemeriksa dan catatan perbaikan","OK")))))))))))))))),"")</f>
        <v/>
      </c>
    </row>
    <row r="115" spans="1:38" ht="24.95" customHeight="1">
      <c r="A115" s="8"/>
      <c r="B115" s="6"/>
      <c r="C115" s="15" t="str">
        <f>IF(COUNTIFS(Master_PIC!$A$8:$A$73,$B115)=1,IF(VLOOKUP($B115,Master_PIC!$A$8:$G$73,2,FALSE)="","",VLOOKUP($B115,Master_PIC!$A$8:$G$73,2,FALSE)),"")</f>
        <v/>
      </c>
      <c r="D115" s="15" t="str">
        <f>IF(COUNTIFS(Master_PIC!$A$8:$A$73,$B115)=1,IF(VLOOKUP($B115,Master_PIC!$A$8:$G$73,4,FALSE)="","",VLOOKUP($B115,Master_PIC!$A$8:$G$73,4,FALSE)),"")</f>
        <v/>
      </c>
      <c r="E115" s="15" t="str">
        <f>IF(COUNTIFS(Master_PIC!$A$8:$A$73,$B115)=1,IF(VLOOKUP($B115,Master_PIC!$A$8:$G$73,5,FALSE)="","",VLOOKUP($B115,Master_PIC!$A$8:$G$73,5,FALSE)),"")</f>
        <v/>
      </c>
      <c r="F115" s="15" t="str">
        <f>IF(COUNTIFS(Master_PIC!$A$8:$A$73,$B115)=1,IF(VLOOKUP($B115,Master_PIC!$A$8:$G$73,6,FALSE)="","",VLOOKUP($B115,Master_PIC!$A$8:$G$73,6,FALSE)),"")</f>
        <v/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9"/>
      <c r="AA115" s="5"/>
      <c r="AB115" s="5"/>
      <c r="AC115" s="9"/>
      <c r="AD115" s="5"/>
      <c r="AE115" s="7" t="str">
        <f t="shared" si="7"/>
        <v/>
      </c>
      <c r="AF115" s="7" t="str">
        <f t="shared" si="8"/>
        <v/>
      </c>
      <c r="AG115" s="7" t="str">
        <f t="shared" si="9"/>
        <v/>
      </c>
      <c r="AH115" s="7" t="str">
        <f t="shared" si="10"/>
        <v/>
      </c>
      <c r="AI115" s="7" t="str">
        <f t="shared" si="11"/>
        <v/>
      </c>
      <c r="AJ115" s="7" t="str">
        <f t="shared" si="12"/>
        <v/>
      </c>
      <c r="AK115" s="10" t="str">
        <f t="shared" si="13"/>
        <v/>
      </c>
      <c r="AL115" s="15" t="str">
        <f>IF(OR($A115&lt;&gt;"",$B115&lt;&gt;""),IF(OR($A115="",$B115=""),"Isi tanggal dan ID PIC",IF(NOT(ISNUMBER($A115)),"Tanggal harus berupa tanggal Excel",IF(COUNTIFS(Master_PIC!$A$8:$A$73,$B115)&lt;&gt;1,"ID PIC tidak unik/terdaftar",IF(VLOOKUP($B115,Master_PIC!$A$8:$G$73,3,FALSE)&lt;&gt;"ASM","Jabatan tidak sesuai sheet",IF(OR($C115="",$D115="",$E115="",$F115=""),"Lengkapi master PIC",IF(COUNTIFS($A$8:$A$507,$A115,$B$8:$B$507,$B115)&gt;1,"Laporan ganda",IF(COUNTIFS(G115:O115,"Tidak Berlaku")&gt;0,"N/A hanya untuk kegiatan bersyarat",IF(SUM(AF115,AG115,AH115,AI115,AJ115)&lt;&gt;13,"Status kegiatan tidak valid",IF(AJ115&gt;0,"Lengkapi status kegiatan",IF(AND(AI115&gt;0,T115=""),"Isi alasan Tidak Berlaku",IF(AND(SUM(AG115,AH115)&gt;0,OR(T115="",U115="",V115="",W115="")),"Isi kendala dan tindak lanjut",IF(AND(Y115&lt;&gt;"Draft",Y115&lt;&gt;"Dikirim"),"Isi status laporan yang valid",IF(AND(AA115&lt;&gt;"",AA115&lt;&gt;"Belum Diperiksa",AA115&lt;&gt;"Disetujui",AA115&lt;&gt;"Perlu Perbaikan"),"Hasil review tidak valid",IF(AND(Y115="Dikirim",OR(X115="",Z115="")),"Isi bukti dan waktu kirim",IF(AND(AA115="Disetujui",OR(Y115&lt;&gt;"Dikirim",AB115="",AC115="")),"Lengkapi pemeriksaan",IF(AND(AA115="Perlu Perbaikan",OR(AD115="",AB115="",AC115="")),"Isi pemeriksa dan catatan perbaikan","OK")))))))))))))))),"")</f>
        <v/>
      </c>
    </row>
    <row r="116" spans="1:38" ht="24.95" customHeight="1">
      <c r="A116" s="8"/>
      <c r="B116" s="6"/>
      <c r="C116" s="15" t="str">
        <f>IF(COUNTIFS(Master_PIC!$A$8:$A$73,$B116)=1,IF(VLOOKUP($B116,Master_PIC!$A$8:$G$73,2,FALSE)="","",VLOOKUP($B116,Master_PIC!$A$8:$G$73,2,FALSE)),"")</f>
        <v/>
      </c>
      <c r="D116" s="15" t="str">
        <f>IF(COUNTIFS(Master_PIC!$A$8:$A$73,$B116)=1,IF(VLOOKUP($B116,Master_PIC!$A$8:$G$73,4,FALSE)="","",VLOOKUP($B116,Master_PIC!$A$8:$G$73,4,FALSE)),"")</f>
        <v/>
      </c>
      <c r="E116" s="15" t="str">
        <f>IF(COUNTIFS(Master_PIC!$A$8:$A$73,$B116)=1,IF(VLOOKUP($B116,Master_PIC!$A$8:$G$73,5,FALSE)="","",VLOOKUP($B116,Master_PIC!$A$8:$G$73,5,FALSE)),"")</f>
        <v/>
      </c>
      <c r="F116" s="15" t="str">
        <f>IF(COUNTIFS(Master_PIC!$A$8:$A$73,$B116)=1,IF(VLOOKUP($B116,Master_PIC!$A$8:$G$73,6,FALSE)="","",VLOOKUP($B116,Master_PIC!$A$8:$G$73,6,FALSE)),"")</f>
        <v/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9"/>
      <c r="AA116" s="5"/>
      <c r="AB116" s="5"/>
      <c r="AC116" s="9"/>
      <c r="AD116" s="5"/>
      <c r="AE116" s="7" t="str">
        <f t="shared" si="7"/>
        <v/>
      </c>
      <c r="AF116" s="7" t="str">
        <f t="shared" si="8"/>
        <v/>
      </c>
      <c r="AG116" s="7" t="str">
        <f t="shared" si="9"/>
        <v/>
      </c>
      <c r="AH116" s="7" t="str">
        <f t="shared" si="10"/>
        <v/>
      </c>
      <c r="AI116" s="7" t="str">
        <f t="shared" si="11"/>
        <v/>
      </c>
      <c r="AJ116" s="7" t="str">
        <f t="shared" si="12"/>
        <v/>
      </c>
      <c r="AK116" s="10" t="str">
        <f t="shared" si="13"/>
        <v/>
      </c>
      <c r="AL116" s="15" t="str">
        <f>IF(OR($A116&lt;&gt;"",$B116&lt;&gt;""),IF(OR($A116="",$B116=""),"Isi tanggal dan ID PIC",IF(NOT(ISNUMBER($A116)),"Tanggal harus berupa tanggal Excel",IF(COUNTIFS(Master_PIC!$A$8:$A$73,$B116)&lt;&gt;1,"ID PIC tidak unik/terdaftar",IF(VLOOKUP($B116,Master_PIC!$A$8:$G$73,3,FALSE)&lt;&gt;"ASM","Jabatan tidak sesuai sheet",IF(OR($C116="",$D116="",$E116="",$F116=""),"Lengkapi master PIC",IF(COUNTIFS($A$8:$A$507,$A116,$B$8:$B$507,$B116)&gt;1,"Laporan ganda",IF(COUNTIFS(G116:O116,"Tidak Berlaku")&gt;0,"N/A hanya untuk kegiatan bersyarat",IF(SUM(AF116,AG116,AH116,AI116,AJ116)&lt;&gt;13,"Status kegiatan tidak valid",IF(AJ116&gt;0,"Lengkapi status kegiatan",IF(AND(AI116&gt;0,T116=""),"Isi alasan Tidak Berlaku",IF(AND(SUM(AG116,AH116)&gt;0,OR(T116="",U116="",V116="",W116="")),"Isi kendala dan tindak lanjut",IF(AND(Y116&lt;&gt;"Draft",Y116&lt;&gt;"Dikirim"),"Isi status laporan yang valid",IF(AND(AA116&lt;&gt;"",AA116&lt;&gt;"Belum Diperiksa",AA116&lt;&gt;"Disetujui",AA116&lt;&gt;"Perlu Perbaikan"),"Hasil review tidak valid",IF(AND(Y116="Dikirim",OR(X116="",Z116="")),"Isi bukti dan waktu kirim",IF(AND(AA116="Disetujui",OR(Y116&lt;&gt;"Dikirim",AB116="",AC116="")),"Lengkapi pemeriksaan",IF(AND(AA116="Perlu Perbaikan",OR(AD116="",AB116="",AC116="")),"Isi pemeriksa dan catatan perbaikan","OK")))))))))))))))),"")</f>
        <v/>
      </c>
    </row>
    <row r="117" spans="1:38" ht="24.95" customHeight="1">
      <c r="A117" s="8"/>
      <c r="B117" s="6"/>
      <c r="C117" s="15" t="str">
        <f>IF(COUNTIFS(Master_PIC!$A$8:$A$73,$B117)=1,IF(VLOOKUP($B117,Master_PIC!$A$8:$G$73,2,FALSE)="","",VLOOKUP($B117,Master_PIC!$A$8:$G$73,2,FALSE)),"")</f>
        <v/>
      </c>
      <c r="D117" s="15" t="str">
        <f>IF(COUNTIFS(Master_PIC!$A$8:$A$73,$B117)=1,IF(VLOOKUP($B117,Master_PIC!$A$8:$G$73,4,FALSE)="","",VLOOKUP($B117,Master_PIC!$A$8:$G$73,4,FALSE)),"")</f>
        <v/>
      </c>
      <c r="E117" s="15" t="str">
        <f>IF(COUNTIFS(Master_PIC!$A$8:$A$73,$B117)=1,IF(VLOOKUP($B117,Master_PIC!$A$8:$G$73,5,FALSE)="","",VLOOKUP($B117,Master_PIC!$A$8:$G$73,5,FALSE)),"")</f>
        <v/>
      </c>
      <c r="F117" s="15" t="str">
        <f>IF(COUNTIFS(Master_PIC!$A$8:$A$73,$B117)=1,IF(VLOOKUP($B117,Master_PIC!$A$8:$G$73,6,FALSE)="","",VLOOKUP($B117,Master_PIC!$A$8:$G$73,6,FALSE)),"")</f>
        <v/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8"/>
      <c r="X117" s="5"/>
      <c r="Y117" s="5"/>
      <c r="Z117" s="9"/>
      <c r="AA117" s="5"/>
      <c r="AB117" s="5"/>
      <c r="AC117" s="9"/>
      <c r="AD117" s="5"/>
      <c r="AE117" s="7" t="str">
        <f t="shared" si="7"/>
        <v/>
      </c>
      <c r="AF117" s="7" t="str">
        <f t="shared" si="8"/>
        <v/>
      </c>
      <c r="AG117" s="7" t="str">
        <f t="shared" si="9"/>
        <v/>
      </c>
      <c r="AH117" s="7" t="str">
        <f t="shared" si="10"/>
        <v/>
      </c>
      <c r="AI117" s="7" t="str">
        <f t="shared" si="11"/>
        <v/>
      </c>
      <c r="AJ117" s="7" t="str">
        <f t="shared" si="12"/>
        <v/>
      </c>
      <c r="AK117" s="10" t="str">
        <f t="shared" si="13"/>
        <v/>
      </c>
      <c r="AL117" s="15" t="str">
        <f>IF(OR($A117&lt;&gt;"",$B117&lt;&gt;""),IF(OR($A117="",$B117=""),"Isi tanggal dan ID PIC",IF(NOT(ISNUMBER($A117)),"Tanggal harus berupa tanggal Excel",IF(COUNTIFS(Master_PIC!$A$8:$A$73,$B117)&lt;&gt;1,"ID PIC tidak unik/terdaftar",IF(VLOOKUP($B117,Master_PIC!$A$8:$G$73,3,FALSE)&lt;&gt;"ASM","Jabatan tidak sesuai sheet",IF(OR($C117="",$D117="",$E117="",$F117=""),"Lengkapi master PIC",IF(COUNTIFS($A$8:$A$507,$A117,$B$8:$B$507,$B117)&gt;1,"Laporan ganda",IF(COUNTIFS(G117:O117,"Tidak Berlaku")&gt;0,"N/A hanya untuk kegiatan bersyarat",IF(SUM(AF117,AG117,AH117,AI117,AJ117)&lt;&gt;13,"Status kegiatan tidak valid",IF(AJ117&gt;0,"Lengkapi status kegiatan",IF(AND(AI117&gt;0,T117=""),"Isi alasan Tidak Berlaku",IF(AND(SUM(AG117,AH117)&gt;0,OR(T117="",U117="",V117="",W117="")),"Isi kendala dan tindak lanjut",IF(AND(Y117&lt;&gt;"Draft",Y117&lt;&gt;"Dikirim"),"Isi status laporan yang valid",IF(AND(AA117&lt;&gt;"",AA117&lt;&gt;"Belum Diperiksa",AA117&lt;&gt;"Disetujui",AA117&lt;&gt;"Perlu Perbaikan"),"Hasil review tidak valid",IF(AND(Y117="Dikirim",OR(X117="",Z117="")),"Isi bukti dan waktu kirim",IF(AND(AA117="Disetujui",OR(Y117&lt;&gt;"Dikirim",AB117="",AC117="")),"Lengkapi pemeriksaan",IF(AND(AA117="Perlu Perbaikan",OR(AD117="",AB117="",AC117="")),"Isi pemeriksa dan catatan perbaikan","OK")))))))))))))))),"")</f>
        <v/>
      </c>
    </row>
    <row r="118" spans="1:38" ht="24.95" customHeight="1">
      <c r="A118" s="8"/>
      <c r="B118" s="6"/>
      <c r="C118" s="15" t="str">
        <f>IF(COUNTIFS(Master_PIC!$A$8:$A$73,$B118)=1,IF(VLOOKUP($B118,Master_PIC!$A$8:$G$73,2,FALSE)="","",VLOOKUP($B118,Master_PIC!$A$8:$G$73,2,FALSE)),"")</f>
        <v/>
      </c>
      <c r="D118" s="15" t="str">
        <f>IF(COUNTIFS(Master_PIC!$A$8:$A$73,$B118)=1,IF(VLOOKUP($B118,Master_PIC!$A$8:$G$73,4,FALSE)="","",VLOOKUP($B118,Master_PIC!$A$8:$G$73,4,FALSE)),"")</f>
        <v/>
      </c>
      <c r="E118" s="15" t="str">
        <f>IF(COUNTIFS(Master_PIC!$A$8:$A$73,$B118)=1,IF(VLOOKUP($B118,Master_PIC!$A$8:$G$73,5,FALSE)="","",VLOOKUP($B118,Master_PIC!$A$8:$G$73,5,FALSE)),"")</f>
        <v/>
      </c>
      <c r="F118" s="15" t="str">
        <f>IF(COUNTIFS(Master_PIC!$A$8:$A$73,$B118)=1,IF(VLOOKUP($B118,Master_PIC!$A$8:$G$73,6,FALSE)="","",VLOOKUP($B118,Master_PIC!$A$8:$G$73,6,FALSE)),"")</f>
        <v/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8"/>
      <c r="X118" s="5"/>
      <c r="Y118" s="5"/>
      <c r="Z118" s="9"/>
      <c r="AA118" s="5"/>
      <c r="AB118" s="5"/>
      <c r="AC118" s="9"/>
      <c r="AD118" s="5"/>
      <c r="AE118" s="7" t="str">
        <f t="shared" si="7"/>
        <v/>
      </c>
      <c r="AF118" s="7" t="str">
        <f t="shared" si="8"/>
        <v/>
      </c>
      <c r="AG118" s="7" t="str">
        <f t="shared" si="9"/>
        <v/>
      </c>
      <c r="AH118" s="7" t="str">
        <f t="shared" si="10"/>
        <v/>
      </c>
      <c r="AI118" s="7" t="str">
        <f t="shared" si="11"/>
        <v/>
      </c>
      <c r="AJ118" s="7" t="str">
        <f t="shared" si="12"/>
        <v/>
      </c>
      <c r="AK118" s="10" t="str">
        <f t="shared" si="13"/>
        <v/>
      </c>
      <c r="AL118" s="15" t="str">
        <f>IF(OR($A118&lt;&gt;"",$B118&lt;&gt;""),IF(OR($A118="",$B118=""),"Isi tanggal dan ID PIC",IF(NOT(ISNUMBER($A118)),"Tanggal harus berupa tanggal Excel",IF(COUNTIFS(Master_PIC!$A$8:$A$73,$B118)&lt;&gt;1,"ID PIC tidak unik/terdaftar",IF(VLOOKUP($B118,Master_PIC!$A$8:$G$73,3,FALSE)&lt;&gt;"ASM","Jabatan tidak sesuai sheet",IF(OR($C118="",$D118="",$E118="",$F118=""),"Lengkapi master PIC",IF(COUNTIFS($A$8:$A$507,$A118,$B$8:$B$507,$B118)&gt;1,"Laporan ganda",IF(COUNTIFS(G118:O118,"Tidak Berlaku")&gt;0,"N/A hanya untuk kegiatan bersyarat",IF(SUM(AF118,AG118,AH118,AI118,AJ118)&lt;&gt;13,"Status kegiatan tidak valid",IF(AJ118&gt;0,"Lengkapi status kegiatan",IF(AND(AI118&gt;0,T118=""),"Isi alasan Tidak Berlaku",IF(AND(SUM(AG118,AH118)&gt;0,OR(T118="",U118="",V118="",W118="")),"Isi kendala dan tindak lanjut",IF(AND(Y118&lt;&gt;"Draft",Y118&lt;&gt;"Dikirim"),"Isi status laporan yang valid",IF(AND(AA118&lt;&gt;"",AA118&lt;&gt;"Belum Diperiksa",AA118&lt;&gt;"Disetujui",AA118&lt;&gt;"Perlu Perbaikan"),"Hasil review tidak valid",IF(AND(Y118="Dikirim",OR(X118="",Z118="")),"Isi bukti dan waktu kirim",IF(AND(AA118="Disetujui",OR(Y118&lt;&gt;"Dikirim",AB118="",AC118="")),"Lengkapi pemeriksaan",IF(AND(AA118="Perlu Perbaikan",OR(AD118="",AB118="",AC118="")),"Isi pemeriksa dan catatan perbaikan","OK")))))))))))))))),"")</f>
        <v/>
      </c>
    </row>
    <row r="119" spans="1:38" ht="24.95" customHeight="1">
      <c r="A119" s="8"/>
      <c r="B119" s="6"/>
      <c r="C119" s="15" t="str">
        <f>IF(COUNTIFS(Master_PIC!$A$8:$A$73,$B119)=1,IF(VLOOKUP($B119,Master_PIC!$A$8:$G$73,2,FALSE)="","",VLOOKUP($B119,Master_PIC!$A$8:$G$73,2,FALSE)),"")</f>
        <v/>
      </c>
      <c r="D119" s="15" t="str">
        <f>IF(COUNTIFS(Master_PIC!$A$8:$A$73,$B119)=1,IF(VLOOKUP($B119,Master_PIC!$A$8:$G$73,4,FALSE)="","",VLOOKUP($B119,Master_PIC!$A$8:$G$73,4,FALSE)),"")</f>
        <v/>
      </c>
      <c r="E119" s="15" t="str">
        <f>IF(COUNTIFS(Master_PIC!$A$8:$A$73,$B119)=1,IF(VLOOKUP($B119,Master_PIC!$A$8:$G$73,5,FALSE)="","",VLOOKUP($B119,Master_PIC!$A$8:$G$73,5,FALSE)),"")</f>
        <v/>
      </c>
      <c r="F119" s="15" t="str">
        <f>IF(COUNTIFS(Master_PIC!$A$8:$A$73,$B119)=1,IF(VLOOKUP($B119,Master_PIC!$A$8:$G$73,6,FALSE)="","",VLOOKUP($B119,Master_PIC!$A$8:$G$73,6,FALSE)),"")</f>
        <v/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8"/>
      <c r="X119" s="5"/>
      <c r="Y119" s="5"/>
      <c r="Z119" s="9"/>
      <c r="AA119" s="5"/>
      <c r="AB119" s="5"/>
      <c r="AC119" s="9"/>
      <c r="AD119" s="5"/>
      <c r="AE119" s="7" t="str">
        <f t="shared" si="7"/>
        <v/>
      </c>
      <c r="AF119" s="7" t="str">
        <f t="shared" si="8"/>
        <v/>
      </c>
      <c r="AG119" s="7" t="str">
        <f t="shared" si="9"/>
        <v/>
      </c>
      <c r="AH119" s="7" t="str">
        <f t="shared" si="10"/>
        <v/>
      </c>
      <c r="AI119" s="7" t="str">
        <f t="shared" si="11"/>
        <v/>
      </c>
      <c r="AJ119" s="7" t="str">
        <f t="shared" si="12"/>
        <v/>
      </c>
      <c r="AK119" s="10" t="str">
        <f t="shared" si="13"/>
        <v/>
      </c>
      <c r="AL119" s="15" t="str">
        <f>IF(OR($A119&lt;&gt;"",$B119&lt;&gt;""),IF(OR($A119="",$B119=""),"Isi tanggal dan ID PIC",IF(NOT(ISNUMBER($A119)),"Tanggal harus berupa tanggal Excel",IF(COUNTIFS(Master_PIC!$A$8:$A$73,$B119)&lt;&gt;1,"ID PIC tidak unik/terdaftar",IF(VLOOKUP($B119,Master_PIC!$A$8:$G$73,3,FALSE)&lt;&gt;"ASM","Jabatan tidak sesuai sheet",IF(OR($C119="",$D119="",$E119="",$F119=""),"Lengkapi master PIC",IF(COUNTIFS($A$8:$A$507,$A119,$B$8:$B$507,$B119)&gt;1,"Laporan ganda",IF(COUNTIFS(G119:O119,"Tidak Berlaku")&gt;0,"N/A hanya untuk kegiatan bersyarat",IF(SUM(AF119,AG119,AH119,AI119,AJ119)&lt;&gt;13,"Status kegiatan tidak valid",IF(AJ119&gt;0,"Lengkapi status kegiatan",IF(AND(AI119&gt;0,T119=""),"Isi alasan Tidak Berlaku",IF(AND(SUM(AG119,AH119)&gt;0,OR(T119="",U119="",V119="",W119="")),"Isi kendala dan tindak lanjut",IF(AND(Y119&lt;&gt;"Draft",Y119&lt;&gt;"Dikirim"),"Isi status laporan yang valid",IF(AND(AA119&lt;&gt;"",AA119&lt;&gt;"Belum Diperiksa",AA119&lt;&gt;"Disetujui",AA119&lt;&gt;"Perlu Perbaikan"),"Hasil review tidak valid",IF(AND(Y119="Dikirim",OR(X119="",Z119="")),"Isi bukti dan waktu kirim",IF(AND(AA119="Disetujui",OR(Y119&lt;&gt;"Dikirim",AB119="",AC119="")),"Lengkapi pemeriksaan",IF(AND(AA119="Perlu Perbaikan",OR(AD119="",AB119="",AC119="")),"Isi pemeriksa dan catatan perbaikan","OK")))))))))))))))),"")</f>
        <v/>
      </c>
    </row>
    <row r="120" spans="1:38" ht="24.95" customHeight="1">
      <c r="A120" s="8"/>
      <c r="B120" s="6"/>
      <c r="C120" s="15" t="str">
        <f>IF(COUNTIFS(Master_PIC!$A$8:$A$73,$B120)=1,IF(VLOOKUP($B120,Master_PIC!$A$8:$G$73,2,FALSE)="","",VLOOKUP($B120,Master_PIC!$A$8:$G$73,2,FALSE)),"")</f>
        <v/>
      </c>
      <c r="D120" s="15" t="str">
        <f>IF(COUNTIFS(Master_PIC!$A$8:$A$73,$B120)=1,IF(VLOOKUP($B120,Master_PIC!$A$8:$G$73,4,FALSE)="","",VLOOKUP($B120,Master_PIC!$A$8:$G$73,4,FALSE)),"")</f>
        <v/>
      </c>
      <c r="E120" s="15" t="str">
        <f>IF(COUNTIFS(Master_PIC!$A$8:$A$73,$B120)=1,IF(VLOOKUP($B120,Master_PIC!$A$8:$G$73,5,FALSE)="","",VLOOKUP($B120,Master_PIC!$A$8:$G$73,5,FALSE)),"")</f>
        <v/>
      </c>
      <c r="F120" s="15" t="str">
        <f>IF(COUNTIFS(Master_PIC!$A$8:$A$73,$B120)=1,IF(VLOOKUP($B120,Master_PIC!$A$8:$G$73,6,FALSE)="","",VLOOKUP($B120,Master_PIC!$A$8:$G$73,6,FALSE)),"")</f>
        <v/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8"/>
      <c r="X120" s="5"/>
      <c r="Y120" s="5"/>
      <c r="Z120" s="9"/>
      <c r="AA120" s="5"/>
      <c r="AB120" s="5"/>
      <c r="AC120" s="9"/>
      <c r="AD120" s="5"/>
      <c r="AE120" s="7" t="str">
        <f t="shared" si="7"/>
        <v/>
      </c>
      <c r="AF120" s="7" t="str">
        <f t="shared" si="8"/>
        <v/>
      </c>
      <c r="AG120" s="7" t="str">
        <f t="shared" si="9"/>
        <v/>
      </c>
      <c r="AH120" s="7" t="str">
        <f t="shared" si="10"/>
        <v/>
      </c>
      <c r="AI120" s="7" t="str">
        <f t="shared" si="11"/>
        <v/>
      </c>
      <c r="AJ120" s="7" t="str">
        <f t="shared" si="12"/>
        <v/>
      </c>
      <c r="AK120" s="10" t="str">
        <f t="shared" si="13"/>
        <v/>
      </c>
      <c r="AL120" s="15" t="str">
        <f>IF(OR($A120&lt;&gt;"",$B120&lt;&gt;""),IF(OR($A120="",$B120=""),"Isi tanggal dan ID PIC",IF(NOT(ISNUMBER($A120)),"Tanggal harus berupa tanggal Excel",IF(COUNTIFS(Master_PIC!$A$8:$A$73,$B120)&lt;&gt;1,"ID PIC tidak unik/terdaftar",IF(VLOOKUP($B120,Master_PIC!$A$8:$G$73,3,FALSE)&lt;&gt;"ASM","Jabatan tidak sesuai sheet",IF(OR($C120="",$D120="",$E120="",$F120=""),"Lengkapi master PIC",IF(COUNTIFS($A$8:$A$507,$A120,$B$8:$B$507,$B120)&gt;1,"Laporan ganda",IF(COUNTIFS(G120:O120,"Tidak Berlaku")&gt;0,"N/A hanya untuk kegiatan bersyarat",IF(SUM(AF120,AG120,AH120,AI120,AJ120)&lt;&gt;13,"Status kegiatan tidak valid",IF(AJ120&gt;0,"Lengkapi status kegiatan",IF(AND(AI120&gt;0,T120=""),"Isi alasan Tidak Berlaku",IF(AND(SUM(AG120,AH120)&gt;0,OR(T120="",U120="",V120="",W120="")),"Isi kendala dan tindak lanjut",IF(AND(Y120&lt;&gt;"Draft",Y120&lt;&gt;"Dikirim"),"Isi status laporan yang valid",IF(AND(AA120&lt;&gt;"",AA120&lt;&gt;"Belum Diperiksa",AA120&lt;&gt;"Disetujui",AA120&lt;&gt;"Perlu Perbaikan"),"Hasil review tidak valid",IF(AND(Y120="Dikirim",OR(X120="",Z120="")),"Isi bukti dan waktu kirim",IF(AND(AA120="Disetujui",OR(Y120&lt;&gt;"Dikirim",AB120="",AC120="")),"Lengkapi pemeriksaan",IF(AND(AA120="Perlu Perbaikan",OR(AD120="",AB120="",AC120="")),"Isi pemeriksa dan catatan perbaikan","OK")))))))))))))))),"")</f>
        <v/>
      </c>
    </row>
    <row r="121" spans="1:38" ht="24.95" customHeight="1">
      <c r="A121" s="8"/>
      <c r="B121" s="6"/>
      <c r="C121" s="15" t="str">
        <f>IF(COUNTIFS(Master_PIC!$A$8:$A$73,$B121)=1,IF(VLOOKUP($B121,Master_PIC!$A$8:$G$73,2,FALSE)="","",VLOOKUP($B121,Master_PIC!$A$8:$G$73,2,FALSE)),"")</f>
        <v/>
      </c>
      <c r="D121" s="15" t="str">
        <f>IF(COUNTIFS(Master_PIC!$A$8:$A$73,$B121)=1,IF(VLOOKUP($B121,Master_PIC!$A$8:$G$73,4,FALSE)="","",VLOOKUP($B121,Master_PIC!$A$8:$G$73,4,FALSE)),"")</f>
        <v/>
      </c>
      <c r="E121" s="15" t="str">
        <f>IF(COUNTIFS(Master_PIC!$A$8:$A$73,$B121)=1,IF(VLOOKUP($B121,Master_PIC!$A$8:$G$73,5,FALSE)="","",VLOOKUP($B121,Master_PIC!$A$8:$G$73,5,FALSE)),"")</f>
        <v/>
      </c>
      <c r="F121" s="15" t="str">
        <f>IF(COUNTIFS(Master_PIC!$A$8:$A$73,$B121)=1,IF(VLOOKUP($B121,Master_PIC!$A$8:$G$73,6,FALSE)="","",VLOOKUP($B121,Master_PIC!$A$8:$G$73,6,FALSE)),"")</f>
        <v/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8"/>
      <c r="X121" s="5"/>
      <c r="Y121" s="5"/>
      <c r="Z121" s="9"/>
      <c r="AA121" s="5"/>
      <c r="AB121" s="5"/>
      <c r="AC121" s="9"/>
      <c r="AD121" s="5"/>
      <c r="AE121" s="7" t="str">
        <f t="shared" si="7"/>
        <v/>
      </c>
      <c r="AF121" s="7" t="str">
        <f t="shared" si="8"/>
        <v/>
      </c>
      <c r="AG121" s="7" t="str">
        <f t="shared" si="9"/>
        <v/>
      </c>
      <c r="AH121" s="7" t="str">
        <f t="shared" si="10"/>
        <v/>
      </c>
      <c r="AI121" s="7" t="str">
        <f t="shared" si="11"/>
        <v/>
      </c>
      <c r="AJ121" s="7" t="str">
        <f t="shared" si="12"/>
        <v/>
      </c>
      <c r="AK121" s="10" t="str">
        <f t="shared" si="13"/>
        <v/>
      </c>
      <c r="AL121" s="15" t="str">
        <f>IF(OR($A121&lt;&gt;"",$B121&lt;&gt;""),IF(OR($A121="",$B121=""),"Isi tanggal dan ID PIC",IF(NOT(ISNUMBER($A121)),"Tanggal harus berupa tanggal Excel",IF(COUNTIFS(Master_PIC!$A$8:$A$73,$B121)&lt;&gt;1,"ID PIC tidak unik/terdaftar",IF(VLOOKUP($B121,Master_PIC!$A$8:$G$73,3,FALSE)&lt;&gt;"ASM","Jabatan tidak sesuai sheet",IF(OR($C121="",$D121="",$E121="",$F121=""),"Lengkapi master PIC",IF(COUNTIFS($A$8:$A$507,$A121,$B$8:$B$507,$B121)&gt;1,"Laporan ganda",IF(COUNTIFS(G121:O121,"Tidak Berlaku")&gt;0,"N/A hanya untuk kegiatan bersyarat",IF(SUM(AF121,AG121,AH121,AI121,AJ121)&lt;&gt;13,"Status kegiatan tidak valid",IF(AJ121&gt;0,"Lengkapi status kegiatan",IF(AND(AI121&gt;0,T121=""),"Isi alasan Tidak Berlaku",IF(AND(SUM(AG121,AH121)&gt;0,OR(T121="",U121="",V121="",W121="")),"Isi kendala dan tindak lanjut",IF(AND(Y121&lt;&gt;"Draft",Y121&lt;&gt;"Dikirim"),"Isi status laporan yang valid",IF(AND(AA121&lt;&gt;"",AA121&lt;&gt;"Belum Diperiksa",AA121&lt;&gt;"Disetujui",AA121&lt;&gt;"Perlu Perbaikan"),"Hasil review tidak valid",IF(AND(Y121="Dikirim",OR(X121="",Z121="")),"Isi bukti dan waktu kirim",IF(AND(AA121="Disetujui",OR(Y121&lt;&gt;"Dikirim",AB121="",AC121="")),"Lengkapi pemeriksaan",IF(AND(AA121="Perlu Perbaikan",OR(AD121="",AB121="",AC121="")),"Isi pemeriksa dan catatan perbaikan","OK")))))))))))))))),"")</f>
        <v/>
      </c>
    </row>
    <row r="122" spans="1:38" ht="24.95" customHeight="1">
      <c r="A122" s="8"/>
      <c r="B122" s="6"/>
      <c r="C122" s="15" t="str">
        <f>IF(COUNTIFS(Master_PIC!$A$8:$A$73,$B122)=1,IF(VLOOKUP($B122,Master_PIC!$A$8:$G$73,2,FALSE)="","",VLOOKUP($B122,Master_PIC!$A$8:$G$73,2,FALSE)),"")</f>
        <v/>
      </c>
      <c r="D122" s="15" t="str">
        <f>IF(COUNTIFS(Master_PIC!$A$8:$A$73,$B122)=1,IF(VLOOKUP($B122,Master_PIC!$A$8:$G$73,4,FALSE)="","",VLOOKUP($B122,Master_PIC!$A$8:$G$73,4,FALSE)),"")</f>
        <v/>
      </c>
      <c r="E122" s="15" t="str">
        <f>IF(COUNTIFS(Master_PIC!$A$8:$A$73,$B122)=1,IF(VLOOKUP($B122,Master_PIC!$A$8:$G$73,5,FALSE)="","",VLOOKUP($B122,Master_PIC!$A$8:$G$73,5,FALSE)),"")</f>
        <v/>
      </c>
      <c r="F122" s="15" t="str">
        <f>IF(COUNTIFS(Master_PIC!$A$8:$A$73,$B122)=1,IF(VLOOKUP($B122,Master_PIC!$A$8:$G$73,6,FALSE)="","",VLOOKUP($B122,Master_PIC!$A$8:$G$73,6,FALSE)),"")</f>
        <v/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8"/>
      <c r="X122" s="5"/>
      <c r="Y122" s="5"/>
      <c r="Z122" s="9"/>
      <c r="AA122" s="5"/>
      <c r="AB122" s="5"/>
      <c r="AC122" s="9"/>
      <c r="AD122" s="5"/>
      <c r="AE122" s="7" t="str">
        <f t="shared" si="7"/>
        <v/>
      </c>
      <c r="AF122" s="7" t="str">
        <f t="shared" si="8"/>
        <v/>
      </c>
      <c r="AG122" s="7" t="str">
        <f t="shared" si="9"/>
        <v/>
      </c>
      <c r="AH122" s="7" t="str">
        <f t="shared" si="10"/>
        <v/>
      </c>
      <c r="AI122" s="7" t="str">
        <f t="shared" si="11"/>
        <v/>
      </c>
      <c r="AJ122" s="7" t="str">
        <f t="shared" si="12"/>
        <v/>
      </c>
      <c r="AK122" s="10" t="str">
        <f t="shared" si="13"/>
        <v/>
      </c>
      <c r="AL122" s="15" t="str">
        <f>IF(OR($A122&lt;&gt;"",$B122&lt;&gt;""),IF(OR($A122="",$B122=""),"Isi tanggal dan ID PIC",IF(NOT(ISNUMBER($A122)),"Tanggal harus berupa tanggal Excel",IF(COUNTIFS(Master_PIC!$A$8:$A$73,$B122)&lt;&gt;1,"ID PIC tidak unik/terdaftar",IF(VLOOKUP($B122,Master_PIC!$A$8:$G$73,3,FALSE)&lt;&gt;"ASM","Jabatan tidak sesuai sheet",IF(OR($C122="",$D122="",$E122="",$F122=""),"Lengkapi master PIC",IF(COUNTIFS($A$8:$A$507,$A122,$B$8:$B$507,$B122)&gt;1,"Laporan ganda",IF(COUNTIFS(G122:O122,"Tidak Berlaku")&gt;0,"N/A hanya untuk kegiatan bersyarat",IF(SUM(AF122,AG122,AH122,AI122,AJ122)&lt;&gt;13,"Status kegiatan tidak valid",IF(AJ122&gt;0,"Lengkapi status kegiatan",IF(AND(AI122&gt;0,T122=""),"Isi alasan Tidak Berlaku",IF(AND(SUM(AG122,AH122)&gt;0,OR(T122="",U122="",V122="",W122="")),"Isi kendala dan tindak lanjut",IF(AND(Y122&lt;&gt;"Draft",Y122&lt;&gt;"Dikirim"),"Isi status laporan yang valid",IF(AND(AA122&lt;&gt;"",AA122&lt;&gt;"Belum Diperiksa",AA122&lt;&gt;"Disetujui",AA122&lt;&gt;"Perlu Perbaikan"),"Hasil review tidak valid",IF(AND(Y122="Dikirim",OR(X122="",Z122="")),"Isi bukti dan waktu kirim",IF(AND(AA122="Disetujui",OR(Y122&lt;&gt;"Dikirim",AB122="",AC122="")),"Lengkapi pemeriksaan",IF(AND(AA122="Perlu Perbaikan",OR(AD122="",AB122="",AC122="")),"Isi pemeriksa dan catatan perbaikan","OK")))))))))))))))),"")</f>
        <v/>
      </c>
    </row>
    <row r="123" spans="1:38" ht="24.95" customHeight="1">
      <c r="A123" s="8"/>
      <c r="B123" s="6"/>
      <c r="C123" s="15" t="str">
        <f>IF(COUNTIFS(Master_PIC!$A$8:$A$73,$B123)=1,IF(VLOOKUP($B123,Master_PIC!$A$8:$G$73,2,FALSE)="","",VLOOKUP($B123,Master_PIC!$A$8:$G$73,2,FALSE)),"")</f>
        <v/>
      </c>
      <c r="D123" s="15" t="str">
        <f>IF(COUNTIFS(Master_PIC!$A$8:$A$73,$B123)=1,IF(VLOOKUP($B123,Master_PIC!$A$8:$G$73,4,FALSE)="","",VLOOKUP($B123,Master_PIC!$A$8:$G$73,4,FALSE)),"")</f>
        <v/>
      </c>
      <c r="E123" s="15" t="str">
        <f>IF(COUNTIFS(Master_PIC!$A$8:$A$73,$B123)=1,IF(VLOOKUP($B123,Master_PIC!$A$8:$G$73,5,FALSE)="","",VLOOKUP($B123,Master_PIC!$A$8:$G$73,5,FALSE)),"")</f>
        <v/>
      </c>
      <c r="F123" s="15" t="str">
        <f>IF(COUNTIFS(Master_PIC!$A$8:$A$73,$B123)=1,IF(VLOOKUP($B123,Master_PIC!$A$8:$G$73,6,FALSE)="","",VLOOKUP($B123,Master_PIC!$A$8:$G$73,6,FALSE)),"")</f>
        <v/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8"/>
      <c r="X123" s="5"/>
      <c r="Y123" s="5"/>
      <c r="Z123" s="9"/>
      <c r="AA123" s="5"/>
      <c r="AB123" s="5"/>
      <c r="AC123" s="9"/>
      <c r="AD123" s="5"/>
      <c r="AE123" s="7" t="str">
        <f t="shared" si="7"/>
        <v/>
      </c>
      <c r="AF123" s="7" t="str">
        <f t="shared" si="8"/>
        <v/>
      </c>
      <c r="AG123" s="7" t="str">
        <f t="shared" si="9"/>
        <v/>
      </c>
      <c r="AH123" s="7" t="str">
        <f t="shared" si="10"/>
        <v/>
      </c>
      <c r="AI123" s="7" t="str">
        <f t="shared" si="11"/>
        <v/>
      </c>
      <c r="AJ123" s="7" t="str">
        <f t="shared" si="12"/>
        <v/>
      </c>
      <c r="AK123" s="10" t="str">
        <f t="shared" si="13"/>
        <v/>
      </c>
      <c r="AL123" s="15" t="str">
        <f>IF(OR($A123&lt;&gt;"",$B123&lt;&gt;""),IF(OR($A123="",$B123=""),"Isi tanggal dan ID PIC",IF(NOT(ISNUMBER($A123)),"Tanggal harus berupa tanggal Excel",IF(COUNTIFS(Master_PIC!$A$8:$A$73,$B123)&lt;&gt;1,"ID PIC tidak unik/terdaftar",IF(VLOOKUP($B123,Master_PIC!$A$8:$G$73,3,FALSE)&lt;&gt;"ASM","Jabatan tidak sesuai sheet",IF(OR($C123="",$D123="",$E123="",$F123=""),"Lengkapi master PIC",IF(COUNTIFS($A$8:$A$507,$A123,$B$8:$B$507,$B123)&gt;1,"Laporan ganda",IF(COUNTIFS(G123:O123,"Tidak Berlaku")&gt;0,"N/A hanya untuk kegiatan bersyarat",IF(SUM(AF123,AG123,AH123,AI123,AJ123)&lt;&gt;13,"Status kegiatan tidak valid",IF(AJ123&gt;0,"Lengkapi status kegiatan",IF(AND(AI123&gt;0,T123=""),"Isi alasan Tidak Berlaku",IF(AND(SUM(AG123,AH123)&gt;0,OR(T123="",U123="",V123="",W123="")),"Isi kendala dan tindak lanjut",IF(AND(Y123&lt;&gt;"Draft",Y123&lt;&gt;"Dikirim"),"Isi status laporan yang valid",IF(AND(AA123&lt;&gt;"",AA123&lt;&gt;"Belum Diperiksa",AA123&lt;&gt;"Disetujui",AA123&lt;&gt;"Perlu Perbaikan"),"Hasil review tidak valid",IF(AND(Y123="Dikirim",OR(X123="",Z123="")),"Isi bukti dan waktu kirim",IF(AND(AA123="Disetujui",OR(Y123&lt;&gt;"Dikirim",AB123="",AC123="")),"Lengkapi pemeriksaan",IF(AND(AA123="Perlu Perbaikan",OR(AD123="",AB123="",AC123="")),"Isi pemeriksa dan catatan perbaikan","OK")))))))))))))))),"")</f>
        <v/>
      </c>
    </row>
    <row r="124" spans="1:38" ht="24.95" customHeight="1">
      <c r="A124" s="8"/>
      <c r="B124" s="6"/>
      <c r="C124" s="15" t="str">
        <f>IF(COUNTIFS(Master_PIC!$A$8:$A$73,$B124)=1,IF(VLOOKUP($B124,Master_PIC!$A$8:$G$73,2,FALSE)="","",VLOOKUP($B124,Master_PIC!$A$8:$G$73,2,FALSE)),"")</f>
        <v/>
      </c>
      <c r="D124" s="15" t="str">
        <f>IF(COUNTIFS(Master_PIC!$A$8:$A$73,$B124)=1,IF(VLOOKUP($B124,Master_PIC!$A$8:$G$73,4,FALSE)="","",VLOOKUP($B124,Master_PIC!$A$8:$G$73,4,FALSE)),"")</f>
        <v/>
      </c>
      <c r="E124" s="15" t="str">
        <f>IF(COUNTIFS(Master_PIC!$A$8:$A$73,$B124)=1,IF(VLOOKUP($B124,Master_PIC!$A$8:$G$73,5,FALSE)="","",VLOOKUP($B124,Master_PIC!$A$8:$G$73,5,FALSE)),"")</f>
        <v/>
      </c>
      <c r="F124" s="15" t="str">
        <f>IF(COUNTIFS(Master_PIC!$A$8:$A$73,$B124)=1,IF(VLOOKUP($B124,Master_PIC!$A$8:$G$73,6,FALSE)="","",VLOOKUP($B124,Master_PIC!$A$8:$G$73,6,FALSE)),"")</f>
        <v/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9"/>
      <c r="AA124" s="5"/>
      <c r="AB124" s="5"/>
      <c r="AC124" s="9"/>
      <c r="AD124" s="5"/>
      <c r="AE124" s="7" t="str">
        <f t="shared" si="7"/>
        <v/>
      </c>
      <c r="AF124" s="7" t="str">
        <f t="shared" si="8"/>
        <v/>
      </c>
      <c r="AG124" s="7" t="str">
        <f t="shared" si="9"/>
        <v/>
      </c>
      <c r="AH124" s="7" t="str">
        <f t="shared" si="10"/>
        <v/>
      </c>
      <c r="AI124" s="7" t="str">
        <f t="shared" si="11"/>
        <v/>
      </c>
      <c r="AJ124" s="7" t="str">
        <f t="shared" si="12"/>
        <v/>
      </c>
      <c r="AK124" s="10" t="str">
        <f t="shared" si="13"/>
        <v/>
      </c>
      <c r="AL124" s="15" t="str">
        <f>IF(OR($A124&lt;&gt;"",$B124&lt;&gt;""),IF(OR($A124="",$B124=""),"Isi tanggal dan ID PIC",IF(NOT(ISNUMBER($A124)),"Tanggal harus berupa tanggal Excel",IF(COUNTIFS(Master_PIC!$A$8:$A$73,$B124)&lt;&gt;1,"ID PIC tidak unik/terdaftar",IF(VLOOKUP($B124,Master_PIC!$A$8:$G$73,3,FALSE)&lt;&gt;"ASM","Jabatan tidak sesuai sheet",IF(OR($C124="",$D124="",$E124="",$F124=""),"Lengkapi master PIC",IF(COUNTIFS($A$8:$A$507,$A124,$B$8:$B$507,$B124)&gt;1,"Laporan ganda",IF(COUNTIFS(G124:O124,"Tidak Berlaku")&gt;0,"N/A hanya untuk kegiatan bersyarat",IF(SUM(AF124,AG124,AH124,AI124,AJ124)&lt;&gt;13,"Status kegiatan tidak valid",IF(AJ124&gt;0,"Lengkapi status kegiatan",IF(AND(AI124&gt;0,T124=""),"Isi alasan Tidak Berlaku",IF(AND(SUM(AG124,AH124)&gt;0,OR(T124="",U124="",V124="",W124="")),"Isi kendala dan tindak lanjut",IF(AND(Y124&lt;&gt;"Draft",Y124&lt;&gt;"Dikirim"),"Isi status laporan yang valid",IF(AND(AA124&lt;&gt;"",AA124&lt;&gt;"Belum Diperiksa",AA124&lt;&gt;"Disetujui",AA124&lt;&gt;"Perlu Perbaikan"),"Hasil review tidak valid",IF(AND(Y124="Dikirim",OR(X124="",Z124="")),"Isi bukti dan waktu kirim",IF(AND(AA124="Disetujui",OR(Y124&lt;&gt;"Dikirim",AB124="",AC124="")),"Lengkapi pemeriksaan",IF(AND(AA124="Perlu Perbaikan",OR(AD124="",AB124="",AC124="")),"Isi pemeriksa dan catatan perbaikan","OK")))))))))))))))),"")</f>
        <v/>
      </c>
    </row>
    <row r="125" spans="1:38" ht="24.95" customHeight="1">
      <c r="A125" s="8"/>
      <c r="B125" s="6"/>
      <c r="C125" s="15" t="str">
        <f>IF(COUNTIFS(Master_PIC!$A$8:$A$73,$B125)=1,IF(VLOOKUP($B125,Master_PIC!$A$8:$G$73,2,FALSE)="","",VLOOKUP($B125,Master_PIC!$A$8:$G$73,2,FALSE)),"")</f>
        <v/>
      </c>
      <c r="D125" s="15" t="str">
        <f>IF(COUNTIFS(Master_PIC!$A$8:$A$73,$B125)=1,IF(VLOOKUP($B125,Master_PIC!$A$8:$G$73,4,FALSE)="","",VLOOKUP($B125,Master_PIC!$A$8:$G$73,4,FALSE)),"")</f>
        <v/>
      </c>
      <c r="E125" s="15" t="str">
        <f>IF(COUNTIFS(Master_PIC!$A$8:$A$73,$B125)=1,IF(VLOOKUP($B125,Master_PIC!$A$8:$G$73,5,FALSE)="","",VLOOKUP($B125,Master_PIC!$A$8:$G$73,5,FALSE)),"")</f>
        <v/>
      </c>
      <c r="F125" s="15" t="str">
        <f>IF(COUNTIFS(Master_PIC!$A$8:$A$73,$B125)=1,IF(VLOOKUP($B125,Master_PIC!$A$8:$G$73,6,FALSE)="","",VLOOKUP($B125,Master_PIC!$A$8:$G$73,6,FALSE)),"")</f>
        <v/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9"/>
      <c r="AA125" s="5"/>
      <c r="AB125" s="5"/>
      <c r="AC125" s="9"/>
      <c r="AD125" s="5"/>
      <c r="AE125" s="7" t="str">
        <f t="shared" si="7"/>
        <v/>
      </c>
      <c r="AF125" s="7" t="str">
        <f t="shared" si="8"/>
        <v/>
      </c>
      <c r="AG125" s="7" t="str">
        <f t="shared" si="9"/>
        <v/>
      </c>
      <c r="AH125" s="7" t="str">
        <f t="shared" si="10"/>
        <v/>
      </c>
      <c r="AI125" s="7" t="str">
        <f t="shared" si="11"/>
        <v/>
      </c>
      <c r="AJ125" s="7" t="str">
        <f t="shared" si="12"/>
        <v/>
      </c>
      <c r="AK125" s="10" t="str">
        <f t="shared" si="13"/>
        <v/>
      </c>
      <c r="AL125" s="15" t="str">
        <f>IF(OR($A125&lt;&gt;"",$B125&lt;&gt;""),IF(OR($A125="",$B125=""),"Isi tanggal dan ID PIC",IF(NOT(ISNUMBER($A125)),"Tanggal harus berupa tanggal Excel",IF(COUNTIFS(Master_PIC!$A$8:$A$73,$B125)&lt;&gt;1,"ID PIC tidak unik/terdaftar",IF(VLOOKUP($B125,Master_PIC!$A$8:$G$73,3,FALSE)&lt;&gt;"ASM","Jabatan tidak sesuai sheet",IF(OR($C125="",$D125="",$E125="",$F125=""),"Lengkapi master PIC",IF(COUNTIFS($A$8:$A$507,$A125,$B$8:$B$507,$B125)&gt;1,"Laporan ganda",IF(COUNTIFS(G125:O125,"Tidak Berlaku")&gt;0,"N/A hanya untuk kegiatan bersyarat",IF(SUM(AF125,AG125,AH125,AI125,AJ125)&lt;&gt;13,"Status kegiatan tidak valid",IF(AJ125&gt;0,"Lengkapi status kegiatan",IF(AND(AI125&gt;0,T125=""),"Isi alasan Tidak Berlaku",IF(AND(SUM(AG125,AH125)&gt;0,OR(T125="",U125="",V125="",W125="")),"Isi kendala dan tindak lanjut",IF(AND(Y125&lt;&gt;"Draft",Y125&lt;&gt;"Dikirim"),"Isi status laporan yang valid",IF(AND(AA125&lt;&gt;"",AA125&lt;&gt;"Belum Diperiksa",AA125&lt;&gt;"Disetujui",AA125&lt;&gt;"Perlu Perbaikan"),"Hasil review tidak valid",IF(AND(Y125="Dikirim",OR(X125="",Z125="")),"Isi bukti dan waktu kirim",IF(AND(AA125="Disetujui",OR(Y125&lt;&gt;"Dikirim",AB125="",AC125="")),"Lengkapi pemeriksaan",IF(AND(AA125="Perlu Perbaikan",OR(AD125="",AB125="",AC125="")),"Isi pemeriksa dan catatan perbaikan","OK")))))))))))))))),"")</f>
        <v/>
      </c>
    </row>
    <row r="126" spans="1:38" ht="24.95" customHeight="1">
      <c r="A126" s="8"/>
      <c r="B126" s="6"/>
      <c r="C126" s="15" t="str">
        <f>IF(COUNTIFS(Master_PIC!$A$8:$A$73,$B126)=1,IF(VLOOKUP($B126,Master_PIC!$A$8:$G$73,2,FALSE)="","",VLOOKUP($B126,Master_PIC!$A$8:$G$73,2,FALSE)),"")</f>
        <v/>
      </c>
      <c r="D126" s="15" t="str">
        <f>IF(COUNTIFS(Master_PIC!$A$8:$A$73,$B126)=1,IF(VLOOKUP($B126,Master_PIC!$A$8:$G$73,4,FALSE)="","",VLOOKUP($B126,Master_PIC!$A$8:$G$73,4,FALSE)),"")</f>
        <v/>
      </c>
      <c r="E126" s="15" t="str">
        <f>IF(COUNTIFS(Master_PIC!$A$8:$A$73,$B126)=1,IF(VLOOKUP($B126,Master_PIC!$A$8:$G$73,5,FALSE)="","",VLOOKUP($B126,Master_PIC!$A$8:$G$73,5,FALSE)),"")</f>
        <v/>
      </c>
      <c r="F126" s="15" t="str">
        <f>IF(COUNTIFS(Master_PIC!$A$8:$A$73,$B126)=1,IF(VLOOKUP($B126,Master_PIC!$A$8:$G$73,6,FALSE)="","",VLOOKUP($B126,Master_PIC!$A$8:$G$73,6,FALSE)),"")</f>
        <v/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8"/>
      <c r="X126" s="5"/>
      <c r="Y126" s="5"/>
      <c r="Z126" s="9"/>
      <c r="AA126" s="5"/>
      <c r="AB126" s="5"/>
      <c r="AC126" s="9"/>
      <c r="AD126" s="5"/>
      <c r="AE126" s="7" t="str">
        <f t="shared" si="7"/>
        <v/>
      </c>
      <c r="AF126" s="7" t="str">
        <f t="shared" si="8"/>
        <v/>
      </c>
      <c r="AG126" s="7" t="str">
        <f t="shared" si="9"/>
        <v/>
      </c>
      <c r="AH126" s="7" t="str">
        <f t="shared" si="10"/>
        <v/>
      </c>
      <c r="AI126" s="7" t="str">
        <f t="shared" si="11"/>
        <v/>
      </c>
      <c r="AJ126" s="7" t="str">
        <f t="shared" si="12"/>
        <v/>
      </c>
      <c r="AK126" s="10" t="str">
        <f t="shared" si="13"/>
        <v/>
      </c>
      <c r="AL126" s="15" t="str">
        <f>IF(OR($A126&lt;&gt;"",$B126&lt;&gt;""),IF(OR($A126="",$B126=""),"Isi tanggal dan ID PIC",IF(NOT(ISNUMBER($A126)),"Tanggal harus berupa tanggal Excel",IF(COUNTIFS(Master_PIC!$A$8:$A$73,$B126)&lt;&gt;1,"ID PIC tidak unik/terdaftar",IF(VLOOKUP($B126,Master_PIC!$A$8:$G$73,3,FALSE)&lt;&gt;"ASM","Jabatan tidak sesuai sheet",IF(OR($C126="",$D126="",$E126="",$F126=""),"Lengkapi master PIC",IF(COUNTIFS($A$8:$A$507,$A126,$B$8:$B$507,$B126)&gt;1,"Laporan ganda",IF(COUNTIFS(G126:O126,"Tidak Berlaku")&gt;0,"N/A hanya untuk kegiatan bersyarat",IF(SUM(AF126,AG126,AH126,AI126,AJ126)&lt;&gt;13,"Status kegiatan tidak valid",IF(AJ126&gt;0,"Lengkapi status kegiatan",IF(AND(AI126&gt;0,T126=""),"Isi alasan Tidak Berlaku",IF(AND(SUM(AG126,AH126)&gt;0,OR(T126="",U126="",V126="",W126="")),"Isi kendala dan tindak lanjut",IF(AND(Y126&lt;&gt;"Draft",Y126&lt;&gt;"Dikirim"),"Isi status laporan yang valid",IF(AND(AA126&lt;&gt;"",AA126&lt;&gt;"Belum Diperiksa",AA126&lt;&gt;"Disetujui",AA126&lt;&gt;"Perlu Perbaikan"),"Hasil review tidak valid",IF(AND(Y126="Dikirim",OR(X126="",Z126="")),"Isi bukti dan waktu kirim",IF(AND(AA126="Disetujui",OR(Y126&lt;&gt;"Dikirim",AB126="",AC126="")),"Lengkapi pemeriksaan",IF(AND(AA126="Perlu Perbaikan",OR(AD126="",AB126="",AC126="")),"Isi pemeriksa dan catatan perbaikan","OK")))))))))))))))),"")</f>
        <v/>
      </c>
    </row>
    <row r="127" spans="1:38" ht="24.95" customHeight="1">
      <c r="A127" s="8"/>
      <c r="B127" s="6"/>
      <c r="C127" s="15" t="str">
        <f>IF(COUNTIFS(Master_PIC!$A$8:$A$73,$B127)=1,IF(VLOOKUP($B127,Master_PIC!$A$8:$G$73,2,FALSE)="","",VLOOKUP($B127,Master_PIC!$A$8:$G$73,2,FALSE)),"")</f>
        <v/>
      </c>
      <c r="D127" s="15" t="str">
        <f>IF(COUNTIFS(Master_PIC!$A$8:$A$73,$B127)=1,IF(VLOOKUP($B127,Master_PIC!$A$8:$G$73,4,FALSE)="","",VLOOKUP($B127,Master_PIC!$A$8:$G$73,4,FALSE)),"")</f>
        <v/>
      </c>
      <c r="E127" s="15" t="str">
        <f>IF(COUNTIFS(Master_PIC!$A$8:$A$73,$B127)=1,IF(VLOOKUP($B127,Master_PIC!$A$8:$G$73,5,FALSE)="","",VLOOKUP($B127,Master_PIC!$A$8:$G$73,5,FALSE)),"")</f>
        <v/>
      </c>
      <c r="F127" s="15" t="str">
        <f>IF(COUNTIFS(Master_PIC!$A$8:$A$73,$B127)=1,IF(VLOOKUP($B127,Master_PIC!$A$8:$G$73,6,FALSE)="","",VLOOKUP($B127,Master_PIC!$A$8:$G$73,6,FALSE)),"")</f>
        <v/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8"/>
      <c r="X127" s="5"/>
      <c r="Y127" s="5"/>
      <c r="Z127" s="9"/>
      <c r="AA127" s="5"/>
      <c r="AB127" s="5"/>
      <c r="AC127" s="9"/>
      <c r="AD127" s="5"/>
      <c r="AE127" s="7" t="str">
        <f t="shared" si="7"/>
        <v/>
      </c>
      <c r="AF127" s="7" t="str">
        <f t="shared" si="8"/>
        <v/>
      </c>
      <c r="AG127" s="7" t="str">
        <f t="shared" si="9"/>
        <v/>
      </c>
      <c r="AH127" s="7" t="str">
        <f t="shared" si="10"/>
        <v/>
      </c>
      <c r="AI127" s="7" t="str">
        <f t="shared" si="11"/>
        <v/>
      </c>
      <c r="AJ127" s="7" t="str">
        <f t="shared" si="12"/>
        <v/>
      </c>
      <c r="AK127" s="10" t="str">
        <f t="shared" si="13"/>
        <v/>
      </c>
      <c r="AL127" s="15" t="str">
        <f>IF(OR($A127&lt;&gt;"",$B127&lt;&gt;""),IF(OR($A127="",$B127=""),"Isi tanggal dan ID PIC",IF(NOT(ISNUMBER($A127)),"Tanggal harus berupa tanggal Excel",IF(COUNTIFS(Master_PIC!$A$8:$A$73,$B127)&lt;&gt;1,"ID PIC tidak unik/terdaftar",IF(VLOOKUP($B127,Master_PIC!$A$8:$G$73,3,FALSE)&lt;&gt;"ASM","Jabatan tidak sesuai sheet",IF(OR($C127="",$D127="",$E127="",$F127=""),"Lengkapi master PIC",IF(COUNTIFS($A$8:$A$507,$A127,$B$8:$B$507,$B127)&gt;1,"Laporan ganda",IF(COUNTIFS(G127:O127,"Tidak Berlaku")&gt;0,"N/A hanya untuk kegiatan bersyarat",IF(SUM(AF127,AG127,AH127,AI127,AJ127)&lt;&gt;13,"Status kegiatan tidak valid",IF(AJ127&gt;0,"Lengkapi status kegiatan",IF(AND(AI127&gt;0,T127=""),"Isi alasan Tidak Berlaku",IF(AND(SUM(AG127,AH127)&gt;0,OR(T127="",U127="",V127="",W127="")),"Isi kendala dan tindak lanjut",IF(AND(Y127&lt;&gt;"Draft",Y127&lt;&gt;"Dikirim"),"Isi status laporan yang valid",IF(AND(AA127&lt;&gt;"",AA127&lt;&gt;"Belum Diperiksa",AA127&lt;&gt;"Disetujui",AA127&lt;&gt;"Perlu Perbaikan"),"Hasil review tidak valid",IF(AND(Y127="Dikirim",OR(X127="",Z127="")),"Isi bukti dan waktu kirim",IF(AND(AA127="Disetujui",OR(Y127&lt;&gt;"Dikirim",AB127="",AC127="")),"Lengkapi pemeriksaan",IF(AND(AA127="Perlu Perbaikan",OR(AD127="",AB127="",AC127="")),"Isi pemeriksa dan catatan perbaikan","OK")))))))))))))))),"")</f>
        <v/>
      </c>
    </row>
    <row r="128" spans="1:38" ht="24.95" customHeight="1">
      <c r="A128" s="8"/>
      <c r="B128" s="6"/>
      <c r="C128" s="15" t="str">
        <f>IF(COUNTIFS(Master_PIC!$A$8:$A$73,$B128)=1,IF(VLOOKUP($B128,Master_PIC!$A$8:$G$73,2,FALSE)="","",VLOOKUP($B128,Master_PIC!$A$8:$G$73,2,FALSE)),"")</f>
        <v/>
      </c>
      <c r="D128" s="15" t="str">
        <f>IF(COUNTIFS(Master_PIC!$A$8:$A$73,$B128)=1,IF(VLOOKUP($B128,Master_PIC!$A$8:$G$73,4,FALSE)="","",VLOOKUP($B128,Master_PIC!$A$8:$G$73,4,FALSE)),"")</f>
        <v/>
      </c>
      <c r="E128" s="15" t="str">
        <f>IF(COUNTIFS(Master_PIC!$A$8:$A$73,$B128)=1,IF(VLOOKUP($B128,Master_PIC!$A$8:$G$73,5,FALSE)="","",VLOOKUP($B128,Master_PIC!$A$8:$G$73,5,FALSE)),"")</f>
        <v/>
      </c>
      <c r="F128" s="15" t="str">
        <f>IF(COUNTIFS(Master_PIC!$A$8:$A$73,$B128)=1,IF(VLOOKUP($B128,Master_PIC!$A$8:$G$73,6,FALSE)="","",VLOOKUP($B128,Master_PIC!$A$8:$G$73,6,FALSE)),"")</f>
        <v/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9"/>
      <c r="AA128" s="5"/>
      <c r="AB128" s="5"/>
      <c r="AC128" s="9"/>
      <c r="AD128" s="5"/>
      <c r="AE128" s="7" t="str">
        <f t="shared" si="7"/>
        <v/>
      </c>
      <c r="AF128" s="7" t="str">
        <f t="shared" si="8"/>
        <v/>
      </c>
      <c r="AG128" s="7" t="str">
        <f t="shared" si="9"/>
        <v/>
      </c>
      <c r="AH128" s="7" t="str">
        <f t="shared" si="10"/>
        <v/>
      </c>
      <c r="AI128" s="7" t="str">
        <f t="shared" si="11"/>
        <v/>
      </c>
      <c r="AJ128" s="7" t="str">
        <f t="shared" si="12"/>
        <v/>
      </c>
      <c r="AK128" s="10" t="str">
        <f t="shared" si="13"/>
        <v/>
      </c>
      <c r="AL128" s="15" t="str">
        <f>IF(OR($A128&lt;&gt;"",$B128&lt;&gt;""),IF(OR($A128="",$B128=""),"Isi tanggal dan ID PIC",IF(NOT(ISNUMBER($A128)),"Tanggal harus berupa tanggal Excel",IF(COUNTIFS(Master_PIC!$A$8:$A$73,$B128)&lt;&gt;1,"ID PIC tidak unik/terdaftar",IF(VLOOKUP($B128,Master_PIC!$A$8:$G$73,3,FALSE)&lt;&gt;"ASM","Jabatan tidak sesuai sheet",IF(OR($C128="",$D128="",$E128="",$F128=""),"Lengkapi master PIC",IF(COUNTIFS($A$8:$A$507,$A128,$B$8:$B$507,$B128)&gt;1,"Laporan ganda",IF(COUNTIFS(G128:O128,"Tidak Berlaku")&gt;0,"N/A hanya untuk kegiatan bersyarat",IF(SUM(AF128,AG128,AH128,AI128,AJ128)&lt;&gt;13,"Status kegiatan tidak valid",IF(AJ128&gt;0,"Lengkapi status kegiatan",IF(AND(AI128&gt;0,T128=""),"Isi alasan Tidak Berlaku",IF(AND(SUM(AG128,AH128)&gt;0,OR(T128="",U128="",V128="",W128="")),"Isi kendala dan tindak lanjut",IF(AND(Y128&lt;&gt;"Draft",Y128&lt;&gt;"Dikirim"),"Isi status laporan yang valid",IF(AND(AA128&lt;&gt;"",AA128&lt;&gt;"Belum Diperiksa",AA128&lt;&gt;"Disetujui",AA128&lt;&gt;"Perlu Perbaikan"),"Hasil review tidak valid",IF(AND(Y128="Dikirim",OR(X128="",Z128="")),"Isi bukti dan waktu kirim",IF(AND(AA128="Disetujui",OR(Y128&lt;&gt;"Dikirim",AB128="",AC128="")),"Lengkapi pemeriksaan",IF(AND(AA128="Perlu Perbaikan",OR(AD128="",AB128="",AC128="")),"Isi pemeriksa dan catatan perbaikan","OK")))))))))))))))),"")</f>
        <v/>
      </c>
    </row>
    <row r="129" spans="1:38" ht="24.95" customHeight="1">
      <c r="A129" s="8"/>
      <c r="B129" s="6"/>
      <c r="C129" s="15" t="str">
        <f>IF(COUNTIFS(Master_PIC!$A$8:$A$73,$B129)=1,IF(VLOOKUP($B129,Master_PIC!$A$8:$G$73,2,FALSE)="","",VLOOKUP($B129,Master_PIC!$A$8:$G$73,2,FALSE)),"")</f>
        <v/>
      </c>
      <c r="D129" s="15" t="str">
        <f>IF(COUNTIFS(Master_PIC!$A$8:$A$73,$B129)=1,IF(VLOOKUP($B129,Master_PIC!$A$8:$G$73,4,FALSE)="","",VLOOKUP($B129,Master_PIC!$A$8:$G$73,4,FALSE)),"")</f>
        <v/>
      </c>
      <c r="E129" s="15" t="str">
        <f>IF(COUNTIFS(Master_PIC!$A$8:$A$73,$B129)=1,IF(VLOOKUP($B129,Master_PIC!$A$8:$G$73,5,FALSE)="","",VLOOKUP($B129,Master_PIC!$A$8:$G$73,5,FALSE)),"")</f>
        <v/>
      </c>
      <c r="F129" s="15" t="str">
        <f>IF(COUNTIFS(Master_PIC!$A$8:$A$73,$B129)=1,IF(VLOOKUP($B129,Master_PIC!$A$8:$G$73,6,FALSE)="","",VLOOKUP($B129,Master_PIC!$A$8:$G$73,6,FALSE)),"")</f>
        <v/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8"/>
      <c r="X129" s="5"/>
      <c r="Y129" s="5"/>
      <c r="Z129" s="9"/>
      <c r="AA129" s="5"/>
      <c r="AB129" s="5"/>
      <c r="AC129" s="9"/>
      <c r="AD129" s="5"/>
      <c r="AE129" s="7" t="str">
        <f t="shared" si="7"/>
        <v/>
      </c>
      <c r="AF129" s="7" t="str">
        <f t="shared" si="8"/>
        <v/>
      </c>
      <c r="AG129" s="7" t="str">
        <f t="shared" si="9"/>
        <v/>
      </c>
      <c r="AH129" s="7" t="str">
        <f t="shared" si="10"/>
        <v/>
      </c>
      <c r="AI129" s="7" t="str">
        <f t="shared" si="11"/>
        <v/>
      </c>
      <c r="AJ129" s="7" t="str">
        <f t="shared" si="12"/>
        <v/>
      </c>
      <c r="AK129" s="10" t="str">
        <f t="shared" si="13"/>
        <v/>
      </c>
      <c r="AL129" s="15" t="str">
        <f>IF(OR($A129&lt;&gt;"",$B129&lt;&gt;""),IF(OR($A129="",$B129=""),"Isi tanggal dan ID PIC",IF(NOT(ISNUMBER($A129)),"Tanggal harus berupa tanggal Excel",IF(COUNTIFS(Master_PIC!$A$8:$A$73,$B129)&lt;&gt;1,"ID PIC tidak unik/terdaftar",IF(VLOOKUP($B129,Master_PIC!$A$8:$G$73,3,FALSE)&lt;&gt;"ASM","Jabatan tidak sesuai sheet",IF(OR($C129="",$D129="",$E129="",$F129=""),"Lengkapi master PIC",IF(COUNTIFS($A$8:$A$507,$A129,$B$8:$B$507,$B129)&gt;1,"Laporan ganda",IF(COUNTIFS(G129:O129,"Tidak Berlaku")&gt;0,"N/A hanya untuk kegiatan bersyarat",IF(SUM(AF129,AG129,AH129,AI129,AJ129)&lt;&gt;13,"Status kegiatan tidak valid",IF(AJ129&gt;0,"Lengkapi status kegiatan",IF(AND(AI129&gt;0,T129=""),"Isi alasan Tidak Berlaku",IF(AND(SUM(AG129,AH129)&gt;0,OR(T129="",U129="",V129="",W129="")),"Isi kendala dan tindak lanjut",IF(AND(Y129&lt;&gt;"Draft",Y129&lt;&gt;"Dikirim"),"Isi status laporan yang valid",IF(AND(AA129&lt;&gt;"",AA129&lt;&gt;"Belum Diperiksa",AA129&lt;&gt;"Disetujui",AA129&lt;&gt;"Perlu Perbaikan"),"Hasil review tidak valid",IF(AND(Y129="Dikirim",OR(X129="",Z129="")),"Isi bukti dan waktu kirim",IF(AND(AA129="Disetujui",OR(Y129&lt;&gt;"Dikirim",AB129="",AC129="")),"Lengkapi pemeriksaan",IF(AND(AA129="Perlu Perbaikan",OR(AD129="",AB129="",AC129="")),"Isi pemeriksa dan catatan perbaikan","OK")))))))))))))))),"")</f>
        <v/>
      </c>
    </row>
    <row r="130" spans="1:38" ht="24.95" customHeight="1">
      <c r="A130" s="8"/>
      <c r="B130" s="6"/>
      <c r="C130" s="15" t="str">
        <f>IF(COUNTIFS(Master_PIC!$A$8:$A$73,$B130)=1,IF(VLOOKUP($B130,Master_PIC!$A$8:$G$73,2,FALSE)="","",VLOOKUP($B130,Master_PIC!$A$8:$G$73,2,FALSE)),"")</f>
        <v/>
      </c>
      <c r="D130" s="15" t="str">
        <f>IF(COUNTIFS(Master_PIC!$A$8:$A$73,$B130)=1,IF(VLOOKUP($B130,Master_PIC!$A$8:$G$73,4,FALSE)="","",VLOOKUP($B130,Master_PIC!$A$8:$G$73,4,FALSE)),"")</f>
        <v/>
      </c>
      <c r="E130" s="15" t="str">
        <f>IF(COUNTIFS(Master_PIC!$A$8:$A$73,$B130)=1,IF(VLOOKUP($B130,Master_PIC!$A$8:$G$73,5,FALSE)="","",VLOOKUP($B130,Master_PIC!$A$8:$G$73,5,FALSE)),"")</f>
        <v/>
      </c>
      <c r="F130" s="15" t="str">
        <f>IF(COUNTIFS(Master_PIC!$A$8:$A$73,$B130)=1,IF(VLOOKUP($B130,Master_PIC!$A$8:$G$73,6,FALSE)="","",VLOOKUP($B130,Master_PIC!$A$8:$G$73,6,FALSE)),"")</f>
        <v/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8"/>
      <c r="X130" s="5"/>
      <c r="Y130" s="5"/>
      <c r="Z130" s="9"/>
      <c r="AA130" s="5"/>
      <c r="AB130" s="5"/>
      <c r="AC130" s="9"/>
      <c r="AD130" s="5"/>
      <c r="AE130" s="7" t="str">
        <f t="shared" si="7"/>
        <v/>
      </c>
      <c r="AF130" s="7" t="str">
        <f t="shared" si="8"/>
        <v/>
      </c>
      <c r="AG130" s="7" t="str">
        <f t="shared" si="9"/>
        <v/>
      </c>
      <c r="AH130" s="7" t="str">
        <f t="shared" si="10"/>
        <v/>
      </c>
      <c r="AI130" s="7" t="str">
        <f t="shared" si="11"/>
        <v/>
      </c>
      <c r="AJ130" s="7" t="str">
        <f t="shared" si="12"/>
        <v/>
      </c>
      <c r="AK130" s="10" t="str">
        <f t="shared" si="13"/>
        <v/>
      </c>
      <c r="AL130" s="15" t="str">
        <f>IF(OR($A130&lt;&gt;"",$B130&lt;&gt;""),IF(OR($A130="",$B130=""),"Isi tanggal dan ID PIC",IF(NOT(ISNUMBER($A130)),"Tanggal harus berupa tanggal Excel",IF(COUNTIFS(Master_PIC!$A$8:$A$73,$B130)&lt;&gt;1,"ID PIC tidak unik/terdaftar",IF(VLOOKUP($B130,Master_PIC!$A$8:$G$73,3,FALSE)&lt;&gt;"ASM","Jabatan tidak sesuai sheet",IF(OR($C130="",$D130="",$E130="",$F130=""),"Lengkapi master PIC",IF(COUNTIFS($A$8:$A$507,$A130,$B$8:$B$507,$B130)&gt;1,"Laporan ganda",IF(COUNTIFS(G130:O130,"Tidak Berlaku")&gt;0,"N/A hanya untuk kegiatan bersyarat",IF(SUM(AF130,AG130,AH130,AI130,AJ130)&lt;&gt;13,"Status kegiatan tidak valid",IF(AJ130&gt;0,"Lengkapi status kegiatan",IF(AND(AI130&gt;0,T130=""),"Isi alasan Tidak Berlaku",IF(AND(SUM(AG130,AH130)&gt;0,OR(T130="",U130="",V130="",W130="")),"Isi kendala dan tindak lanjut",IF(AND(Y130&lt;&gt;"Draft",Y130&lt;&gt;"Dikirim"),"Isi status laporan yang valid",IF(AND(AA130&lt;&gt;"",AA130&lt;&gt;"Belum Diperiksa",AA130&lt;&gt;"Disetujui",AA130&lt;&gt;"Perlu Perbaikan"),"Hasil review tidak valid",IF(AND(Y130="Dikirim",OR(X130="",Z130="")),"Isi bukti dan waktu kirim",IF(AND(AA130="Disetujui",OR(Y130&lt;&gt;"Dikirim",AB130="",AC130="")),"Lengkapi pemeriksaan",IF(AND(AA130="Perlu Perbaikan",OR(AD130="",AB130="",AC130="")),"Isi pemeriksa dan catatan perbaikan","OK")))))))))))))))),"")</f>
        <v/>
      </c>
    </row>
    <row r="131" spans="1:38" ht="24.95" customHeight="1">
      <c r="A131" s="8"/>
      <c r="B131" s="6"/>
      <c r="C131" s="15" t="str">
        <f>IF(COUNTIFS(Master_PIC!$A$8:$A$73,$B131)=1,IF(VLOOKUP($B131,Master_PIC!$A$8:$G$73,2,FALSE)="","",VLOOKUP($B131,Master_PIC!$A$8:$G$73,2,FALSE)),"")</f>
        <v/>
      </c>
      <c r="D131" s="15" t="str">
        <f>IF(COUNTIFS(Master_PIC!$A$8:$A$73,$B131)=1,IF(VLOOKUP($B131,Master_PIC!$A$8:$G$73,4,FALSE)="","",VLOOKUP($B131,Master_PIC!$A$8:$G$73,4,FALSE)),"")</f>
        <v/>
      </c>
      <c r="E131" s="15" t="str">
        <f>IF(COUNTIFS(Master_PIC!$A$8:$A$73,$B131)=1,IF(VLOOKUP($B131,Master_PIC!$A$8:$G$73,5,FALSE)="","",VLOOKUP($B131,Master_PIC!$A$8:$G$73,5,FALSE)),"")</f>
        <v/>
      </c>
      <c r="F131" s="15" t="str">
        <f>IF(COUNTIFS(Master_PIC!$A$8:$A$73,$B131)=1,IF(VLOOKUP($B131,Master_PIC!$A$8:$G$73,6,FALSE)="","",VLOOKUP($B131,Master_PIC!$A$8:$G$73,6,FALSE)),"")</f>
        <v/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9"/>
      <c r="AA131" s="5"/>
      <c r="AB131" s="5"/>
      <c r="AC131" s="9"/>
      <c r="AD131" s="5"/>
      <c r="AE131" s="7" t="str">
        <f t="shared" si="7"/>
        <v/>
      </c>
      <c r="AF131" s="7" t="str">
        <f t="shared" si="8"/>
        <v/>
      </c>
      <c r="AG131" s="7" t="str">
        <f t="shared" si="9"/>
        <v/>
      </c>
      <c r="AH131" s="7" t="str">
        <f t="shared" si="10"/>
        <v/>
      </c>
      <c r="AI131" s="7" t="str">
        <f t="shared" si="11"/>
        <v/>
      </c>
      <c r="AJ131" s="7" t="str">
        <f t="shared" si="12"/>
        <v/>
      </c>
      <c r="AK131" s="10" t="str">
        <f t="shared" si="13"/>
        <v/>
      </c>
      <c r="AL131" s="15" t="str">
        <f>IF(OR($A131&lt;&gt;"",$B131&lt;&gt;""),IF(OR($A131="",$B131=""),"Isi tanggal dan ID PIC",IF(NOT(ISNUMBER($A131)),"Tanggal harus berupa tanggal Excel",IF(COUNTIFS(Master_PIC!$A$8:$A$73,$B131)&lt;&gt;1,"ID PIC tidak unik/terdaftar",IF(VLOOKUP($B131,Master_PIC!$A$8:$G$73,3,FALSE)&lt;&gt;"ASM","Jabatan tidak sesuai sheet",IF(OR($C131="",$D131="",$E131="",$F131=""),"Lengkapi master PIC",IF(COUNTIFS($A$8:$A$507,$A131,$B$8:$B$507,$B131)&gt;1,"Laporan ganda",IF(COUNTIFS(G131:O131,"Tidak Berlaku")&gt;0,"N/A hanya untuk kegiatan bersyarat",IF(SUM(AF131,AG131,AH131,AI131,AJ131)&lt;&gt;13,"Status kegiatan tidak valid",IF(AJ131&gt;0,"Lengkapi status kegiatan",IF(AND(AI131&gt;0,T131=""),"Isi alasan Tidak Berlaku",IF(AND(SUM(AG131,AH131)&gt;0,OR(T131="",U131="",V131="",W131="")),"Isi kendala dan tindak lanjut",IF(AND(Y131&lt;&gt;"Draft",Y131&lt;&gt;"Dikirim"),"Isi status laporan yang valid",IF(AND(AA131&lt;&gt;"",AA131&lt;&gt;"Belum Diperiksa",AA131&lt;&gt;"Disetujui",AA131&lt;&gt;"Perlu Perbaikan"),"Hasil review tidak valid",IF(AND(Y131="Dikirim",OR(X131="",Z131="")),"Isi bukti dan waktu kirim",IF(AND(AA131="Disetujui",OR(Y131&lt;&gt;"Dikirim",AB131="",AC131="")),"Lengkapi pemeriksaan",IF(AND(AA131="Perlu Perbaikan",OR(AD131="",AB131="",AC131="")),"Isi pemeriksa dan catatan perbaikan","OK")))))))))))))))),"")</f>
        <v/>
      </c>
    </row>
    <row r="132" spans="1:38" ht="24.95" customHeight="1">
      <c r="A132" s="8"/>
      <c r="B132" s="6"/>
      <c r="C132" s="15" t="str">
        <f>IF(COUNTIFS(Master_PIC!$A$8:$A$73,$B132)=1,IF(VLOOKUP($B132,Master_PIC!$A$8:$G$73,2,FALSE)="","",VLOOKUP($B132,Master_PIC!$A$8:$G$73,2,FALSE)),"")</f>
        <v/>
      </c>
      <c r="D132" s="15" t="str">
        <f>IF(COUNTIFS(Master_PIC!$A$8:$A$73,$B132)=1,IF(VLOOKUP($B132,Master_PIC!$A$8:$G$73,4,FALSE)="","",VLOOKUP($B132,Master_PIC!$A$8:$G$73,4,FALSE)),"")</f>
        <v/>
      </c>
      <c r="E132" s="15" t="str">
        <f>IF(COUNTIFS(Master_PIC!$A$8:$A$73,$B132)=1,IF(VLOOKUP($B132,Master_PIC!$A$8:$G$73,5,FALSE)="","",VLOOKUP($B132,Master_PIC!$A$8:$G$73,5,FALSE)),"")</f>
        <v/>
      </c>
      <c r="F132" s="15" t="str">
        <f>IF(COUNTIFS(Master_PIC!$A$8:$A$73,$B132)=1,IF(VLOOKUP($B132,Master_PIC!$A$8:$G$73,6,FALSE)="","",VLOOKUP($B132,Master_PIC!$A$8:$G$73,6,FALSE)),"")</f>
        <v/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8"/>
      <c r="X132" s="5"/>
      <c r="Y132" s="5"/>
      <c r="Z132" s="9"/>
      <c r="AA132" s="5"/>
      <c r="AB132" s="5"/>
      <c r="AC132" s="9"/>
      <c r="AD132" s="5"/>
      <c r="AE132" s="7" t="str">
        <f t="shared" si="7"/>
        <v/>
      </c>
      <c r="AF132" s="7" t="str">
        <f t="shared" si="8"/>
        <v/>
      </c>
      <c r="AG132" s="7" t="str">
        <f t="shared" si="9"/>
        <v/>
      </c>
      <c r="AH132" s="7" t="str">
        <f t="shared" si="10"/>
        <v/>
      </c>
      <c r="AI132" s="7" t="str">
        <f t="shared" si="11"/>
        <v/>
      </c>
      <c r="AJ132" s="7" t="str">
        <f t="shared" si="12"/>
        <v/>
      </c>
      <c r="AK132" s="10" t="str">
        <f t="shared" si="13"/>
        <v/>
      </c>
      <c r="AL132" s="15" t="str">
        <f>IF(OR($A132&lt;&gt;"",$B132&lt;&gt;""),IF(OR($A132="",$B132=""),"Isi tanggal dan ID PIC",IF(NOT(ISNUMBER($A132)),"Tanggal harus berupa tanggal Excel",IF(COUNTIFS(Master_PIC!$A$8:$A$73,$B132)&lt;&gt;1,"ID PIC tidak unik/terdaftar",IF(VLOOKUP($B132,Master_PIC!$A$8:$G$73,3,FALSE)&lt;&gt;"ASM","Jabatan tidak sesuai sheet",IF(OR($C132="",$D132="",$E132="",$F132=""),"Lengkapi master PIC",IF(COUNTIFS($A$8:$A$507,$A132,$B$8:$B$507,$B132)&gt;1,"Laporan ganda",IF(COUNTIFS(G132:O132,"Tidak Berlaku")&gt;0,"N/A hanya untuk kegiatan bersyarat",IF(SUM(AF132,AG132,AH132,AI132,AJ132)&lt;&gt;13,"Status kegiatan tidak valid",IF(AJ132&gt;0,"Lengkapi status kegiatan",IF(AND(AI132&gt;0,T132=""),"Isi alasan Tidak Berlaku",IF(AND(SUM(AG132,AH132)&gt;0,OR(T132="",U132="",V132="",W132="")),"Isi kendala dan tindak lanjut",IF(AND(Y132&lt;&gt;"Draft",Y132&lt;&gt;"Dikirim"),"Isi status laporan yang valid",IF(AND(AA132&lt;&gt;"",AA132&lt;&gt;"Belum Diperiksa",AA132&lt;&gt;"Disetujui",AA132&lt;&gt;"Perlu Perbaikan"),"Hasil review tidak valid",IF(AND(Y132="Dikirim",OR(X132="",Z132="")),"Isi bukti dan waktu kirim",IF(AND(AA132="Disetujui",OR(Y132&lt;&gt;"Dikirim",AB132="",AC132="")),"Lengkapi pemeriksaan",IF(AND(AA132="Perlu Perbaikan",OR(AD132="",AB132="",AC132="")),"Isi pemeriksa dan catatan perbaikan","OK")))))))))))))))),"")</f>
        <v/>
      </c>
    </row>
    <row r="133" spans="1:38" ht="24.95" customHeight="1">
      <c r="A133" s="8"/>
      <c r="B133" s="6"/>
      <c r="C133" s="15" t="str">
        <f>IF(COUNTIFS(Master_PIC!$A$8:$A$73,$B133)=1,IF(VLOOKUP($B133,Master_PIC!$A$8:$G$73,2,FALSE)="","",VLOOKUP($B133,Master_PIC!$A$8:$G$73,2,FALSE)),"")</f>
        <v/>
      </c>
      <c r="D133" s="15" t="str">
        <f>IF(COUNTIFS(Master_PIC!$A$8:$A$73,$B133)=1,IF(VLOOKUP($B133,Master_PIC!$A$8:$G$73,4,FALSE)="","",VLOOKUP($B133,Master_PIC!$A$8:$G$73,4,FALSE)),"")</f>
        <v/>
      </c>
      <c r="E133" s="15" t="str">
        <f>IF(COUNTIFS(Master_PIC!$A$8:$A$73,$B133)=1,IF(VLOOKUP($B133,Master_PIC!$A$8:$G$73,5,FALSE)="","",VLOOKUP($B133,Master_PIC!$A$8:$G$73,5,FALSE)),"")</f>
        <v/>
      </c>
      <c r="F133" s="15" t="str">
        <f>IF(COUNTIFS(Master_PIC!$A$8:$A$73,$B133)=1,IF(VLOOKUP($B133,Master_PIC!$A$8:$G$73,6,FALSE)="","",VLOOKUP($B133,Master_PIC!$A$8:$G$73,6,FALSE)),"")</f>
        <v/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9"/>
      <c r="AA133" s="5"/>
      <c r="AB133" s="5"/>
      <c r="AC133" s="9"/>
      <c r="AD133" s="5"/>
      <c r="AE133" s="7" t="str">
        <f t="shared" si="7"/>
        <v/>
      </c>
      <c r="AF133" s="7" t="str">
        <f t="shared" si="8"/>
        <v/>
      </c>
      <c r="AG133" s="7" t="str">
        <f t="shared" si="9"/>
        <v/>
      </c>
      <c r="AH133" s="7" t="str">
        <f t="shared" si="10"/>
        <v/>
      </c>
      <c r="AI133" s="7" t="str">
        <f t="shared" si="11"/>
        <v/>
      </c>
      <c r="AJ133" s="7" t="str">
        <f t="shared" si="12"/>
        <v/>
      </c>
      <c r="AK133" s="10" t="str">
        <f t="shared" si="13"/>
        <v/>
      </c>
      <c r="AL133" s="15" t="str">
        <f>IF(OR($A133&lt;&gt;"",$B133&lt;&gt;""),IF(OR($A133="",$B133=""),"Isi tanggal dan ID PIC",IF(NOT(ISNUMBER($A133)),"Tanggal harus berupa tanggal Excel",IF(COUNTIFS(Master_PIC!$A$8:$A$73,$B133)&lt;&gt;1,"ID PIC tidak unik/terdaftar",IF(VLOOKUP($B133,Master_PIC!$A$8:$G$73,3,FALSE)&lt;&gt;"ASM","Jabatan tidak sesuai sheet",IF(OR($C133="",$D133="",$E133="",$F133=""),"Lengkapi master PIC",IF(COUNTIFS($A$8:$A$507,$A133,$B$8:$B$507,$B133)&gt;1,"Laporan ganda",IF(COUNTIFS(G133:O133,"Tidak Berlaku")&gt;0,"N/A hanya untuk kegiatan bersyarat",IF(SUM(AF133,AG133,AH133,AI133,AJ133)&lt;&gt;13,"Status kegiatan tidak valid",IF(AJ133&gt;0,"Lengkapi status kegiatan",IF(AND(AI133&gt;0,T133=""),"Isi alasan Tidak Berlaku",IF(AND(SUM(AG133,AH133)&gt;0,OR(T133="",U133="",V133="",W133="")),"Isi kendala dan tindak lanjut",IF(AND(Y133&lt;&gt;"Draft",Y133&lt;&gt;"Dikirim"),"Isi status laporan yang valid",IF(AND(AA133&lt;&gt;"",AA133&lt;&gt;"Belum Diperiksa",AA133&lt;&gt;"Disetujui",AA133&lt;&gt;"Perlu Perbaikan"),"Hasil review tidak valid",IF(AND(Y133="Dikirim",OR(X133="",Z133="")),"Isi bukti dan waktu kirim",IF(AND(AA133="Disetujui",OR(Y133&lt;&gt;"Dikirim",AB133="",AC133="")),"Lengkapi pemeriksaan",IF(AND(AA133="Perlu Perbaikan",OR(AD133="",AB133="",AC133="")),"Isi pemeriksa dan catatan perbaikan","OK")))))))))))))))),"")</f>
        <v/>
      </c>
    </row>
    <row r="134" spans="1:38" ht="24.95" customHeight="1">
      <c r="A134" s="8"/>
      <c r="B134" s="6"/>
      <c r="C134" s="15" t="str">
        <f>IF(COUNTIFS(Master_PIC!$A$8:$A$73,$B134)=1,IF(VLOOKUP($B134,Master_PIC!$A$8:$G$73,2,FALSE)="","",VLOOKUP($B134,Master_PIC!$A$8:$G$73,2,FALSE)),"")</f>
        <v/>
      </c>
      <c r="D134" s="15" t="str">
        <f>IF(COUNTIFS(Master_PIC!$A$8:$A$73,$B134)=1,IF(VLOOKUP($B134,Master_PIC!$A$8:$G$73,4,FALSE)="","",VLOOKUP($B134,Master_PIC!$A$8:$G$73,4,FALSE)),"")</f>
        <v/>
      </c>
      <c r="E134" s="15" t="str">
        <f>IF(COUNTIFS(Master_PIC!$A$8:$A$73,$B134)=1,IF(VLOOKUP($B134,Master_PIC!$A$8:$G$73,5,FALSE)="","",VLOOKUP($B134,Master_PIC!$A$8:$G$73,5,FALSE)),"")</f>
        <v/>
      </c>
      <c r="F134" s="15" t="str">
        <f>IF(COUNTIFS(Master_PIC!$A$8:$A$73,$B134)=1,IF(VLOOKUP($B134,Master_PIC!$A$8:$G$73,6,FALSE)="","",VLOOKUP($B134,Master_PIC!$A$8:$G$73,6,FALSE)),"")</f>
        <v/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8"/>
      <c r="X134" s="5"/>
      <c r="Y134" s="5"/>
      <c r="Z134" s="9"/>
      <c r="AA134" s="5"/>
      <c r="AB134" s="5"/>
      <c r="AC134" s="9"/>
      <c r="AD134" s="5"/>
      <c r="AE134" s="7" t="str">
        <f t="shared" si="7"/>
        <v/>
      </c>
      <c r="AF134" s="7" t="str">
        <f t="shared" si="8"/>
        <v/>
      </c>
      <c r="AG134" s="7" t="str">
        <f t="shared" si="9"/>
        <v/>
      </c>
      <c r="AH134" s="7" t="str">
        <f t="shared" si="10"/>
        <v/>
      </c>
      <c r="AI134" s="7" t="str">
        <f t="shared" si="11"/>
        <v/>
      </c>
      <c r="AJ134" s="7" t="str">
        <f t="shared" si="12"/>
        <v/>
      </c>
      <c r="AK134" s="10" t="str">
        <f t="shared" si="13"/>
        <v/>
      </c>
      <c r="AL134" s="15" t="str">
        <f>IF(OR($A134&lt;&gt;"",$B134&lt;&gt;""),IF(OR($A134="",$B134=""),"Isi tanggal dan ID PIC",IF(NOT(ISNUMBER($A134)),"Tanggal harus berupa tanggal Excel",IF(COUNTIFS(Master_PIC!$A$8:$A$73,$B134)&lt;&gt;1,"ID PIC tidak unik/terdaftar",IF(VLOOKUP($B134,Master_PIC!$A$8:$G$73,3,FALSE)&lt;&gt;"ASM","Jabatan tidak sesuai sheet",IF(OR($C134="",$D134="",$E134="",$F134=""),"Lengkapi master PIC",IF(COUNTIFS($A$8:$A$507,$A134,$B$8:$B$507,$B134)&gt;1,"Laporan ganda",IF(COUNTIFS(G134:O134,"Tidak Berlaku")&gt;0,"N/A hanya untuk kegiatan bersyarat",IF(SUM(AF134,AG134,AH134,AI134,AJ134)&lt;&gt;13,"Status kegiatan tidak valid",IF(AJ134&gt;0,"Lengkapi status kegiatan",IF(AND(AI134&gt;0,T134=""),"Isi alasan Tidak Berlaku",IF(AND(SUM(AG134,AH134)&gt;0,OR(T134="",U134="",V134="",W134="")),"Isi kendala dan tindak lanjut",IF(AND(Y134&lt;&gt;"Draft",Y134&lt;&gt;"Dikirim"),"Isi status laporan yang valid",IF(AND(AA134&lt;&gt;"",AA134&lt;&gt;"Belum Diperiksa",AA134&lt;&gt;"Disetujui",AA134&lt;&gt;"Perlu Perbaikan"),"Hasil review tidak valid",IF(AND(Y134="Dikirim",OR(X134="",Z134="")),"Isi bukti dan waktu kirim",IF(AND(AA134="Disetujui",OR(Y134&lt;&gt;"Dikirim",AB134="",AC134="")),"Lengkapi pemeriksaan",IF(AND(AA134="Perlu Perbaikan",OR(AD134="",AB134="",AC134="")),"Isi pemeriksa dan catatan perbaikan","OK")))))))))))))))),"")</f>
        <v/>
      </c>
    </row>
    <row r="135" spans="1:38" ht="24.95" customHeight="1">
      <c r="A135" s="8"/>
      <c r="B135" s="6"/>
      <c r="C135" s="15" t="str">
        <f>IF(COUNTIFS(Master_PIC!$A$8:$A$73,$B135)=1,IF(VLOOKUP($B135,Master_PIC!$A$8:$G$73,2,FALSE)="","",VLOOKUP($B135,Master_PIC!$A$8:$G$73,2,FALSE)),"")</f>
        <v/>
      </c>
      <c r="D135" s="15" t="str">
        <f>IF(COUNTIFS(Master_PIC!$A$8:$A$73,$B135)=1,IF(VLOOKUP($B135,Master_PIC!$A$8:$G$73,4,FALSE)="","",VLOOKUP($B135,Master_PIC!$A$8:$G$73,4,FALSE)),"")</f>
        <v/>
      </c>
      <c r="E135" s="15" t="str">
        <f>IF(COUNTIFS(Master_PIC!$A$8:$A$73,$B135)=1,IF(VLOOKUP($B135,Master_PIC!$A$8:$G$73,5,FALSE)="","",VLOOKUP($B135,Master_PIC!$A$8:$G$73,5,FALSE)),"")</f>
        <v/>
      </c>
      <c r="F135" s="15" t="str">
        <f>IF(COUNTIFS(Master_PIC!$A$8:$A$73,$B135)=1,IF(VLOOKUP($B135,Master_PIC!$A$8:$G$73,6,FALSE)="","",VLOOKUP($B135,Master_PIC!$A$8:$G$73,6,FALSE)),"")</f>
        <v/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9"/>
      <c r="AA135" s="5"/>
      <c r="AB135" s="5"/>
      <c r="AC135" s="9"/>
      <c r="AD135" s="5"/>
      <c r="AE135" s="7" t="str">
        <f t="shared" si="7"/>
        <v/>
      </c>
      <c r="AF135" s="7" t="str">
        <f t="shared" si="8"/>
        <v/>
      </c>
      <c r="AG135" s="7" t="str">
        <f t="shared" si="9"/>
        <v/>
      </c>
      <c r="AH135" s="7" t="str">
        <f t="shared" si="10"/>
        <v/>
      </c>
      <c r="AI135" s="7" t="str">
        <f t="shared" si="11"/>
        <v/>
      </c>
      <c r="AJ135" s="7" t="str">
        <f t="shared" si="12"/>
        <v/>
      </c>
      <c r="AK135" s="10" t="str">
        <f t="shared" si="13"/>
        <v/>
      </c>
      <c r="AL135" s="15" t="str">
        <f>IF(OR($A135&lt;&gt;"",$B135&lt;&gt;""),IF(OR($A135="",$B135=""),"Isi tanggal dan ID PIC",IF(NOT(ISNUMBER($A135)),"Tanggal harus berupa tanggal Excel",IF(COUNTIFS(Master_PIC!$A$8:$A$73,$B135)&lt;&gt;1,"ID PIC tidak unik/terdaftar",IF(VLOOKUP($B135,Master_PIC!$A$8:$G$73,3,FALSE)&lt;&gt;"ASM","Jabatan tidak sesuai sheet",IF(OR($C135="",$D135="",$E135="",$F135=""),"Lengkapi master PIC",IF(COUNTIFS($A$8:$A$507,$A135,$B$8:$B$507,$B135)&gt;1,"Laporan ganda",IF(COUNTIFS(G135:O135,"Tidak Berlaku")&gt;0,"N/A hanya untuk kegiatan bersyarat",IF(SUM(AF135,AG135,AH135,AI135,AJ135)&lt;&gt;13,"Status kegiatan tidak valid",IF(AJ135&gt;0,"Lengkapi status kegiatan",IF(AND(AI135&gt;0,T135=""),"Isi alasan Tidak Berlaku",IF(AND(SUM(AG135,AH135)&gt;0,OR(T135="",U135="",V135="",W135="")),"Isi kendala dan tindak lanjut",IF(AND(Y135&lt;&gt;"Draft",Y135&lt;&gt;"Dikirim"),"Isi status laporan yang valid",IF(AND(AA135&lt;&gt;"",AA135&lt;&gt;"Belum Diperiksa",AA135&lt;&gt;"Disetujui",AA135&lt;&gt;"Perlu Perbaikan"),"Hasil review tidak valid",IF(AND(Y135="Dikirim",OR(X135="",Z135="")),"Isi bukti dan waktu kirim",IF(AND(AA135="Disetujui",OR(Y135&lt;&gt;"Dikirim",AB135="",AC135="")),"Lengkapi pemeriksaan",IF(AND(AA135="Perlu Perbaikan",OR(AD135="",AB135="",AC135="")),"Isi pemeriksa dan catatan perbaikan","OK")))))))))))))))),"")</f>
        <v/>
      </c>
    </row>
    <row r="136" spans="1:38" ht="24.95" customHeight="1">
      <c r="A136" s="8"/>
      <c r="B136" s="6"/>
      <c r="C136" s="15" t="str">
        <f>IF(COUNTIFS(Master_PIC!$A$8:$A$73,$B136)=1,IF(VLOOKUP($B136,Master_PIC!$A$8:$G$73,2,FALSE)="","",VLOOKUP($B136,Master_PIC!$A$8:$G$73,2,FALSE)),"")</f>
        <v/>
      </c>
      <c r="D136" s="15" t="str">
        <f>IF(COUNTIFS(Master_PIC!$A$8:$A$73,$B136)=1,IF(VLOOKUP($B136,Master_PIC!$A$8:$G$73,4,FALSE)="","",VLOOKUP($B136,Master_PIC!$A$8:$G$73,4,FALSE)),"")</f>
        <v/>
      </c>
      <c r="E136" s="15" t="str">
        <f>IF(COUNTIFS(Master_PIC!$A$8:$A$73,$B136)=1,IF(VLOOKUP($B136,Master_PIC!$A$8:$G$73,5,FALSE)="","",VLOOKUP($B136,Master_PIC!$A$8:$G$73,5,FALSE)),"")</f>
        <v/>
      </c>
      <c r="F136" s="15" t="str">
        <f>IF(COUNTIFS(Master_PIC!$A$8:$A$73,$B136)=1,IF(VLOOKUP($B136,Master_PIC!$A$8:$G$73,6,FALSE)="","",VLOOKUP($B136,Master_PIC!$A$8:$G$73,6,FALSE)),"")</f>
        <v/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8"/>
      <c r="X136" s="5"/>
      <c r="Y136" s="5"/>
      <c r="Z136" s="9"/>
      <c r="AA136" s="5"/>
      <c r="AB136" s="5"/>
      <c r="AC136" s="9"/>
      <c r="AD136" s="5"/>
      <c r="AE136" s="7" t="str">
        <f t="shared" ref="AE136:AE199" si="14">IF(OR($A136&lt;&gt;"",$B136&lt;&gt;""),13-AI136,"")</f>
        <v/>
      </c>
      <c r="AF136" s="7" t="str">
        <f t="shared" ref="AF136:AF199" si="15">IF(OR($A136&lt;&gt;"",$B136&lt;&gt;""),COUNTIFS(G136:S136,"Selesai"),"")</f>
        <v/>
      </c>
      <c r="AG136" s="7" t="str">
        <f t="shared" ref="AG136:AG199" si="16">IF(OR($A136&lt;&gt;"",$B136&lt;&gt;""),COUNTIFS(G136:S136,"Proses"),"")</f>
        <v/>
      </c>
      <c r="AH136" s="7" t="str">
        <f t="shared" ref="AH136:AH199" si="17">IF(OR($A136&lt;&gt;"",$B136&lt;&gt;""),COUNTIFS(G136:S136,"Belum"),"")</f>
        <v/>
      </c>
      <c r="AI136" s="7" t="str">
        <f t="shared" ref="AI136:AI199" si="18">IF(OR($A136&lt;&gt;"",$B136&lt;&gt;""),COUNTIFS(G136:S136,"Tidak Berlaku"),"")</f>
        <v/>
      </c>
      <c r="AJ136" s="7" t="str">
        <f t="shared" ref="AJ136:AJ199" si="19">IF(OR($A136&lt;&gt;"",$B136&lt;&gt;""),COUNTBLANK(G136:S136),"")</f>
        <v/>
      </c>
      <c r="AK136" s="10" t="str">
        <f t="shared" ref="AK136:AK199" si="20">IF(OR($A136&lt;&gt;"",$B136&lt;&gt;""),IF(AE136=0,"n.a.",AF136/AE136),"")</f>
        <v/>
      </c>
      <c r="AL136" s="15" t="str">
        <f>IF(OR($A136&lt;&gt;"",$B136&lt;&gt;""),IF(OR($A136="",$B136=""),"Isi tanggal dan ID PIC",IF(NOT(ISNUMBER($A136)),"Tanggal harus berupa tanggal Excel",IF(COUNTIFS(Master_PIC!$A$8:$A$73,$B136)&lt;&gt;1,"ID PIC tidak unik/terdaftar",IF(VLOOKUP($B136,Master_PIC!$A$8:$G$73,3,FALSE)&lt;&gt;"ASM","Jabatan tidak sesuai sheet",IF(OR($C136="",$D136="",$E136="",$F136=""),"Lengkapi master PIC",IF(COUNTIFS($A$8:$A$507,$A136,$B$8:$B$507,$B136)&gt;1,"Laporan ganda",IF(COUNTIFS(G136:O136,"Tidak Berlaku")&gt;0,"N/A hanya untuk kegiatan bersyarat",IF(SUM(AF136,AG136,AH136,AI136,AJ136)&lt;&gt;13,"Status kegiatan tidak valid",IF(AJ136&gt;0,"Lengkapi status kegiatan",IF(AND(AI136&gt;0,T136=""),"Isi alasan Tidak Berlaku",IF(AND(SUM(AG136,AH136)&gt;0,OR(T136="",U136="",V136="",W136="")),"Isi kendala dan tindak lanjut",IF(AND(Y136&lt;&gt;"Draft",Y136&lt;&gt;"Dikirim"),"Isi status laporan yang valid",IF(AND(AA136&lt;&gt;"",AA136&lt;&gt;"Belum Diperiksa",AA136&lt;&gt;"Disetujui",AA136&lt;&gt;"Perlu Perbaikan"),"Hasil review tidak valid",IF(AND(Y136="Dikirim",OR(X136="",Z136="")),"Isi bukti dan waktu kirim",IF(AND(AA136="Disetujui",OR(Y136&lt;&gt;"Dikirim",AB136="",AC136="")),"Lengkapi pemeriksaan",IF(AND(AA136="Perlu Perbaikan",OR(AD136="",AB136="",AC136="")),"Isi pemeriksa dan catatan perbaikan","OK")))))))))))))))),"")</f>
        <v/>
      </c>
    </row>
    <row r="137" spans="1:38" ht="24.95" customHeight="1">
      <c r="A137" s="8"/>
      <c r="B137" s="6"/>
      <c r="C137" s="15" t="str">
        <f>IF(COUNTIFS(Master_PIC!$A$8:$A$73,$B137)=1,IF(VLOOKUP($B137,Master_PIC!$A$8:$G$73,2,FALSE)="","",VLOOKUP($B137,Master_PIC!$A$8:$G$73,2,FALSE)),"")</f>
        <v/>
      </c>
      <c r="D137" s="15" t="str">
        <f>IF(COUNTIFS(Master_PIC!$A$8:$A$73,$B137)=1,IF(VLOOKUP($B137,Master_PIC!$A$8:$G$73,4,FALSE)="","",VLOOKUP($B137,Master_PIC!$A$8:$G$73,4,FALSE)),"")</f>
        <v/>
      </c>
      <c r="E137" s="15" t="str">
        <f>IF(COUNTIFS(Master_PIC!$A$8:$A$73,$B137)=1,IF(VLOOKUP($B137,Master_PIC!$A$8:$G$73,5,FALSE)="","",VLOOKUP($B137,Master_PIC!$A$8:$G$73,5,FALSE)),"")</f>
        <v/>
      </c>
      <c r="F137" s="15" t="str">
        <f>IF(COUNTIFS(Master_PIC!$A$8:$A$73,$B137)=1,IF(VLOOKUP($B137,Master_PIC!$A$8:$G$73,6,FALSE)="","",VLOOKUP($B137,Master_PIC!$A$8:$G$73,6,FALSE)),"")</f>
        <v/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8"/>
      <c r="X137" s="5"/>
      <c r="Y137" s="5"/>
      <c r="Z137" s="9"/>
      <c r="AA137" s="5"/>
      <c r="AB137" s="5"/>
      <c r="AC137" s="9"/>
      <c r="AD137" s="5"/>
      <c r="AE137" s="7" t="str">
        <f t="shared" si="14"/>
        <v/>
      </c>
      <c r="AF137" s="7" t="str">
        <f t="shared" si="15"/>
        <v/>
      </c>
      <c r="AG137" s="7" t="str">
        <f t="shared" si="16"/>
        <v/>
      </c>
      <c r="AH137" s="7" t="str">
        <f t="shared" si="17"/>
        <v/>
      </c>
      <c r="AI137" s="7" t="str">
        <f t="shared" si="18"/>
        <v/>
      </c>
      <c r="AJ137" s="7" t="str">
        <f t="shared" si="19"/>
        <v/>
      </c>
      <c r="AK137" s="10" t="str">
        <f t="shared" si="20"/>
        <v/>
      </c>
      <c r="AL137" s="15" t="str">
        <f>IF(OR($A137&lt;&gt;"",$B137&lt;&gt;""),IF(OR($A137="",$B137=""),"Isi tanggal dan ID PIC",IF(NOT(ISNUMBER($A137)),"Tanggal harus berupa tanggal Excel",IF(COUNTIFS(Master_PIC!$A$8:$A$73,$B137)&lt;&gt;1,"ID PIC tidak unik/terdaftar",IF(VLOOKUP($B137,Master_PIC!$A$8:$G$73,3,FALSE)&lt;&gt;"ASM","Jabatan tidak sesuai sheet",IF(OR($C137="",$D137="",$E137="",$F137=""),"Lengkapi master PIC",IF(COUNTIFS($A$8:$A$507,$A137,$B$8:$B$507,$B137)&gt;1,"Laporan ganda",IF(COUNTIFS(G137:O137,"Tidak Berlaku")&gt;0,"N/A hanya untuk kegiatan bersyarat",IF(SUM(AF137,AG137,AH137,AI137,AJ137)&lt;&gt;13,"Status kegiatan tidak valid",IF(AJ137&gt;0,"Lengkapi status kegiatan",IF(AND(AI137&gt;0,T137=""),"Isi alasan Tidak Berlaku",IF(AND(SUM(AG137,AH137)&gt;0,OR(T137="",U137="",V137="",W137="")),"Isi kendala dan tindak lanjut",IF(AND(Y137&lt;&gt;"Draft",Y137&lt;&gt;"Dikirim"),"Isi status laporan yang valid",IF(AND(AA137&lt;&gt;"",AA137&lt;&gt;"Belum Diperiksa",AA137&lt;&gt;"Disetujui",AA137&lt;&gt;"Perlu Perbaikan"),"Hasil review tidak valid",IF(AND(Y137="Dikirim",OR(X137="",Z137="")),"Isi bukti dan waktu kirim",IF(AND(AA137="Disetujui",OR(Y137&lt;&gt;"Dikirim",AB137="",AC137="")),"Lengkapi pemeriksaan",IF(AND(AA137="Perlu Perbaikan",OR(AD137="",AB137="",AC137="")),"Isi pemeriksa dan catatan perbaikan","OK")))))))))))))))),"")</f>
        <v/>
      </c>
    </row>
    <row r="138" spans="1:38" ht="24.95" customHeight="1">
      <c r="A138" s="8"/>
      <c r="B138" s="6"/>
      <c r="C138" s="15" t="str">
        <f>IF(COUNTIFS(Master_PIC!$A$8:$A$73,$B138)=1,IF(VLOOKUP($B138,Master_PIC!$A$8:$G$73,2,FALSE)="","",VLOOKUP($B138,Master_PIC!$A$8:$G$73,2,FALSE)),"")</f>
        <v/>
      </c>
      <c r="D138" s="15" t="str">
        <f>IF(COUNTIFS(Master_PIC!$A$8:$A$73,$B138)=1,IF(VLOOKUP($B138,Master_PIC!$A$8:$G$73,4,FALSE)="","",VLOOKUP($B138,Master_PIC!$A$8:$G$73,4,FALSE)),"")</f>
        <v/>
      </c>
      <c r="E138" s="15" t="str">
        <f>IF(COUNTIFS(Master_PIC!$A$8:$A$73,$B138)=1,IF(VLOOKUP($B138,Master_PIC!$A$8:$G$73,5,FALSE)="","",VLOOKUP($B138,Master_PIC!$A$8:$G$73,5,FALSE)),"")</f>
        <v/>
      </c>
      <c r="F138" s="15" t="str">
        <f>IF(COUNTIFS(Master_PIC!$A$8:$A$73,$B138)=1,IF(VLOOKUP($B138,Master_PIC!$A$8:$G$73,6,FALSE)="","",VLOOKUP($B138,Master_PIC!$A$8:$G$73,6,FALSE)),"")</f>
        <v/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8"/>
      <c r="X138" s="5"/>
      <c r="Y138" s="5"/>
      <c r="Z138" s="9"/>
      <c r="AA138" s="5"/>
      <c r="AB138" s="5"/>
      <c r="AC138" s="9"/>
      <c r="AD138" s="5"/>
      <c r="AE138" s="7" t="str">
        <f t="shared" si="14"/>
        <v/>
      </c>
      <c r="AF138" s="7" t="str">
        <f t="shared" si="15"/>
        <v/>
      </c>
      <c r="AG138" s="7" t="str">
        <f t="shared" si="16"/>
        <v/>
      </c>
      <c r="AH138" s="7" t="str">
        <f t="shared" si="17"/>
        <v/>
      </c>
      <c r="AI138" s="7" t="str">
        <f t="shared" si="18"/>
        <v/>
      </c>
      <c r="AJ138" s="7" t="str">
        <f t="shared" si="19"/>
        <v/>
      </c>
      <c r="AK138" s="10" t="str">
        <f t="shared" si="20"/>
        <v/>
      </c>
      <c r="AL138" s="15" t="str">
        <f>IF(OR($A138&lt;&gt;"",$B138&lt;&gt;""),IF(OR($A138="",$B138=""),"Isi tanggal dan ID PIC",IF(NOT(ISNUMBER($A138)),"Tanggal harus berupa tanggal Excel",IF(COUNTIFS(Master_PIC!$A$8:$A$73,$B138)&lt;&gt;1,"ID PIC tidak unik/terdaftar",IF(VLOOKUP($B138,Master_PIC!$A$8:$G$73,3,FALSE)&lt;&gt;"ASM","Jabatan tidak sesuai sheet",IF(OR($C138="",$D138="",$E138="",$F138=""),"Lengkapi master PIC",IF(COUNTIFS($A$8:$A$507,$A138,$B$8:$B$507,$B138)&gt;1,"Laporan ganda",IF(COUNTIFS(G138:O138,"Tidak Berlaku")&gt;0,"N/A hanya untuk kegiatan bersyarat",IF(SUM(AF138,AG138,AH138,AI138,AJ138)&lt;&gt;13,"Status kegiatan tidak valid",IF(AJ138&gt;0,"Lengkapi status kegiatan",IF(AND(AI138&gt;0,T138=""),"Isi alasan Tidak Berlaku",IF(AND(SUM(AG138,AH138)&gt;0,OR(T138="",U138="",V138="",W138="")),"Isi kendala dan tindak lanjut",IF(AND(Y138&lt;&gt;"Draft",Y138&lt;&gt;"Dikirim"),"Isi status laporan yang valid",IF(AND(AA138&lt;&gt;"",AA138&lt;&gt;"Belum Diperiksa",AA138&lt;&gt;"Disetujui",AA138&lt;&gt;"Perlu Perbaikan"),"Hasil review tidak valid",IF(AND(Y138="Dikirim",OR(X138="",Z138="")),"Isi bukti dan waktu kirim",IF(AND(AA138="Disetujui",OR(Y138&lt;&gt;"Dikirim",AB138="",AC138="")),"Lengkapi pemeriksaan",IF(AND(AA138="Perlu Perbaikan",OR(AD138="",AB138="",AC138="")),"Isi pemeriksa dan catatan perbaikan","OK")))))))))))))))),"")</f>
        <v/>
      </c>
    </row>
    <row r="139" spans="1:38" ht="24.95" customHeight="1">
      <c r="A139" s="8"/>
      <c r="B139" s="6"/>
      <c r="C139" s="15" t="str">
        <f>IF(COUNTIFS(Master_PIC!$A$8:$A$73,$B139)=1,IF(VLOOKUP($B139,Master_PIC!$A$8:$G$73,2,FALSE)="","",VLOOKUP($B139,Master_PIC!$A$8:$G$73,2,FALSE)),"")</f>
        <v/>
      </c>
      <c r="D139" s="15" t="str">
        <f>IF(COUNTIFS(Master_PIC!$A$8:$A$73,$B139)=1,IF(VLOOKUP($B139,Master_PIC!$A$8:$G$73,4,FALSE)="","",VLOOKUP($B139,Master_PIC!$A$8:$G$73,4,FALSE)),"")</f>
        <v/>
      </c>
      <c r="E139" s="15" t="str">
        <f>IF(COUNTIFS(Master_PIC!$A$8:$A$73,$B139)=1,IF(VLOOKUP($B139,Master_PIC!$A$8:$G$73,5,FALSE)="","",VLOOKUP($B139,Master_PIC!$A$8:$G$73,5,FALSE)),"")</f>
        <v/>
      </c>
      <c r="F139" s="15" t="str">
        <f>IF(COUNTIFS(Master_PIC!$A$8:$A$73,$B139)=1,IF(VLOOKUP($B139,Master_PIC!$A$8:$G$73,6,FALSE)="","",VLOOKUP($B139,Master_PIC!$A$8:$G$73,6,FALSE)),"")</f>
        <v/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8"/>
      <c r="X139" s="5"/>
      <c r="Y139" s="5"/>
      <c r="Z139" s="9"/>
      <c r="AA139" s="5"/>
      <c r="AB139" s="5"/>
      <c r="AC139" s="9"/>
      <c r="AD139" s="5"/>
      <c r="AE139" s="7" t="str">
        <f t="shared" si="14"/>
        <v/>
      </c>
      <c r="AF139" s="7" t="str">
        <f t="shared" si="15"/>
        <v/>
      </c>
      <c r="AG139" s="7" t="str">
        <f t="shared" si="16"/>
        <v/>
      </c>
      <c r="AH139" s="7" t="str">
        <f t="shared" si="17"/>
        <v/>
      </c>
      <c r="AI139" s="7" t="str">
        <f t="shared" si="18"/>
        <v/>
      </c>
      <c r="AJ139" s="7" t="str">
        <f t="shared" si="19"/>
        <v/>
      </c>
      <c r="AK139" s="10" t="str">
        <f t="shared" si="20"/>
        <v/>
      </c>
      <c r="AL139" s="15" t="str">
        <f>IF(OR($A139&lt;&gt;"",$B139&lt;&gt;""),IF(OR($A139="",$B139=""),"Isi tanggal dan ID PIC",IF(NOT(ISNUMBER($A139)),"Tanggal harus berupa tanggal Excel",IF(COUNTIFS(Master_PIC!$A$8:$A$73,$B139)&lt;&gt;1,"ID PIC tidak unik/terdaftar",IF(VLOOKUP($B139,Master_PIC!$A$8:$G$73,3,FALSE)&lt;&gt;"ASM","Jabatan tidak sesuai sheet",IF(OR($C139="",$D139="",$E139="",$F139=""),"Lengkapi master PIC",IF(COUNTIFS($A$8:$A$507,$A139,$B$8:$B$507,$B139)&gt;1,"Laporan ganda",IF(COUNTIFS(G139:O139,"Tidak Berlaku")&gt;0,"N/A hanya untuk kegiatan bersyarat",IF(SUM(AF139,AG139,AH139,AI139,AJ139)&lt;&gt;13,"Status kegiatan tidak valid",IF(AJ139&gt;0,"Lengkapi status kegiatan",IF(AND(AI139&gt;0,T139=""),"Isi alasan Tidak Berlaku",IF(AND(SUM(AG139,AH139)&gt;0,OR(T139="",U139="",V139="",W139="")),"Isi kendala dan tindak lanjut",IF(AND(Y139&lt;&gt;"Draft",Y139&lt;&gt;"Dikirim"),"Isi status laporan yang valid",IF(AND(AA139&lt;&gt;"",AA139&lt;&gt;"Belum Diperiksa",AA139&lt;&gt;"Disetujui",AA139&lt;&gt;"Perlu Perbaikan"),"Hasil review tidak valid",IF(AND(Y139="Dikirim",OR(X139="",Z139="")),"Isi bukti dan waktu kirim",IF(AND(AA139="Disetujui",OR(Y139&lt;&gt;"Dikirim",AB139="",AC139="")),"Lengkapi pemeriksaan",IF(AND(AA139="Perlu Perbaikan",OR(AD139="",AB139="",AC139="")),"Isi pemeriksa dan catatan perbaikan","OK")))))))))))))))),"")</f>
        <v/>
      </c>
    </row>
    <row r="140" spans="1:38" ht="24.95" customHeight="1">
      <c r="A140" s="8"/>
      <c r="B140" s="6"/>
      <c r="C140" s="15" t="str">
        <f>IF(COUNTIFS(Master_PIC!$A$8:$A$73,$B140)=1,IF(VLOOKUP($B140,Master_PIC!$A$8:$G$73,2,FALSE)="","",VLOOKUP($B140,Master_PIC!$A$8:$G$73,2,FALSE)),"")</f>
        <v/>
      </c>
      <c r="D140" s="15" t="str">
        <f>IF(COUNTIFS(Master_PIC!$A$8:$A$73,$B140)=1,IF(VLOOKUP($B140,Master_PIC!$A$8:$G$73,4,FALSE)="","",VLOOKUP($B140,Master_PIC!$A$8:$G$73,4,FALSE)),"")</f>
        <v/>
      </c>
      <c r="E140" s="15" t="str">
        <f>IF(COUNTIFS(Master_PIC!$A$8:$A$73,$B140)=1,IF(VLOOKUP($B140,Master_PIC!$A$8:$G$73,5,FALSE)="","",VLOOKUP($B140,Master_PIC!$A$8:$G$73,5,FALSE)),"")</f>
        <v/>
      </c>
      <c r="F140" s="15" t="str">
        <f>IF(COUNTIFS(Master_PIC!$A$8:$A$73,$B140)=1,IF(VLOOKUP($B140,Master_PIC!$A$8:$G$73,6,FALSE)="","",VLOOKUP($B140,Master_PIC!$A$8:$G$73,6,FALSE)),"")</f>
        <v/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8"/>
      <c r="X140" s="5"/>
      <c r="Y140" s="5"/>
      <c r="Z140" s="9"/>
      <c r="AA140" s="5"/>
      <c r="AB140" s="5"/>
      <c r="AC140" s="9"/>
      <c r="AD140" s="5"/>
      <c r="AE140" s="7" t="str">
        <f t="shared" si="14"/>
        <v/>
      </c>
      <c r="AF140" s="7" t="str">
        <f t="shared" si="15"/>
        <v/>
      </c>
      <c r="AG140" s="7" t="str">
        <f t="shared" si="16"/>
        <v/>
      </c>
      <c r="AH140" s="7" t="str">
        <f t="shared" si="17"/>
        <v/>
      </c>
      <c r="AI140" s="7" t="str">
        <f t="shared" si="18"/>
        <v/>
      </c>
      <c r="AJ140" s="7" t="str">
        <f t="shared" si="19"/>
        <v/>
      </c>
      <c r="AK140" s="10" t="str">
        <f t="shared" si="20"/>
        <v/>
      </c>
      <c r="AL140" s="15" t="str">
        <f>IF(OR($A140&lt;&gt;"",$B140&lt;&gt;""),IF(OR($A140="",$B140=""),"Isi tanggal dan ID PIC",IF(NOT(ISNUMBER($A140)),"Tanggal harus berupa tanggal Excel",IF(COUNTIFS(Master_PIC!$A$8:$A$73,$B140)&lt;&gt;1,"ID PIC tidak unik/terdaftar",IF(VLOOKUP($B140,Master_PIC!$A$8:$G$73,3,FALSE)&lt;&gt;"ASM","Jabatan tidak sesuai sheet",IF(OR($C140="",$D140="",$E140="",$F140=""),"Lengkapi master PIC",IF(COUNTIFS($A$8:$A$507,$A140,$B$8:$B$507,$B140)&gt;1,"Laporan ganda",IF(COUNTIFS(G140:O140,"Tidak Berlaku")&gt;0,"N/A hanya untuk kegiatan bersyarat",IF(SUM(AF140,AG140,AH140,AI140,AJ140)&lt;&gt;13,"Status kegiatan tidak valid",IF(AJ140&gt;0,"Lengkapi status kegiatan",IF(AND(AI140&gt;0,T140=""),"Isi alasan Tidak Berlaku",IF(AND(SUM(AG140,AH140)&gt;0,OR(T140="",U140="",V140="",W140="")),"Isi kendala dan tindak lanjut",IF(AND(Y140&lt;&gt;"Draft",Y140&lt;&gt;"Dikirim"),"Isi status laporan yang valid",IF(AND(AA140&lt;&gt;"",AA140&lt;&gt;"Belum Diperiksa",AA140&lt;&gt;"Disetujui",AA140&lt;&gt;"Perlu Perbaikan"),"Hasil review tidak valid",IF(AND(Y140="Dikirim",OR(X140="",Z140="")),"Isi bukti dan waktu kirim",IF(AND(AA140="Disetujui",OR(Y140&lt;&gt;"Dikirim",AB140="",AC140="")),"Lengkapi pemeriksaan",IF(AND(AA140="Perlu Perbaikan",OR(AD140="",AB140="",AC140="")),"Isi pemeriksa dan catatan perbaikan","OK")))))))))))))))),"")</f>
        <v/>
      </c>
    </row>
    <row r="141" spans="1:38" ht="24.95" customHeight="1">
      <c r="A141" s="8"/>
      <c r="B141" s="6"/>
      <c r="C141" s="15" t="str">
        <f>IF(COUNTIFS(Master_PIC!$A$8:$A$73,$B141)=1,IF(VLOOKUP($B141,Master_PIC!$A$8:$G$73,2,FALSE)="","",VLOOKUP($B141,Master_PIC!$A$8:$G$73,2,FALSE)),"")</f>
        <v/>
      </c>
      <c r="D141" s="15" t="str">
        <f>IF(COUNTIFS(Master_PIC!$A$8:$A$73,$B141)=1,IF(VLOOKUP($B141,Master_PIC!$A$8:$G$73,4,FALSE)="","",VLOOKUP($B141,Master_PIC!$A$8:$G$73,4,FALSE)),"")</f>
        <v/>
      </c>
      <c r="E141" s="15" t="str">
        <f>IF(COUNTIFS(Master_PIC!$A$8:$A$73,$B141)=1,IF(VLOOKUP($B141,Master_PIC!$A$8:$G$73,5,FALSE)="","",VLOOKUP($B141,Master_PIC!$A$8:$G$73,5,FALSE)),"")</f>
        <v/>
      </c>
      <c r="F141" s="15" t="str">
        <f>IF(COUNTIFS(Master_PIC!$A$8:$A$73,$B141)=1,IF(VLOOKUP($B141,Master_PIC!$A$8:$G$73,6,FALSE)="","",VLOOKUP($B141,Master_PIC!$A$8:$G$73,6,FALSE)),"")</f>
        <v/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9"/>
      <c r="AA141" s="5"/>
      <c r="AB141" s="5"/>
      <c r="AC141" s="9"/>
      <c r="AD141" s="5"/>
      <c r="AE141" s="7" t="str">
        <f t="shared" si="14"/>
        <v/>
      </c>
      <c r="AF141" s="7" t="str">
        <f t="shared" si="15"/>
        <v/>
      </c>
      <c r="AG141" s="7" t="str">
        <f t="shared" si="16"/>
        <v/>
      </c>
      <c r="AH141" s="7" t="str">
        <f t="shared" si="17"/>
        <v/>
      </c>
      <c r="AI141" s="7" t="str">
        <f t="shared" si="18"/>
        <v/>
      </c>
      <c r="AJ141" s="7" t="str">
        <f t="shared" si="19"/>
        <v/>
      </c>
      <c r="AK141" s="10" t="str">
        <f t="shared" si="20"/>
        <v/>
      </c>
      <c r="AL141" s="15" t="str">
        <f>IF(OR($A141&lt;&gt;"",$B141&lt;&gt;""),IF(OR($A141="",$B141=""),"Isi tanggal dan ID PIC",IF(NOT(ISNUMBER($A141)),"Tanggal harus berupa tanggal Excel",IF(COUNTIFS(Master_PIC!$A$8:$A$73,$B141)&lt;&gt;1,"ID PIC tidak unik/terdaftar",IF(VLOOKUP($B141,Master_PIC!$A$8:$G$73,3,FALSE)&lt;&gt;"ASM","Jabatan tidak sesuai sheet",IF(OR($C141="",$D141="",$E141="",$F141=""),"Lengkapi master PIC",IF(COUNTIFS($A$8:$A$507,$A141,$B$8:$B$507,$B141)&gt;1,"Laporan ganda",IF(COUNTIFS(G141:O141,"Tidak Berlaku")&gt;0,"N/A hanya untuk kegiatan bersyarat",IF(SUM(AF141,AG141,AH141,AI141,AJ141)&lt;&gt;13,"Status kegiatan tidak valid",IF(AJ141&gt;0,"Lengkapi status kegiatan",IF(AND(AI141&gt;0,T141=""),"Isi alasan Tidak Berlaku",IF(AND(SUM(AG141,AH141)&gt;0,OR(T141="",U141="",V141="",W141="")),"Isi kendala dan tindak lanjut",IF(AND(Y141&lt;&gt;"Draft",Y141&lt;&gt;"Dikirim"),"Isi status laporan yang valid",IF(AND(AA141&lt;&gt;"",AA141&lt;&gt;"Belum Diperiksa",AA141&lt;&gt;"Disetujui",AA141&lt;&gt;"Perlu Perbaikan"),"Hasil review tidak valid",IF(AND(Y141="Dikirim",OR(X141="",Z141="")),"Isi bukti dan waktu kirim",IF(AND(AA141="Disetujui",OR(Y141&lt;&gt;"Dikirim",AB141="",AC141="")),"Lengkapi pemeriksaan",IF(AND(AA141="Perlu Perbaikan",OR(AD141="",AB141="",AC141="")),"Isi pemeriksa dan catatan perbaikan","OK")))))))))))))))),"")</f>
        <v/>
      </c>
    </row>
    <row r="142" spans="1:38" ht="24.95" customHeight="1">
      <c r="A142" s="8"/>
      <c r="B142" s="6"/>
      <c r="C142" s="15" t="str">
        <f>IF(COUNTIFS(Master_PIC!$A$8:$A$73,$B142)=1,IF(VLOOKUP($B142,Master_PIC!$A$8:$G$73,2,FALSE)="","",VLOOKUP($B142,Master_PIC!$A$8:$G$73,2,FALSE)),"")</f>
        <v/>
      </c>
      <c r="D142" s="15" t="str">
        <f>IF(COUNTIFS(Master_PIC!$A$8:$A$73,$B142)=1,IF(VLOOKUP($B142,Master_PIC!$A$8:$G$73,4,FALSE)="","",VLOOKUP($B142,Master_PIC!$A$8:$G$73,4,FALSE)),"")</f>
        <v/>
      </c>
      <c r="E142" s="15" t="str">
        <f>IF(COUNTIFS(Master_PIC!$A$8:$A$73,$B142)=1,IF(VLOOKUP($B142,Master_PIC!$A$8:$G$73,5,FALSE)="","",VLOOKUP($B142,Master_PIC!$A$8:$G$73,5,FALSE)),"")</f>
        <v/>
      </c>
      <c r="F142" s="15" t="str">
        <f>IF(COUNTIFS(Master_PIC!$A$8:$A$73,$B142)=1,IF(VLOOKUP($B142,Master_PIC!$A$8:$G$73,6,FALSE)="","",VLOOKUP($B142,Master_PIC!$A$8:$G$73,6,FALSE)),"")</f>
        <v/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9"/>
      <c r="AA142" s="5"/>
      <c r="AB142" s="5"/>
      <c r="AC142" s="9"/>
      <c r="AD142" s="5"/>
      <c r="AE142" s="7" t="str">
        <f t="shared" si="14"/>
        <v/>
      </c>
      <c r="AF142" s="7" t="str">
        <f t="shared" si="15"/>
        <v/>
      </c>
      <c r="AG142" s="7" t="str">
        <f t="shared" si="16"/>
        <v/>
      </c>
      <c r="AH142" s="7" t="str">
        <f t="shared" si="17"/>
        <v/>
      </c>
      <c r="AI142" s="7" t="str">
        <f t="shared" si="18"/>
        <v/>
      </c>
      <c r="AJ142" s="7" t="str">
        <f t="shared" si="19"/>
        <v/>
      </c>
      <c r="AK142" s="10" t="str">
        <f t="shared" si="20"/>
        <v/>
      </c>
      <c r="AL142" s="15" t="str">
        <f>IF(OR($A142&lt;&gt;"",$B142&lt;&gt;""),IF(OR($A142="",$B142=""),"Isi tanggal dan ID PIC",IF(NOT(ISNUMBER($A142)),"Tanggal harus berupa tanggal Excel",IF(COUNTIFS(Master_PIC!$A$8:$A$73,$B142)&lt;&gt;1,"ID PIC tidak unik/terdaftar",IF(VLOOKUP($B142,Master_PIC!$A$8:$G$73,3,FALSE)&lt;&gt;"ASM","Jabatan tidak sesuai sheet",IF(OR($C142="",$D142="",$E142="",$F142=""),"Lengkapi master PIC",IF(COUNTIFS($A$8:$A$507,$A142,$B$8:$B$507,$B142)&gt;1,"Laporan ganda",IF(COUNTIFS(G142:O142,"Tidak Berlaku")&gt;0,"N/A hanya untuk kegiatan bersyarat",IF(SUM(AF142,AG142,AH142,AI142,AJ142)&lt;&gt;13,"Status kegiatan tidak valid",IF(AJ142&gt;0,"Lengkapi status kegiatan",IF(AND(AI142&gt;0,T142=""),"Isi alasan Tidak Berlaku",IF(AND(SUM(AG142,AH142)&gt;0,OR(T142="",U142="",V142="",W142="")),"Isi kendala dan tindak lanjut",IF(AND(Y142&lt;&gt;"Draft",Y142&lt;&gt;"Dikirim"),"Isi status laporan yang valid",IF(AND(AA142&lt;&gt;"",AA142&lt;&gt;"Belum Diperiksa",AA142&lt;&gt;"Disetujui",AA142&lt;&gt;"Perlu Perbaikan"),"Hasil review tidak valid",IF(AND(Y142="Dikirim",OR(X142="",Z142="")),"Isi bukti dan waktu kirim",IF(AND(AA142="Disetujui",OR(Y142&lt;&gt;"Dikirim",AB142="",AC142="")),"Lengkapi pemeriksaan",IF(AND(AA142="Perlu Perbaikan",OR(AD142="",AB142="",AC142="")),"Isi pemeriksa dan catatan perbaikan","OK")))))))))))))))),"")</f>
        <v/>
      </c>
    </row>
    <row r="143" spans="1:38" ht="24.95" customHeight="1">
      <c r="A143" s="8"/>
      <c r="B143" s="6"/>
      <c r="C143" s="15" t="str">
        <f>IF(COUNTIFS(Master_PIC!$A$8:$A$73,$B143)=1,IF(VLOOKUP($B143,Master_PIC!$A$8:$G$73,2,FALSE)="","",VLOOKUP($B143,Master_PIC!$A$8:$G$73,2,FALSE)),"")</f>
        <v/>
      </c>
      <c r="D143" s="15" t="str">
        <f>IF(COUNTIFS(Master_PIC!$A$8:$A$73,$B143)=1,IF(VLOOKUP($B143,Master_PIC!$A$8:$G$73,4,FALSE)="","",VLOOKUP($B143,Master_PIC!$A$8:$G$73,4,FALSE)),"")</f>
        <v/>
      </c>
      <c r="E143" s="15" t="str">
        <f>IF(COUNTIFS(Master_PIC!$A$8:$A$73,$B143)=1,IF(VLOOKUP($B143,Master_PIC!$A$8:$G$73,5,FALSE)="","",VLOOKUP($B143,Master_PIC!$A$8:$G$73,5,FALSE)),"")</f>
        <v/>
      </c>
      <c r="F143" s="15" t="str">
        <f>IF(COUNTIFS(Master_PIC!$A$8:$A$73,$B143)=1,IF(VLOOKUP($B143,Master_PIC!$A$8:$G$73,6,FALSE)="","",VLOOKUP($B143,Master_PIC!$A$8:$G$73,6,FALSE)),"")</f>
        <v/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8"/>
      <c r="X143" s="5"/>
      <c r="Y143" s="5"/>
      <c r="Z143" s="9"/>
      <c r="AA143" s="5"/>
      <c r="AB143" s="5"/>
      <c r="AC143" s="9"/>
      <c r="AD143" s="5"/>
      <c r="AE143" s="7" t="str">
        <f t="shared" si="14"/>
        <v/>
      </c>
      <c r="AF143" s="7" t="str">
        <f t="shared" si="15"/>
        <v/>
      </c>
      <c r="AG143" s="7" t="str">
        <f t="shared" si="16"/>
        <v/>
      </c>
      <c r="AH143" s="7" t="str">
        <f t="shared" si="17"/>
        <v/>
      </c>
      <c r="AI143" s="7" t="str">
        <f t="shared" si="18"/>
        <v/>
      </c>
      <c r="AJ143" s="7" t="str">
        <f t="shared" si="19"/>
        <v/>
      </c>
      <c r="AK143" s="10" t="str">
        <f t="shared" si="20"/>
        <v/>
      </c>
      <c r="AL143" s="15" t="str">
        <f>IF(OR($A143&lt;&gt;"",$B143&lt;&gt;""),IF(OR($A143="",$B143=""),"Isi tanggal dan ID PIC",IF(NOT(ISNUMBER($A143)),"Tanggal harus berupa tanggal Excel",IF(COUNTIFS(Master_PIC!$A$8:$A$73,$B143)&lt;&gt;1,"ID PIC tidak unik/terdaftar",IF(VLOOKUP($B143,Master_PIC!$A$8:$G$73,3,FALSE)&lt;&gt;"ASM","Jabatan tidak sesuai sheet",IF(OR($C143="",$D143="",$E143="",$F143=""),"Lengkapi master PIC",IF(COUNTIFS($A$8:$A$507,$A143,$B$8:$B$507,$B143)&gt;1,"Laporan ganda",IF(COUNTIFS(G143:O143,"Tidak Berlaku")&gt;0,"N/A hanya untuk kegiatan bersyarat",IF(SUM(AF143,AG143,AH143,AI143,AJ143)&lt;&gt;13,"Status kegiatan tidak valid",IF(AJ143&gt;0,"Lengkapi status kegiatan",IF(AND(AI143&gt;0,T143=""),"Isi alasan Tidak Berlaku",IF(AND(SUM(AG143,AH143)&gt;0,OR(T143="",U143="",V143="",W143="")),"Isi kendala dan tindak lanjut",IF(AND(Y143&lt;&gt;"Draft",Y143&lt;&gt;"Dikirim"),"Isi status laporan yang valid",IF(AND(AA143&lt;&gt;"",AA143&lt;&gt;"Belum Diperiksa",AA143&lt;&gt;"Disetujui",AA143&lt;&gt;"Perlu Perbaikan"),"Hasil review tidak valid",IF(AND(Y143="Dikirim",OR(X143="",Z143="")),"Isi bukti dan waktu kirim",IF(AND(AA143="Disetujui",OR(Y143&lt;&gt;"Dikirim",AB143="",AC143="")),"Lengkapi pemeriksaan",IF(AND(AA143="Perlu Perbaikan",OR(AD143="",AB143="",AC143="")),"Isi pemeriksa dan catatan perbaikan","OK")))))))))))))))),"")</f>
        <v/>
      </c>
    </row>
    <row r="144" spans="1:38" ht="24.95" customHeight="1">
      <c r="A144" s="8"/>
      <c r="B144" s="6"/>
      <c r="C144" s="15" t="str">
        <f>IF(COUNTIFS(Master_PIC!$A$8:$A$73,$B144)=1,IF(VLOOKUP($B144,Master_PIC!$A$8:$G$73,2,FALSE)="","",VLOOKUP($B144,Master_PIC!$A$8:$G$73,2,FALSE)),"")</f>
        <v/>
      </c>
      <c r="D144" s="15" t="str">
        <f>IF(COUNTIFS(Master_PIC!$A$8:$A$73,$B144)=1,IF(VLOOKUP($B144,Master_PIC!$A$8:$G$73,4,FALSE)="","",VLOOKUP($B144,Master_PIC!$A$8:$G$73,4,FALSE)),"")</f>
        <v/>
      </c>
      <c r="E144" s="15" t="str">
        <f>IF(COUNTIFS(Master_PIC!$A$8:$A$73,$B144)=1,IF(VLOOKUP($B144,Master_PIC!$A$8:$G$73,5,FALSE)="","",VLOOKUP($B144,Master_PIC!$A$8:$G$73,5,FALSE)),"")</f>
        <v/>
      </c>
      <c r="F144" s="15" t="str">
        <f>IF(COUNTIFS(Master_PIC!$A$8:$A$73,$B144)=1,IF(VLOOKUP($B144,Master_PIC!$A$8:$G$73,6,FALSE)="","",VLOOKUP($B144,Master_PIC!$A$8:$G$73,6,FALSE)),"")</f>
        <v/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8"/>
      <c r="X144" s="5"/>
      <c r="Y144" s="5"/>
      <c r="Z144" s="9"/>
      <c r="AA144" s="5"/>
      <c r="AB144" s="5"/>
      <c r="AC144" s="9"/>
      <c r="AD144" s="5"/>
      <c r="AE144" s="7" t="str">
        <f t="shared" si="14"/>
        <v/>
      </c>
      <c r="AF144" s="7" t="str">
        <f t="shared" si="15"/>
        <v/>
      </c>
      <c r="AG144" s="7" t="str">
        <f t="shared" si="16"/>
        <v/>
      </c>
      <c r="AH144" s="7" t="str">
        <f t="shared" si="17"/>
        <v/>
      </c>
      <c r="AI144" s="7" t="str">
        <f t="shared" si="18"/>
        <v/>
      </c>
      <c r="AJ144" s="7" t="str">
        <f t="shared" si="19"/>
        <v/>
      </c>
      <c r="AK144" s="10" t="str">
        <f t="shared" si="20"/>
        <v/>
      </c>
      <c r="AL144" s="15" t="str">
        <f>IF(OR($A144&lt;&gt;"",$B144&lt;&gt;""),IF(OR($A144="",$B144=""),"Isi tanggal dan ID PIC",IF(NOT(ISNUMBER($A144)),"Tanggal harus berupa tanggal Excel",IF(COUNTIFS(Master_PIC!$A$8:$A$73,$B144)&lt;&gt;1,"ID PIC tidak unik/terdaftar",IF(VLOOKUP($B144,Master_PIC!$A$8:$G$73,3,FALSE)&lt;&gt;"ASM","Jabatan tidak sesuai sheet",IF(OR($C144="",$D144="",$E144="",$F144=""),"Lengkapi master PIC",IF(COUNTIFS($A$8:$A$507,$A144,$B$8:$B$507,$B144)&gt;1,"Laporan ganda",IF(COUNTIFS(G144:O144,"Tidak Berlaku")&gt;0,"N/A hanya untuk kegiatan bersyarat",IF(SUM(AF144,AG144,AH144,AI144,AJ144)&lt;&gt;13,"Status kegiatan tidak valid",IF(AJ144&gt;0,"Lengkapi status kegiatan",IF(AND(AI144&gt;0,T144=""),"Isi alasan Tidak Berlaku",IF(AND(SUM(AG144,AH144)&gt;0,OR(T144="",U144="",V144="",W144="")),"Isi kendala dan tindak lanjut",IF(AND(Y144&lt;&gt;"Draft",Y144&lt;&gt;"Dikirim"),"Isi status laporan yang valid",IF(AND(AA144&lt;&gt;"",AA144&lt;&gt;"Belum Diperiksa",AA144&lt;&gt;"Disetujui",AA144&lt;&gt;"Perlu Perbaikan"),"Hasil review tidak valid",IF(AND(Y144="Dikirim",OR(X144="",Z144="")),"Isi bukti dan waktu kirim",IF(AND(AA144="Disetujui",OR(Y144&lt;&gt;"Dikirim",AB144="",AC144="")),"Lengkapi pemeriksaan",IF(AND(AA144="Perlu Perbaikan",OR(AD144="",AB144="",AC144="")),"Isi pemeriksa dan catatan perbaikan","OK")))))))))))))))),"")</f>
        <v/>
      </c>
    </row>
    <row r="145" spans="1:38" ht="24.95" customHeight="1">
      <c r="A145" s="8"/>
      <c r="B145" s="6"/>
      <c r="C145" s="15" t="str">
        <f>IF(COUNTIFS(Master_PIC!$A$8:$A$73,$B145)=1,IF(VLOOKUP($B145,Master_PIC!$A$8:$G$73,2,FALSE)="","",VLOOKUP($B145,Master_PIC!$A$8:$G$73,2,FALSE)),"")</f>
        <v/>
      </c>
      <c r="D145" s="15" t="str">
        <f>IF(COUNTIFS(Master_PIC!$A$8:$A$73,$B145)=1,IF(VLOOKUP($B145,Master_PIC!$A$8:$G$73,4,FALSE)="","",VLOOKUP($B145,Master_PIC!$A$8:$G$73,4,FALSE)),"")</f>
        <v/>
      </c>
      <c r="E145" s="15" t="str">
        <f>IF(COUNTIFS(Master_PIC!$A$8:$A$73,$B145)=1,IF(VLOOKUP($B145,Master_PIC!$A$8:$G$73,5,FALSE)="","",VLOOKUP($B145,Master_PIC!$A$8:$G$73,5,FALSE)),"")</f>
        <v/>
      </c>
      <c r="F145" s="15" t="str">
        <f>IF(COUNTIFS(Master_PIC!$A$8:$A$73,$B145)=1,IF(VLOOKUP($B145,Master_PIC!$A$8:$G$73,6,FALSE)="","",VLOOKUP($B145,Master_PIC!$A$8:$G$73,6,FALSE)),"")</f>
        <v/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8"/>
      <c r="X145" s="5"/>
      <c r="Y145" s="5"/>
      <c r="Z145" s="9"/>
      <c r="AA145" s="5"/>
      <c r="AB145" s="5"/>
      <c r="AC145" s="9"/>
      <c r="AD145" s="5"/>
      <c r="AE145" s="7" t="str">
        <f t="shared" si="14"/>
        <v/>
      </c>
      <c r="AF145" s="7" t="str">
        <f t="shared" si="15"/>
        <v/>
      </c>
      <c r="AG145" s="7" t="str">
        <f t="shared" si="16"/>
        <v/>
      </c>
      <c r="AH145" s="7" t="str">
        <f t="shared" si="17"/>
        <v/>
      </c>
      <c r="AI145" s="7" t="str">
        <f t="shared" si="18"/>
        <v/>
      </c>
      <c r="AJ145" s="7" t="str">
        <f t="shared" si="19"/>
        <v/>
      </c>
      <c r="AK145" s="10" t="str">
        <f t="shared" si="20"/>
        <v/>
      </c>
      <c r="AL145" s="15" t="str">
        <f>IF(OR($A145&lt;&gt;"",$B145&lt;&gt;""),IF(OR($A145="",$B145=""),"Isi tanggal dan ID PIC",IF(NOT(ISNUMBER($A145)),"Tanggal harus berupa tanggal Excel",IF(COUNTIFS(Master_PIC!$A$8:$A$73,$B145)&lt;&gt;1,"ID PIC tidak unik/terdaftar",IF(VLOOKUP($B145,Master_PIC!$A$8:$G$73,3,FALSE)&lt;&gt;"ASM","Jabatan tidak sesuai sheet",IF(OR($C145="",$D145="",$E145="",$F145=""),"Lengkapi master PIC",IF(COUNTIFS($A$8:$A$507,$A145,$B$8:$B$507,$B145)&gt;1,"Laporan ganda",IF(COUNTIFS(G145:O145,"Tidak Berlaku")&gt;0,"N/A hanya untuk kegiatan bersyarat",IF(SUM(AF145,AG145,AH145,AI145,AJ145)&lt;&gt;13,"Status kegiatan tidak valid",IF(AJ145&gt;0,"Lengkapi status kegiatan",IF(AND(AI145&gt;0,T145=""),"Isi alasan Tidak Berlaku",IF(AND(SUM(AG145,AH145)&gt;0,OR(T145="",U145="",V145="",W145="")),"Isi kendala dan tindak lanjut",IF(AND(Y145&lt;&gt;"Draft",Y145&lt;&gt;"Dikirim"),"Isi status laporan yang valid",IF(AND(AA145&lt;&gt;"",AA145&lt;&gt;"Belum Diperiksa",AA145&lt;&gt;"Disetujui",AA145&lt;&gt;"Perlu Perbaikan"),"Hasil review tidak valid",IF(AND(Y145="Dikirim",OR(X145="",Z145="")),"Isi bukti dan waktu kirim",IF(AND(AA145="Disetujui",OR(Y145&lt;&gt;"Dikirim",AB145="",AC145="")),"Lengkapi pemeriksaan",IF(AND(AA145="Perlu Perbaikan",OR(AD145="",AB145="",AC145="")),"Isi pemeriksa dan catatan perbaikan","OK")))))))))))))))),"")</f>
        <v/>
      </c>
    </row>
    <row r="146" spans="1:38" ht="24.95" customHeight="1">
      <c r="A146" s="8"/>
      <c r="B146" s="6"/>
      <c r="C146" s="15" t="str">
        <f>IF(COUNTIFS(Master_PIC!$A$8:$A$73,$B146)=1,IF(VLOOKUP($B146,Master_PIC!$A$8:$G$73,2,FALSE)="","",VLOOKUP($B146,Master_PIC!$A$8:$G$73,2,FALSE)),"")</f>
        <v/>
      </c>
      <c r="D146" s="15" t="str">
        <f>IF(COUNTIFS(Master_PIC!$A$8:$A$73,$B146)=1,IF(VLOOKUP($B146,Master_PIC!$A$8:$G$73,4,FALSE)="","",VLOOKUP($B146,Master_PIC!$A$8:$G$73,4,FALSE)),"")</f>
        <v/>
      </c>
      <c r="E146" s="15" t="str">
        <f>IF(COUNTIFS(Master_PIC!$A$8:$A$73,$B146)=1,IF(VLOOKUP($B146,Master_PIC!$A$8:$G$73,5,FALSE)="","",VLOOKUP($B146,Master_PIC!$A$8:$G$73,5,FALSE)),"")</f>
        <v/>
      </c>
      <c r="F146" s="15" t="str">
        <f>IF(COUNTIFS(Master_PIC!$A$8:$A$73,$B146)=1,IF(VLOOKUP($B146,Master_PIC!$A$8:$G$73,6,FALSE)="","",VLOOKUP($B146,Master_PIC!$A$8:$G$73,6,FALSE)),"")</f>
        <v/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9"/>
      <c r="AA146" s="5"/>
      <c r="AB146" s="5"/>
      <c r="AC146" s="9"/>
      <c r="AD146" s="5"/>
      <c r="AE146" s="7" t="str">
        <f t="shared" si="14"/>
        <v/>
      </c>
      <c r="AF146" s="7" t="str">
        <f t="shared" si="15"/>
        <v/>
      </c>
      <c r="AG146" s="7" t="str">
        <f t="shared" si="16"/>
        <v/>
      </c>
      <c r="AH146" s="7" t="str">
        <f t="shared" si="17"/>
        <v/>
      </c>
      <c r="AI146" s="7" t="str">
        <f t="shared" si="18"/>
        <v/>
      </c>
      <c r="AJ146" s="7" t="str">
        <f t="shared" si="19"/>
        <v/>
      </c>
      <c r="AK146" s="10" t="str">
        <f t="shared" si="20"/>
        <v/>
      </c>
      <c r="AL146" s="15" t="str">
        <f>IF(OR($A146&lt;&gt;"",$B146&lt;&gt;""),IF(OR($A146="",$B146=""),"Isi tanggal dan ID PIC",IF(NOT(ISNUMBER($A146)),"Tanggal harus berupa tanggal Excel",IF(COUNTIFS(Master_PIC!$A$8:$A$73,$B146)&lt;&gt;1,"ID PIC tidak unik/terdaftar",IF(VLOOKUP($B146,Master_PIC!$A$8:$G$73,3,FALSE)&lt;&gt;"ASM","Jabatan tidak sesuai sheet",IF(OR($C146="",$D146="",$E146="",$F146=""),"Lengkapi master PIC",IF(COUNTIFS($A$8:$A$507,$A146,$B$8:$B$507,$B146)&gt;1,"Laporan ganda",IF(COUNTIFS(G146:O146,"Tidak Berlaku")&gt;0,"N/A hanya untuk kegiatan bersyarat",IF(SUM(AF146,AG146,AH146,AI146,AJ146)&lt;&gt;13,"Status kegiatan tidak valid",IF(AJ146&gt;0,"Lengkapi status kegiatan",IF(AND(AI146&gt;0,T146=""),"Isi alasan Tidak Berlaku",IF(AND(SUM(AG146,AH146)&gt;0,OR(T146="",U146="",V146="",W146="")),"Isi kendala dan tindak lanjut",IF(AND(Y146&lt;&gt;"Draft",Y146&lt;&gt;"Dikirim"),"Isi status laporan yang valid",IF(AND(AA146&lt;&gt;"",AA146&lt;&gt;"Belum Diperiksa",AA146&lt;&gt;"Disetujui",AA146&lt;&gt;"Perlu Perbaikan"),"Hasil review tidak valid",IF(AND(Y146="Dikirim",OR(X146="",Z146="")),"Isi bukti dan waktu kirim",IF(AND(AA146="Disetujui",OR(Y146&lt;&gt;"Dikirim",AB146="",AC146="")),"Lengkapi pemeriksaan",IF(AND(AA146="Perlu Perbaikan",OR(AD146="",AB146="",AC146="")),"Isi pemeriksa dan catatan perbaikan","OK")))))))))))))))),"")</f>
        <v/>
      </c>
    </row>
    <row r="147" spans="1:38" ht="24.95" customHeight="1">
      <c r="A147" s="8"/>
      <c r="B147" s="6"/>
      <c r="C147" s="15" t="str">
        <f>IF(COUNTIFS(Master_PIC!$A$8:$A$73,$B147)=1,IF(VLOOKUP($B147,Master_PIC!$A$8:$G$73,2,FALSE)="","",VLOOKUP($B147,Master_PIC!$A$8:$G$73,2,FALSE)),"")</f>
        <v/>
      </c>
      <c r="D147" s="15" t="str">
        <f>IF(COUNTIFS(Master_PIC!$A$8:$A$73,$B147)=1,IF(VLOOKUP($B147,Master_PIC!$A$8:$G$73,4,FALSE)="","",VLOOKUP($B147,Master_PIC!$A$8:$G$73,4,FALSE)),"")</f>
        <v/>
      </c>
      <c r="E147" s="15" t="str">
        <f>IF(COUNTIFS(Master_PIC!$A$8:$A$73,$B147)=1,IF(VLOOKUP($B147,Master_PIC!$A$8:$G$73,5,FALSE)="","",VLOOKUP($B147,Master_PIC!$A$8:$G$73,5,FALSE)),"")</f>
        <v/>
      </c>
      <c r="F147" s="15" t="str">
        <f>IF(COUNTIFS(Master_PIC!$A$8:$A$73,$B147)=1,IF(VLOOKUP($B147,Master_PIC!$A$8:$G$73,6,FALSE)="","",VLOOKUP($B147,Master_PIC!$A$8:$G$73,6,FALSE)),"")</f>
        <v/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9"/>
      <c r="AA147" s="5"/>
      <c r="AB147" s="5"/>
      <c r="AC147" s="9"/>
      <c r="AD147" s="5"/>
      <c r="AE147" s="7" t="str">
        <f t="shared" si="14"/>
        <v/>
      </c>
      <c r="AF147" s="7" t="str">
        <f t="shared" si="15"/>
        <v/>
      </c>
      <c r="AG147" s="7" t="str">
        <f t="shared" si="16"/>
        <v/>
      </c>
      <c r="AH147" s="7" t="str">
        <f t="shared" si="17"/>
        <v/>
      </c>
      <c r="AI147" s="7" t="str">
        <f t="shared" si="18"/>
        <v/>
      </c>
      <c r="AJ147" s="7" t="str">
        <f t="shared" si="19"/>
        <v/>
      </c>
      <c r="AK147" s="10" t="str">
        <f t="shared" si="20"/>
        <v/>
      </c>
      <c r="AL147" s="15" t="str">
        <f>IF(OR($A147&lt;&gt;"",$B147&lt;&gt;""),IF(OR($A147="",$B147=""),"Isi tanggal dan ID PIC",IF(NOT(ISNUMBER($A147)),"Tanggal harus berupa tanggal Excel",IF(COUNTIFS(Master_PIC!$A$8:$A$73,$B147)&lt;&gt;1,"ID PIC tidak unik/terdaftar",IF(VLOOKUP($B147,Master_PIC!$A$8:$G$73,3,FALSE)&lt;&gt;"ASM","Jabatan tidak sesuai sheet",IF(OR($C147="",$D147="",$E147="",$F147=""),"Lengkapi master PIC",IF(COUNTIFS($A$8:$A$507,$A147,$B$8:$B$507,$B147)&gt;1,"Laporan ganda",IF(COUNTIFS(G147:O147,"Tidak Berlaku")&gt;0,"N/A hanya untuk kegiatan bersyarat",IF(SUM(AF147,AG147,AH147,AI147,AJ147)&lt;&gt;13,"Status kegiatan tidak valid",IF(AJ147&gt;0,"Lengkapi status kegiatan",IF(AND(AI147&gt;0,T147=""),"Isi alasan Tidak Berlaku",IF(AND(SUM(AG147,AH147)&gt;0,OR(T147="",U147="",V147="",W147="")),"Isi kendala dan tindak lanjut",IF(AND(Y147&lt;&gt;"Draft",Y147&lt;&gt;"Dikirim"),"Isi status laporan yang valid",IF(AND(AA147&lt;&gt;"",AA147&lt;&gt;"Belum Diperiksa",AA147&lt;&gt;"Disetujui",AA147&lt;&gt;"Perlu Perbaikan"),"Hasil review tidak valid",IF(AND(Y147="Dikirim",OR(X147="",Z147="")),"Isi bukti dan waktu kirim",IF(AND(AA147="Disetujui",OR(Y147&lt;&gt;"Dikirim",AB147="",AC147="")),"Lengkapi pemeriksaan",IF(AND(AA147="Perlu Perbaikan",OR(AD147="",AB147="",AC147="")),"Isi pemeriksa dan catatan perbaikan","OK")))))))))))))))),"")</f>
        <v/>
      </c>
    </row>
    <row r="148" spans="1:38" ht="24.95" customHeight="1">
      <c r="A148" s="8"/>
      <c r="B148" s="6"/>
      <c r="C148" s="15" t="str">
        <f>IF(COUNTIFS(Master_PIC!$A$8:$A$73,$B148)=1,IF(VLOOKUP($B148,Master_PIC!$A$8:$G$73,2,FALSE)="","",VLOOKUP($B148,Master_PIC!$A$8:$G$73,2,FALSE)),"")</f>
        <v/>
      </c>
      <c r="D148" s="15" t="str">
        <f>IF(COUNTIFS(Master_PIC!$A$8:$A$73,$B148)=1,IF(VLOOKUP($B148,Master_PIC!$A$8:$G$73,4,FALSE)="","",VLOOKUP($B148,Master_PIC!$A$8:$G$73,4,FALSE)),"")</f>
        <v/>
      </c>
      <c r="E148" s="15" t="str">
        <f>IF(COUNTIFS(Master_PIC!$A$8:$A$73,$B148)=1,IF(VLOOKUP($B148,Master_PIC!$A$8:$G$73,5,FALSE)="","",VLOOKUP($B148,Master_PIC!$A$8:$G$73,5,FALSE)),"")</f>
        <v/>
      </c>
      <c r="F148" s="15" t="str">
        <f>IF(COUNTIFS(Master_PIC!$A$8:$A$73,$B148)=1,IF(VLOOKUP($B148,Master_PIC!$A$8:$G$73,6,FALSE)="","",VLOOKUP($B148,Master_PIC!$A$8:$G$73,6,FALSE)),"")</f>
        <v/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9"/>
      <c r="AA148" s="5"/>
      <c r="AB148" s="5"/>
      <c r="AC148" s="9"/>
      <c r="AD148" s="5"/>
      <c r="AE148" s="7" t="str">
        <f t="shared" si="14"/>
        <v/>
      </c>
      <c r="AF148" s="7" t="str">
        <f t="shared" si="15"/>
        <v/>
      </c>
      <c r="AG148" s="7" t="str">
        <f t="shared" si="16"/>
        <v/>
      </c>
      <c r="AH148" s="7" t="str">
        <f t="shared" si="17"/>
        <v/>
      </c>
      <c r="AI148" s="7" t="str">
        <f t="shared" si="18"/>
        <v/>
      </c>
      <c r="AJ148" s="7" t="str">
        <f t="shared" si="19"/>
        <v/>
      </c>
      <c r="AK148" s="10" t="str">
        <f t="shared" si="20"/>
        <v/>
      </c>
      <c r="AL148" s="15" t="str">
        <f>IF(OR($A148&lt;&gt;"",$B148&lt;&gt;""),IF(OR($A148="",$B148=""),"Isi tanggal dan ID PIC",IF(NOT(ISNUMBER($A148)),"Tanggal harus berupa tanggal Excel",IF(COUNTIFS(Master_PIC!$A$8:$A$73,$B148)&lt;&gt;1,"ID PIC tidak unik/terdaftar",IF(VLOOKUP($B148,Master_PIC!$A$8:$G$73,3,FALSE)&lt;&gt;"ASM","Jabatan tidak sesuai sheet",IF(OR($C148="",$D148="",$E148="",$F148=""),"Lengkapi master PIC",IF(COUNTIFS($A$8:$A$507,$A148,$B$8:$B$507,$B148)&gt;1,"Laporan ganda",IF(COUNTIFS(G148:O148,"Tidak Berlaku")&gt;0,"N/A hanya untuk kegiatan bersyarat",IF(SUM(AF148,AG148,AH148,AI148,AJ148)&lt;&gt;13,"Status kegiatan tidak valid",IF(AJ148&gt;0,"Lengkapi status kegiatan",IF(AND(AI148&gt;0,T148=""),"Isi alasan Tidak Berlaku",IF(AND(SUM(AG148,AH148)&gt;0,OR(T148="",U148="",V148="",W148="")),"Isi kendala dan tindak lanjut",IF(AND(Y148&lt;&gt;"Draft",Y148&lt;&gt;"Dikirim"),"Isi status laporan yang valid",IF(AND(AA148&lt;&gt;"",AA148&lt;&gt;"Belum Diperiksa",AA148&lt;&gt;"Disetujui",AA148&lt;&gt;"Perlu Perbaikan"),"Hasil review tidak valid",IF(AND(Y148="Dikirim",OR(X148="",Z148="")),"Isi bukti dan waktu kirim",IF(AND(AA148="Disetujui",OR(Y148&lt;&gt;"Dikirim",AB148="",AC148="")),"Lengkapi pemeriksaan",IF(AND(AA148="Perlu Perbaikan",OR(AD148="",AB148="",AC148="")),"Isi pemeriksa dan catatan perbaikan","OK")))))))))))))))),"")</f>
        <v/>
      </c>
    </row>
    <row r="149" spans="1:38" ht="24.95" customHeight="1">
      <c r="A149" s="8"/>
      <c r="B149" s="6"/>
      <c r="C149" s="15" t="str">
        <f>IF(COUNTIFS(Master_PIC!$A$8:$A$73,$B149)=1,IF(VLOOKUP($B149,Master_PIC!$A$8:$G$73,2,FALSE)="","",VLOOKUP($B149,Master_PIC!$A$8:$G$73,2,FALSE)),"")</f>
        <v/>
      </c>
      <c r="D149" s="15" t="str">
        <f>IF(COUNTIFS(Master_PIC!$A$8:$A$73,$B149)=1,IF(VLOOKUP($B149,Master_PIC!$A$8:$G$73,4,FALSE)="","",VLOOKUP($B149,Master_PIC!$A$8:$G$73,4,FALSE)),"")</f>
        <v/>
      </c>
      <c r="E149" s="15" t="str">
        <f>IF(COUNTIFS(Master_PIC!$A$8:$A$73,$B149)=1,IF(VLOOKUP($B149,Master_PIC!$A$8:$G$73,5,FALSE)="","",VLOOKUP($B149,Master_PIC!$A$8:$G$73,5,FALSE)),"")</f>
        <v/>
      </c>
      <c r="F149" s="15" t="str">
        <f>IF(COUNTIFS(Master_PIC!$A$8:$A$73,$B149)=1,IF(VLOOKUP($B149,Master_PIC!$A$8:$G$73,6,FALSE)="","",VLOOKUP($B149,Master_PIC!$A$8:$G$73,6,FALSE)),"")</f>
        <v/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8"/>
      <c r="X149" s="5"/>
      <c r="Y149" s="5"/>
      <c r="Z149" s="9"/>
      <c r="AA149" s="5"/>
      <c r="AB149" s="5"/>
      <c r="AC149" s="9"/>
      <c r="AD149" s="5"/>
      <c r="AE149" s="7" t="str">
        <f t="shared" si="14"/>
        <v/>
      </c>
      <c r="AF149" s="7" t="str">
        <f t="shared" si="15"/>
        <v/>
      </c>
      <c r="AG149" s="7" t="str">
        <f t="shared" si="16"/>
        <v/>
      </c>
      <c r="AH149" s="7" t="str">
        <f t="shared" si="17"/>
        <v/>
      </c>
      <c r="AI149" s="7" t="str">
        <f t="shared" si="18"/>
        <v/>
      </c>
      <c r="AJ149" s="7" t="str">
        <f t="shared" si="19"/>
        <v/>
      </c>
      <c r="AK149" s="10" t="str">
        <f t="shared" si="20"/>
        <v/>
      </c>
      <c r="AL149" s="15" t="str">
        <f>IF(OR($A149&lt;&gt;"",$B149&lt;&gt;""),IF(OR($A149="",$B149=""),"Isi tanggal dan ID PIC",IF(NOT(ISNUMBER($A149)),"Tanggal harus berupa tanggal Excel",IF(COUNTIFS(Master_PIC!$A$8:$A$73,$B149)&lt;&gt;1,"ID PIC tidak unik/terdaftar",IF(VLOOKUP($B149,Master_PIC!$A$8:$G$73,3,FALSE)&lt;&gt;"ASM","Jabatan tidak sesuai sheet",IF(OR($C149="",$D149="",$E149="",$F149=""),"Lengkapi master PIC",IF(COUNTIFS($A$8:$A$507,$A149,$B$8:$B$507,$B149)&gt;1,"Laporan ganda",IF(COUNTIFS(G149:O149,"Tidak Berlaku")&gt;0,"N/A hanya untuk kegiatan bersyarat",IF(SUM(AF149,AG149,AH149,AI149,AJ149)&lt;&gt;13,"Status kegiatan tidak valid",IF(AJ149&gt;0,"Lengkapi status kegiatan",IF(AND(AI149&gt;0,T149=""),"Isi alasan Tidak Berlaku",IF(AND(SUM(AG149,AH149)&gt;0,OR(T149="",U149="",V149="",W149="")),"Isi kendala dan tindak lanjut",IF(AND(Y149&lt;&gt;"Draft",Y149&lt;&gt;"Dikirim"),"Isi status laporan yang valid",IF(AND(AA149&lt;&gt;"",AA149&lt;&gt;"Belum Diperiksa",AA149&lt;&gt;"Disetujui",AA149&lt;&gt;"Perlu Perbaikan"),"Hasil review tidak valid",IF(AND(Y149="Dikirim",OR(X149="",Z149="")),"Isi bukti dan waktu kirim",IF(AND(AA149="Disetujui",OR(Y149&lt;&gt;"Dikirim",AB149="",AC149="")),"Lengkapi pemeriksaan",IF(AND(AA149="Perlu Perbaikan",OR(AD149="",AB149="",AC149="")),"Isi pemeriksa dan catatan perbaikan","OK")))))))))))))))),"")</f>
        <v/>
      </c>
    </row>
    <row r="150" spans="1:38" ht="24.95" customHeight="1">
      <c r="A150" s="8"/>
      <c r="B150" s="6"/>
      <c r="C150" s="15" t="str">
        <f>IF(COUNTIFS(Master_PIC!$A$8:$A$73,$B150)=1,IF(VLOOKUP($B150,Master_PIC!$A$8:$G$73,2,FALSE)="","",VLOOKUP($B150,Master_PIC!$A$8:$G$73,2,FALSE)),"")</f>
        <v/>
      </c>
      <c r="D150" s="15" t="str">
        <f>IF(COUNTIFS(Master_PIC!$A$8:$A$73,$B150)=1,IF(VLOOKUP($B150,Master_PIC!$A$8:$G$73,4,FALSE)="","",VLOOKUP($B150,Master_PIC!$A$8:$G$73,4,FALSE)),"")</f>
        <v/>
      </c>
      <c r="E150" s="15" t="str">
        <f>IF(COUNTIFS(Master_PIC!$A$8:$A$73,$B150)=1,IF(VLOOKUP($B150,Master_PIC!$A$8:$G$73,5,FALSE)="","",VLOOKUP($B150,Master_PIC!$A$8:$G$73,5,FALSE)),"")</f>
        <v/>
      </c>
      <c r="F150" s="15" t="str">
        <f>IF(COUNTIFS(Master_PIC!$A$8:$A$73,$B150)=1,IF(VLOOKUP($B150,Master_PIC!$A$8:$G$73,6,FALSE)="","",VLOOKUP($B150,Master_PIC!$A$8:$G$73,6,FALSE)),"")</f>
        <v/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8"/>
      <c r="X150" s="5"/>
      <c r="Y150" s="5"/>
      <c r="Z150" s="9"/>
      <c r="AA150" s="5"/>
      <c r="AB150" s="5"/>
      <c r="AC150" s="9"/>
      <c r="AD150" s="5"/>
      <c r="AE150" s="7" t="str">
        <f t="shared" si="14"/>
        <v/>
      </c>
      <c r="AF150" s="7" t="str">
        <f t="shared" si="15"/>
        <v/>
      </c>
      <c r="AG150" s="7" t="str">
        <f t="shared" si="16"/>
        <v/>
      </c>
      <c r="AH150" s="7" t="str">
        <f t="shared" si="17"/>
        <v/>
      </c>
      <c r="AI150" s="7" t="str">
        <f t="shared" si="18"/>
        <v/>
      </c>
      <c r="AJ150" s="7" t="str">
        <f t="shared" si="19"/>
        <v/>
      </c>
      <c r="AK150" s="10" t="str">
        <f t="shared" si="20"/>
        <v/>
      </c>
      <c r="AL150" s="15" t="str">
        <f>IF(OR($A150&lt;&gt;"",$B150&lt;&gt;""),IF(OR($A150="",$B150=""),"Isi tanggal dan ID PIC",IF(NOT(ISNUMBER($A150)),"Tanggal harus berupa tanggal Excel",IF(COUNTIFS(Master_PIC!$A$8:$A$73,$B150)&lt;&gt;1,"ID PIC tidak unik/terdaftar",IF(VLOOKUP($B150,Master_PIC!$A$8:$G$73,3,FALSE)&lt;&gt;"ASM","Jabatan tidak sesuai sheet",IF(OR($C150="",$D150="",$E150="",$F150=""),"Lengkapi master PIC",IF(COUNTIFS($A$8:$A$507,$A150,$B$8:$B$507,$B150)&gt;1,"Laporan ganda",IF(COUNTIFS(G150:O150,"Tidak Berlaku")&gt;0,"N/A hanya untuk kegiatan bersyarat",IF(SUM(AF150,AG150,AH150,AI150,AJ150)&lt;&gt;13,"Status kegiatan tidak valid",IF(AJ150&gt;0,"Lengkapi status kegiatan",IF(AND(AI150&gt;0,T150=""),"Isi alasan Tidak Berlaku",IF(AND(SUM(AG150,AH150)&gt;0,OR(T150="",U150="",V150="",W150="")),"Isi kendala dan tindak lanjut",IF(AND(Y150&lt;&gt;"Draft",Y150&lt;&gt;"Dikirim"),"Isi status laporan yang valid",IF(AND(AA150&lt;&gt;"",AA150&lt;&gt;"Belum Diperiksa",AA150&lt;&gt;"Disetujui",AA150&lt;&gt;"Perlu Perbaikan"),"Hasil review tidak valid",IF(AND(Y150="Dikirim",OR(X150="",Z150="")),"Isi bukti dan waktu kirim",IF(AND(AA150="Disetujui",OR(Y150&lt;&gt;"Dikirim",AB150="",AC150="")),"Lengkapi pemeriksaan",IF(AND(AA150="Perlu Perbaikan",OR(AD150="",AB150="",AC150="")),"Isi pemeriksa dan catatan perbaikan","OK")))))))))))))))),"")</f>
        <v/>
      </c>
    </row>
    <row r="151" spans="1:38" ht="24.95" customHeight="1">
      <c r="A151" s="8"/>
      <c r="B151" s="6"/>
      <c r="C151" s="15" t="str">
        <f>IF(COUNTIFS(Master_PIC!$A$8:$A$73,$B151)=1,IF(VLOOKUP($B151,Master_PIC!$A$8:$G$73,2,FALSE)="","",VLOOKUP($B151,Master_PIC!$A$8:$G$73,2,FALSE)),"")</f>
        <v/>
      </c>
      <c r="D151" s="15" t="str">
        <f>IF(COUNTIFS(Master_PIC!$A$8:$A$73,$B151)=1,IF(VLOOKUP($B151,Master_PIC!$A$8:$G$73,4,FALSE)="","",VLOOKUP($B151,Master_PIC!$A$8:$G$73,4,FALSE)),"")</f>
        <v/>
      </c>
      <c r="E151" s="15" t="str">
        <f>IF(COUNTIFS(Master_PIC!$A$8:$A$73,$B151)=1,IF(VLOOKUP($B151,Master_PIC!$A$8:$G$73,5,FALSE)="","",VLOOKUP($B151,Master_PIC!$A$8:$G$73,5,FALSE)),"")</f>
        <v/>
      </c>
      <c r="F151" s="15" t="str">
        <f>IF(COUNTIFS(Master_PIC!$A$8:$A$73,$B151)=1,IF(VLOOKUP($B151,Master_PIC!$A$8:$G$73,6,FALSE)="","",VLOOKUP($B151,Master_PIC!$A$8:$G$73,6,FALSE)),"")</f>
        <v/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8"/>
      <c r="X151" s="5"/>
      <c r="Y151" s="5"/>
      <c r="Z151" s="9"/>
      <c r="AA151" s="5"/>
      <c r="AB151" s="5"/>
      <c r="AC151" s="9"/>
      <c r="AD151" s="5"/>
      <c r="AE151" s="7" t="str">
        <f t="shared" si="14"/>
        <v/>
      </c>
      <c r="AF151" s="7" t="str">
        <f t="shared" si="15"/>
        <v/>
      </c>
      <c r="AG151" s="7" t="str">
        <f t="shared" si="16"/>
        <v/>
      </c>
      <c r="AH151" s="7" t="str">
        <f t="shared" si="17"/>
        <v/>
      </c>
      <c r="AI151" s="7" t="str">
        <f t="shared" si="18"/>
        <v/>
      </c>
      <c r="AJ151" s="7" t="str">
        <f t="shared" si="19"/>
        <v/>
      </c>
      <c r="AK151" s="10" t="str">
        <f t="shared" si="20"/>
        <v/>
      </c>
      <c r="AL151" s="15" t="str">
        <f>IF(OR($A151&lt;&gt;"",$B151&lt;&gt;""),IF(OR($A151="",$B151=""),"Isi tanggal dan ID PIC",IF(NOT(ISNUMBER($A151)),"Tanggal harus berupa tanggal Excel",IF(COUNTIFS(Master_PIC!$A$8:$A$73,$B151)&lt;&gt;1,"ID PIC tidak unik/terdaftar",IF(VLOOKUP($B151,Master_PIC!$A$8:$G$73,3,FALSE)&lt;&gt;"ASM","Jabatan tidak sesuai sheet",IF(OR($C151="",$D151="",$E151="",$F151=""),"Lengkapi master PIC",IF(COUNTIFS($A$8:$A$507,$A151,$B$8:$B$507,$B151)&gt;1,"Laporan ganda",IF(COUNTIFS(G151:O151,"Tidak Berlaku")&gt;0,"N/A hanya untuk kegiatan bersyarat",IF(SUM(AF151,AG151,AH151,AI151,AJ151)&lt;&gt;13,"Status kegiatan tidak valid",IF(AJ151&gt;0,"Lengkapi status kegiatan",IF(AND(AI151&gt;0,T151=""),"Isi alasan Tidak Berlaku",IF(AND(SUM(AG151,AH151)&gt;0,OR(T151="",U151="",V151="",W151="")),"Isi kendala dan tindak lanjut",IF(AND(Y151&lt;&gt;"Draft",Y151&lt;&gt;"Dikirim"),"Isi status laporan yang valid",IF(AND(AA151&lt;&gt;"",AA151&lt;&gt;"Belum Diperiksa",AA151&lt;&gt;"Disetujui",AA151&lt;&gt;"Perlu Perbaikan"),"Hasil review tidak valid",IF(AND(Y151="Dikirim",OR(X151="",Z151="")),"Isi bukti dan waktu kirim",IF(AND(AA151="Disetujui",OR(Y151&lt;&gt;"Dikirim",AB151="",AC151="")),"Lengkapi pemeriksaan",IF(AND(AA151="Perlu Perbaikan",OR(AD151="",AB151="",AC151="")),"Isi pemeriksa dan catatan perbaikan","OK")))))))))))))))),"")</f>
        <v/>
      </c>
    </row>
    <row r="152" spans="1:38" ht="24.95" customHeight="1">
      <c r="A152" s="8"/>
      <c r="B152" s="6"/>
      <c r="C152" s="15" t="str">
        <f>IF(COUNTIFS(Master_PIC!$A$8:$A$73,$B152)=1,IF(VLOOKUP($B152,Master_PIC!$A$8:$G$73,2,FALSE)="","",VLOOKUP($B152,Master_PIC!$A$8:$G$73,2,FALSE)),"")</f>
        <v/>
      </c>
      <c r="D152" s="15" t="str">
        <f>IF(COUNTIFS(Master_PIC!$A$8:$A$73,$B152)=1,IF(VLOOKUP($B152,Master_PIC!$A$8:$G$73,4,FALSE)="","",VLOOKUP($B152,Master_PIC!$A$8:$G$73,4,FALSE)),"")</f>
        <v/>
      </c>
      <c r="E152" s="15" t="str">
        <f>IF(COUNTIFS(Master_PIC!$A$8:$A$73,$B152)=1,IF(VLOOKUP($B152,Master_PIC!$A$8:$G$73,5,FALSE)="","",VLOOKUP($B152,Master_PIC!$A$8:$G$73,5,FALSE)),"")</f>
        <v/>
      </c>
      <c r="F152" s="15" t="str">
        <f>IF(COUNTIFS(Master_PIC!$A$8:$A$73,$B152)=1,IF(VLOOKUP($B152,Master_PIC!$A$8:$G$73,6,FALSE)="","",VLOOKUP($B152,Master_PIC!$A$8:$G$73,6,FALSE)),"")</f>
        <v/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8"/>
      <c r="X152" s="5"/>
      <c r="Y152" s="5"/>
      <c r="Z152" s="9"/>
      <c r="AA152" s="5"/>
      <c r="AB152" s="5"/>
      <c r="AC152" s="9"/>
      <c r="AD152" s="5"/>
      <c r="AE152" s="7" t="str">
        <f t="shared" si="14"/>
        <v/>
      </c>
      <c r="AF152" s="7" t="str">
        <f t="shared" si="15"/>
        <v/>
      </c>
      <c r="AG152" s="7" t="str">
        <f t="shared" si="16"/>
        <v/>
      </c>
      <c r="AH152" s="7" t="str">
        <f t="shared" si="17"/>
        <v/>
      </c>
      <c r="AI152" s="7" t="str">
        <f t="shared" si="18"/>
        <v/>
      </c>
      <c r="AJ152" s="7" t="str">
        <f t="shared" si="19"/>
        <v/>
      </c>
      <c r="AK152" s="10" t="str">
        <f t="shared" si="20"/>
        <v/>
      </c>
      <c r="AL152" s="15" t="str">
        <f>IF(OR($A152&lt;&gt;"",$B152&lt;&gt;""),IF(OR($A152="",$B152=""),"Isi tanggal dan ID PIC",IF(NOT(ISNUMBER($A152)),"Tanggal harus berupa tanggal Excel",IF(COUNTIFS(Master_PIC!$A$8:$A$73,$B152)&lt;&gt;1,"ID PIC tidak unik/terdaftar",IF(VLOOKUP($B152,Master_PIC!$A$8:$G$73,3,FALSE)&lt;&gt;"ASM","Jabatan tidak sesuai sheet",IF(OR($C152="",$D152="",$E152="",$F152=""),"Lengkapi master PIC",IF(COUNTIFS($A$8:$A$507,$A152,$B$8:$B$507,$B152)&gt;1,"Laporan ganda",IF(COUNTIFS(G152:O152,"Tidak Berlaku")&gt;0,"N/A hanya untuk kegiatan bersyarat",IF(SUM(AF152,AG152,AH152,AI152,AJ152)&lt;&gt;13,"Status kegiatan tidak valid",IF(AJ152&gt;0,"Lengkapi status kegiatan",IF(AND(AI152&gt;0,T152=""),"Isi alasan Tidak Berlaku",IF(AND(SUM(AG152,AH152)&gt;0,OR(T152="",U152="",V152="",W152="")),"Isi kendala dan tindak lanjut",IF(AND(Y152&lt;&gt;"Draft",Y152&lt;&gt;"Dikirim"),"Isi status laporan yang valid",IF(AND(AA152&lt;&gt;"",AA152&lt;&gt;"Belum Diperiksa",AA152&lt;&gt;"Disetujui",AA152&lt;&gt;"Perlu Perbaikan"),"Hasil review tidak valid",IF(AND(Y152="Dikirim",OR(X152="",Z152="")),"Isi bukti dan waktu kirim",IF(AND(AA152="Disetujui",OR(Y152&lt;&gt;"Dikirim",AB152="",AC152="")),"Lengkapi pemeriksaan",IF(AND(AA152="Perlu Perbaikan",OR(AD152="",AB152="",AC152="")),"Isi pemeriksa dan catatan perbaikan","OK")))))))))))))))),"")</f>
        <v/>
      </c>
    </row>
    <row r="153" spans="1:38" ht="24.95" customHeight="1">
      <c r="A153" s="8"/>
      <c r="B153" s="6"/>
      <c r="C153" s="15" t="str">
        <f>IF(COUNTIFS(Master_PIC!$A$8:$A$73,$B153)=1,IF(VLOOKUP($B153,Master_PIC!$A$8:$G$73,2,FALSE)="","",VLOOKUP($B153,Master_PIC!$A$8:$G$73,2,FALSE)),"")</f>
        <v/>
      </c>
      <c r="D153" s="15" t="str">
        <f>IF(COUNTIFS(Master_PIC!$A$8:$A$73,$B153)=1,IF(VLOOKUP($B153,Master_PIC!$A$8:$G$73,4,FALSE)="","",VLOOKUP($B153,Master_PIC!$A$8:$G$73,4,FALSE)),"")</f>
        <v/>
      </c>
      <c r="E153" s="15" t="str">
        <f>IF(COUNTIFS(Master_PIC!$A$8:$A$73,$B153)=1,IF(VLOOKUP($B153,Master_PIC!$A$8:$G$73,5,FALSE)="","",VLOOKUP($B153,Master_PIC!$A$8:$G$73,5,FALSE)),"")</f>
        <v/>
      </c>
      <c r="F153" s="15" t="str">
        <f>IF(COUNTIFS(Master_PIC!$A$8:$A$73,$B153)=1,IF(VLOOKUP($B153,Master_PIC!$A$8:$G$73,6,FALSE)="","",VLOOKUP($B153,Master_PIC!$A$8:$G$73,6,FALSE)),"")</f>
        <v/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8"/>
      <c r="X153" s="5"/>
      <c r="Y153" s="5"/>
      <c r="Z153" s="9"/>
      <c r="AA153" s="5"/>
      <c r="AB153" s="5"/>
      <c r="AC153" s="9"/>
      <c r="AD153" s="5"/>
      <c r="AE153" s="7" t="str">
        <f t="shared" si="14"/>
        <v/>
      </c>
      <c r="AF153" s="7" t="str">
        <f t="shared" si="15"/>
        <v/>
      </c>
      <c r="AG153" s="7" t="str">
        <f t="shared" si="16"/>
        <v/>
      </c>
      <c r="AH153" s="7" t="str">
        <f t="shared" si="17"/>
        <v/>
      </c>
      <c r="AI153" s="7" t="str">
        <f t="shared" si="18"/>
        <v/>
      </c>
      <c r="AJ153" s="7" t="str">
        <f t="shared" si="19"/>
        <v/>
      </c>
      <c r="AK153" s="10" t="str">
        <f t="shared" si="20"/>
        <v/>
      </c>
      <c r="AL153" s="15" t="str">
        <f>IF(OR($A153&lt;&gt;"",$B153&lt;&gt;""),IF(OR($A153="",$B153=""),"Isi tanggal dan ID PIC",IF(NOT(ISNUMBER($A153)),"Tanggal harus berupa tanggal Excel",IF(COUNTIFS(Master_PIC!$A$8:$A$73,$B153)&lt;&gt;1,"ID PIC tidak unik/terdaftar",IF(VLOOKUP($B153,Master_PIC!$A$8:$G$73,3,FALSE)&lt;&gt;"ASM","Jabatan tidak sesuai sheet",IF(OR($C153="",$D153="",$E153="",$F153=""),"Lengkapi master PIC",IF(COUNTIFS($A$8:$A$507,$A153,$B$8:$B$507,$B153)&gt;1,"Laporan ganda",IF(COUNTIFS(G153:O153,"Tidak Berlaku")&gt;0,"N/A hanya untuk kegiatan bersyarat",IF(SUM(AF153,AG153,AH153,AI153,AJ153)&lt;&gt;13,"Status kegiatan tidak valid",IF(AJ153&gt;0,"Lengkapi status kegiatan",IF(AND(AI153&gt;0,T153=""),"Isi alasan Tidak Berlaku",IF(AND(SUM(AG153,AH153)&gt;0,OR(T153="",U153="",V153="",W153="")),"Isi kendala dan tindak lanjut",IF(AND(Y153&lt;&gt;"Draft",Y153&lt;&gt;"Dikirim"),"Isi status laporan yang valid",IF(AND(AA153&lt;&gt;"",AA153&lt;&gt;"Belum Diperiksa",AA153&lt;&gt;"Disetujui",AA153&lt;&gt;"Perlu Perbaikan"),"Hasil review tidak valid",IF(AND(Y153="Dikirim",OR(X153="",Z153="")),"Isi bukti dan waktu kirim",IF(AND(AA153="Disetujui",OR(Y153&lt;&gt;"Dikirim",AB153="",AC153="")),"Lengkapi pemeriksaan",IF(AND(AA153="Perlu Perbaikan",OR(AD153="",AB153="",AC153="")),"Isi pemeriksa dan catatan perbaikan","OK")))))))))))))))),"")</f>
        <v/>
      </c>
    </row>
    <row r="154" spans="1:38" ht="24.95" customHeight="1">
      <c r="A154" s="8"/>
      <c r="B154" s="6"/>
      <c r="C154" s="15" t="str">
        <f>IF(COUNTIFS(Master_PIC!$A$8:$A$73,$B154)=1,IF(VLOOKUP($B154,Master_PIC!$A$8:$G$73,2,FALSE)="","",VLOOKUP($B154,Master_PIC!$A$8:$G$73,2,FALSE)),"")</f>
        <v/>
      </c>
      <c r="D154" s="15" t="str">
        <f>IF(COUNTIFS(Master_PIC!$A$8:$A$73,$B154)=1,IF(VLOOKUP($B154,Master_PIC!$A$8:$G$73,4,FALSE)="","",VLOOKUP($B154,Master_PIC!$A$8:$G$73,4,FALSE)),"")</f>
        <v/>
      </c>
      <c r="E154" s="15" t="str">
        <f>IF(COUNTIFS(Master_PIC!$A$8:$A$73,$B154)=1,IF(VLOOKUP($B154,Master_PIC!$A$8:$G$73,5,FALSE)="","",VLOOKUP($B154,Master_PIC!$A$8:$G$73,5,FALSE)),"")</f>
        <v/>
      </c>
      <c r="F154" s="15" t="str">
        <f>IF(COUNTIFS(Master_PIC!$A$8:$A$73,$B154)=1,IF(VLOOKUP($B154,Master_PIC!$A$8:$G$73,6,FALSE)="","",VLOOKUP($B154,Master_PIC!$A$8:$G$73,6,FALSE)),"")</f>
        <v/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9"/>
      <c r="AA154" s="5"/>
      <c r="AB154" s="5"/>
      <c r="AC154" s="9"/>
      <c r="AD154" s="5"/>
      <c r="AE154" s="7" t="str">
        <f t="shared" si="14"/>
        <v/>
      </c>
      <c r="AF154" s="7" t="str">
        <f t="shared" si="15"/>
        <v/>
      </c>
      <c r="AG154" s="7" t="str">
        <f t="shared" si="16"/>
        <v/>
      </c>
      <c r="AH154" s="7" t="str">
        <f t="shared" si="17"/>
        <v/>
      </c>
      <c r="AI154" s="7" t="str">
        <f t="shared" si="18"/>
        <v/>
      </c>
      <c r="AJ154" s="7" t="str">
        <f t="shared" si="19"/>
        <v/>
      </c>
      <c r="AK154" s="10" t="str">
        <f t="shared" si="20"/>
        <v/>
      </c>
      <c r="AL154" s="15" t="str">
        <f>IF(OR($A154&lt;&gt;"",$B154&lt;&gt;""),IF(OR($A154="",$B154=""),"Isi tanggal dan ID PIC",IF(NOT(ISNUMBER($A154)),"Tanggal harus berupa tanggal Excel",IF(COUNTIFS(Master_PIC!$A$8:$A$73,$B154)&lt;&gt;1,"ID PIC tidak unik/terdaftar",IF(VLOOKUP($B154,Master_PIC!$A$8:$G$73,3,FALSE)&lt;&gt;"ASM","Jabatan tidak sesuai sheet",IF(OR($C154="",$D154="",$E154="",$F154=""),"Lengkapi master PIC",IF(COUNTIFS($A$8:$A$507,$A154,$B$8:$B$507,$B154)&gt;1,"Laporan ganda",IF(COUNTIFS(G154:O154,"Tidak Berlaku")&gt;0,"N/A hanya untuk kegiatan bersyarat",IF(SUM(AF154,AG154,AH154,AI154,AJ154)&lt;&gt;13,"Status kegiatan tidak valid",IF(AJ154&gt;0,"Lengkapi status kegiatan",IF(AND(AI154&gt;0,T154=""),"Isi alasan Tidak Berlaku",IF(AND(SUM(AG154,AH154)&gt;0,OR(T154="",U154="",V154="",W154="")),"Isi kendala dan tindak lanjut",IF(AND(Y154&lt;&gt;"Draft",Y154&lt;&gt;"Dikirim"),"Isi status laporan yang valid",IF(AND(AA154&lt;&gt;"",AA154&lt;&gt;"Belum Diperiksa",AA154&lt;&gt;"Disetujui",AA154&lt;&gt;"Perlu Perbaikan"),"Hasil review tidak valid",IF(AND(Y154="Dikirim",OR(X154="",Z154="")),"Isi bukti dan waktu kirim",IF(AND(AA154="Disetujui",OR(Y154&lt;&gt;"Dikirim",AB154="",AC154="")),"Lengkapi pemeriksaan",IF(AND(AA154="Perlu Perbaikan",OR(AD154="",AB154="",AC154="")),"Isi pemeriksa dan catatan perbaikan","OK")))))))))))))))),"")</f>
        <v/>
      </c>
    </row>
    <row r="155" spans="1:38" ht="24.95" customHeight="1">
      <c r="A155" s="8"/>
      <c r="B155" s="6"/>
      <c r="C155" s="15" t="str">
        <f>IF(COUNTIFS(Master_PIC!$A$8:$A$73,$B155)=1,IF(VLOOKUP($B155,Master_PIC!$A$8:$G$73,2,FALSE)="","",VLOOKUP($B155,Master_PIC!$A$8:$G$73,2,FALSE)),"")</f>
        <v/>
      </c>
      <c r="D155" s="15" t="str">
        <f>IF(COUNTIFS(Master_PIC!$A$8:$A$73,$B155)=1,IF(VLOOKUP($B155,Master_PIC!$A$8:$G$73,4,FALSE)="","",VLOOKUP($B155,Master_PIC!$A$8:$G$73,4,FALSE)),"")</f>
        <v/>
      </c>
      <c r="E155" s="15" t="str">
        <f>IF(COUNTIFS(Master_PIC!$A$8:$A$73,$B155)=1,IF(VLOOKUP($B155,Master_PIC!$A$8:$G$73,5,FALSE)="","",VLOOKUP($B155,Master_PIC!$A$8:$G$73,5,FALSE)),"")</f>
        <v/>
      </c>
      <c r="F155" s="15" t="str">
        <f>IF(COUNTIFS(Master_PIC!$A$8:$A$73,$B155)=1,IF(VLOOKUP($B155,Master_PIC!$A$8:$G$73,6,FALSE)="","",VLOOKUP($B155,Master_PIC!$A$8:$G$73,6,FALSE)),"")</f>
        <v/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9"/>
      <c r="AA155" s="5"/>
      <c r="AB155" s="5"/>
      <c r="AC155" s="9"/>
      <c r="AD155" s="5"/>
      <c r="AE155" s="7" t="str">
        <f t="shared" si="14"/>
        <v/>
      </c>
      <c r="AF155" s="7" t="str">
        <f t="shared" si="15"/>
        <v/>
      </c>
      <c r="AG155" s="7" t="str">
        <f t="shared" si="16"/>
        <v/>
      </c>
      <c r="AH155" s="7" t="str">
        <f t="shared" si="17"/>
        <v/>
      </c>
      <c r="AI155" s="7" t="str">
        <f t="shared" si="18"/>
        <v/>
      </c>
      <c r="AJ155" s="7" t="str">
        <f t="shared" si="19"/>
        <v/>
      </c>
      <c r="AK155" s="10" t="str">
        <f t="shared" si="20"/>
        <v/>
      </c>
      <c r="AL155" s="15" t="str">
        <f>IF(OR($A155&lt;&gt;"",$B155&lt;&gt;""),IF(OR($A155="",$B155=""),"Isi tanggal dan ID PIC",IF(NOT(ISNUMBER($A155)),"Tanggal harus berupa tanggal Excel",IF(COUNTIFS(Master_PIC!$A$8:$A$73,$B155)&lt;&gt;1,"ID PIC tidak unik/terdaftar",IF(VLOOKUP($B155,Master_PIC!$A$8:$G$73,3,FALSE)&lt;&gt;"ASM","Jabatan tidak sesuai sheet",IF(OR($C155="",$D155="",$E155="",$F155=""),"Lengkapi master PIC",IF(COUNTIFS($A$8:$A$507,$A155,$B$8:$B$507,$B155)&gt;1,"Laporan ganda",IF(COUNTIFS(G155:O155,"Tidak Berlaku")&gt;0,"N/A hanya untuk kegiatan bersyarat",IF(SUM(AF155,AG155,AH155,AI155,AJ155)&lt;&gt;13,"Status kegiatan tidak valid",IF(AJ155&gt;0,"Lengkapi status kegiatan",IF(AND(AI155&gt;0,T155=""),"Isi alasan Tidak Berlaku",IF(AND(SUM(AG155,AH155)&gt;0,OR(T155="",U155="",V155="",W155="")),"Isi kendala dan tindak lanjut",IF(AND(Y155&lt;&gt;"Draft",Y155&lt;&gt;"Dikirim"),"Isi status laporan yang valid",IF(AND(AA155&lt;&gt;"",AA155&lt;&gt;"Belum Diperiksa",AA155&lt;&gt;"Disetujui",AA155&lt;&gt;"Perlu Perbaikan"),"Hasil review tidak valid",IF(AND(Y155="Dikirim",OR(X155="",Z155="")),"Isi bukti dan waktu kirim",IF(AND(AA155="Disetujui",OR(Y155&lt;&gt;"Dikirim",AB155="",AC155="")),"Lengkapi pemeriksaan",IF(AND(AA155="Perlu Perbaikan",OR(AD155="",AB155="",AC155="")),"Isi pemeriksa dan catatan perbaikan","OK")))))))))))))))),"")</f>
        <v/>
      </c>
    </row>
    <row r="156" spans="1:38" ht="24.95" customHeight="1">
      <c r="A156" s="8"/>
      <c r="B156" s="6"/>
      <c r="C156" s="15" t="str">
        <f>IF(COUNTIFS(Master_PIC!$A$8:$A$73,$B156)=1,IF(VLOOKUP($B156,Master_PIC!$A$8:$G$73,2,FALSE)="","",VLOOKUP($B156,Master_PIC!$A$8:$G$73,2,FALSE)),"")</f>
        <v/>
      </c>
      <c r="D156" s="15" t="str">
        <f>IF(COUNTIFS(Master_PIC!$A$8:$A$73,$B156)=1,IF(VLOOKUP($B156,Master_PIC!$A$8:$G$73,4,FALSE)="","",VLOOKUP($B156,Master_PIC!$A$8:$G$73,4,FALSE)),"")</f>
        <v/>
      </c>
      <c r="E156" s="15" t="str">
        <f>IF(COUNTIFS(Master_PIC!$A$8:$A$73,$B156)=1,IF(VLOOKUP($B156,Master_PIC!$A$8:$G$73,5,FALSE)="","",VLOOKUP($B156,Master_PIC!$A$8:$G$73,5,FALSE)),"")</f>
        <v/>
      </c>
      <c r="F156" s="15" t="str">
        <f>IF(COUNTIFS(Master_PIC!$A$8:$A$73,$B156)=1,IF(VLOOKUP($B156,Master_PIC!$A$8:$G$73,6,FALSE)="","",VLOOKUP($B156,Master_PIC!$A$8:$G$73,6,FALSE)),"")</f>
        <v/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9"/>
      <c r="AA156" s="5"/>
      <c r="AB156" s="5"/>
      <c r="AC156" s="9"/>
      <c r="AD156" s="5"/>
      <c r="AE156" s="7" t="str">
        <f t="shared" si="14"/>
        <v/>
      </c>
      <c r="AF156" s="7" t="str">
        <f t="shared" si="15"/>
        <v/>
      </c>
      <c r="AG156" s="7" t="str">
        <f t="shared" si="16"/>
        <v/>
      </c>
      <c r="AH156" s="7" t="str">
        <f t="shared" si="17"/>
        <v/>
      </c>
      <c r="AI156" s="7" t="str">
        <f t="shared" si="18"/>
        <v/>
      </c>
      <c r="AJ156" s="7" t="str">
        <f t="shared" si="19"/>
        <v/>
      </c>
      <c r="AK156" s="10" t="str">
        <f t="shared" si="20"/>
        <v/>
      </c>
      <c r="AL156" s="15" t="str">
        <f>IF(OR($A156&lt;&gt;"",$B156&lt;&gt;""),IF(OR($A156="",$B156=""),"Isi tanggal dan ID PIC",IF(NOT(ISNUMBER($A156)),"Tanggal harus berupa tanggal Excel",IF(COUNTIFS(Master_PIC!$A$8:$A$73,$B156)&lt;&gt;1,"ID PIC tidak unik/terdaftar",IF(VLOOKUP($B156,Master_PIC!$A$8:$G$73,3,FALSE)&lt;&gt;"ASM","Jabatan tidak sesuai sheet",IF(OR($C156="",$D156="",$E156="",$F156=""),"Lengkapi master PIC",IF(COUNTIFS($A$8:$A$507,$A156,$B$8:$B$507,$B156)&gt;1,"Laporan ganda",IF(COUNTIFS(G156:O156,"Tidak Berlaku")&gt;0,"N/A hanya untuk kegiatan bersyarat",IF(SUM(AF156,AG156,AH156,AI156,AJ156)&lt;&gt;13,"Status kegiatan tidak valid",IF(AJ156&gt;0,"Lengkapi status kegiatan",IF(AND(AI156&gt;0,T156=""),"Isi alasan Tidak Berlaku",IF(AND(SUM(AG156,AH156)&gt;0,OR(T156="",U156="",V156="",W156="")),"Isi kendala dan tindak lanjut",IF(AND(Y156&lt;&gt;"Draft",Y156&lt;&gt;"Dikirim"),"Isi status laporan yang valid",IF(AND(AA156&lt;&gt;"",AA156&lt;&gt;"Belum Diperiksa",AA156&lt;&gt;"Disetujui",AA156&lt;&gt;"Perlu Perbaikan"),"Hasil review tidak valid",IF(AND(Y156="Dikirim",OR(X156="",Z156="")),"Isi bukti dan waktu kirim",IF(AND(AA156="Disetujui",OR(Y156&lt;&gt;"Dikirim",AB156="",AC156="")),"Lengkapi pemeriksaan",IF(AND(AA156="Perlu Perbaikan",OR(AD156="",AB156="",AC156="")),"Isi pemeriksa dan catatan perbaikan","OK")))))))))))))))),"")</f>
        <v/>
      </c>
    </row>
    <row r="157" spans="1:38" ht="24.95" customHeight="1">
      <c r="A157" s="8"/>
      <c r="B157" s="6"/>
      <c r="C157" s="15" t="str">
        <f>IF(COUNTIFS(Master_PIC!$A$8:$A$73,$B157)=1,IF(VLOOKUP($B157,Master_PIC!$A$8:$G$73,2,FALSE)="","",VLOOKUP($B157,Master_PIC!$A$8:$G$73,2,FALSE)),"")</f>
        <v/>
      </c>
      <c r="D157" s="15" t="str">
        <f>IF(COUNTIFS(Master_PIC!$A$8:$A$73,$B157)=1,IF(VLOOKUP($B157,Master_PIC!$A$8:$G$73,4,FALSE)="","",VLOOKUP($B157,Master_PIC!$A$8:$G$73,4,FALSE)),"")</f>
        <v/>
      </c>
      <c r="E157" s="15" t="str">
        <f>IF(COUNTIFS(Master_PIC!$A$8:$A$73,$B157)=1,IF(VLOOKUP($B157,Master_PIC!$A$8:$G$73,5,FALSE)="","",VLOOKUP($B157,Master_PIC!$A$8:$G$73,5,FALSE)),"")</f>
        <v/>
      </c>
      <c r="F157" s="15" t="str">
        <f>IF(COUNTIFS(Master_PIC!$A$8:$A$73,$B157)=1,IF(VLOOKUP($B157,Master_PIC!$A$8:$G$73,6,FALSE)="","",VLOOKUP($B157,Master_PIC!$A$8:$G$73,6,FALSE)),"")</f>
        <v/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9"/>
      <c r="AA157" s="5"/>
      <c r="AB157" s="5"/>
      <c r="AC157" s="9"/>
      <c r="AD157" s="5"/>
      <c r="AE157" s="7" t="str">
        <f t="shared" si="14"/>
        <v/>
      </c>
      <c r="AF157" s="7" t="str">
        <f t="shared" si="15"/>
        <v/>
      </c>
      <c r="AG157" s="7" t="str">
        <f t="shared" si="16"/>
        <v/>
      </c>
      <c r="AH157" s="7" t="str">
        <f t="shared" si="17"/>
        <v/>
      </c>
      <c r="AI157" s="7" t="str">
        <f t="shared" si="18"/>
        <v/>
      </c>
      <c r="AJ157" s="7" t="str">
        <f t="shared" si="19"/>
        <v/>
      </c>
      <c r="AK157" s="10" t="str">
        <f t="shared" si="20"/>
        <v/>
      </c>
      <c r="AL157" s="15" t="str">
        <f>IF(OR($A157&lt;&gt;"",$B157&lt;&gt;""),IF(OR($A157="",$B157=""),"Isi tanggal dan ID PIC",IF(NOT(ISNUMBER($A157)),"Tanggal harus berupa tanggal Excel",IF(COUNTIFS(Master_PIC!$A$8:$A$73,$B157)&lt;&gt;1,"ID PIC tidak unik/terdaftar",IF(VLOOKUP($B157,Master_PIC!$A$8:$G$73,3,FALSE)&lt;&gt;"ASM","Jabatan tidak sesuai sheet",IF(OR($C157="",$D157="",$E157="",$F157=""),"Lengkapi master PIC",IF(COUNTIFS($A$8:$A$507,$A157,$B$8:$B$507,$B157)&gt;1,"Laporan ganda",IF(COUNTIFS(G157:O157,"Tidak Berlaku")&gt;0,"N/A hanya untuk kegiatan bersyarat",IF(SUM(AF157,AG157,AH157,AI157,AJ157)&lt;&gt;13,"Status kegiatan tidak valid",IF(AJ157&gt;0,"Lengkapi status kegiatan",IF(AND(AI157&gt;0,T157=""),"Isi alasan Tidak Berlaku",IF(AND(SUM(AG157,AH157)&gt;0,OR(T157="",U157="",V157="",W157="")),"Isi kendala dan tindak lanjut",IF(AND(Y157&lt;&gt;"Draft",Y157&lt;&gt;"Dikirim"),"Isi status laporan yang valid",IF(AND(AA157&lt;&gt;"",AA157&lt;&gt;"Belum Diperiksa",AA157&lt;&gt;"Disetujui",AA157&lt;&gt;"Perlu Perbaikan"),"Hasil review tidak valid",IF(AND(Y157="Dikirim",OR(X157="",Z157="")),"Isi bukti dan waktu kirim",IF(AND(AA157="Disetujui",OR(Y157&lt;&gt;"Dikirim",AB157="",AC157="")),"Lengkapi pemeriksaan",IF(AND(AA157="Perlu Perbaikan",OR(AD157="",AB157="",AC157="")),"Isi pemeriksa dan catatan perbaikan","OK")))))))))))))))),"")</f>
        <v/>
      </c>
    </row>
    <row r="158" spans="1:38" ht="24.95" customHeight="1">
      <c r="A158" s="8"/>
      <c r="B158" s="6"/>
      <c r="C158" s="15" t="str">
        <f>IF(COUNTIFS(Master_PIC!$A$8:$A$73,$B158)=1,IF(VLOOKUP($B158,Master_PIC!$A$8:$G$73,2,FALSE)="","",VLOOKUP($B158,Master_PIC!$A$8:$G$73,2,FALSE)),"")</f>
        <v/>
      </c>
      <c r="D158" s="15" t="str">
        <f>IF(COUNTIFS(Master_PIC!$A$8:$A$73,$B158)=1,IF(VLOOKUP($B158,Master_PIC!$A$8:$G$73,4,FALSE)="","",VLOOKUP($B158,Master_PIC!$A$8:$G$73,4,FALSE)),"")</f>
        <v/>
      </c>
      <c r="E158" s="15" t="str">
        <f>IF(COUNTIFS(Master_PIC!$A$8:$A$73,$B158)=1,IF(VLOOKUP($B158,Master_PIC!$A$8:$G$73,5,FALSE)="","",VLOOKUP($B158,Master_PIC!$A$8:$G$73,5,FALSE)),"")</f>
        <v/>
      </c>
      <c r="F158" s="15" t="str">
        <f>IF(COUNTIFS(Master_PIC!$A$8:$A$73,$B158)=1,IF(VLOOKUP($B158,Master_PIC!$A$8:$G$73,6,FALSE)="","",VLOOKUP($B158,Master_PIC!$A$8:$G$73,6,FALSE)),"")</f>
        <v/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9"/>
      <c r="AA158" s="5"/>
      <c r="AB158" s="5"/>
      <c r="AC158" s="9"/>
      <c r="AD158" s="5"/>
      <c r="AE158" s="7" t="str">
        <f t="shared" si="14"/>
        <v/>
      </c>
      <c r="AF158" s="7" t="str">
        <f t="shared" si="15"/>
        <v/>
      </c>
      <c r="AG158" s="7" t="str">
        <f t="shared" si="16"/>
        <v/>
      </c>
      <c r="AH158" s="7" t="str">
        <f t="shared" si="17"/>
        <v/>
      </c>
      <c r="AI158" s="7" t="str">
        <f t="shared" si="18"/>
        <v/>
      </c>
      <c r="AJ158" s="7" t="str">
        <f t="shared" si="19"/>
        <v/>
      </c>
      <c r="AK158" s="10" t="str">
        <f t="shared" si="20"/>
        <v/>
      </c>
      <c r="AL158" s="15" t="str">
        <f>IF(OR($A158&lt;&gt;"",$B158&lt;&gt;""),IF(OR($A158="",$B158=""),"Isi tanggal dan ID PIC",IF(NOT(ISNUMBER($A158)),"Tanggal harus berupa tanggal Excel",IF(COUNTIFS(Master_PIC!$A$8:$A$73,$B158)&lt;&gt;1,"ID PIC tidak unik/terdaftar",IF(VLOOKUP($B158,Master_PIC!$A$8:$G$73,3,FALSE)&lt;&gt;"ASM","Jabatan tidak sesuai sheet",IF(OR($C158="",$D158="",$E158="",$F158=""),"Lengkapi master PIC",IF(COUNTIFS($A$8:$A$507,$A158,$B$8:$B$507,$B158)&gt;1,"Laporan ganda",IF(COUNTIFS(G158:O158,"Tidak Berlaku")&gt;0,"N/A hanya untuk kegiatan bersyarat",IF(SUM(AF158,AG158,AH158,AI158,AJ158)&lt;&gt;13,"Status kegiatan tidak valid",IF(AJ158&gt;0,"Lengkapi status kegiatan",IF(AND(AI158&gt;0,T158=""),"Isi alasan Tidak Berlaku",IF(AND(SUM(AG158,AH158)&gt;0,OR(T158="",U158="",V158="",W158="")),"Isi kendala dan tindak lanjut",IF(AND(Y158&lt;&gt;"Draft",Y158&lt;&gt;"Dikirim"),"Isi status laporan yang valid",IF(AND(AA158&lt;&gt;"",AA158&lt;&gt;"Belum Diperiksa",AA158&lt;&gt;"Disetujui",AA158&lt;&gt;"Perlu Perbaikan"),"Hasil review tidak valid",IF(AND(Y158="Dikirim",OR(X158="",Z158="")),"Isi bukti dan waktu kirim",IF(AND(AA158="Disetujui",OR(Y158&lt;&gt;"Dikirim",AB158="",AC158="")),"Lengkapi pemeriksaan",IF(AND(AA158="Perlu Perbaikan",OR(AD158="",AB158="",AC158="")),"Isi pemeriksa dan catatan perbaikan","OK")))))))))))))))),"")</f>
        <v/>
      </c>
    </row>
    <row r="159" spans="1:38" ht="24.95" customHeight="1">
      <c r="A159" s="8"/>
      <c r="B159" s="6"/>
      <c r="C159" s="15" t="str">
        <f>IF(COUNTIFS(Master_PIC!$A$8:$A$73,$B159)=1,IF(VLOOKUP($B159,Master_PIC!$A$8:$G$73,2,FALSE)="","",VLOOKUP($B159,Master_PIC!$A$8:$G$73,2,FALSE)),"")</f>
        <v/>
      </c>
      <c r="D159" s="15" t="str">
        <f>IF(COUNTIFS(Master_PIC!$A$8:$A$73,$B159)=1,IF(VLOOKUP($B159,Master_PIC!$A$8:$G$73,4,FALSE)="","",VLOOKUP($B159,Master_PIC!$A$8:$G$73,4,FALSE)),"")</f>
        <v/>
      </c>
      <c r="E159" s="15" t="str">
        <f>IF(COUNTIFS(Master_PIC!$A$8:$A$73,$B159)=1,IF(VLOOKUP($B159,Master_PIC!$A$8:$G$73,5,FALSE)="","",VLOOKUP($B159,Master_PIC!$A$8:$G$73,5,FALSE)),"")</f>
        <v/>
      </c>
      <c r="F159" s="15" t="str">
        <f>IF(COUNTIFS(Master_PIC!$A$8:$A$73,$B159)=1,IF(VLOOKUP($B159,Master_PIC!$A$8:$G$73,6,FALSE)="","",VLOOKUP($B159,Master_PIC!$A$8:$G$73,6,FALSE)),"")</f>
        <v/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8"/>
      <c r="X159" s="5"/>
      <c r="Y159" s="5"/>
      <c r="Z159" s="9"/>
      <c r="AA159" s="5"/>
      <c r="AB159" s="5"/>
      <c r="AC159" s="9"/>
      <c r="AD159" s="5"/>
      <c r="AE159" s="7" t="str">
        <f t="shared" si="14"/>
        <v/>
      </c>
      <c r="AF159" s="7" t="str">
        <f t="shared" si="15"/>
        <v/>
      </c>
      <c r="AG159" s="7" t="str">
        <f t="shared" si="16"/>
        <v/>
      </c>
      <c r="AH159" s="7" t="str">
        <f t="shared" si="17"/>
        <v/>
      </c>
      <c r="AI159" s="7" t="str">
        <f t="shared" si="18"/>
        <v/>
      </c>
      <c r="AJ159" s="7" t="str">
        <f t="shared" si="19"/>
        <v/>
      </c>
      <c r="AK159" s="10" t="str">
        <f t="shared" si="20"/>
        <v/>
      </c>
      <c r="AL159" s="15" t="str">
        <f>IF(OR($A159&lt;&gt;"",$B159&lt;&gt;""),IF(OR($A159="",$B159=""),"Isi tanggal dan ID PIC",IF(NOT(ISNUMBER($A159)),"Tanggal harus berupa tanggal Excel",IF(COUNTIFS(Master_PIC!$A$8:$A$73,$B159)&lt;&gt;1,"ID PIC tidak unik/terdaftar",IF(VLOOKUP($B159,Master_PIC!$A$8:$G$73,3,FALSE)&lt;&gt;"ASM","Jabatan tidak sesuai sheet",IF(OR($C159="",$D159="",$E159="",$F159=""),"Lengkapi master PIC",IF(COUNTIFS($A$8:$A$507,$A159,$B$8:$B$507,$B159)&gt;1,"Laporan ganda",IF(COUNTIFS(G159:O159,"Tidak Berlaku")&gt;0,"N/A hanya untuk kegiatan bersyarat",IF(SUM(AF159,AG159,AH159,AI159,AJ159)&lt;&gt;13,"Status kegiatan tidak valid",IF(AJ159&gt;0,"Lengkapi status kegiatan",IF(AND(AI159&gt;0,T159=""),"Isi alasan Tidak Berlaku",IF(AND(SUM(AG159,AH159)&gt;0,OR(T159="",U159="",V159="",W159="")),"Isi kendala dan tindak lanjut",IF(AND(Y159&lt;&gt;"Draft",Y159&lt;&gt;"Dikirim"),"Isi status laporan yang valid",IF(AND(AA159&lt;&gt;"",AA159&lt;&gt;"Belum Diperiksa",AA159&lt;&gt;"Disetujui",AA159&lt;&gt;"Perlu Perbaikan"),"Hasil review tidak valid",IF(AND(Y159="Dikirim",OR(X159="",Z159="")),"Isi bukti dan waktu kirim",IF(AND(AA159="Disetujui",OR(Y159&lt;&gt;"Dikirim",AB159="",AC159="")),"Lengkapi pemeriksaan",IF(AND(AA159="Perlu Perbaikan",OR(AD159="",AB159="",AC159="")),"Isi pemeriksa dan catatan perbaikan","OK")))))))))))))))),"")</f>
        <v/>
      </c>
    </row>
    <row r="160" spans="1:38" ht="24.95" customHeight="1">
      <c r="A160" s="8"/>
      <c r="B160" s="6"/>
      <c r="C160" s="15" t="str">
        <f>IF(COUNTIFS(Master_PIC!$A$8:$A$73,$B160)=1,IF(VLOOKUP($B160,Master_PIC!$A$8:$G$73,2,FALSE)="","",VLOOKUP($B160,Master_PIC!$A$8:$G$73,2,FALSE)),"")</f>
        <v/>
      </c>
      <c r="D160" s="15" t="str">
        <f>IF(COUNTIFS(Master_PIC!$A$8:$A$73,$B160)=1,IF(VLOOKUP($B160,Master_PIC!$A$8:$G$73,4,FALSE)="","",VLOOKUP($B160,Master_PIC!$A$8:$G$73,4,FALSE)),"")</f>
        <v/>
      </c>
      <c r="E160" s="15" t="str">
        <f>IF(COUNTIFS(Master_PIC!$A$8:$A$73,$B160)=1,IF(VLOOKUP($B160,Master_PIC!$A$8:$G$73,5,FALSE)="","",VLOOKUP($B160,Master_PIC!$A$8:$G$73,5,FALSE)),"")</f>
        <v/>
      </c>
      <c r="F160" s="15" t="str">
        <f>IF(COUNTIFS(Master_PIC!$A$8:$A$73,$B160)=1,IF(VLOOKUP($B160,Master_PIC!$A$8:$G$73,6,FALSE)="","",VLOOKUP($B160,Master_PIC!$A$8:$G$73,6,FALSE)),"")</f>
        <v/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8"/>
      <c r="X160" s="5"/>
      <c r="Y160" s="5"/>
      <c r="Z160" s="9"/>
      <c r="AA160" s="5"/>
      <c r="AB160" s="5"/>
      <c r="AC160" s="9"/>
      <c r="AD160" s="5"/>
      <c r="AE160" s="7" t="str">
        <f t="shared" si="14"/>
        <v/>
      </c>
      <c r="AF160" s="7" t="str">
        <f t="shared" si="15"/>
        <v/>
      </c>
      <c r="AG160" s="7" t="str">
        <f t="shared" si="16"/>
        <v/>
      </c>
      <c r="AH160" s="7" t="str">
        <f t="shared" si="17"/>
        <v/>
      </c>
      <c r="AI160" s="7" t="str">
        <f t="shared" si="18"/>
        <v/>
      </c>
      <c r="AJ160" s="7" t="str">
        <f t="shared" si="19"/>
        <v/>
      </c>
      <c r="AK160" s="10" t="str">
        <f t="shared" si="20"/>
        <v/>
      </c>
      <c r="AL160" s="15" t="str">
        <f>IF(OR($A160&lt;&gt;"",$B160&lt;&gt;""),IF(OR($A160="",$B160=""),"Isi tanggal dan ID PIC",IF(NOT(ISNUMBER($A160)),"Tanggal harus berupa tanggal Excel",IF(COUNTIFS(Master_PIC!$A$8:$A$73,$B160)&lt;&gt;1,"ID PIC tidak unik/terdaftar",IF(VLOOKUP($B160,Master_PIC!$A$8:$G$73,3,FALSE)&lt;&gt;"ASM","Jabatan tidak sesuai sheet",IF(OR($C160="",$D160="",$E160="",$F160=""),"Lengkapi master PIC",IF(COUNTIFS($A$8:$A$507,$A160,$B$8:$B$507,$B160)&gt;1,"Laporan ganda",IF(COUNTIFS(G160:O160,"Tidak Berlaku")&gt;0,"N/A hanya untuk kegiatan bersyarat",IF(SUM(AF160,AG160,AH160,AI160,AJ160)&lt;&gt;13,"Status kegiatan tidak valid",IF(AJ160&gt;0,"Lengkapi status kegiatan",IF(AND(AI160&gt;0,T160=""),"Isi alasan Tidak Berlaku",IF(AND(SUM(AG160,AH160)&gt;0,OR(T160="",U160="",V160="",W160="")),"Isi kendala dan tindak lanjut",IF(AND(Y160&lt;&gt;"Draft",Y160&lt;&gt;"Dikirim"),"Isi status laporan yang valid",IF(AND(AA160&lt;&gt;"",AA160&lt;&gt;"Belum Diperiksa",AA160&lt;&gt;"Disetujui",AA160&lt;&gt;"Perlu Perbaikan"),"Hasil review tidak valid",IF(AND(Y160="Dikirim",OR(X160="",Z160="")),"Isi bukti dan waktu kirim",IF(AND(AA160="Disetujui",OR(Y160&lt;&gt;"Dikirim",AB160="",AC160="")),"Lengkapi pemeriksaan",IF(AND(AA160="Perlu Perbaikan",OR(AD160="",AB160="",AC160="")),"Isi pemeriksa dan catatan perbaikan","OK")))))))))))))))),"")</f>
        <v/>
      </c>
    </row>
    <row r="161" spans="1:38" ht="24.95" customHeight="1">
      <c r="A161" s="8"/>
      <c r="B161" s="6"/>
      <c r="C161" s="15" t="str">
        <f>IF(COUNTIFS(Master_PIC!$A$8:$A$73,$B161)=1,IF(VLOOKUP($B161,Master_PIC!$A$8:$G$73,2,FALSE)="","",VLOOKUP($B161,Master_PIC!$A$8:$G$73,2,FALSE)),"")</f>
        <v/>
      </c>
      <c r="D161" s="15" t="str">
        <f>IF(COUNTIFS(Master_PIC!$A$8:$A$73,$B161)=1,IF(VLOOKUP($B161,Master_PIC!$A$8:$G$73,4,FALSE)="","",VLOOKUP($B161,Master_PIC!$A$8:$G$73,4,FALSE)),"")</f>
        <v/>
      </c>
      <c r="E161" s="15" t="str">
        <f>IF(COUNTIFS(Master_PIC!$A$8:$A$73,$B161)=1,IF(VLOOKUP($B161,Master_PIC!$A$8:$G$73,5,FALSE)="","",VLOOKUP($B161,Master_PIC!$A$8:$G$73,5,FALSE)),"")</f>
        <v/>
      </c>
      <c r="F161" s="15" t="str">
        <f>IF(COUNTIFS(Master_PIC!$A$8:$A$73,$B161)=1,IF(VLOOKUP($B161,Master_PIC!$A$8:$G$73,6,FALSE)="","",VLOOKUP($B161,Master_PIC!$A$8:$G$73,6,FALSE)),"")</f>
        <v/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8"/>
      <c r="X161" s="5"/>
      <c r="Y161" s="5"/>
      <c r="Z161" s="9"/>
      <c r="AA161" s="5"/>
      <c r="AB161" s="5"/>
      <c r="AC161" s="9"/>
      <c r="AD161" s="5"/>
      <c r="AE161" s="7" t="str">
        <f t="shared" si="14"/>
        <v/>
      </c>
      <c r="AF161" s="7" t="str">
        <f t="shared" si="15"/>
        <v/>
      </c>
      <c r="AG161" s="7" t="str">
        <f t="shared" si="16"/>
        <v/>
      </c>
      <c r="AH161" s="7" t="str">
        <f t="shared" si="17"/>
        <v/>
      </c>
      <c r="AI161" s="7" t="str">
        <f t="shared" si="18"/>
        <v/>
      </c>
      <c r="AJ161" s="7" t="str">
        <f t="shared" si="19"/>
        <v/>
      </c>
      <c r="AK161" s="10" t="str">
        <f t="shared" si="20"/>
        <v/>
      </c>
      <c r="AL161" s="15" t="str">
        <f>IF(OR($A161&lt;&gt;"",$B161&lt;&gt;""),IF(OR($A161="",$B161=""),"Isi tanggal dan ID PIC",IF(NOT(ISNUMBER($A161)),"Tanggal harus berupa tanggal Excel",IF(COUNTIFS(Master_PIC!$A$8:$A$73,$B161)&lt;&gt;1,"ID PIC tidak unik/terdaftar",IF(VLOOKUP($B161,Master_PIC!$A$8:$G$73,3,FALSE)&lt;&gt;"ASM","Jabatan tidak sesuai sheet",IF(OR($C161="",$D161="",$E161="",$F161=""),"Lengkapi master PIC",IF(COUNTIFS($A$8:$A$507,$A161,$B$8:$B$507,$B161)&gt;1,"Laporan ganda",IF(COUNTIFS(G161:O161,"Tidak Berlaku")&gt;0,"N/A hanya untuk kegiatan bersyarat",IF(SUM(AF161,AG161,AH161,AI161,AJ161)&lt;&gt;13,"Status kegiatan tidak valid",IF(AJ161&gt;0,"Lengkapi status kegiatan",IF(AND(AI161&gt;0,T161=""),"Isi alasan Tidak Berlaku",IF(AND(SUM(AG161,AH161)&gt;0,OR(T161="",U161="",V161="",W161="")),"Isi kendala dan tindak lanjut",IF(AND(Y161&lt;&gt;"Draft",Y161&lt;&gt;"Dikirim"),"Isi status laporan yang valid",IF(AND(AA161&lt;&gt;"",AA161&lt;&gt;"Belum Diperiksa",AA161&lt;&gt;"Disetujui",AA161&lt;&gt;"Perlu Perbaikan"),"Hasil review tidak valid",IF(AND(Y161="Dikirim",OR(X161="",Z161="")),"Isi bukti dan waktu kirim",IF(AND(AA161="Disetujui",OR(Y161&lt;&gt;"Dikirim",AB161="",AC161="")),"Lengkapi pemeriksaan",IF(AND(AA161="Perlu Perbaikan",OR(AD161="",AB161="",AC161="")),"Isi pemeriksa dan catatan perbaikan","OK")))))))))))))))),"")</f>
        <v/>
      </c>
    </row>
    <row r="162" spans="1:38" ht="24.95" customHeight="1">
      <c r="A162" s="8"/>
      <c r="B162" s="6"/>
      <c r="C162" s="15" t="str">
        <f>IF(COUNTIFS(Master_PIC!$A$8:$A$73,$B162)=1,IF(VLOOKUP($B162,Master_PIC!$A$8:$G$73,2,FALSE)="","",VLOOKUP($B162,Master_PIC!$A$8:$G$73,2,FALSE)),"")</f>
        <v/>
      </c>
      <c r="D162" s="15" t="str">
        <f>IF(COUNTIFS(Master_PIC!$A$8:$A$73,$B162)=1,IF(VLOOKUP($B162,Master_PIC!$A$8:$G$73,4,FALSE)="","",VLOOKUP($B162,Master_PIC!$A$8:$G$73,4,FALSE)),"")</f>
        <v/>
      </c>
      <c r="E162" s="15" t="str">
        <f>IF(COUNTIFS(Master_PIC!$A$8:$A$73,$B162)=1,IF(VLOOKUP($B162,Master_PIC!$A$8:$G$73,5,FALSE)="","",VLOOKUP($B162,Master_PIC!$A$8:$G$73,5,FALSE)),"")</f>
        <v/>
      </c>
      <c r="F162" s="15" t="str">
        <f>IF(COUNTIFS(Master_PIC!$A$8:$A$73,$B162)=1,IF(VLOOKUP($B162,Master_PIC!$A$8:$G$73,6,FALSE)="","",VLOOKUP($B162,Master_PIC!$A$8:$G$73,6,FALSE)),"")</f>
        <v/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8"/>
      <c r="X162" s="5"/>
      <c r="Y162" s="5"/>
      <c r="Z162" s="9"/>
      <c r="AA162" s="5"/>
      <c r="AB162" s="5"/>
      <c r="AC162" s="9"/>
      <c r="AD162" s="5"/>
      <c r="AE162" s="7" t="str">
        <f t="shared" si="14"/>
        <v/>
      </c>
      <c r="AF162" s="7" t="str">
        <f t="shared" si="15"/>
        <v/>
      </c>
      <c r="AG162" s="7" t="str">
        <f t="shared" si="16"/>
        <v/>
      </c>
      <c r="AH162" s="7" t="str">
        <f t="shared" si="17"/>
        <v/>
      </c>
      <c r="AI162" s="7" t="str">
        <f t="shared" si="18"/>
        <v/>
      </c>
      <c r="AJ162" s="7" t="str">
        <f t="shared" si="19"/>
        <v/>
      </c>
      <c r="AK162" s="10" t="str">
        <f t="shared" si="20"/>
        <v/>
      </c>
      <c r="AL162" s="15" t="str">
        <f>IF(OR($A162&lt;&gt;"",$B162&lt;&gt;""),IF(OR($A162="",$B162=""),"Isi tanggal dan ID PIC",IF(NOT(ISNUMBER($A162)),"Tanggal harus berupa tanggal Excel",IF(COUNTIFS(Master_PIC!$A$8:$A$73,$B162)&lt;&gt;1,"ID PIC tidak unik/terdaftar",IF(VLOOKUP($B162,Master_PIC!$A$8:$G$73,3,FALSE)&lt;&gt;"ASM","Jabatan tidak sesuai sheet",IF(OR($C162="",$D162="",$E162="",$F162=""),"Lengkapi master PIC",IF(COUNTIFS($A$8:$A$507,$A162,$B$8:$B$507,$B162)&gt;1,"Laporan ganda",IF(COUNTIFS(G162:O162,"Tidak Berlaku")&gt;0,"N/A hanya untuk kegiatan bersyarat",IF(SUM(AF162,AG162,AH162,AI162,AJ162)&lt;&gt;13,"Status kegiatan tidak valid",IF(AJ162&gt;0,"Lengkapi status kegiatan",IF(AND(AI162&gt;0,T162=""),"Isi alasan Tidak Berlaku",IF(AND(SUM(AG162,AH162)&gt;0,OR(T162="",U162="",V162="",W162="")),"Isi kendala dan tindak lanjut",IF(AND(Y162&lt;&gt;"Draft",Y162&lt;&gt;"Dikirim"),"Isi status laporan yang valid",IF(AND(AA162&lt;&gt;"",AA162&lt;&gt;"Belum Diperiksa",AA162&lt;&gt;"Disetujui",AA162&lt;&gt;"Perlu Perbaikan"),"Hasil review tidak valid",IF(AND(Y162="Dikirim",OR(X162="",Z162="")),"Isi bukti dan waktu kirim",IF(AND(AA162="Disetujui",OR(Y162&lt;&gt;"Dikirim",AB162="",AC162="")),"Lengkapi pemeriksaan",IF(AND(AA162="Perlu Perbaikan",OR(AD162="",AB162="",AC162="")),"Isi pemeriksa dan catatan perbaikan","OK")))))))))))))))),"")</f>
        <v/>
      </c>
    </row>
    <row r="163" spans="1:38" ht="24.95" customHeight="1">
      <c r="A163" s="8"/>
      <c r="B163" s="6"/>
      <c r="C163" s="15" t="str">
        <f>IF(COUNTIFS(Master_PIC!$A$8:$A$73,$B163)=1,IF(VLOOKUP($B163,Master_PIC!$A$8:$G$73,2,FALSE)="","",VLOOKUP($B163,Master_PIC!$A$8:$G$73,2,FALSE)),"")</f>
        <v/>
      </c>
      <c r="D163" s="15" t="str">
        <f>IF(COUNTIFS(Master_PIC!$A$8:$A$73,$B163)=1,IF(VLOOKUP($B163,Master_PIC!$A$8:$G$73,4,FALSE)="","",VLOOKUP($B163,Master_PIC!$A$8:$G$73,4,FALSE)),"")</f>
        <v/>
      </c>
      <c r="E163" s="15" t="str">
        <f>IF(COUNTIFS(Master_PIC!$A$8:$A$73,$B163)=1,IF(VLOOKUP($B163,Master_PIC!$A$8:$G$73,5,FALSE)="","",VLOOKUP($B163,Master_PIC!$A$8:$G$73,5,FALSE)),"")</f>
        <v/>
      </c>
      <c r="F163" s="15" t="str">
        <f>IF(COUNTIFS(Master_PIC!$A$8:$A$73,$B163)=1,IF(VLOOKUP($B163,Master_PIC!$A$8:$G$73,6,FALSE)="","",VLOOKUP($B163,Master_PIC!$A$8:$G$73,6,FALSE)),"")</f>
        <v/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9"/>
      <c r="AA163" s="5"/>
      <c r="AB163" s="5"/>
      <c r="AC163" s="9"/>
      <c r="AD163" s="5"/>
      <c r="AE163" s="7" t="str">
        <f t="shared" si="14"/>
        <v/>
      </c>
      <c r="AF163" s="7" t="str">
        <f t="shared" si="15"/>
        <v/>
      </c>
      <c r="AG163" s="7" t="str">
        <f t="shared" si="16"/>
        <v/>
      </c>
      <c r="AH163" s="7" t="str">
        <f t="shared" si="17"/>
        <v/>
      </c>
      <c r="AI163" s="7" t="str">
        <f t="shared" si="18"/>
        <v/>
      </c>
      <c r="AJ163" s="7" t="str">
        <f t="shared" si="19"/>
        <v/>
      </c>
      <c r="AK163" s="10" t="str">
        <f t="shared" si="20"/>
        <v/>
      </c>
      <c r="AL163" s="15" t="str">
        <f>IF(OR($A163&lt;&gt;"",$B163&lt;&gt;""),IF(OR($A163="",$B163=""),"Isi tanggal dan ID PIC",IF(NOT(ISNUMBER($A163)),"Tanggal harus berupa tanggal Excel",IF(COUNTIFS(Master_PIC!$A$8:$A$73,$B163)&lt;&gt;1,"ID PIC tidak unik/terdaftar",IF(VLOOKUP($B163,Master_PIC!$A$8:$G$73,3,FALSE)&lt;&gt;"ASM","Jabatan tidak sesuai sheet",IF(OR($C163="",$D163="",$E163="",$F163=""),"Lengkapi master PIC",IF(COUNTIFS($A$8:$A$507,$A163,$B$8:$B$507,$B163)&gt;1,"Laporan ganda",IF(COUNTIFS(G163:O163,"Tidak Berlaku")&gt;0,"N/A hanya untuk kegiatan bersyarat",IF(SUM(AF163,AG163,AH163,AI163,AJ163)&lt;&gt;13,"Status kegiatan tidak valid",IF(AJ163&gt;0,"Lengkapi status kegiatan",IF(AND(AI163&gt;0,T163=""),"Isi alasan Tidak Berlaku",IF(AND(SUM(AG163,AH163)&gt;0,OR(T163="",U163="",V163="",W163="")),"Isi kendala dan tindak lanjut",IF(AND(Y163&lt;&gt;"Draft",Y163&lt;&gt;"Dikirim"),"Isi status laporan yang valid",IF(AND(AA163&lt;&gt;"",AA163&lt;&gt;"Belum Diperiksa",AA163&lt;&gt;"Disetujui",AA163&lt;&gt;"Perlu Perbaikan"),"Hasil review tidak valid",IF(AND(Y163="Dikirim",OR(X163="",Z163="")),"Isi bukti dan waktu kirim",IF(AND(AA163="Disetujui",OR(Y163&lt;&gt;"Dikirim",AB163="",AC163="")),"Lengkapi pemeriksaan",IF(AND(AA163="Perlu Perbaikan",OR(AD163="",AB163="",AC163="")),"Isi pemeriksa dan catatan perbaikan","OK")))))))))))))))),"")</f>
        <v/>
      </c>
    </row>
    <row r="164" spans="1:38" ht="24.95" customHeight="1">
      <c r="A164" s="8"/>
      <c r="B164" s="6"/>
      <c r="C164" s="15" t="str">
        <f>IF(COUNTIFS(Master_PIC!$A$8:$A$73,$B164)=1,IF(VLOOKUP($B164,Master_PIC!$A$8:$G$73,2,FALSE)="","",VLOOKUP($B164,Master_PIC!$A$8:$G$73,2,FALSE)),"")</f>
        <v/>
      </c>
      <c r="D164" s="15" t="str">
        <f>IF(COUNTIFS(Master_PIC!$A$8:$A$73,$B164)=1,IF(VLOOKUP($B164,Master_PIC!$A$8:$G$73,4,FALSE)="","",VLOOKUP($B164,Master_PIC!$A$8:$G$73,4,FALSE)),"")</f>
        <v/>
      </c>
      <c r="E164" s="15" t="str">
        <f>IF(COUNTIFS(Master_PIC!$A$8:$A$73,$B164)=1,IF(VLOOKUP($B164,Master_PIC!$A$8:$G$73,5,FALSE)="","",VLOOKUP($B164,Master_PIC!$A$8:$G$73,5,FALSE)),"")</f>
        <v/>
      </c>
      <c r="F164" s="15" t="str">
        <f>IF(COUNTIFS(Master_PIC!$A$8:$A$73,$B164)=1,IF(VLOOKUP($B164,Master_PIC!$A$8:$G$73,6,FALSE)="","",VLOOKUP($B164,Master_PIC!$A$8:$G$73,6,FALSE)),"")</f>
        <v/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9"/>
      <c r="AA164" s="5"/>
      <c r="AB164" s="5"/>
      <c r="AC164" s="9"/>
      <c r="AD164" s="5"/>
      <c r="AE164" s="7" t="str">
        <f t="shared" si="14"/>
        <v/>
      </c>
      <c r="AF164" s="7" t="str">
        <f t="shared" si="15"/>
        <v/>
      </c>
      <c r="AG164" s="7" t="str">
        <f t="shared" si="16"/>
        <v/>
      </c>
      <c r="AH164" s="7" t="str">
        <f t="shared" si="17"/>
        <v/>
      </c>
      <c r="AI164" s="7" t="str">
        <f t="shared" si="18"/>
        <v/>
      </c>
      <c r="AJ164" s="7" t="str">
        <f t="shared" si="19"/>
        <v/>
      </c>
      <c r="AK164" s="10" t="str">
        <f t="shared" si="20"/>
        <v/>
      </c>
      <c r="AL164" s="15" t="str">
        <f>IF(OR($A164&lt;&gt;"",$B164&lt;&gt;""),IF(OR($A164="",$B164=""),"Isi tanggal dan ID PIC",IF(NOT(ISNUMBER($A164)),"Tanggal harus berupa tanggal Excel",IF(COUNTIFS(Master_PIC!$A$8:$A$73,$B164)&lt;&gt;1,"ID PIC tidak unik/terdaftar",IF(VLOOKUP($B164,Master_PIC!$A$8:$G$73,3,FALSE)&lt;&gt;"ASM","Jabatan tidak sesuai sheet",IF(OR($C164="",$D164="",$E164="",$F164=""),"Lengkapi master PIC",IF(COUNTIFS($A$8:$A$507,$A164,$B$8:$B$507,$B164)&gt;1,"Laporan ganda",IF(COUNTIFS(G164:O164,"Tidak Berlaku")&gt;0,"N/A hanya untuk kegiatan bersyarat",IF(SUM(AF164,AG164,AH164,AI164,AJ164)&lt;&gt;13,"Status kegiatan tidak valid",IF(AJ164&gt;0,"Lengkapi status kegiatan",IF(AND(AI164&gt;0,T164=""),"Isi alasan Tidak Berlaku",IF(AND(SUM(AG164,AH164)&gt;0,OR(T164="",U164="",V164="",W164="")),"Isi kendala dan tindak lanjut",IF(AND(Y164&lt;&gt;"Draft",Y164&lt;&gt;"Dikirim"),"Isi status laporan yang valid",IF(AND(AA164&lt;&gt;"",AA164&lt;&gt;"Belum Diperiksa",AA164&lt;&gt;"Disetujui",AA164&lt;&gt;"Perlu Perbaikan"),"Hasil review tidak valid",IF(AND(Y164="Dikirim",OR(X164="",Z164="")),"Isi bukti dan waktu kirim",IF(AND(AA164="Disetujui",OR(Y164&lt;&gt;"Dikirim",AB164="",AC164="")),"Lengkapi pemeriksaan",IF(AND(AA164="Perlu Perbaikan",OR(AD164="",AB164="",AC164="")),"Isi pemeriksa dan catatan perbaikan","OK")))))))))))))))),"")</f>
        <v/>
      </c>
    </row>
    <row r="165" spans="1:38" ht="24.95" customHeight="1">
      <c r="A165" s="8"/>
      <c r="B165" s="6"/>
      <c r="C165" s="15" t="str">
        <f>IF(COUNTIFS(Master_PIC!$A$8:$A$73,$B165)=1,IF(VLOOKUP($B165,Master_PIC!$A$8:$G$73,2,FALSE)="","",VLOOKUP($B165,Master_PIC!$A$8:$G$73,2,FALSE)),"")</f>
        <v/>
      </c>
      <c r="D165" s="15" t="str">
        <f>IF(COUNTIFS(Master_PIC!$A$8:$A$73,$B165)=1,IF(VLOOKUP($B165,Master_PIC!$A$8:$G$73,4,FALSE)="","",VLOOKUP($B165,Master_PIC!$A$8:$G$73,4,FALSE)),"")</f>
        <v/>
      </c>
      <c r="E165" s="15" t="str">
        <f>IF(COUNTIFS(Master_PIC!$A$8:$A$73,$B165)=1,IF(VLOOKUP($B165,Master_PIC!$A$8:$G$73,5,FALSE)="","",VLOOKUP($B165,Master_PIC!$A$8:$G$73,5,FALSE)),"")</f>
        <v/>
      </c>
      <c r="F165" s="15" t="str">
        <f>IF(COUNTIFS(Master_PIC!$A$8:$A$73,$B165)=1,IF(VLOOKUP($B165,Master_PIC!$A$8:$G$73,6,FALSE)="","",VLOOKUP($B165,Master_PIC!$A$8:$G$73,6,FALSE)),"")</f>
        <v/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9"/>
      <c r="AA165" s="5"/>
      <c r="AB165" s="5"/>
      <c r="AC165" s="9"/>
      <c r="AD165" s="5"/>
      <c r="AE165" s="7" t="str">
        <f t="shared" si="14"/>
        <v/>
      </c>
      <c r="AF165" s="7" t="str">
        <f t="shared" si="15"/>
        <v/>
      </c>
      <c r="AG165" s="7" t="str">
        <f t="shared" si="16"/>
        <v/>
      </c>
      <c r="AH165" s="7" t="str">
        <f t="shared" si="17"/>
        <v/>
      </c>
      <c r="AI165" s="7" t="str">
        <f t="shared" si="18"/>
        <v/>
      </c>
      <c r="AJ165" s="7" t="str">
        <f t="shared" si="19"/>
        <v/>
      </c>
      <c r="AK165" s="10" t="str">
        <f t="shared" si="20"/>
        <v/>
      </c>
      <c r="AL165" s="15" t="str">
        <f>IF(OR($A165&lt;&gt;"",$B165&lt;&gt;""),IF(OR($A165="",$B165=""),"Isi tanggal dan ID PIC",IF(NOT(ISNUMBER($A165)),"Tanggal harus berupa tanggal Excel",IF(COUNTIFS(Master_PIC!$A$8:$A$73,$B165)&lt;&gt;1,"ID PIC tidak unik/terdaftar",IF(VLOOKUP($B165,Master_PIC!$A$8:$G$73,3,FALSE)&lt;&gt;"ASM","Jabatan tidak sesuai sheet",IF(OR($C165="",$D165="",$E165="",$F165=""),"Lengkapi master PIC",IF(COUNTIFS($A$8:$A$507,$A165,$B$8:$B$507,$B165)&gt;1,"Laporan ganda",IF(COUNTIFS(G165:O165,"Tidak Berlaku")&gt;0,"N/A hanya untuk kegiatan bersyarat",IF(SUM(AF165,AG165,AH165,AI165,AJ165)&lt;&gt;13,"Status kegiatan tidak valid",IF(AJ165&gt;0,"Lengkapi status kegiatan",IF(AND(AI165&gt;0,T165=""),"Isi alasan Tidak Berlaku",IF(AND(SUM(AG165,AH165)&gt;0,OR(T165="",U165="",V165="",W165="")),"Isi kendala dan tindak lanjut",IF(AND(Y165&lt;&gt;"Draft",Y165&lt;&gt;"Dikirim"),"Isi status laporan yang valid",IF(AND(AA165&lt;&gt;"",AA165&lt;&gt;"Belum Diperiksa",AA165&lt;&gt;"Disetujui",AA165&lt;&gt;"Perlu Perbaikan"),"Hasil review tidak valid",IF(AND(Y165="Dikirim",OR(X165="",Z165="")),"Isi bukti dan waktu kirim",IF(AND(AA165="Disetujui",OR(Y165&lt;&gt;"Dikirim",AB165="",AC165="")),"Lengkapi pemeriksaan",IF(AND(AA165="Perlu Perbaikan",OR(AD165="",AB165="",AC165="")),"Isi pemeriksa dan catatan perbaikan","OK")))))))))))))))),"")</f>
        <v/>
      </c>
    </row>
    <row r="166" spans="1:38" ht="24.95" customHeight="1">
      <c r="A166" s="8"/>
      <c r="B166" s="6"/>
      <c r="C166" s="15" t="str">
        <f>IF(COUNTIFS(Master_PIC!$A$8:$A$73,$B166)=1,IF(VLOOKUP($B166,Master_PIC!$A$8:$G$73,2,FALSE)="","",VLOOKUP($B166,Master_PIC!$A$8:$G$73,2,FALSE)),"")</f>
        <v/>
      </c>
      <c r="D166" s="15" t="str">
        <f>IF(COUNTIFS(Master_PIC!$A$8:$A$73,$B166)=1,IF(VLOOKUP($B166,Master_PIC!$A$8:$G$73,4,FALSE)="","",VLOOKUP($B166,Master_PIC!$A$8:$G$73,4,FALSE)),"")</f>
        <v/>
      </c>
      <c r="E166" s="15" t="str">
        <f>IF(COUNTIFS(Master_PIC!$A$8:$A$73,$B166)=1,IF(VLOOKUP($B166,Master_PIC!$A$8:$G$73,5,FALSE)="","",VLOOKUP($B166,Master_PIC!$A$8:$G$73,5,FALSE)),"")</f>
        <v/>
      </c>
      <c r="F166" s="15" t="str">
        <f>IF(COUNTIFS(Master_PIC!$A$8:$A$73,$B166)=1,IF(VLOOKUP($B166,Master_PIC!$A$8:$G$73,6,FALSE)="","",VLOOKUP($B166,Master_PIC!$A$8:$G$73,6,FALSE)),"")</f>
        <v/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8"/>
      <c r="X166" s="5"/>
      <c r="Y166" s="5"/>
      <c r="Z166" s="9"/>
      <c r="AA166" s="5"/>
      <c r="AB166" s="5"/>
      <c r="AC166" s="9"/>
      <c r="AD166" s="5"/>
      <c r="AE166" s="7" t="str">
        <f t="shared" si="14"/>
        <v/>
      </c>
      <c r="AF166" s="7" t="str">
        <f t="shared" si="15"/>
        <v/>
      </c>
      <c r="AG166" s="7" t="str">
        <f t="shared" si="16"/>
        <v/>
      </c>
      <c r="AH166" s="7" t="str">
        <f t="shared" si="17"/>
        <v/>
      </c>
      <c r="AI166" s="7" t="str">
        <f t="shared" si="18"/>
        <v/>
      </c>
      <c r="AJ166" s="7" t="str">
        <f t="shared" si="19"/>
        <v/>
      </c>
      <c r="AK166" s="10" t="str">
        <f t="shared" si="20"/>
        <v/>
      </c>
      <c r="AL166" s="15" t="str">
        <f>IF(OR($A166&lt;&gt;"",$B166&lt;&gt;""),IF(OR($A166="",$B166=""),"Isi tanggal dan ID PIC",IF(NOT(ISNUMBER($A166)),"Tanggal harus berupa tanggal Excel",IF(COUNTIFS(Master_PIC!$A$8:$A$73,$B166)&lt;&gt;1,"ID PIC tidak unik/terdaftar",IF(VLOOKUP($B166,Master_PIC!$A$8:$G$73,3,FALSE)&lt;&gt;"ASM","Jabatan tidak sesuai sheet",IF(OR($C166="",$D166="",$E166="",$F166=""),"Lengkapi master PIC",IF(COUNTIFS($A$8:$A$507,$A166,$B$8:$B$507,$B166)&gt;1,"Laporan ganda",IF(COUNTIFS(G166:O166,"Tidak Berlaku")&gt;0,"N/A hanya untuk kegiatan bersyarat",IF(SUM(AF166,AG166,AH166,AI166,AJ166)&lt;&gt;13,"Status kegiatan tidak valid",IF(AJ166&gt;0,"Lengkapi status kegiatan",IF(AND(AI166&gt;0,T166=""),"Isi alasan Tidak Berlaku",IF(AND(SUM(AG166,AH166)&gt;0,OR(T166="",U166="",V166="",W166="")),"Isi kendala dan tindak lanjut",IF(AND(Y166&lt;&gt;"Draft",Y166&lt;&gt;"Dikirim"),"Isi status laporan yang valid",IF(AND(AA166&lt;&gt;"",AA166&lt;&gt;"Belum Diperiksa",AA166&lt;&gt;"Disetujui",AA166&lt;&gt;"Perlu Perbaikan"),"Hasil review tidak valid",IF(AND(Y166="Dikirim",OR(X166="",Z166="")),"Isi bukti dan waktu kirim",IF(AND(AA166="Disetujui",OR(Y166&lt;&gt;"Dikirim",AB166="",AC166="")),"Lengkapi pemeriksaan",IF(AND(AA166="Perlu Perbaikan",OR(AD166="",AB166="",AC166="")),"Isi pemeriksa dan catatan perbaikan","OK")))))))))))))))),"")</f>
        <v/>
      </c>
    </row>
    <row r="167" spans="1:38" ht="24.95" customHeight="1">
      <c r="A167" s="8"/>
      <c r="B167" s="6"/>
      <c r="C167" s="15" t="str">
        <f>IF(COUNTIFS(Master_PIC!$A$8:$A$73,$B167)=1,IF(VLOOKUP($B167,Master_PIC!$A$8:$G$73,2,FALSE)="","",VLOOKUP($B167,Master_PIC!$A$8:$G$73,2,FALSE)),"")</f>
        <v/>
      </c>
      <c r="D167" s="15" t="str">
        <f>IF(COUNTIFS(Master_PIC!$A$8:$A$73,$B167)=1,IF(VLOOKUP($B167,Master_PIC!$A$8:$G$73,4,FALSE)="","",VLOOKUP($B167,Master_PIC!$A$8:$G$73,4,FALSE)),"")</f>
        <v/>
      </c>
      <c r="E167" s="15" t="str">
        <f>IF(COUNTIFS(Master_PIC!$A$8:$A$73,$B167)=1,IF(VLOOKUP($B167,Master_PIC!$A$8:$G$73,5,FALSE)="","",VLOOKUP($B167,Master_PIC!$A$8:$G$73,5,FALSE)),"")</f>
        <v/>
      </c>
      <c r="F167" s="15" t="str">
        <f>IF(COUNTIFS(Master_PIC!$A$8:$A$73,$B167)=1,IF(VLOOKUP($B167,Master_PIC!$A$8:$G$73,6,FALSE)="","",VLOOKUP($B167,Master_PIC!$A$8:$G$73,6,FALSE)),"")</f>
        <v/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8"/>
      <c r="X167" s="5"/>
      <c r="Y167" s="5"/>
      <c r="Z167" s="9"/>
      <c r="AA167" s="5"/>
      <c r="AB167" s="5"/>
      <c r="AC167" s="9"/>
      <c r="AD167" s="5"/>
      <c r="AE167" s="7" t="str">
        <f t="shared" si="14"/>
        <v/>
      </c>
      <c r="AF167" s="7" t="str">
        <f t="shared" si="15"/>
        <v/>
      </c>
      <c r="AG167" s="7" t="str">
        <f t="shared" si="16"/>
        <v/>
      </c>
      <c r="AH167" s="7" t="str">
        <f t="shared" si="17"/>
        <v/>
      </c>
      <c r="AI167" s="7" t="str">
        <f t="shared" si="18"/>
        <v/>
      </c>
      <c r="AJ167" s="7" t="str">
        <f t="shared" si="19"/>
        <v/>
      </c>
      <c r="AK167" s="10" t="str">
        <f t="shared" si="20"/>
        <v/>
      </c>
      <c r="AL167" s="15" t="str">
        <f>IF(OR($A167&lt;&gt;"",$B167&lt;&gt;""),IF(OR($A167="",$B167=""),"Isi tanggal dan ID PIC",IF(NOT(ISNUMBER($A167)),"Tanggal harus berupa tanggal Excel",IF(COUNTIFS(Master_PIC!$A$8:$A$73,$B167)&lt;&gt;1,"ID PIC tidak unik/terdaftar",IF(VLOOKUP($B167,Master_PIC!$A$8:$G$73,3,FALSE)&lt;&gt;"ASM","Jabatan tidak sesuai sheet",IF(OR($C167="",$D167="",$E167="",$F167=""),"Lengkapi master PIC",IF(COUNTIFS($A$8:$A$507,$A167,$B$8:$B$507,$B167)&gt;1,"Laporan ganda",IF(COUNTIFS(G167:O167,"Tidak Berlaku")&gt;0,"N/A hanya untuk kegiatan bersyarat",IF(SUM(AF167,AG167,AH167,AI167,AJ167)&lt;&gt;13,"Status kegiatan tidak valid",IF(AJ167&gt;0,"Lengkapi status kegiatan",IF(AND(AI167&gt;0,T167=""),"Isi alasan Tidak Berlaku",IF(AND(SUM(AG167,AH167)&gt;0,OR(T167="",U167="",V167="",W167="")),"Isi kendala dan tindak lanjut",IF(AND(Y167&lt;&gt;"Draft",Y167&lt;&gt;"Dikirim"),"Isi status laporan yang valid",IF(AND(AA167&lt;&gt;"",AA167&lt;&gt;"Belum Diperiksa",AA167&lt;&gt;"Disetujui",AA167&lt;&gt;"Perlu Perbaikan"),"Hasil review tidak valid",IF(AND(Y167="Dikirim",OR(X167="",Z167="")),"Isi bukti dan waktu kirim",IF(AND(AA167="Disetujui",OR(Y167&lt;&gt;"Dikirim",AB167="",AC167="")),"Lengkapi pemeriksaan",IF(AND(AA167="Perlu Perbaikan",OR(AD167="",AB167="",AC167="")),"Isi pemeriksa dan catatan perbaikan","OK")))))))))))))))),"")</f>
        <v/>
      </c>
    </row>
    <row r="168" spans="1:38" ht="24.95" customHeight="1">
      <c r="A168" s="8"/>
      <c r="B168" s="6"/>
      <c r="C168" s="15" t="str">
        <f>IF(COUNTIFS(Master_PIC!$A$8:$A$73,$B168)=1,IF(VLOOKUP($B168,Master_PIC!$A$8:$G$73,2,FALSE)="","",VLOOKUP($B168,Master_PIC!$A$8:$G$73,2,FALSE)),"")</f>
        <v/>
      </c>
      <c r="D168" s="15" t="str">
        <f>IF(COUNTIFS(Master_PIC!$A$8:$A$73,$B168)=1,IF(VLOOKUP($B168,Master_PIC!$A$8:$G$73,4,FALSE)="","",VLOOKUP($B168,Master_PIC!$A$8:$G$73,4,FALSE)),"")</f>
        <v/>
      </c>
      <c r="E168" s="15" t="str">
        <f>IF(COUNTIFS(Master_PIC!$A$8:$A$73,$B168)=1,IF(VLOOKUP($B168,Master_PIC!$A$8:$G$73,5,FALSE)="","",VLOOKUP($B168,Master_PIC!$A$8:$G$73,5,FALSE)),"")</f>
        <v/>
      </c>
      <c r="F168" s="15" t="str">
        <f>IF(COUNTIFS(Master_PIC!$A$8:$A$73,$B168)=1,IF(VLOOKUP($B168,Master_PIC!$A$8:$G$73,6,FALSE)="","",VLOOKUP($B168,Master_PIC!$A$8:$G$73,6,FALSE)),"")</f>
        <v/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9"/>
      <c r="AA168" s="5"/>
      <c r="AB168" s="5"/>
      <c r="AC168" s="9"/>
      <c r="AD168" s="5"/>
      <c r="AE168" s="7" t="str">
        <f t="shared" si="14"/>
        <v/>
      </c>
      <c r="AF168" s="7" t="str">
        <f t="shared" si="15"/>
        <v/>
      </c>
      <c r="AG168" s="7" t="str">
        <f t="shared" si="16"/>
        <v/>
      </c>
      <c r="AH168" s="7" t="str">
        <f t="shared" si="17"/>
        <v/>
      </c>
      <c r="AI168" s="7" t="str">
        <f t="shared" si="18"/>
        <v/>
      </c>
      <c r="AJ168" s="7" t="str">
        <f t="shared" si="19"/>
        <v/>
      </c>
      <c r="AK168" s="10" t="str">
        <f t="shared" si="20"/>
        <v/>
      </c>
      <c r="AL168" s="15" t="str">
        <f>IF(OR($A168&lt;&gt;"",$B168&lt;&gt;""),IF(OR($A168="",$B168=""),"Isi tanggal dan ID PIC",IF(NOT(ISNUMBER($A168)),"Tanggal harus berupa tanggal Excel",IF(COUNTIFS(Master_PIC!$A$8:$A$73,$B168)&lt;&gt;1,"ID PIC tidak unik/terdaftar",IF(VLOOKUP($B168,Master_PIC!$A$8:$G$73,3,FALSE)&lt;&gt;"ASM","Jabatan tidak sesuai sheet",IF(OR($C168="",$D168="",$E168="",$F168=""),"Lengkapi master PIC",IF(COUNTIFS($A$8:$A$507,$A168,$B$8:$B$507,$B168)&gt;1,"Laporan ganda",IF(COUNTIFS(G168:O168,"Tidak Berlaku")&gt;0,"N/A hanya untuk kegiatan bersyarat",IF(SUM(AF168,AG168,AH168,AI168,AJ168)&lt;&gt;13,"Status kegiatan tidak valid",IF(AJ168&gt;0,"Lengkapi status kegiatan",IF(AND(AI168&gt;0,T168=""),"Isi alasan Tidak Berlaku",IF(AND(SUM(AG168,AH168)&gt;0,OR(T168="",U168="",V168="",W168="")),"Isi kendala dan tindak lanjut",IF(AND(Y168&lt;&gt;"Draft",Y168&lt;&gt;"Dikirim"),"Isi status laporan yang valid",IF(AND(AA168&lt;&gt;"",AA168&lt;&gt;"Belum Diperiksa",AA168&lt;&gt;"Disetujui",AA168&lt;&gt;"Perlu Perbaikan"),"Hasil review tidak valid",IF(AND(Y168="Dikirim",OR(X168="",Z168="")),"Isi bukti dan waktu kirim",IF(AND(AA168="Disetujui",OR(Y168&lt;&gt;"Dikirim",AB168="",AC168="")),"Lengkapi pemeriksaan",IF(AND(AA168="Perlu Perbaikan",OR(AD168="",AB168="",AC168="")),"Isi pemeriksa dan catatan perbaikan","OK")))))))))))))))),"")</f>
        <v/>
      </c>
    </row>
    <row r="169" spans="1:38" ht="24.95" customHeight="1">
      <c r="A169" s="8"/>
      <c r="B169" s="6"/>
      <c r="C169" s="15" t="str">
        <f>IF(COUNTIFS(Master_PIC!$A$8:$A$73,$B169)=1,IF(VLOOKUP($B169,Master_PIC!$A$8:$G$73,2,FALSE)="","",VLOOKUP($B169,Master_PIC!$A$8:$G$73,2,FALSE)),"")</f>
        <v/>
      </c>
      <c r="D169" s="15" t="str">
        <f>IF(COUNTIFS(Master_PIC!$A$8:$A$73,$B169)=1,IF(VLOOKUP($B169,Master_PIC!$A$8:$G$73,4,FALSE)="","",VLOOKUP($B169,Master_PIC!$A$8:$G$73,4,FALSE)),"")</f>
        <v/>
      </c>
      <c r="E169" s="15" t="str">
        <f>IF(COUNTIFS(Master_PIC!$A$8:$A$73,$B169)=1,IF(VLOOKUP($B169,Master_PIC!$A$8:$G$73,5,FALSE)="","",VLOOKUP($B169,Master_PIC!$A$8:$G$73,5,FALSE)),"")</f>
        <v/>
      </c>
      <c r="F169" s="15" t="str">
        <f>IF(COUNTIFS(Master_PIC!$A$8:$A$73,$B169)=1,IF(VLOOKUP($B169,Master_PIC!$A$8:$G$73,6,FALSE)="","",VLOOKUP($B169,Master_PIC!$A$8:$G$73,6,FALSE)),"")</f>
        <v/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8"/>
      <c r="X169" s="5"/>
      <c r="Y169" s="5"/>
      <c r="Z169" s="9"/>
      <c r="AA169" s="5"/>
      <c r="AB169" s="5"/>
      <c r="AC169" s="9"/>
      <c r="AD169" s="5"/>
      <c r="AE169" s="7" t="str">
        <f t="shared" si="14"/>
        <v/>
      </c>
      <c r="AF169" s="7" t="str">
        <f t="shared" si="15"/>
        <v/>
      </c>
      <c r="AG169" s="7" t="str">
        <f t="shared" si="16"/>
        <v/>
      </c>
      <c r="AH169" s="7" t="str">
        <f t="shared" si="17"/>
        <v/>
      </c>
      <c r="AI169" s="7" t="str">
        <f t="shared" si="18"/>
        <v/>
      </c>
      <c r="AJ169" s="7" t="str">
        <f t="shared" si="19"/>
        <v/>
      </c>
      <c r="AK169" s="10" t="str">
        <f t="shared" si="20"/>
        <v/>
      </c>
      <c r="AL169" s="15" t="str">
        <f>IF(OR($A169&lt;&gt;"",$B169&lt;&gt;""),IF(OR($A169="",$B169=""),"Isi tanggal dan ID PIC",IF(NOT(ISNUMBER($A169)),"Tanggal harus berupa tanggal Excel",IF(COUNTIFS(Master_PIC!$A$8:$A$73,$B169)&lt;&gt;1,"ID PIC tidak unik/terdaftar",IF(VLOOKUP($B169,Master_PIC!$A$8:$G$73,3,FALSE)&lt;&gt;"ASM","Jabatan tidak sesuai sheet",IF(OR($C169="",$D169="",$E169="",$F169=""),"Lengkapi master PIC",IF(COUNTIFS($A$8:$A$507,$A169,$B$8:$B$507,$B169)&gt;1,"Laporan ganda",IF(COUNTIFS(G169:O169,"Tidak Berlaku")&gt;0,"N/A hanya untuk kegiatan bersyarat",IF(SUM(AF169,AG169,AH169,AI169,AJ169)&lt;&gt;13,"Status kegiatan tidak valid",IF(AJ169&gt;0,"Lengkapi status kegiatan",IF(AND(AI169&gt;0,T169=""),"Isi alasan Tidak Berlaku",IF(AND(SUM(AG169,AH169)&gt;0,OR(T169="",U169="",V169="",W169="")),"Isi kendala dan tindak lanjut",IF(AND(Y169&lt;&gt;"Draft",Y169&lt;&gt;"Dikirim"),"Isi status laporan yang valid",IF(AND(AA169&lt;&gt;"",AA169&lt;&gt;"Belum Diperiksa",AA169&lt;&gt;"Disetujui",AA169&lt;&gt;"Perlu Perbaikan"),"Hasil review tidak valid",IF(AND(Y169="Dikirim",OR(X169="",Z169="")),"Isi bukti dan waktu kirim",IF(AND(AA169="Disetujui",OR(Y169&lt;&gt;"Dikirim",AB169="",AC169="")),"Lengkapi pemeriksaan",IF(AND(AA169="Perlu Perbaikan",OR(AD169="",AB169="",AC169="")),"Isi pemeriksa dan catatan perbaikan","OK")))))))))))))))),"")</f>
        <v/>
      </c>
    </row>
    <row r="170" spans="1:38" ht="24.95" customHeight="1">
      <c r="A170" s="8"/>
      <c r="B170" s="6"/>
      <c r="C170" s="15" t="str">
        <f>IF(COUNTIFS(Master_PIC!$A$8:$A$73,$B170)=1,IF(VLOOKUP($B170,Master_PIC!$A$8:$G$73,2,FALSE)="","",VLOOKUP($B170,Master_PIC!$A$8:$G$73,2,FALSE)),"")</f>
        <v/>
      </c>
      <c r="D170" s="15" t="str">
        <f>IF(COUNTIFS(Master_PIC!$A$8:$A$73,$B170)=1,IF(VLOOKUP($B170,Master_PIC!$A$8:$G$73,4,FALSE)="","",VLOOKUP($B170,Master_PIC!$A$8:$G$73,4,FALSE)),"")</f>
        <v/>
      </c>
      <c r="E170" s="15" t="str">
        <f>IF(COUNTIFS(Master_PIC!$A$8:$A$73,$B170)=1,IF(VLOOKUP($B170,Master_PIC!$A$8:$G$73,5,FALSE)="","",VLOOKUP($B170,Master_PIC!$A$8:$G$73,5,FALSE)),"")</f>
        <v/>
      </c>
      <c r="F170" s="15" t="str">
        <f>IF(COUNTIFS(Master_PIC!$A$8:$A$73,$B170)=1,IF(VLOOKUP($B170,Master_PIC!$A$8:$G$73,6,FALSE)="","",VLOOKUP($B170,Master_PIC!$A$8:$G$73,6,FALSE)),"")</f>
        <v/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8"/>
      <c r="X170" s="5"/>
      <c r="Y170" s="5"/>
      <c r="Z170" s="9"/>
      <c r="AA170" s="5"/>
      <c r="AB170" s="5"/>
      <c r="AC170" s="9"/>
      <c r="AD170" s="5"/>
      <c r="AE170" s="7" t="str">
        <f t="shared" si="14"/>
        <v/>
      </c>
      <c r="AF170" s="7" t="str">
        <f t="shared" si="15"/>
        <v/>
      </c>
      <c r="AG170" s="7" t="str">
        <f t="shared" si="16"/>
        <v/>
      </c>
      <c r="AH170" s="7" t="str">
        <f t="shared" si="17"/>
        <v/>
      </c>
      <c r="AI170" s="7" t="str">
        <f t="shared" si="18"/>
        <v/>
      </c>
      <c r="AJ170" s="7" t="str">
        <f t="shared" si="19"/>
        <v/>
      </c>
      <c r="AK170" s="10" t="str">
        <f t="shared" si="20"/>
        <v/>
      </c>
      <c r="AL170" s="15" t="str">
        <f>IF(OR($A170&lt;&gt;"",$B170&lt;&gt;""),IF(OR($A170="",$B170=""),"Isi tanggal dan ID PIC",IF(NOT(ISNUMBER($A170)),"Tanggal harus berupa tanggal Excel",IF(COUNTIFS(Master_PIC!$A$8:$A$73,$B170)&lt;&gt;1,"ID PIC tidak unik/terdaftar",IF(VLOOKUP($B170,Master_PIC!$A$8:$G$73,3,FALSE)&lt;&gt;"ASM","Jabatan tidak sesuai sheet",IF(OR($C170="",$D170="",$E170="",$F170=""),"Lengkapi master PIC",IF(COUNTIFS($A$8:$A$507,$A170,$B$8:$B$507,$B170)&gt;1,"Laporan ganda",IF(COUNTIFS(G170:O170,"Tidak Berlaku")&gt;0,"N/A hanya untuk kegiatan bersyarat",IF(SUM(AF170,AG170,AH170,AI170,AJ170)&lt;&gt;13,"Status kegiatan tidak valid",IF(AJ170&gt;0,"Lengkapi status kegiatan",IF(AND(AI170&gt;0,T170=""),"Isi alasan Tidak Berlaku",IF(AND(SUM(AG170,AH170)&gt;0,OR(T170="",U170="",V170="",W170="")),"Isi kendala dan tindak lanjut",IF(AND(Y170&lt;&gt;"Draft",Y170&lt;&gt;"Dikirim"),"Isi status laporan yang valid",IF(AND(AA170&lt;&gt;"",AA170&lt;&gt;"Belum Diperiksa",AA170&lt;&gt;"Disetujui",AA170&lt;&gt;"Perlu Perbaikan"),"Hasil review tidak valid",IF(AND(Y170="Dikirim",OR(X170="",Z170="")),"Isi bukti dan waktu kirim",IF(AND(AA170="Disetujui",OR(Y170&lt;&gt;"Dikirim",AB170="",AC170="")),"Lengkapi pemeriksaan",IF(AND(AA170="Perlu Perbaikan",OR(AD170="",AB170="",AC170="")),"Isi pemeriksa dan catatan perbaikan","OK")))))))))))))))),"")</f>
        <v/>
      </c>
    </row>
    <row r="171" spans="1:38" ht="24.95" customHeight="1">
      <c r="A171" s="8"/>
      <c r="B171" s="6"/>
      <c r="C171" s="15" t="str">
        <f>IF(COUNTIFS(Master_PIC!$A$8:$A$73,$B171)=1,IF(VLOOKUP($B171,Master_PIC!$A$8:$G$73,2,FALSE)="","",VLOOKUP($B171,Master_PIC!$A$8:$G$73,2,FALSE)),"")</f>
        <v/>
      </c>
      <c r="D171" s="15" t="str">
        <f>IF(COUNTIFS(Master_PIC!$A$8:$A$73,$B171)=1,IF(VLOOKUP($B171,Master_PIC!$A$8:$G$73,4,FALSE)="","",VLOOKUP($B171,Master_PIC!$A$8:$G$73,4,FALSE)),"")</f>
        <v/>
      </c>
      <c r="E171" s="15" t="str">
        <f>IF(COUNTIFS(Master_PIC!$A$8:$A$73,$B171)=1,IF(VLOOKUP($B171,Master_PIC!$A$8:$G$73,5,FALSE)="","",VLOOKUP($B171,Master_PIC!$A$8:$G$73,5,FALSE)),"")</f>
        <v/>
      </c>
      <c r="F171" s="15" t="str">
        <f>IF(COUNTIFS(Master_PIC!$A$8:$A$73,$B171)=1,IF(VLOOKUP($B171,Master_PIC!$A$8:$G$73,6,FALSE)="","",VLOOKUP($B171,Master_PIC!$A$8:$G$73,6,FALSE)),"")</f>
        <v/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8"/>
      <c r="X171" s="5"/>
      <c r="Y171" s="5"/>
      <c r="Z171" s="9"/>
      <c r="AA171" s="5"/>
      <c r="AB171" s="5"/>
      <c r="AC171" s="9"/>
      <c r="AD171" s="5"/>
      <c r="AE171" s="7" t="str">
        <f t="shared" si="14"/>
        <v/>
      </c>
      <c r="AF171" s="7" t="str">
        <f t="shared" si="15"/>
        <v/>
      </c>
      <c r="AG171" s="7" t="str">
        <f t="shared" si="16"/>
        <v/>
      </c>
      <c r="AH171" s="7" t="str">
        <f t="shared" si="17"/>
        <v/>
      </c>
      <c r="AI171" s="7" t="str">
        <f t="shared" si="18"/>
        <v/>
      </c>
      <c r="AJ171" s="7" t="str">
        <f t="shared" si="19"/>
        <v/>
      </c>
      <c r="AK171" s="10" t="str">
        <f t="shared" si="20"/>
        <v/>
      </c>
      <c r="AL171" s="15" t="str">
        <f>IF(OR($A171&lt;&gt;"",$B171&lt;&gt;""),IF(OR($A171="",$B171=""),"Isi tanggal dan ID PIC",IF(NOT(ISNUMBER($A171)),"Tanggal harus berupa tanggal Excel",IF(COUNTIFS(Master_PIC!$A$8:$A$73,$B171)&lt;&gt;1,"ID PIC tidak unik/terdaftar",IF(VLOOKUP($B171,Master_PIC!$A$8:$G$73,3,FALSE)&lt;&gt;"ASM","Jabatan tidak sesuai sheet",IF(OR($C171="",$D171="",$E171="",$F171=""),"Lengkapi master PIC",IF(COUNTIFS($A$8:$A$507,$A171,$B$8:$B$507,$B171)&gt;1,"Laporan ganda",IF(COUNTIFS(G171:O171,"Tidak Berlaku")&gt;0,"N/A hanya untuk kegiatan bersyarat",IF(SUM(AF171,AG171,AH171,AI171,AJ171)&lt;&gt;13,"Status kegiatan tidak valid",IF(AJ171&gt;0,"Lengkapi status kegiatan",IF(AND(AI171&gt;0,T171=""),"Isi alasan Tidak Berlaku",IF(AND(SUM(AG171,AH171)&gt;0,OR(T171="",U171="",V171="",W171="")),"Isi kendala dan tindak lanjut",IF(AND(Y171&lt;&gt;"Draft",Y171&lt;&gt;"Dikirim"),"Isi status laporan yang valid",IF(AND(AA171&lt;&gt;"",AA171&lt;&gt;"Belum Diperiksa",AA171&lt;&gt;"Disetujui",AA171&lt;&gt;"Perlu Perbaikan"),"Hasil review tidak valid",IF(AND(Y171="Dikirim",OR(X171="",Z171="")),"Isi bukti dan waktu kirim",IF(AND(AA171="Disetujui",OR(Y171&lt;&gt;"Dikirim",AB171="",AC171="")),"Lengkapi pemeriksaan",IF(AND(AA171="Perlu Perbaikan",OR(AD171="",AB171="",AC171="")),"Isi pemeriksa dan catatan perbaikan","OK")))))))))))))))),"")</f>
        <v/>
      </c>
    </row>
    <row r="172" spans="1:38" ht="24.95" customHeight="1">
      <c r="A172" s="8"/>
      <c r="B172" s="6"/>
      <c r="C172" s="15" t="str">
        <f>IF(COUNTIFS(Master_PIC!$A$8:$A$73,$B172)=1,IF(VLOOKUP($B172,Master_PIC!$A$8:$G$73,2,FALSE)="","",VLOOKUP($B172,Master_PIC!$A$8:$G$73,2,FALSE)),"")</f>
        <v/>
      </c>
      <c r="D172" s="15" t="str">
        <f>IF(COUNTIFS(Master_PIC!$A$8:$A$73,$B172)=1,IF(VLOOKUP($B172,Master_PIC!$A$8:$G$73,4,FALSE)="","",VLOOKUP($B172,Master_PIC!$A$8:$G$73,4,FALSE)),"")</f>
        <v/>
      </c>
      <c r="E172" s="15" t="str">
        <f>IF(COUNTIFS(Master_PIC!$A$8:$A$73,$B172)=1,IF(VLOOKUP($B172,Master_PIC!$A$8:$G$73,5,FALSE)="","",VLOOKUP($B172,Master_PIC!$A$8:$G$73,5,FALSE)),"")</f>
        <v/>
      </c>
      <c r="F172" s="15" t="str">
        <f>IF(COUNTIFS(Master_PIC!$A$8:$A$73,$B172)=1,IF(VLOOKUP($B172,Master_PIC!$A$8:$G$73,6,FALSE)="","",VLOOKUP($B172,Master_PIC!$A$8:$G$73,6,FALSE)),"")</f>
        <v/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8"/>
      <c r="X172" s="5"/>
      <c r="Y172" s="5"/>
      <c r="Z172" s="9"/>
      <c r="AA172" s="5"/>
      <c r="AB172" s="5"/>
      <c r="AC172" s="9"/>
      <c r="AD172" s="5"/>
      <c r="AE172" s="7" t="str">
        <f t="shared" si="14"/>
        <v/>
      </c>
      <c r="AF172" s="7" t="str">
        <f t="shared" si="15"/>
        <v/>
      </c>
      <c r="AG172" s="7" t="str">
        <f t="shared" si="16"/>
        <v/>
      </c>
      <c r="AH172" s="7" t="str">
        <f t="shared" si="17"/>
        <v/>
      </c>
      <c r="AI172" s="7" t="str">
        <f t="shared" si="18"/>
        <v/>
      </c>
      <c r="AJ172" s="7" t="str">
        <f t="shared" si="19"/>
        <v/>
      </c>
      <c r="AK172" s="10" t="str">
        <f t="shared" si="20"/>
        <v/>
      </c>
      <c r="AL172" s="15" t="str">
        <f>IF(OR($A172&lt;&gt;"",$B172&lt;&gt;""),IF(OR($A172="",$B172=""),"Isi tanggal dan ID PIC",IF(NOT(ISNUMBER($A172)),"Tanggal harus berupa tanggal Excel",IF(COUNTIFS(Master_PIC!$A$8:$A$73,$B172)&lt;&gt;1,"ID PIC tidak unik/terdaftar",IF(VLOOKUP($B172,Master_PIC!$A$8:$G$73,3,FALSE)&lt;&gt;"ASM","Jabatan tidak sesuai sheet",IF(OR($C172="",$D172="",$E172="",$F172=""),"Lengkapi master PIC",IF(COUNTIFS($A$8:$A$507,$A172,$B$8:$B$507,$B172)&gt;1,"Laporan ganda",IF(COUNTIFS(G172:O172,"Tidak Berlaku")&gt;0,"N/A hanya untuk kegiatan bersyarat",IF(SUM(AF172,AG172,AH172,AI172,AJ172)&lt;&gt;13,"Status kegiatan tidak valid",IF(AJ172&gt;0,"Lengkapi status kegiatan",IF(AND(AI172&gt;0,T172=""),"Isi alasan Tidak Berlaku",IF(AND(SUM(AG172,AH172)&gt;0,OR(T172="",U172="",V172="",W172="")),"Isi kendala dan tindak lanjut",IF(AND(Y172&lt;&gt;"Draft",Y172&lt;&gt;"Dikirim"),"Isi status laporan yang valid",IF(AND(AA172&lt;&gt;"",AA172&lt;&gt;"Belum Diperiksa",AA172&lt;&gt;"Disetujui",AA172&lt;&gt;"Perlu Perbaikan"),"Hasil review tidak valid",IF(AND(Y172="Dikirim",OR(X172="",Z172="")),"Isi bukti dan waktu kirim",IF(AND(AA172="Disetujui",OR(Y172&lt;&gt;"Dikirim",AB172="",AC172="")),"Lengkapi pemeriksaan",IF(AND(AA172="Perlu Perbaikan",OR(AD172="",AB172="",AC172="")),"Isi pemeriksa dan catatan perbaikan","OK")))))))))))))))),"")</f>
        <v/>
      </c>
    </row>
    <row r="173" spans="1:38" ht="24.95" customHeight="1">
      <c r="A173" s="8"/>
      <c r="B173" s="6"/>
      <c r="C173" s="15" t="str">
        <f>IF(COUNTIFS(Master_PIC!$A$8:$A$73,$B173)=1,IF(VLOOKUP($B173,Master_PIC!$A$8:$G$73,2,FALSE)="","",VLOOKUP($B173,Master_PIC!$A$8:$G$73,2,FALSE)),"")</f>
        <v/>
      </c>
      <c r="D173" s="15" t="str">
        <f>IF(COUNTIFS(Master_PIC!$A$8:$A$73,$B173)=1,IF(VLOOKUP($B173,Master_PIC!$A$8:$G$73,4,FALSE)="","",VLOOKUP($B173,Master_PIC!$A$8:$G$73,4,FALSE)),"")</f>
        <v/>
      </c>
      <c r="E173" s="15" t="str">
        <f>IF(COUNTIFS(Master_PIC!$A$8:$A$73,$B173)=1,IF(VLOOKUP($B173,Master_PIC!$A$8:$G$73,5,FALSE)="","",VLOOKUP($B173,Master_PIC!$A$8:$G$73,5,FALSE)),"")</f>
        <v/>
      </c>
      <c r="F173" s="15" t="str">
        <f>IF(COUNTIFS(Master_PIC!$A$8:$A$73,$B173)=1,IF(VLOOKUP($B173,Master_PIC!$A$8:$G$73,6,FALSE)="","",VLOOKUP($B173,Master_PIC!$A$8:$G$73,6,FALSE)),"")</f>
        <v/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9"/>
      <c r="AA173" s="5"/>
      <c r="AB173" s="5"/>
      <c r="AC173" s="9"/>
      <c r="AD173" s="5"/>
      <c r="AE173" s="7" t="str">
        <f t="shared" si="14"/>
        <v/>
      </c>
      <c r="AF173" s="7" t="str">
        <f t="shared" si="15"/>
        <v/>
      </c>
      <c r="AG173" s="7" t="str">
        <f t="shared" si="16"/>
        <v/>
      </c>
      <c r="AH173" s="7" t="str">
        <f t="shared" si="17"/>
        <v/>
      </c>
      <c r="AI173" s="7" t="str">
        <f t="shared" si="18"/>
        <v/>
      </c>
      <c r="AJ173" s="7" t="str">
        <f t="shared" si="19"/>
        <v/>
      </c>
      <c r="AK173" s="10" t="str">
        <f t="shared" si="20"/>
        <v/>
      </c>
      <c r="AL173" s="15" t="str">
        <f>IF(OR($A173&lt;&gt;"",$B173&lt;&gt;""),IF(OR($A173="",$B173=""),"Isi tanggal dan ID PIC",IF(NOT(ISNUMBER($A173)),"Tanggal harus berupa tanggal Excel",IF(COUNTIFS(Master_PIC!$A$8:$A$73,$B173)&lt;&gt;1,"ID PIC tidak unik/terdaftar",IF(VLOOKUP($B173,Master_PIC!$A$8:$G$73,3,FALSE)&lt;&gt;"ASM","Jabatan tidak sesuai sheet",IF(OR($C173="",$D173="",$E173="",$F173=""),"Lengkapi master PIC",IF(COUNTIFS($A$8:$A$507,$A173,$B$8:$B$507,$B173)&gt;1,"Laporan ganda",IF(COUNTIFS(G173:O173,"Tidak Berlaku")&gt;0,"N/A hanya untuk kegiatan bersyarat",IF(SUM(AF173,AG173,AH173,AI173,AJ173)&lt;&gt;13,"Status kegiatan tidak valid",IF(AJ173&gt;0,"Lengkapi status kegiatan",IF(AND(AI173&gt;0,T173=""),"Isi alasan Tidak Berlaku",IF(AND(SUM(AG173,AH173)&gt;0,OR(T173="",U173="",V173="",W173="")),"Isi kendala dan tindak lanjut",IF(AND(Y173&lt;&gt;"Draft",Y173&lt;&gt;"Dikirim"),"Isi status laporan yang valid",IF(AND(AA173&lt;&gt;"",AA173&lt;&gt;"Belum Diperiksa",AA173&lt;&gt;"Disetujui",AA173&lt;&gt;"Perlu Perbaikan"),"Hasil review tidak valid",IF(AND(Y173="Dikirim",OR(X173="",Z173="")),"Isi bukti dan waktu kirim",IF(AND(AA173="Disetujui",OR(Y173&lt;&gt;"Dikirim",AB173="",AC173="")),"Lengkapi pemeriksaan",IF(AND(AA173="Perlu Perbaikan",OR(AD173="",AB173="",AC173="")),"Isi pemeriksa dan catatan perbaikan","OK")))))))))))))))),"")</f>
        <v/>
      </c>
    </row>
    <row r="174" spans="1:38" ht="24.95" customHeight="1">
      <c r="A174" s="8"/>
      <c r="B174" s="6"/>
      <c r="C174" s="15" t="str">
        <f>IF(COUNTIFS(Master_PIC!$A$8:$A$73,$B174)=1,IF(VLOOKUP($B174,Master_PIC!$A$8:$G$73,2,FALSE)="","",VLOOKUP($B174,Master_PIC!$A$8:$G$73,2,FALSE)),"")</f>
        <v/>
      </c>
      <c r="D174" s="15" t="str">
        <f>IF(COUNTIFS(Master_PIC!$A$8:$A$73,$B174)=1,IF(VLOOKUP($B174,Master_PIC!$A$8:$G$73,4,FALSE)="","",VLOOKUP($B174,Master_PIC!$A$8:$G$73,4,FALSE)),"")</f>
        <v/>
      </c>
      <c r="E174" s="15" t="str">
        <f>IF(COUNTIFS(Master_PIC!$A$8:$A$73,$B174)=1,IF(VLOOKUP($B174,Master_PIC!$A$8:$G$73,5,FALSE)="","",VLOOKUP($B174,Master_PIC!$A$8:$G$73,5,FALSE)),"")</f>
        <v/>
      </c>
      <c r="F174" s="15" t="str">
        <f>IF(COUNTIFS(Master_PIC!$A$8:$A$73,$B174)=1,IF(VLOOKUP($B174,Master_PIC!$A$8:$G$73,6,FALSE)="","",VLOOKUP($B174,Master_PIC!$A$8:$G$73,6,FALSE)),"")</f>
        <v/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8"/>
      <c r="X174" s="5"/>
      <c r="Y174" s="5"/>
      <c r="Z174" s="9"/>
      <c r="AA174" s="5"/>
      <c r="AB174" s="5"/>
      <c r="AC174" s="9"/>
      <c r="AD174" s="5"/>
      <c r="AE174" s="7" t="str">
        <f t="shared" si="14"/>
        <v/>
      </c>
      <c r="AF174" s="7" t="str">
        <f t="shared" si="15"/>
        <v/>
      </c>
      <c r="AG174" s="7" t="str">
        <f t="shared" si="16"/>
        <v/>
      </c>
      <c r="AH174" s="7" t="str">
        <f t="shared" si="17"/>
        <v/>
      </c>
      <c r="AI174" s="7" t="str">
        <f t="shared" si="18"/>
        <v/>
      </c>
      <c r="AJ174" s="7" t="str">
        <f t="shared" si="19"/>
        <v/>
      </c>
      <c r="AK174" s="10" t="str">
        <f t="shared" si="20"/>
        <v/>
      </c>
      <c r="AL174" s="15" t="str">
        <f>IF(OR($A174&lt;&gt;"",$B174&lt;&gt;""),IF(OR($A174="",$B174=""),"Isi tanggal dan ID PIC",IF(NOT(ISNUMBER($A174)),"Tanggal harus berupa tanggal Excel",IF(COUNTIFS(Master_PIC!$A$8:$A$73,$B174)&lt;&gt;1,"ID PIC tidak unik/terdaftar",IF(VLOOKUP($B174,Master_PIC!$A$8:$G$73,3,FALSE)&lt;&gt;"ASM","Jabatan tidak sesuai sheet",IF(OR($C174="",$D174="",$E174="",$F174=""),"Lengkapi master PIC",IF(COUNTIFS($A$8:$A$507,$A174,$B$8:$B$507,$B174)&gt;1,"Laporan ganda",IF(COUNTIFS(G174:O174,"Tidak Berlaku")&gt;0,"N/A hanya untuk kegiatan bersyarat",IF(SUM(AF174,AG174,AH174,AI174,AJ174)&lt;&gt;13,"Status kegiatan tidak valid",IF(AJ174&gt;0,"Lengkapi status kegiatan",IF(AND(AI174&gt;0,T174=""),"Isi alasan Tidak Berlaku",IF(AND(SUM(AG174,AH174)&gt;0,OR(T174="",U174="",V174="",W174="")),"Isi kendala dan tindak lanjut",IF(AND(Y174&lt;&gt;"Draft",Y174&lt;&gt;"Dikirim"),"Isi status laporan yang valid",IF(AND(AA174&lt;&gt;"",AA174&lt;&gt;"Belum Diperiksa",AA174&lt;&gt;"Disetujui",AA174&lt;&gt;"Perlu Perbaikan"),"Hasil review tidak valid",IF(AND(Y174="Dikirim",OR(X174="",Z174="")),"Isi bukti dan waktu kirim",IF(AND(AA174="Disetujui",OR(Y174&lt;&gt;"Dikirim",AB174="",AC174="")),"Lengkapi pemeriksaan",IF(AND(AA174="Perlu Perbaikan",OR(AD174="",AB174="",AC174="")),"Isi pemeriksa dan catatan perbaikan","OK")))))))))))))))),"")</f>
        <v/>
      </c>
    </row>
    <row r="175" spans="1:38" ht="24.95" customHeight="1">
      <c r="A175" s="8"/>
      <c r="B175" s="6"/>
      <c r="C175" s="15" t="str">
        <f>IF(COUNTIFS(Master_PIC!$A$8:$A$73,$B175)=1,IF(VLOOKUP($B175,Master_PIC!$A$8:$G$73,2,FALSE)="","",VLOOKUP($B175,Master_PIC!$A$8:$G$73,2,FALSE)),"")</f>
        <v/>
      </c>
      <c r="D175" s="15" t="str">
        <f>IF(COUNTIFS(Master_PIC!$A$8:$A$73,$B175)=1,IF(VLOOKUP($B175,Master_PIC!$A$8:$G$73,4,FALSE)="","",VLOOKUP($B175,Master_PIC!$A$8:$G$73,4,FALSE)),"")</f>
        <v/>
      </c>
      <c r="E175" s="15" t="str">
        <f>IF(COUNTIFS(Master_PIC!$A$8:$A$73,$B175)=1,IF(VLOOKUP($B175,Master_PIC!$A$8:$G$73,5,FALSE)="","",VLOOKUP($B175,Master_PIC!$A$8:$G$73,5,FALSE)),"")</f>
        <v/>
      </c>
      <c r="F175" s="15" t="str">
        <f>IF(COUNTIFS(Master_PIC!$A$8:$A$73,$B175)=1,IF(VLOOKUP($B175,Master_PIC!$A$8:$G$73,6,FALSE)="","",VLOOKUP($B175,Master_PIC!$A$8:$G$73,6,FALSE)),"")</f>
        <v/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9"/>
      <c r="AA175" s="5"/>
      <c r="AB175" s="5"/>
      <c r="AC175" s="9"/>
      <c r="AD175" s="5"/>
      <c r="AE175" s="7" t="str">
        <f t="shared" si="14"/>
        <v/>
      </c>
      <c r="AF175" s="7" t="str">
        <f t="shared" si="15"/>
        <v/>
      </c>
      <c r="AG175" s="7" t="str">
        <f t="shared" si="16"/>
        <v/>
      </c>
      <c r="AH175" s="7" t="str">
        <f t="shared" si="17"/>
        <v/>
      </c>
      <c r="AI175" s="7" t="str">
        <f t="shared" si="18"/>
        <v/>
      </c>
      <c r="AJ175" s="7" t="str">
        <f t="shared" si="19"/>
        <v/>
      </c>
      <c r="AK175" s="10" t="str">
        <f t="shared" si="20"/>
        <v/>
      </c>
      <c r="AL175" s="15" t="str">
        <f>IF(OR($A175&lt;&gt;"",$B175&lt;&gt;""),IF(OR($A175="",$B175=""),"Isi tanggal dan ID PIC",IF(NOT(ISNUMBER($A175)),"Tanggal harus berupa tanggal Excel",IF(COUNTIFS(Master_PIC!$A$8:$A$73,$B175)&lt;&gt;1,"ID PIC tidak unik/terdaftar",IF(VLOOKUP($B175,Master_PIC!$A$8:$G$73,3,FALSE)&lt;&gt;"ASM","Jabatan tidak sesuai sheet",IF(OR($C175="",$D175="",$E175="",$F175=""),"Lengkapi master PIC",IF(COUNTIFS($A$8:$A$507,$A175,$B$8:$B$507,$B175)&gt;1,"Laporan ganda",IF(COUNTIFS(G175:O175,"Tidak Berlaku")&gt;0,"N/A hanya untuk kegiatan bersyarat",IF(SUM(AF175,AG175,AH175,AI175,AJ175)&lt;&gt;13,"Status kegiatan tidak valid",IF(AJ175&gt;0,"Lengkapi status kegiatan",IF(AND(AI175&gt;0,T175=""),"Isi alasan Tidak Berlaku",IF(AND(SUM(AG175,AH175)&gt;0,OR(T175="",U175="",V175="",W175="")),"Isi kendala dan tindak lanjut",IF(AND(Y175&lt;&gt;"Draft",Y175&lt;&gt;"Dikirim"),"Isi status laporan yang valid",IF(AND(AA175&lt;&gt;"",AA175&lt;&gt;"Belum Diperiksa",AA175&lt;&gt;"Disetujui",AA175&lt;&gt;"Perlu Perbaikan"),"Hasil review tidak valid",IF(AND(Y175="Dikirim",OR(X175="",Z175="")),"Isi bukti dan waktu kirim",IF(AND(AA175="Disetujui",OR(Y175&lt;&gt;"Dikirim",AB175="",AC175="")),"Lengkapi pemeriksaan",IF(AND(AA175="Perlu Perbaikan",OR(AD175="",AB175="",AC175="")),"Isi pemeriksa dan catatan perbaikan","OK")))))))))))))))),"")</f>
        <v/>
      </c>
    </row>
    <row r="176" spans="1:38" ht="24.95" customHeight="1">
      <c r="A176" s="8"/>
      <c r="B176" s="6"/>
      <c r="C176" s="15" t="str">
        <f>IF(COUNTIFS(Master_PIC!$A$8:$A$73,$B176)=1,IF(VLOOKUP($B176,Master_PIC!$A$8:$G$73,2,FALSE)="","",VLOOKUP($B176,Master_PIC!$A$8:$G$73,2,FALSE)),"")</f>
        <v/>
      </c>
      <c r="D176" s="15" t="str">
        <f>IF(COUNTIFS(Master_PIC!$A$8:$A$73,$B176)=1,IF(VLOOKUP($B176,Master_PIC!$A$8:$G$73,4,FALSE)="","",VLOOKUP($B176,Master_PIC!$A$8:$G$73,4,FALSE)),"")</f>
        <v/>
      </c>
      <c r="E176" s="15" t="str">
        <f>IF(COUNTIFS(Master_PIC!$A$8:$A$73,$B176)=1,IF(VLOOKUP($B176,Master_PIC!$A$8:$G$73,5,FALSE)="","",VLOOKUP($B176,Master_PIC!$A$8:$G$73,5,FALSE)),"")</f>
        <v/>
      </c>
      <c r="F176" s="15" t="str">
        <f>IF(COUNTIFS(Master_PIC!$A$8:$A$73,$B176)=1,IF(VLOOKUP($B176,Master_PIC!$A$8:$G$73,6,FALSE)="","",VLOOKUP($B176,Master_PIC!$A$8:$G$73,6,FALSE)),"")</f>
        <v/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8"/>
      <c r="X176" s="5"/>
      <c r="Y176" s="5"/>
      <c r="Z176" s="9"/>
      <c r="AA176" s="5"/>
      <c r="AB176" s="5"/>
      <c r="AC176" s="9"/>
      <c r="AD176" s="5"/>
      <c r="AE176" s="7" t="str">
        <f t="shared" si="14"/>
        <v/>
      </c>
      <c r="AF176" s="7" t="str">
        <f t="shared" si="15"/>
        <v/>
      </c>
      <c r="AG176" s="7" t="str">
        <f t="shared" si="16"/>
        <v/>
      </c>
      <c r="AH176" s="7" t="str">
        <f t="shared" si="17"/>
        <v/>
      </c>
      <c r="AI176" s="7" t="str">
        <f t="shared" si="18"/>
        <v/>
      </c>
      <c r="AJ176" s="7" t="str">
        <f t="shared" si="19"/>
        <v/>
      </c>
      <c r="AK176" s="10" t="str">
        <f t="shared" si="20"/>
        <v/>
      </c>
      <c r="AL176" s="15" t="str">
        <f>IF(OR($A176&lt;&gt;"",$B176&lt;&gt;""),IF(OR($A176="",$B176=""),"Isi tanggal dan ID PIC",IF(NOT(ISNUMBER($A176)),"Tanggal harus berupa tanggal Excel",IF(COUNTIFS(Master_PIC!$A$8:$A$73,$B176)&lt;&gt;1,"ID PIC tidak unik/terdaftar",IF(VLOOKUP($B176,Master_PIC!$A$8:$G$73,3,FALSE)&lt;&gt;"ASM","Jabatan tidak sesuai sheet",IF(OR($C176="",$D176="",$E176="",$F176=""),"Lengkapi master PIC",IF(COUNTIFS($A$8:$A$507,$A176,$B$8:$B$507,$B176)&gt;1,"Laporan ganda",IF(COUNTIFS(G176:O176,"Tidak Berlaku")&gt;0,"N/A hanya untuk kegiatan bersyarat",IF(SUM(AF176,AG176,AH176,AI176,AJ176)&lt;&gt;13,"Status kegiatan tidak valid",IF(AJ176&gt;0,"Lengkapi status kegiatan",IF(AND(AI176&gt;0,T176=""),"Isi alasan Tidak Berlaku",IF(AND(SUM(AG176,AH176)&gt;0,OR(T176="",U176="",V176="",W176="")),"Isi kendala dan tindak lanjut",IF(AND(Y176&lt;&gt;"Draft",Y176&lt;&gt;"Dikirim"),"Isi status laporan yang valid",IF(AND(AA176&lt;&gt;"",AA176&lt;&gt;"Belum Diperiksa",AA176&lt;&gt;"Disetujui",AA176&lt;&gt;"Perlu Perbaikan"),"Hasil review tidak valid",IF(AND(Y176="Dikirim",OR(X176="",Z176="")),"Isi bukti dan waktu kirim",IF(AND(AA176="Disetujui",OR(Y176&lt;&gt;"Dikirim",AB176="",AC176="")),"Lengkapi pemeriksaan",IF(AND(AA176="Perlu Perbaikan",OR(AD176="",AB176="",AC176="")),"Isi pemeriksa dan catatan perbaikan","OK")))))))))))))))),"")</f>
        <v/>
      </c>
    </row>
    <row r="177" spans="1:38" ht="24.95" customHeight="1">
      <c r="A177" s="8"/>
      <c r="B177" s="6"/>
      <c r="C177" s="15" t="str">
        <f>IF(COUNTIFS(Master_PIC!$A$8:$A$73,$B177)=1,IF(VLOOKUP($B177,Master_PIC!$A$8:$G$73,2,FALSE)="","",VLOOKUP($B177,Master_PIC!$A$8:$G$73,2,FALSE)),"")</f>
        <v/>
      </c>
      <c r="D177" s="15" t="str">
        <f>IF(COUNTIFS(Master_PIC!$A$8:$A$73,$B177)=1,IF(VLOOKUP($B177,Master_PIC!$A$8:$G$73,4,FALSE)="","",VLOOKUP($B177,Master_PIC!$A$8:$G$73,4,FALSE)),"")</f>
        <v/>
      </c>
      <c r="E177" s="15" t="str">
        <f>IF(COUNTIFS(Master_PIC!$A$8:$A$73,$B177)=1,IF(VLOOKUP($B177,Master_PIC!$A$8:$G$73,5,FALSE)="","",VLOOKUP($B177,Master_PIC!$A$8:$G$73,5,FALSE)),"")</f>
        <v/>
      </c>
      <c r="F177" s="15" t="str">
        <f>IF(COUNTIFS(Master_PIC!$A$8:$A$73,$B177)=1,IF(VLOOKUP($B177,Master_PIC!$A$8:$G$73,6,FALSE)="","",VLOOKUP($B177,Master_PIC!$A$8:$G$73,6,FALSE)),"")</f>
        <v/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8"/>
      <c r="X177" s="5"/>
      <c r="Y177" s="5"/>
      <c r="Z177" s="9"/>
      <c r="AA177" s="5"/>
      <c r="AB177" s="5"/>
      <c r="AC177" s="9"/>
      <c r="AD177" s="5"/>
      <c r="AE177" s="7" t="str">
        <f t="shared" si="14"/>
        <v/>
      </c>
      <c r="AF177" s="7" t="str">
        <f t="shared" si="15"/>
        <v/>
      </c>
      <c r="AG177" s="7" t="str">
        <f t="shared" si="16"/>
        <v/>
      </c>
      <c r="AH177" s="7" t="str">
        <f t="shared" si="17"/>
        <v/>
      </c>
      <c r="AI177" s="7" t="str">
        <f t="shared" si="18"/>
        <v/>
      </c>
      <c r="AJ177" s="7" t="str">
        <f t="shared" si="19"/>
        <v/>
      </c>
      <c r="AK177" s="10" t="str">
        <f t="shared" si="20"/>
        <v/>
      </c>
      <c r="AL177" s="15" t="str">
        <f>IF(OR($A177&lt;&gt;"",$B177&lt;&gt;""),IF(OR($A177="",$B177=""),"Isi tanggal dan ID PIC",IF(NOT(ISNUMBER($A177)),"Tanggal harus berupa tanggal Excel",IF(COUNTIFS(Master_PIC!$A$8:$A$73,$B177)&lt;&gt;1,"ID PIC tidak unik/terdaftar",IF(VLOOKUP($B177,Master_PIC!$A$8:$G$73,3,FALSE)&lt;&gt;"ASM","Jabatan tidak sesuai sheet",IF(OR($C177="",$D177="",$E177="",$F177=""),"Lengkapi master PIC",IF(COUNTIFS($A$8:$A$507,$A177,$B$8:$B$507,$B177)&gt;1,"Laporan ganda",IF(COUNTIFS(G177:O177,"Tidak Berlaku")&gt;0,"N/A hanya untuk kegiatan bersyarat",IF(SUM(AF177,AG177,AH177,AI177,AJ177)&lt;&gt;13,"Status kegiatan tidak valid",IF(AJ177&gt;0,"Lengkapi status kegiatan",IF(AND(AI177&gt;0,T177=""),"Isi alasan Tidak Berlaku",IF(AND(SUM(AG177,AH177)&gt;0,OR(T177="",U177="",V177="",W177="")),"Isi kendala dan tindak lanjut",IF(AND(Y177&lt;&gt;"Draft",Y177&lt;&gt;"Dikirim"),"Isi status laporan yang valid",IF(AND(AA177&lt;&gt;"",AA177&lt;&gt;"Belum Diperiksa",AA177&lt;&gt;"Disetujui",AA177&lt;&gt;"Perlu Perbaikan"),"Hasil review tidak valid",IF(AND(Y177="Dikirim",OR(X177="",Z177="")),"Isi bukti dan waktu kirim",IF(AND(AA177="Disetujui",OR(Y177&lt;&gt;"Dikirim",AB177="",AC177="")),"Lengkapi pemeriksaan",IF(AND(AA177="Perlu Perbaikan",OR(AD177="",AB177="",AC177="")),"Isi pemeriksa dan catatan perbaikan","OK")))))))))))))))),"")</f>
        <v/>
      </c>
    </row>
    <row r="178" spans="1:38" ht="24.95" customHeight="1">
      <c r="A178" s="8"/>
      <c r="B178" s="6"/>
      <c r="C178" s="15" t="str">
        <f>IF(COUNTIFS(Master_PIC!$A$8:$A$73,$B178)=1,IF(VLOOKUP($B178,Master_PIC!$A$8:$G$73,2,FALSE)="","",VLOOKUP($B178,Master_PIC!$A$8:$G$73,2,FALSE)),"")</f>
        <v/>
      </c>
      <c r="D178" s="15" t="str">
        <f>IF(COUNTIFS(Master_PIC!$A$8:$A$73,$B178)=1,IF(VLOOKUP($B178,Master_PIC!$A$8:$G$73,4,FALSE)="","",VLOOKUP($B178,Master_PIC!$A$8:$G$73,4,FALSE)),"")</f>
        <v/>
      </c>
      <c r="E178" s="15" t="str">
        <f>IF(COUNTIFS(Master_PIC!$A$8:$A$73,$B178)=1,IF(VLOOKUP($B178,Master_PIC!$A$8:$G$73,5,FALSE)="","",VLOOKUP($B178,Master_PIC!$A$8:$G$73,5,FALSE)),"")</f>
        <v/>
      </c>
      <c r="F178" s="15" t="str">
        <f>IF(COUNTIFS(Master_PIC!$A$8:$A$73,$B178)=1,IF(VLOOKUP($B178,Master_PIC!$A$8:$G$73,6,FALSE)="","",VLOOKUP($B178,Master_PIC!$A$8:$G$73,6,FALSE)),"")</f>
        <v/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8"/>
      <c r="X178" s="5"/>
      <c r="Y178" s="5"/>
      <c r="Z178" s="9"/>
      <c r="AA178" s="5"/>
      <c r="AB178" s="5"/>
      <c r="AC178" s="9"/>
      <c r="AD178" s="5"/>
      <c r="AE178" s="7" t="str">
        <f t="shared" si="14"/>
        <v/>
      </c>
      <c r="AF178" s="7" t="str">
        <f t="shared" si="15"/>
        <v/>
      </c>
      <c r="AG178" s="7" t="str">
        <f t="shared" si="16"/>
        <v/>
      </c>
      <c r="AH178" s="7" t="str">
        <f t="shared" si="17"/>
        <v/>
      </c>
      <c r="AI178" s="7" t="str">
        <f t="shared" si="18"/>
        <v/>
      </c>
      <c r="AJ178" s="7" t="str">
        <f t="shared" si="19"/>
        <v/>
      </c>
      <c r="AK178" s="10" t="str">
        <f t="shared" si="20"/>
        <v/>
      </c>
      <c r="AL178" s="15" t="str">
        <f>IF(OR($A178&lt;&gt;"",$B178&lt;&gt;""),IF(OR($A178="",$B178=""),"Isi tanggal dan ID PIC",IF(NOT(ISNUMBER($A178)),"Tanggal harus berupa tanggal Excel",IF(COUNTIFS(Master_PIC!$A$8:$A$73,$B178)&lt;&gt;1,"ID PIC tidak unik/terdaftar",IF(VLOOKUP($B178,Master_PIC!$A$8:$G$73,3,FALSE)&lt;&gt;"ASM","Jabatan tidak sesuai sheet",IF(OR($C178="",$D178="",$E178="",$F178=""),"Lengkapi master PIC",IF(COUNTIFS($A$8:$A$507,$A178,$B$8:$B$507,$B178)&gt;1,"Laporan ganda",IF(COUNTIFS(G178:O178,"Tidak Berlaku")&gt;0,"N/A hanya untuk kegiatan bersyarat",IF(SUM(AF178,AG178,AH178,AI178,AJ178)&lt;&gt;13,"Status kegiatan tidak valid",IF(AJ178&gt;0,"Lengkapi status kegiatan",IF(AND(AI178&gt;0,T178=""),"Isi alasan Tidak Berlaku",IF(AND(SUM(AG178,AH178)&gt;0,OR(T178="",U178="",V178="",W178="")),"Isi kendala dan tindak lanjut",IF(AND(Y178&lt;&gt;"Draft",Y178&lt;&gt;"Dikirim"),"Isi status laporan yang valid",IF(AND(AA178&lt;&gt;"",AA178&lt;&gt;"Belum Diperiksa",AA178&lt;&gt;"Disetujui",AA178&lt;&gt;"Perlu Perbaikan"),"Hasil review tidak valid",IF(AND(Y178="Dikirim",OR(X178="",Z178="")),"Isi bukti dan waktu kirim",IF(AND(AA178="Disetujui",OR(Y178&lt;&gt;"Dikirim",AB178="",AC178="")),"Lengkapi pemeriksaan",IF(AND(AA178="Perlu Perbaikan",OR(AD178="",AB178="",AC178="")),"Isi pemeriksa dan catatan perbaikan","OK")))))))))))))))),"")</f>
        <v/>
      </c>
    </row>
    <row r="179" spans="1:38" ht="24.95" customHeight="1">
      <c r="A179" s="8"/>
      <c r="B179" s="6"/>
      <c r="C179" s="15" t="str">
        <f>IF(COUNTIFS(Master_PIC!$A$8:$A$73,$B179)=1,IF(VLOOKUP($B179,Master_PIC!$A$8:$G$73,2,FALSE)="","",VLOOKUP($B179,Master_PIC!$A$8:$G$73,2,FALSE)),"")</f>
        <v/>
      </c>
      <c r="D179" s="15" t="str">
        <f>IF(COUNTIFS(Master_PIC!$A$8:$A$73,$B179)=1,IF(VLOOKUP($B179,Master_PIC!$A$8:$G$73,4,FALSE)="","",VLOOKUP($B179,Master_PIC!$A$8:$G$73,4,FALSE)),"")</f>
        <v/>
      </c>
      <c r="E179" s="15" t="str">
        <f>IF(COUNTIFS(Master_PIC!$A$8:$A$73,$B179)=1,IF(VLOOKUP($B179,Master_PIC!$A$8:$G$73,5,FALSE)="","",VLOOKUP($B179,Master_PIC!$A$8:$G$73,5,FALSE)),"")</f>
        <v/>
      </c>
      <c r="F179" s="15" t="str">
        <f>IF(COUNTIFS(Master_PIC!$A$8:$A$73,$B179)=1,IF(VLOOKUP($B179,Master_PIC!$A$8:$G$73,6,FALSE)="","",VLOOKUP($B179,Master_PIC!$A$8:$G$73,6,FALSE)),"")</f>
        <v/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8"/>
      <c r="X179" s="5"/>
      <c r="Y179" s="5"/>
      <c r="Z179" s="9"/>
      <c r="AA179" s="5"/>
      <c r="AB179" s="5"/>
      <c r="AC179" s="9"/>
      <c r="AD179" s="5"/>
      <c r="AE179" s="7" t="str">
        <f t="shared" si="14"/>
        <v/>
      </c>
      <c r="AF179" s="7" t="str">
        <f t="shared" si="15"/>
        <v/>
      </c>
      <c r="AG179" s="7" t="str">
        <f t="shared" si="16"/>
        <v/>
      </c>
      <c r="AH179" s="7" t="str">
        <f t="shared" si="17"/>
        <v/>
      </c>
      <c r="AI179" s="7" t="str">
        <f t="shared" si="18"/>
        <v/>
      </c>
      <c r="AJ179" s="7" t="str">
        <f t="shared" si="19"/>
        <v/>
      </c>
      <c r="AK179" s="10" t="str">
        <f t="shared" si="20"/>
        <v/>
      </c>
      <c r="AL179" s="15" t="str">
        <f>IF(OR($A179&lt;&gt;"",$B179&lt;&gt;""),IF(OR($A179="",$B179=""),"Isi tanggal dan ID PIC",IF(NOT(ISNUMBER($A179)),"Tanggal harus berupa tanggal Excel",IF(COUNTIFS(Master_PIC!$A$8:$A$73,$B179)&lt;&gt;1,"ID PIC tidak unik/terdaftar",IF(VLOOKUP($B179,Master_PIC!$A$8:$G$73,3,FALSE)&lt;&gt;"ASM","Jabatan tidak sesuai sheet",IF(OR($C179="",$D179="",$E179="",$F179=""),"Lengkapi master PIC",IF(COUNTIFS($A$8:$A$507,$A179,$B$8:$B$507,$B179)&gt;1,"Laporan ganda",IF(COUNTIFS(G179:O179,"Tidak Berlaku")&gt;0,"N/A hanya untuk kegiatan bersyarat",IF(SUM(AF179,AG179,AH179,AI179,AJ179)&lt;&gt;13,"Status kegiatan tidak valid",IF(AJ179&gt;0,"Lengkapi status kegiatan",IF(AND(AI179&gt;0,T179=""),"Isi alasan Tidak Berlaku",IF(AND(SUM(AG179,AH179)&gt;0,OR(T179="",U179="",V179="",W179="")),"Isi kendala dan tindak lanjut",IF(AND(Y179&lt;&gt;"Draft",Y179&lt;&gt;"Dikirim"),"Isi status laporan yang valid",IF(AND(AA179&lt;&gt;"",AA179&lt;&gt;"Belum Diperiksa",AA179&lt;&gt;"Disetujui",AA179&lt;&gt;"Perlu Perbaikan"),"Hasil review tidak valid",IF(AND(Y179="Dikirim",OR(X179="",Z179="")),"Isi bukti dan waktu kirim",IF(AND(AA179="Disetujui",OR(Y179&lt;&gt;"Dikirim",AB179="",AC179="")),"Lengkapi pemeriksaan",IF(AND(AA179="Perlu Perbaikan",OR(AD179="",AB179="",AC179="")),"Isi pemeriksa dan catatan perbaikan","OK")))))))))))))))),"")</f>
        <v/>
      </c>
    </row>
    <row r="180" spans="1:38" ht="24.95" customHeight="1">
      <c r="A180" s="8"/>
      <c r="B180" s="6"/>
      <c r="C180" s="15" t="str">
        <f>IF(COUNTIFS(Master_PIC!$A$8:$A$73,$B180)=1,IF(VLOOKUP($B180,Master_PIC!$A$8:$G$73,2,FALSE)="","",VLOOKUP($B180,Master_PIC!$A$8:$G$73,2,FALSE)),"")</f>
        <v/>
      </c>
      <c r="D180" s="15" t="str">
        <f>IF(COUNTIFS(Master_PIC!$A$8:$A$73,$B180)=1,IF(VLOOKUP($B180,Master_PIC!$A$8:$G$73,4,FALSE)="","",VLOOKUP($B180,Master_PIC!$A$8:$G$73,4,FALSE)),"")</f>
        <v/>
      </c>
      <c r="E180" s="15" t="str">
        <f>IF(COUNTIFS(Master_PIC!$A$8:$A$73,$B180)=1,IF(VLOOKUP($B180,Master_PIC!$A$8:$G$73,5,FALSE)="","",VLOOKUP($B180,Master_PIC!$A$8:$G$73,5,FALSE)),"")</f>
        <v/>
      </c>
      <c r="F180" s="15" t="str">
        <f>IF(COUNTIFS(Master_PIC!$A$8:$A$73,$B180)=1,IF(VLOOKUP($B180,Master_PIC!$A$8:$G$73,6,FALSE)="","",VLOOKUP($B180,Master_PIC!$A$8:$G$73,6,FALSE)),"")</f>
        <v/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8"/>
      <c r="X180" s="5"/>
      <c r="Y180" s="5"/>
      <c r="Z180" s="9"/>
      <c r="AA180" s="5"/>
      <c r="AB180" s="5"/>
      <c r="AC180" s="9"/>
      <c r="AD180" s="5"/>
      <c r="AE180" s="7" t="str">
        <f t="shared" si="14"/>
        <v/>
      </c>
      <c r="AF180" s="7" t="str">
        <f t="shared" si="15"/>
        <v/>
      </c>
      <c r="AG180" s="7" t="str">
        <f t="shared" si="16"/>
        <v/>
      </c>
      <c r="AH180" s="7" t="str">
        <f t="shared" si="17"/>
        <v/>
      </c>
      <c r="AI180" s="7" t="str">
        <f t="shared" si="18"/>
        <v/>
      </c>
      <c r="AJ180" s="7" t="str">
        <f t="shared" si="19"/>
        <v/>
      </c>
      <c r="AK180" s="10" t="str">
        <f t="shared" si="20"/>
        <v/>
      </c>
      <c r="AL180" s="15" t="str">
        <f>IF(OR($A180&lt;&gt;"",$B180&lt;&gt;""),IF(OR($A180="",$B180=""),"Isi tanggal dan ID PIC",IF(NOT(ISNUMBER($A180)),"Tanggal harus berupa tanggal Excel",IF(COUNTIFS(Master_PIC!$A$8:$A$73,$B180)&lt;&gt;1,"ID PIC tidak unik/terdaftar",IF(VLOOKUP($B180,Master_PIC!$A$8:$G$73,3,FALSE)&lt;&gt;"ASM","Jabatan tidak sesuai sheet",IF(OR($C180="",$D180="",$E180="",$F180=""),"Lengkapi master PIC",IF(COUNTIFS($A$8:$A$507,$A180,$B$8:$B$507,$B180)&gt;1,"Laporan ganda",IF(COUNTIFS(G180:O180,"Tidak Berlaku")&gt;0,"N/A hanya untuk kegiatan bersyarat",IF(SUM(AF180,AG180,AH180,AI180,AJ180)&lt;&gt;13,"Status kegiatan tidak valid",IF(AJ180&gt;0,"Lengkapi status kegiatan",IF(AND(AI180&gt;0,T180=""),"Isi alasan Tidak Berlaku",IF(AND(SUM(AG180,AH180)&gt;0,OR(T180="",U180="",V180="",W180="")),"Isi kendala dan tindak lanjut",IF(AND(Y180&lt;&gt;"Draft",Y180&lt;&gt;"Dikirim"),"Isi status laporan yang valid",IF(AND(AA180&lt;&gt;"",AA180&lt;&gt;"Belum Diperiksa",AA180&lt;&gt;"Disetujui",AA180&lt;&gt;"Perlu Perbaikan"),"Hasil review tidak valid",IF(AND(Y180="Dikirim",OR(X180="",Z180="")),"Isi bukti dan waktu kirim",IF(AND(AA180="Disetujui",OR(Y180&lt;&gt;"Dikirim",AB180="",AC180="")),"Lengkapi pemeriksaan",IF(AND(AA180="Perlu Perbaikan",OR(AD180="",AB180="",AC180="")),"Isi pemeriksa dan catatan perbaikan","OK")))))))))))))))),"")</f>
        <v/>
      </c>
    </row>
    <row r="181" spans="1:38" ht="24.95" customHeight="1">
      <c r="A181" s="8"/>
      <c r="B181" s="6"/>
      <c r="C181" s="15" t="str">
        <f>IF(COUNTIFS(Master_PIC!$A$8:$A$73,$B181)=1,IF(VLOOKUP($B181,Master_PIC!$A$8:$G$73,2,FALSE)="","",VLOOKUP($B181,Master_PIC!$A$8:$G$73,2,FALSE)),"")</f>
        <v/>
      </c>
      <c r="D181" s="15" t="str">
        <f>IF(COUNTIFS(Master_PIC!$A$8:$A$73,$B181)=1,IF(VLOOKUP($B181,Master_PIC!$A$8:$G$73,4,FALSE)="","",VLOOKUP($B181,Master_PIC!$A$8:$G$73,4,FALSE)),"")</f>
        <v/>
      </c>
      <c r="E181" s="15" t="str">
        <f>IF(COUNTIFS(Master_PIC!$A$8:$A$73,$B181)=1,IF(VLOOKUP($B181,Master_PIC!$A$8:$G$73,5,FALSE)="","",VLOOKUP($B181,Master_PIC!$A$8:$G$73,5,FALSE)),"")</f>
        <v/>
      </c>
      <c r="F181" s="15" t="str">
        <f>IF(COUNTIFS(Master_PIC!$A$8:$A$73,$B181)=1,IF(VLOOKUP($B181,Master_PIC!$A$8:$G$73,6,FALSE)="","",VLOOKUP($B181,Master_PIC!$A$8:$G$73,6,FALSE)),"")</f>
        <v/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9"/>
      <c r="AA181" s="5"/>
      <c r="AB181" s="5"/>
      <c r="AC181" s="9"/>
      <c r="AD181" s="5"/>
      <c r="AE181" s="7" t="str">
        <f t="shared" si="14"/>
        <v/>
      </c>
      <c r="AF181" s="7" t="str">
        <f t="shared" si="15"/>
        <v/>
      </c>
      <c r="AG181" s="7" t="str">
        <f t="shared" si="16"/>
        <v/>
      </c>
      <c r="AH181" s="7" t="str">
        <f t="shared" si="17"/>
        <v/>
      </c>
      <c r="AI181" s="7" t="str">
        <f t="shared" si="18"/>
        <v/>
      </c>
      <c r="AJ181" s="7" t="str">
        <f t="shared" si="19"/>
        <v/>
      </c>
      <c r="AK181" s="10" t="str">
        <f t="shared" si="20"/>
        <v/>
      </c>
      <c r="AL181" s="15" t="str">
        <f>IF(OR($A181&lt;&gt;"",$B181&lt;&gt;""),IF(OR($A181="",$B181=""),"Isi tanggal dan ID PIC",IF(NOT(ISNUMBER($A181)),"Tanggal harus berupa tanggal Excel",IF(COUNTIFS(Master_PIC!$A$8:$A$73,$B181)&lt;&gt;1,"ID PIC tidak unik/terdaftar",IF(VLOOKUP($B181,Master_PIC!$A$8:$G$73,3,FALSE)&lt;&gt;"ASM","Jabatan tidak sesuai sheet",IF(OR($C181="",$D181="",$E181="",$F181=""),"Lengkapi master PIC",IF(COUNTIFS($A$8:$A$507,$A181,$B$8:$B$507,$B181)&gt;1,"Laporan ganda",IF(COUNTIFS(G181:O181,"Tidak Berlaku")&gt;0,"N/A hanya untuk kegiatan bersyarat",IF(SUM(AF181,AG181,AH181,AI181,AJ181)&lt;&gt;13,"Status kegiatan tidak valid",IF(AJ181&gt;0,"Lengkapi status kegiatan",IF(AND(AI181&gt;0,T181=""),"Isi alasan Tidak Berlaku",IF(AND(SUM(AG181,AH181)&gt;0,OR(T181="",U181="",V181="",W181="")),"Isi kendala dan tindak lanjut",IF(AND(Y181&lt;&gt;"Draft",Y181&lt;&gt;"Dikirim"),"Isi status laporan yang valid",IF(AND(AA181&lt;&gt;"",AA181&lt;&gt;"Belum Diperiksa",AA181&lt;&gt;"Disetujui",AA181&lt;&gt;"Perlu Perbaikan"),"Hasil review tidak valid",IF(AND(Y181="Dikirim",OR(X181="",Z181="")),"Isi bukti dan waktu kirim",IF(AND(AA181="Disetujui",OR(Y181&lt;&gt;"Dikirim",AB181="",AC181="")),"Lengkapi pemeriksaan",IF(AND(AA181="Perlu Perbaikan",OR(AD181="",AB181="",AC181="")),"Isi pemeriksa dan catatan perbaikan","OK")))))))))))))))),"")</f>
        <v/>
      </c>
    </row>
    <row r="182" spans="1:38" ht="24.95" customHeight="1">
      <c r="A182" s="8"/>
      <c r="B182" s="6"/>
      <c r="C182" s="15" t="str">
        <f>IF(COUNTIFS(Master_PIC!$A$8:$A$73,$B182)=1,IF(VLOOKUP($B182,Master_PIC!$A$8:$G$73,2,FALSE)="","",VLOOKUP($B182,Master_PIC!$A$8:$G$73,2,FALSE)),"")</f>
        <v/>
      </c>
      <c r="D182" s="15" t="str">
        <f>IF(COUNTIFS(Master_PIC!$A$8:$A$73,$B182)=1,IF(VLOOKUP($B182,Master_PIC!$A$8:$G$73,4,FALSE)="","",VLOOKUP($B182,Master_PIC!$A$8:$G$73,4,FALSE)),"")</f>
        <v/>
      </c>
      <c r="E182" s="15" t="str">
        <f>IF(COUNTIFS(Master_PIC!$A$8:$A$73,$B182)=1,IF(VLOOKUP($B182,Master_PIC!$A$8:$G$73,5,FALSE)="","",VLOOKUP($B182,Master_PIC!$A$8:$G$73,5,FALSE)),"")</f>
        <v/>
      </c>
      <c r="F182" s="15" t="str">
        <f>IF(COUNTIFS(Master_PIC!$A$8:$A$73,$B182)=1,IF(VLOOKUP($B182,Master_PIC!$A$8:$G$73,6,FALSE)="","",VLOOKUP($B182,Master_PIC!$A$8:$G$73,6,FALSE)),"")</f>
        <v/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8"/>
      <c r="X182" s="5"/>
      <c r="Y182" s="5"/>
      <c r="Z182" s="9"/>
      <c r="AA182" s="5"/>
      <c r="AB182" s="5"/>
      <c r="AC182" s="9"/>
      <c r="AD182" s="5"/>
      <c r="AE182" s="7" t="str">
        <f t="shared" si="14"/>
        <v/>
      </c>
      <c r="AF182" s="7" t="str">
        <f t="shared" si="15"/>
        <v/>
      </c>
      <c r="AG182" s="7" t="str">
        <f t="shared" si="16"/>
        <v/>
      </c>
      <c r="AH182" s="7" t="str">
        <f t="shared" si="17"/>
        <v/>
      </c>
      <c r="AI182" s="7" t="str">
        <f t="shared" si="18"/>
        <v/>
      </c>
      <c r="AJ182" s="7" t="str">
        <f t="shared" si="19"/>
        <v/>
      </c>
      <c r="AK182" s="10" t="str">
        <f t="shared" si="20"/>
        <v/>
      </c>
      <c r="AL182" s="15" t="str">
        <f>IF(OR($A182&lt;&gt;"",$B182&lt;&gt;""),IF(OR($A182="",$B182=""),"Isi tanggal dan ID PIC",IF(NOT(ISNUMBER($A182)),"Tanggal harus berupa tanggal Excel",IF(COUNTIFS(Master_PIC!$A$8:$A$73,$B182)&lt;&gt;1,"ID PIC tidak unik/terdaftar",IF(VLOOKUP($B182,Master_PIC!$A$8:$G$73,3,FALSE)&lt;&gt;"ASM","Jabatan tidak sesuai sheet",IF(OR($C182="",$D182="",$E182="",$F182=""),"Lengkapi master PIC",IF(COUNTIFS($A$8:$A$507,$A182,$B$8:$B$507,$B182)&gt;1,"Laporan ganda",IF(COUNTIFS(G182:O182,"Tidak Berlaku")&gt;0,"N/A hanya untuk kegiatan bersyarat",IF(SUM(AF182,AG182,AH182,AI182,AJ182)&lt;&gt;13,"Status kegiatan tidak valid",IF(AJ182&gt;0,"Lengkapi status kegiatan",IF(AND(AI182&gt;0,T182=""),"Isi alasan Tidak Berlaku",IF(AND(SUM(AG182,AH182)&gt;0,OR(T182="",U182="",V182="",W182="")),"Isi kendala dan tindak lanjut",IF(AND(Y182&lt;&gt;"Draft",Y182&lt;&gt;"Dikirim"),"Isi status laporan yang valid",IF(AND(AA182&lt;&gt;"",AA182&lt;&gt;"Belum Diperiksa",AA182&lt;&gt;"Disetujui",AA182&lt;&gt;"Perlu Perbaikan"),"Hasil review tidak valid",IF(AND(Y182="Dikirim",OR(X182="",Z182="")),"Isi bukti dan waktu kirim",IF(AND(AA182="Disetujui",OR(Y182&lt;&gt;"Dikirim",AB182="",AC182="")),"Lengkapi pemeriksaan",IF(AND(AA182="Perlu Perbaikan",OR(AD182="",AB182="",AC182="")),"Isi pemeriksa dan catatan perbaikan","OK")))))))))))))))),"")</f>
        <v/>
      </c>
    </row>
    <row r="183" spans="1:38" ht="24.95" customHeight="1">
      <c r="A183" s="8"/>
      <c r="B183" s="6"/>
      <c r="C183" s="15" t="str">
        <f>IF(COUNTIFS(Master_PIC!$A$8:$A$73,$B183)=1,IF(VLOOKUP($B183,Master_PIC!$A$8:$G$73,2,FALSE)="","",VLOOKUP($B183,Master_PIC!$A$8:$G$73,2,FALSE)),"")</f>
        <v/>
      </c>
      <c r="D183" s="15" t="str">
        <f>IF(COUNTIFS(Master_PIC!$A$8:$A$73,$B183)=1,IF(VLOOKUP($B183,Master_PIC!$A$8:$G$73,4,FALSE)="","",VLOOKUP($B183,Master_PIC!$A$8:$G$73,4,FALSE)),"")</f>
        <v/>
      </c>
      <c r="E183" s="15" t="str">
        <f>IF(COUNTIFS(Master_PIC!$A$8:$A$73,$B183)=1,IF(VLOOKUP($B183,Master_PIC!$A$8:$G$73,5,FALSE)="","",VLOOKUP($B183,Master_PIC!$A$8:$G$73,5,FALSE)),"")</f>
        <v/>
      </c>
      <c r="F183" s="15" t="str">
        <f>IF(COUNTIFS(Master_PIC!$A$8:$A$73,$B183)=1,IF(VLOOKUP($B183,Master_PIC!$A$8:$G$73,6,FALSE)="","",VLOOKUP($B183,Master_PIC!$A$8:$G$73,6,FALSE)),"")</f>
        <v/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8"/>
      <c r="X183" s="5"/>
      <c r="Y183" s="5"/>
      <c r="Z183" s="9"/>
      <c r="AA183" s="5"/>
      <c r="AB183" s="5"/>
      <c r="AC183" s="9"/>
      <c r="AD183" s="5"/>
      <c r="AE183" s="7" t="str">
        <f t="shared" si="14"/>
        <v/>
      </c>
      <c r="AF183" s="7" t="str">
        <f t="shared" si="15"/>
        <v/>
      </c>
      <c r="AG183" s="7" t="str">
        <f t="shared" si="16"/>
        <v/>
      </c>
      <c r="AH183" s="7" t="str">
        <f t="shared" si="17"/>
        <v/>
      </c>
      <c r="AI183" s="7" t="str">
        <f t="shared" si="18"/>
        <v/>
      </c>
      <c r="AJ183" s="7" t="str">
        <f t="shared" si="19"/>
        <v/>
      </c>
      <c r="AK183" s="10" t="str">
        <f t="shared" si="20"/>
        <v/>
      </c>
      <c r="AL183" s="15" t="str">
        <f>IF(OR($A183&lt;&gt;"",$B183&lt;&gt;""),IF(OR($A183="",$B183=""),"Isi tanggal dan ID PIC",IF(NOT(ISNUMBER($A183)),"Tanggal harus berupa tanggal Excel",IF(COUNTIFS(Master_PIC!$A$8:$A$73,$B183)&lt;&gt;1,"ID PIC tidak unik/terdaftar",IF(VLOOKUP($B183,Master_PIC!$A$8:$G$73,3,FALSE)&lt;&gt;"ASM","Jabatan tidak sesuai sheet",IF(OR($C183="",$D183="",$E183="",$F183=""),"Lengkapi master PIC",IF(COUNTIFS($A$8:$A$507,$A183,$B$8:$B$507,$B183)&gt;1,"Laporan ganda",IF(COUNTIFS(G183:O183,"Tidak Berlaku")&gt;0,"N/A hanya untuk kegiatan bersyarat",IF(SUM(AF183,AG183,AH183,AI183,AJ183)&lt;&gt;13,"Status kegiatan tidak valid",IF(AJ183&gt;0,"Lengkapi status kegiatan",IF(AND(AI183&gt;0,T183=""),"Isi alasan Tidak Berlaku",IF(AND(SUM(AG183,AH183)&gt;0,OR(T183="",U183="",V183="",W183="")),"Isi kendala dan tindak lanjut",IF(AND(Y183&lt;&gt;"Draft",Y183&lt;&gt;"Dikirim"),"Isi status laporan yang valid",IF(AND(AA183&lt;&gt;"",AA183&lt;&gt;"Belum Diperiksa",AA183&lt;&gt;"Disetujui",AA183&lt;&gt;"Perlu Perbaikan"),"Hasil review tidak valid",IF(AND(Y183="Dikirim",OR(X183="",Z183="")),"Isi bukti dan waktu kirim",IF(AND(AA183="Disetujui",OR(Y183&lt;&gt;"Dikirim",AB183="",AC183="")),"Lengkapi pemeriksaan",IF(AND(AA183="Perlu Perbaikan",OR(AD183="",AB183="",AC183="")),"Isi pemeriksa dan catatan perbaikan","OK")))))))))))))))),"")</f>
        <v/>
      </c>
    </row>
    <row r="184" spans="1:38" ht="24.95" customHeight="1">
      <c r="A184" s="8"/>
      <c r="B184" s="6"/>
      <c r="C184" s="15" t="str">
        <f>IF(COUNTIFS(Master_PIC!$A$8:$A$73,$B184)=1,IF(VLOOKUP($B184,Master_PIC!$A$8:$G$73,2,FALSE)="","",VLOOKUP($B184,Master_PIC!$A$8:$G$73,2,FALSE)),"")</f>
        <v/>
      </c>
      <c r="D184" s="15" t="str">
        <f>IF(COUNTIFS(Master_PIC!$A$8:$A$73,$B184)=1,IF(VLOOKUP($B184,Master_PIC!$A$8:$G$73,4,FALSE)="","",VLOOKUP($B184,Master_PIC!$A$8:$G$73,4,FALSE)),"")</f>
        <v/>
      </c>
      <c r="E184" s="15" t="str">
        <f>IF(COUNTIFS(Master_PIC!$A$8:$A$73,$B184)=1,IF(VLOOKUP($B184,Master_PIC!$A$8:$G$73,5,FALSE)="","",VLOOKUP($B184,Master_PIC!$A$8:$G$73,5,FALSE)),"")</f>
        <v/>
      </c>
      <c r="F184" s="15" t="str">
        <f>IF(COUNTIFS(Master_PIC!$A$8:$A$73,$B184)=1,IF(VLOOKUP($B184,Master_PIC!$A$8:$G$73,6,FALSE)="","",VLOOKUP($B184,Master_PIC!$A$8:$G$73,6,FALSE)),"")</f>
        <v/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8"/>
      <c r="X184" s="5"/>
      <c r="Y184" s="5"/>
      <c r="Z184" s="9"/>
      <c r="AA184" s="5"/>
      <c r="AB184" s="5"/>
      <c r="AC184" s="9"/>
      <c r="AD184" s="5"/>
      <c r="AE184" s="7" t="str">
        <f t="shared" si="14"/>
        <v/>
      </c>
      <c r="AF184" s="7" t="str">
        <f t="shared" si="15"/>
        <v/>
      </c>
      <c r="AG184" s="7" t="str">
        <f t="shared" si="16"/>
        <v/>
      </c>
      <c r="AH184" s="7" t="str">
        <f t="shared" si="17"/>
        <v/>
      </c>
      <c r="AI184" s="7" t="str">
        <f t="shared" si="18"/>
        <v/>
      </c>
      <c r="AJ184" s="7" t="str">
        <f t="shared" si="19"/>
        <v/>
      </c>
      <c r="AK184" s="10" t="str">
        <f t="shared" si="20"/>
        <v/>
      </c>
      <c r="AL184" s="15" t="str">
        <f>IF(OR($A184&lt;&gt;"",$B184&lt;&gt;""),IF(OR($A184="",$B184=""),"Isi tanggal dan ID PIC",IF(NOT(ISNUMBER($A184)),"Tanggal harus berupa tanggal Excel",IF(COUNTIFS(Master_PIC!$A$8:$A$73,$B184)&lt;&gt;1,"ID PIC tidak unik/terdaftar",IF(VLOOKUP($B184,Master_PIC!$A$8:$G$73,3,FALSE)&lt;&gt;"ASM","Jabatan tidak sesuai sheet",IF(OR($C184="",$D184="",$E184="",$F184=""),"Lengkapi master PIC",IF(COUNTIFS($A$8:$A$507,$A184,$B$8:$B$507,$B184)&gt;1,"Laporan ganda",IF(COUNTIFS(G184:O184,"Tidak Berlaku")&gt;0,"N/A hanya untuk kegiatan bersyarat",IF(SUM(AF184,AG184,AH184,AI184,AJ184)&lt;&gt;13,"Status kegiatan tidak valid",IF(AJ184&gt;0,"Lengkapi status kegiatan",IF(AND(AI184&gt;0,T184=""),"Isi alasan Tidak Berlaku",IF(AND(SUM(AG184,AH184)&gt;0,OR(T184="",U184="",V184="",W184="")),"Isi kendala dan tindak lanjut",IF(AND(Y184&lt;&gt;"Draft",Y184&lt;&gt;"Dikirim"),"Isi status laporan yang valid",IF(AND(AA184&lt;&gt;"",AA184&lt;&gt;"Belum Diperiksa",AA184&lt;&gt;"Disetujui",AA184&lt;&gt;"Perlu Perbaikan"),"Hasil review tidak valid",IF(AND(Y184="Dikirim",OR(X184="",Z184="")),"Isi bukti dan waktu kirim",IF(AND(AA184="Disetujui",OR(Y184&lt;&gt;"Dikirim",AB184="",AC184="")),"Lengkapi pemeriksaan",IF(AND(AA184="Perlu Perbaikan",OR(AD184="",AB184="",AC184="")),"Isi pemeriksa dan catatan perbaikan","OK")))))))))))))))),"")</f>
        <v/>
      </c>
    </row>
    <row r="185" spans="1:38" ht="24.95" customHeight="1">
      <c r="A185" s="8"/>
      <c r="B185" s="6"/>
      <c r="C185" s="15" t="str">
        <f>IF(COUNTIFS(Master_PIC!$A$8:$A$73,$B185)=1,IF(VLOOKUP($B185,Master_PIC!$A$8:$G$73,2,FALSE)="","",VLOOKUP($B185,Master_PIC!$A$8:$G$73,2,FALSE)),"")</f>
        <v/>
      </c>
      <c r="D185" s="15" t="str">
        <f>IF(COUNTIFS(Master_PIC!$A$8:$A$73,$B185)=1,IF(VLOOKUP($B185,Master_PIC!$A$8:$G$73,4,FALSE)="","",VLOOKUP($B185,Master_PIC!$A$8:$G$73,4,FALSE)),"")</f>
        <v/>
      </c>
      <c r="E185" s="15" t="str">
        <f>IF(COUNTIFS(Master_PIC!$A$8:$A$73,$B185)=1,IF(VLOOKUP($B185,Master_PIC!$A$8:$G$73,5,FALSE)="","",VLOOKUP($B185,Master_PIC!$A$8:$G$73,5,FALSE)),"")</f>
        <v/>
      </c>
      <c r="F185" s="15" t="str">
        <f>IF(COUNTIFS(Master_PIC!$A$8:$A$73,$B185)=1,IF(VLOOKUP($B185,Master_PIC!$A$8:$G$73,6,FALSE)="","",VLOOKUP($B185,Master_PIC!$A$8:$G$73,6,FALSE)),"")</f>
        <v/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8"/>
      <c r="X185" s="5"/>
      <c r="Y185" s="5"/>
      <c r="Z185" s="9"/>
      <c r="AA185" s="5"/>
      <c r="AB185" s="5"/>
      <c r="AC185" s="9"/>
      <c r="AD185" s="5"/>
      <c r="AE185" s="7" t="str">
        <f t="shared" si="14"/>
        <v/>
      </c>
      <c r="AF185" s="7" t="str">
        <f t="shared" si="15"/>
        <v/>
      </c>
      <c r="AG185" s="7" t="str">
        <f t="shared" si="16"/>
        <v/>
      </c>
      <c r="AH185" s="7" t="str">
        <f t="shared" si="17"/>
        <v/>
      </c>
      <c r="AI185" s="7" t="str">
        <f t="shared" si="18"/>
        <v/>
      </c>
      <c r="AJ185" s="7" t="str">
        <f t="shared" si="19"/>
        <v/>
      </c>
      <c r="AK185" s="10" t="str">
        <f t="shared" si="20"/>
        <v/>
      </c>
      <c r="AL185" s="15" t="str">
        <f>IF(OR($A185&lt;&gt;"",$B185&lt;&gt;""),IF(OR($A185="",$B185=""),"Isi tanggal dan ID PIC",IF(NOT(ISNUMBER($A185)),"Tanggal harus berupa tanggal Excel",IF(COUNTIFS(Master_PIC!$A$8:$A$73,$B185)&lt;&gt;1,"ID PIC tidak unik/terdaftar",IF(VLOOKUP($B185,Master_PIC!$A$8:$G$73,3,FALSE)&lt;&gt;"ASM","Jabatan tidak sesuai sheet",IF(OR($C185="",$D185="",$E185="",$F185=""),"Lengkapi master PIC",IF(COUNTIFS($A$8:$A$507,$A185,$B$8:$B$507,$B185)&gt;1,"Laporan ganda",IF(COUNTIFS(G185:O185,"Tidak Berlaku")&gt;0,"N/A hanya untuk kegiatan bersyarat",IF(SUM(AF185,AG185,AH185,AI185,AJ185)&lt;&gt;13,"Status kegiatan tidak valid",IF(AJ185&gt;0,"Lengkapi status kegiatan",IF(AND(AI185&gt;0,T185=""),"Isi alasan Tidak Berlaku",IF(AND(SUM(AG185,AH185)&gt;0,OR(T185="",U185="",V185="",W185="")),"Isi kendala dan tindak lanjut",IF(AND(Y185&lt;&gt;"Draft",Y185&lt;&gt;"Dikirim"),"Isi status laporan yang valid",IF(AND(AA185&lt;&gt;"",AA185&lt;&gt;"Belum Diperiksa",AA185&lt;&gt;"Disetujui",AA185&lt;&gt;"Perlu Perbaikan"),"Hasil review tidak valid",IF(AND(Y185="Dikirim",OR(X185="",Z185="")),"Isi bukti dan waktu kirim",IF(AND(AA185="Disetujui",OR(Y185&lt;&gt;"Dikirim",AB185="",AC185="")),"Lengkapi pemeriksaan",IF(AND(AA185="Perlu Perbaikan",OR(AD185="",AB185="",AC185="")),"Isi pemeriksa dan catatan perbaikan","OK")))))))))))))))),"")</f>
        <v/>
      </c>
    </row>
    <row r="186" spans="1:38" ht="24.95" customHeight="1">
      <c r="A186" s="8"/>
      <c r="B186" s="6"/>
      <c r="C186" s="15" t="str">
        <f>IF(COUNTIFS(Master_PIC!$A$8:$A$73,$B186)=1,IF(VLOOKUP($B186,Master_PIC!$A$8:$G$73,2,FALSE)="","",VLOOKUP($B186,Master_PIC!$A$8:$G$73,2,FALSE)),"")</f>
        <v/>
      </c>
      <c r="D186" s="15" t="str">
        <f>IF(COUNTIFS(Master_PIC!$A$8:$A$73,$B186)=1,IF(VLOOKUP($B186,Master_PIC!$A$8:$G$73,4,FALSE)="","",VLOOKUP($B186,Master_PIC!$A$8:$G$73,4,FALSE)),"")</f>
        <v/>
      </c>
      <c r="E186" s="15" t="str">
        <f>IF(COUNTIFS(Master_PIC!$A$8:$A$73,$B186)=1,IF(VLOOKUP($B186,Master_PIC!$A$8:$G$73,5,FALSE)="","",VLOOKUP($B186,Master_PIC!$A$8:$G$73,5,FALSE)),"")</f>
        <v/>
      </c>
      <c r="F186" s="15" t="str">
        <f>IF(COUNTIFS(Master_PIC!$A$8:$A$73,$B186)=1,IF(VLOOKUP($B186,Master_PIC!$A$8:$G$73,6,FALSE)="","",VLOOKUP($B186,Master_PIC!$A$8:$G$73,6,FALSE)),"")</f>
        <v/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8"/>
      <c r="X186" s="5"/>
      <c r="Y186" s="5"/>
      <c r="Z186" s="9"/>
      <c r="AA186" s="5"/>
      <c r="AB186" s="5"/>
      <c r="AC186" s="9"/>
      <c r="AD186" s="5"/>
      <c r="AE186" s="7" t="str">
        <f t="shared" si="14"/>
        <v/>
      </c>
      <c r="AF186" s="7" t="str">
        <f t="shared" si="15"/>
        <v/>
      </c>
      <c r="AG186" s="7" t="str">
        <f t="shared" si="16"/>
        <v/>
      </c>
      <c r="AH186" s="7" t="str">
        <f t="shared" si="17"/>
        <v/>
      </c>
      <c r="AI186" s="7" t="str">
        <f t="shared" si="18"/>
        <v/>
      </c>
      <c r="AJ186" s="7" t="str">
        <f t="shared" si="19"/>
        <v/>
      </c>
      <c r="AK186" s="10" t="str">
        <f t="shared" si="20"/>
        <v/>
      </c>
      <c r="AL186" s="15" t="str">
        <f>IF(OR($A186&lt;&gt;"",$B186&lt;&gt;""),IF(OR($A186="",$B186=""),"Isi tanggal dan ID PIC",IF(NOT(ISNUMBER($A186)),"Tanggal harus berupa tanggal Excel",IF(COUNTIFS(Master_PIC!$A$8:$A$73,$B186)&lt;&gt;1,"ID PIC tidak unik/terdaftar",IF(VLOOKUP($B186,Master_PIC!$A$8:$G$73,3,FALSE)&lt;&gt;"ASM","Jabatan tidak sesuai sheet",IF(OR($C186="",$D186="",$E186="",$F186=""),"Lengkapi master PIC",IF(COUNTIFS($A$8:$A$507,$A186,$B$8:$B$507,$B186)&gt;1,"Laporan ganda",IF(COUNTIFS(G186:O186,"Tidak Berlaku")&gt;0,"N/A hanya untuk kegiatan bersyarat",IF(SUM(AF186,AG186,AH186,AI186,AJ186)&lt;&gt;13,"Status kegiatan tidak valid",IF(AJ186&gt;0,"Lengkapi status kegiatan",IF(AND(AI186&gt;0,T186=""),"Isi alasan Tidak Berlaku",IF(AND(SUM(AG186,AH186)&gt;0,OR(T186="",U186="",V186="",W186="")),"Isi kendala dan tindak lanjut",IF(AND(Y186&lt;&gt;"Draft",Y186&lt;&gt;"Dikirim"),"Isi status laporan yang valid",IF(AND(AA186&lt;&gt;"",AA186&lt;&gt;"Belum Diperiksa",AA186&lt;&gt;"Disetujui",AA186&lt;&gt;"Perlu Perbaikan"),"Hasil review tidak valid",IF(AND(Y186="Dikirim",OR(X186="",Z186="")),"Isi bukti dan waktu kirim",IF(AND(AA186="Disetujui",OR(Y186&lt;&gt;"Dikirim",AB186="",AC186="")),"Lengkapi pemeriksaan",IF(AND(AA186="Perlu Perbaikan",OR(AD186="",AB186="",AC186="")),"Isi pemeriksa dan catatan perbaikan","OK")))))))))))))))),"")</f>
        <v/>
      </c>
    </row>
    <row r="187" spans="1:38" ht="24.95" customHeight="1">
      <c r="A187" s="8"/>
      <c r="B187" s="6"/>
      <c r="C187" s="15" t="str">
        <f>IF(COUNTIFS(Master_PIC!$A$8:$A$73,$B187)=1,IF(VLOOKUP($B187,Master_PIC!$A$8:$G$73,2,FALSE)="","",VLOOKUP($B187,Master_PIC!$A$8:$G$73,2,FALSE)),"")</f>
        <v/>
      </c>
      <c r="D187" s="15" t="str">
        <f>IF(COUNTIFS(Master_PIC!$A$8:$A$73,$B187)=1,IF(VLOOKUP($B187,Master_PIC!$A$8:$G$73,4,FALSE)="","",VLOOKUP($B187,Master_PIC!$A$8:$G$73,4,FALSE)),"")</f>
        <v/>
      </c>
      <c r="E187" s="15" t="str">
        <f>IF(COUNTIFS(Master_PIC!$A$8:$A$73,$B187)=1,IF(VLOOKUP($B187,Master_PIC!$A$8:$G$73,5,FALSE)="","",VLOOKUP($B187,Master_PIC!$A$8:$G$73,5,FALSE)),"")</f>
        <v/>
      </c>
      <c r="F187" s="15" t="str">
        <f>IF(COUNTIFS(Master_PIC!$A$8:$A$73,$B187)=1,IF(VLOOKUP($B187,Master_PIC!$A$8:$G$73,6,FALSE)="","",VLOOKUP($B187,Master_PIC!$A$8:$G$73,6,FALSE)),"")</f>
        <v/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8"/>
      <c r="X187" s="5"/>
      <c r="Y187" s="5"/>
      <c r="Z187" s="9"/>
      <c r="AA187" s="5"/>
      <c r="AB187" s="5"/>
      <c r="AC187" s="9"/>
      <c r="AD187" s="5"/>
      <c r="AE187" s="7" t="str">
        <f t="shared" si="14"/>
        <v/>
      </c>
      <c r="AF187" s="7" t="str">
        <f t="shared" si="15"/>
        <v/>
      </c>
      <c r="AG187" s="7" t="str">
        <f t="shared" si="16"/>
        <v/>
      </c>
      <c r="AH187" s="7" t="str">
        <f t="shared" si="17"/>
        <v/>
      </c>
      <c r="AI187" s="7" t="str">
        <f t="shared" si="18"/>
        <v/>
      </c>
      <c r="AJ187" s="7" t="str">
        <f t="shared" si="19"/>
        <v/>
      </c>
      <c r="AK187" s="10" t="str">
        <f t="shared" si="20"/>
        <v/>
      </c>
      <c r="AL187" s="15" t="str">
        <f>IF(OR($A187&lt;&gt;"",$B187&lt;&gt;""),IF(OR($A187="",$B187=""),"Isi tanggal dan ID PIC",IF(NOT(ISNUMBER($A187)),"Tanggal harus berupa tanggal Excel",IF(COUNTIFS(Master_PIC!$A$8:$A$73,$B187)&lt;&gt;1,"ID PIC tidak unik/terdaftar",IF(VLOOKUP($B187,Master_PIC!$A$8:$G$73,3,FALSE)&lt;&gt;"ASM","Jabatan tidak sesuai sheet",IF(OR($C187="",$D187="",$E187="",$F187=""),"Lengkapi master PIC",IF(COUNTIFS($A$8:$A$507,$A187,$B$8:$B$507,$B187)&gt;1,"Laporan ganda",IF(COUNTIFS(G187:O187,"Tidak Berlaku")&gt;0,"N/A hanya untuk kegiatan bersyarat",IF(SUM(AF187,AG187,AH187,AI187,AJ187)&lt;&gt;13,"Status kegiatan tidak valid",IF(AJ187&gt;0,"Lengkapi status kegiatan",IF(AND(AI187&gt;0,T187=""),"Isi alasan Tidak Berlaku",IF(AND(SUM(AG187,AH187)&gt;0,OR(T187="",U187="",V187="",W187="")),"Isi kendala dan tindak lanjut",IF(AND(Y187&lt;&gt;"Draft",Y187&lt;&gt;"Dikirim"),"Isi status laporan yang valid",IF(AND(AA187&lt;&gt;"",AA187&lt;&gt;"Belum Diperiksa",AA187&lt;&gt;"Disetujui",AA187&lt;&gt;"Perlu Perbaikan"),"Hasil review tidak valid",IF(AND(Y187="Dikirim",OR(X187="",Z187="")),"Isi bukti dan waktu kirim",IF(AND(AA187="Disetujui",OR(Y187&lt;&gt;"Dikirim",AB187="",AC187="")),"Lengkapi pemeriksaan",IF(AND(AA187="Perlu Perbaikan",OR(AD187="",AB187="",AC187="")),"Isi pemeriksa dan catatan perbaikan","OK")))))))))))))))),"")</f>
        <v/>
      </c>
    </row>
    <row r="188" spans="1:38" ht="24.95" customHeight="1">
      <c r="A188" s="8"/>
      <c r="B188" s="6"/>
      <c r="C188" s="15" t="str">
        <f>IF(COUNTIFS(Master_PIC!$A$8:$A$73,$B188)=1,IF(VLOOKUP($B188,Master_PIC!$A$8:$G$73,2,FALSE)="","",VLOOKUP($B188,Master_PIC!$A$8:$G$73,2,FALSE)),"")</f>
        <v/>
      </c>
      <c r="D188" s="15" t="str">
        <f>IF(COUNTIFS(Master_PIC!$A$8:$A$73,$B188)=1,IF(VLOOKUP($B188,Master_PIC!$A$8:$G$73,4,FALSE)="","",VLOOKUP($B188,Master_PIC!$A$8:$G$73,4,FALSE)),"")</f>
        <v/>
      </c>
      <c r="E188" s="15" t="str">
        <f>IF(COUNTIFS(Master_PIC!$A$8:$A$73,$B188)=1,IF(VLOOKUP($B188,Master_PIC!$A$8:$G$73,5,FALSE)="","",VLOOKUP($B188,Master_PIC!$A$8:$G$73,5,FALSE)),"")</f>
        <v/>
      </c>
      <c r="F188" s="15" t="str">
        <f>IF(COUNTIFS(Master_PIC!$A$8:$A$73,$B188)=1,IF(VLOOKUP($B188,Master_PIC!$A$8:$G$73,6,FALSE)="","",VLOOKUP($B188,Master_PIC!$A$8:$G$73,6,FALSE)),"")</f>
        <v/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9"/>
      <c r="AA188" s="5"/>
      <c r="AB188" s="5"/>
      <c r="AC188" s="9"/>
      <c r="AD188" s="5"/>
      <c r="AE188" s="7" t="str">
        <f t="shared" si="14"/>
        <v/>
      </c>
      <c r="AF188" s="7" t="str">
        <f t="shared" si="15"/>
        <v/>
      </c>
      <c r="AG188" s="7" t="str">
        <f t="shared" si="16"/>
        <v/>
      </c>
      <c r="AH188" s="7" t="str">
        <f t="shared" si="17"/>
        <v/>
      </c>
      <c r="AI188" s="7" t="str">
        <f t="shared" si="18"/>
        <v/>
      </c>
      <c r="AJ188" s="7" t="str">
        <f t="shared" si="19"/>
        <v/>
      </c>
      <c r="AK188" s="10" t="str">
        <f t="shared" si="20"/>
        <v/>
      </c>
      <c r="AL188" s="15" t="str">
        <f>IF(OR($A188&lt;&gt;"",$B188&lt;&gt;""),IF(OR($A188="",$B188=""),"Isi tanggal dan ID PIC",IF(NOT(ISNUMBER($A188)),"Tanggal harus berupa tanggal Excel",IF(COUNTIFS(Master_PIC!$A$8:$A$73,$B188)&lt;&gt;1,"ID PIC tidak unik/terdaftar",IF(VLOOKUP($B188,Master_PIC!$A$8:$G$73,3,FALSE)&lt;&gt;"ASM","Jabatan tidak sesuai sheet",IF(OR($C188="",$D188="",$E188="",$F188=""),"Lengkapi master PIC",IF(COUNTIFS($A$8:$A$507,$A188,$B$8:$B$507,$B188)&gt;1,"Laporan ganda",IF(COUNTIFS(G188:O188,"Tidak Berlaku")&gt;0,"N/A hanya untuk kegiatan bersyarat",IF(SUM(AF188,AG188,AH188,AI188,AJ188)&lt;&gt;13,"Status kegiatan tidak valid",IF(AJ188&gt;0,"Lengkapi status kegiatan",IF(AND(AI188&gt;0,T188=""),"Isi alasan Tidak Berlaku",IF(AND(SUM(AG188,AH188)&gt;0,OR(T188="",U188="",V188="",W188="")),"Isi kendala dan tindak lanjut",IF(AND(Y188&lt;&gt;"Draft",Y188&lt;&gt;"Dikirim"),"Isi status laporan yang valid",IF(AND(AA188&lt;&gt;"",AA188&lt;&gt;"Belum Diperiksa",AA188&lt;&gt;"Disetujui",AA188&lt;&gt;"Perlu Perbaikan"),"Hasil review tidak valid",IF(AND(Y188="Dikirim",OR(X188="",Z188="")),"Isi bukti dan waktu kirim",IF(AND(AA188="Disetujui",OR(Y188&lt;&gt;"Dikirim",AB188="",AC188="")),"Lengkapi pemeriksaan",IF(AND(AA188="Perlu Perbaikan",OR(AD188="",AB188="",AC188="")),"Isi pemeriksa dan catatan perbaikan","OK")))))))))))))))),"")</f>
        <v/>
      </c>
    </row>
    <row r="189" spans="1:38" ht="24.95" customHeight="1">
      <c r="A189" s="8"/>
      <c r="B189" s="6"/>
      <c r="C189" s="15" t="str">
        <f>IF(COUNTIFS(Master_PIC!$A$8:$A$73,$B189)=1,IF(VLOOKUP($B189,Master_PIC!$A$8:$G$73,2,FALSE)="","",VLOOKUP($B189,Master_PIC!$A$8:$G$73,2,FALSE)),"")</f>
        <v/>
      </c>
      <c r="D189" s="15" t="str">
        <f>IF(COUNTIFS(Master_PIC!$A$8:$A$73,$B189)=1,IF(VLOOKUP($B189,Master_PIC!$A$8:$G$73,4,FALSE)="","",VLOOKUP($B189,Master_PIC!$A$8:$G$73,4,FALSE)),"")</f>
        <v/>
      </c>
      <c r="E189" s="15" t="str">
        <f>IF(COUNTIFS(Master_PIC!$A$8:$A$73,$B189)=1,IF(VLOOKUP($B189,Master_PIC!$A$8:$G$73,5,FALSE)="","",VLOOKUP($B189,Master_PIC!$A$8:$G$73,5,FALSE)),"")</f>
        <v/>
      </c>
      <c r="F189" s="15" t="str">
        <f>IF(COUNTIFS(Master_PIC!$A$8:$A$73,$B189)=1,IF(VLOOKUP($B189,Master_PIC!$A$8:$G$73,6,FALSE)="","",VLOOKUP($B189,Master_PIC!$A$8:$G$73,6,FALSE)),"")</f>
        <v/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8"/>
      <c r="X189" s="5"/>
      <c r="Y189" s="5"/>
      <c r="Z189" s="9"/>
      <c r="AA189" s="5"/>
      <c r="AB189" s="5"/>
      <c r="AC189" s="9"/>
      <c r="AD189" s="5"/>
      <c r="AE189" s="7" t="str">
        <f t="shared" si="14"/>
        <v/>
      </c>
      <c r="AF189" s="7" t="str">
        <f t="shared" si="15"/>
        <v/>
      </c>
      <c r="AG189" s="7" t="str">
        <f t="shared" si="16"/>
        <v/>
      </c>
      <c r="AH189" s="7" t="str">
        <f t="shared" si="17"/>
        <v/>
      </c>
      <c r="AI189" s="7" t="str">
        <f t="shared" si="18"/>
        <v/>
      </c>
      <c r="AJ189" s="7" t="str">
        <f t="shared" si="19"/>
        <v/>
      </c>
      <c r="AK189" s="10" t="str">
        <f t="shared" si="20"/>
        <v/>
      </c>
      <c r="AL189" s="15" t="str">
        <f>IF(OR($A189&lt;&gt;"",$B189&lt;&gt;""),IF(OR($A189="",$B189=""),"Isi tanggal dan ID PIC",IF(NOT(ISNUMBER($A189)),"Tanggal harus berupa tanggal Excel",IF(COUNTIFS(Master_PIC!$A$8:$A$73,$B189)&lt;&gt;1,"ID PIC tidak unik/terdaftar",IF(VLOOKUP($B189,Master_PIC!$A$8:$G$73,3,FALSE)&lt;&gt;"ASM","Jabatan tidak sesuai sheet",IF(OR($C189="",$D189="",$E189="",$F189=""),"Lengkapi master PIC",IF(COUNTIFS($A$8:$A$507,$A189,$B$8:$B$507,$B189)&gt;1,"Laporan ganda",IF(COUNTIFS(G189:O189,"Tidak Berlaku")&gt;0,"N/A hanya untuk kegiatan bersyarat",IF(SUM(AF189,AG189,AH189,AI189,AJ189)&lt;&gt;13,"Status kegiatan tidak valid",IF(AJ189&gt;0,"Lengkapi status kegiatan",IF(AND(AI189&gt;0,T189=""),"Isi alasan Tidak Berlaku",IF(AND(SUM(AG189,AH189)&gt;0,OR(T189="",U189="",V189="",W189="")),"Isi kendala dan tindak lanjut",IF(AND(Y189&lt;&gt;"Draft",Y189&lt;&gt;"Dikirim"),"Isi status laporan yang valid",IF(AND(AA189&lt;&gt;"",AA189&lt;&gt;"Belum Diperiksa",AA189&lt;&gt;"Disetujui",AA189&lt;&gt;"Perlu Perbaikan"),"Hasil review tidak valid",IF(AND(Y189="Dikirim",OR(X189="",Z189="")),"Isi bukti dan waktu kirim",IF(AND(AA189="Disetujui",OR(Y189&lt;&gt;"Dikirim",AB189="",AC189="")),"Lengkapi pemeriksaan",IF(AND(AA189="Perlu Perbaikan",OR(AD189="",AB189="",AC189="")),"Isi pemeriksa dan catatan perbaikan","OK")))))))))))))))),"")</f>
        <v/>
      </c>
    </row>
    <row r="190" spans="1:38" ht="24.95" customHeight="1">
      <c r="A190" s="8"/>
      <c r="B190" s="6"/>
      <c r="C190" s="15" t="str">
        <f>IF(COUNTIFS(Master_PIC!$A$8:$A$73,$B190)=1,IF(VLOOKUP($B190,Master_PIC!$A$8:$G$73,2,FALSE)="","",VLOOKUP($B190,Master_PIC!$A$8:$G$73,2,FALSE)),"")</f>
        <v/>
      </c>
      <c r="D190" s="15" t="str">
        <f>IF(COUNTIFS(Master_PIC!$A$8:$A$73,$B190)=1,IF(VLOOKUP($B190,Master_PIC!$A$8:$G$73,4,FALSE)="","",VLOOKUP($B190,Master_PIC!$A$8:$G$73,4,FALSE)),"")</f>
        <v/>
      </c>
      <c r="E190" s="15" t="str">
        <f>IF(COUNTIFS(Master_PIC!$A$8:$A$73,$B190)=1,IF(VLOOKUP($B190,Master_PIC!$A$8:$G$73,5,FALSE)="","",VLOOKUP($B190,Master_PIC!$A$8:$G$73,5,FALSE)),"")</f>
        <v/>
      </c>
      <c r="F190" s="15" t="str">
        <f>IF(COUNTIFS(Master_PIC!$A$8:$A$73,$B190)=1,IF(VLOOKUP($B190,Master_PIC!$A$8:$G$73,6,FALSE)="","",VLOOKUP($B190,Master_PIC!$A$8:$G$73,6,FALSE)),"")</f>
        <v/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8"/>
      <c r="X190" s="5"/>
      <c r="Y190" s="5"/>
      <c r="Z190" s="9"/>
      <c r="AA190" s="5"/>
      <c r="AB190" s="5"/>
      <c r="AC190" s="9"/>
      <c r="AD190" s="5"/>
      <c r="AE190" s="7" t="str">
        <f t="shared" si="14"/>
        <v/>
      </c>
      <c r="AF190" s="7" t="str">
        <f t="shared" si="15"/>
        <v/>
      </c>
      <c r="AG190" s="7" t="str">
        <f t="shared" si="16"/>
        <v/>
      </c>
      <c r="AH190" s="7" t="str">
        <f t="shared" si="17"/>
        <v/>
      </c>
      <c r="AI190" s="7" t="str">
        <f t="shared" si="18"/>
        <v/>
      </c>
      <c r="AJ190" s="7" t="str">
        <f t="shared" si="19"/>
        <v/>
      </c>
      <c r="AK190" s="10" t="str">
        <f t="shared" si="20"/>
        <v/>
      </c>
      <c r="AL190" s="15" t="str">
        <f>IF(OR($A190&lt;&gt;"",$B190&lt;&gt;""),IF(OR($A190="",$B190=""),"Isi tanggal dan ID PIC",IF(NOT(ISNUMBER($A190)),"Tanggal harus berupa tanggal Excel",IF(COUNTIFS(Master_PIC!$A$8:$A$73,$B190)&lt;&gt;1,"ID PIC tidak unik/terdaftar",IF(VLOOKUP($B190,Master_PIC!$A$8:$G$73,3,FALSE)&lt;&gt;"ASM","Jabatan tidak sesuai sheet",IF(OR($C190="",$D190="",$E190="",$F190=""),"Lengkapi master PIC",IF(COUNTIFS($A$8:$A$507,$A190,$B$8:$B$507,$B190)&gt;1,"Laporan ganda",IF(COUNTIFS(G190:O190,"Tidak Berlaku")&gt;0,"N/A hanya untuk kegiatan bersyarat",IF(SUM(AF190,AG190,AH190,AI190,AJ190)&lt;&gt;13,"Status kegiatan tidak valid",IF(AJ190&gt;0,"Lengkapi status kegiatan",IF(AND(AI190&gt;0,T190=""),"Isi alasan Tidak Berlaku",IF(AND(SUM(AG190,AH190)&gt;0,OR(T190="",U190="",V190="",W190="")),"Isi kendala dan tindak lanjut",IF(AND(Y190&lt;&gt;"Draft",Y190&lt;&gt;"Dikirim"),"Isi status laporan yang valid",IF(AND(AA190&lt;&gt;"",AA190&lt;&gt;"Belum Diperiksa",AA190&lt;&gt;"Disetujui",AA190&lt;&gt;"Perlu Perbaikan"),"Hasil review tidak valid",IF(AND(Y190="Dikirim",OR(X190="",Z190="")),"Isi bukti dan waktu kirim",IF(AND(AA190="Disetujui",OR(Y190&lt;&gt;"Dikirim",AB190="",AC190="")),"Lengkapi pemeriksaan",IF(AND(AA190="Perlu Perbaikan",OR(AD190="",AB190="",AC190="")),"Isi pemeriksa dan catatan perbaikan","OK")))))))))))))))),"")</f>
        <v/>
      </c>
    </row>
    <row r="191" spans="1:38" ht="24.95" customHeight="1">
      <c r="A191" s="8"/>
      <c r="B191" s="6"/>
      <c r="C191" s="15" t="str">
        <f>IF(COUNTIFS(Master_PIC!$A$8:$A$73,$B191)=1,IF(VLOOKUP($B191,Master_PIC!$A$8:$G$73,2,FALSE)="","",VLOOKUP($B191,Master_PIC!$A$8:$G$73,2,FALSE)),"")</f>
        <v/>
      </c>
      <c r="D191" s="15" t="str">
        <f>IF(COUNTIFS(Master_PIC!$A$8:$A$73,$B191)=1,IF(VLOOKUP($B191,Master_PIC!$A$8:$G$73,4,FALSE)="","",VLOOKUP($B191,Master_PIC!$A$8:$G$73,4,FALSE)),"")</f>
        <v/>
      </c>
      <c r="E191" s="15" t="str">
        <f>IF(COUNTIFS(Master_PIC!$A$8:$A$73,$B191)=1,IF(VLOOKUP($B191,Master_PIC!$A$8:$G$73,5,FALSE)="","",VLOOKUP($B191,Master_PIC!$A$8:$G$73,5,FALSE)),"")</f>
        <v/>
      </c>
      <c r="F191" s="15" t="str">
        <f>IF(COUNTIFS(Master_PIC!$A$8:$A$73,$B191)=1,IF(VLOOKUP($B191,Master_PIC!$A$8:$G$73,6,FALSE)="","",VLOOKUP($B191,Master_PIC!$A$8:$G$73,6,FALSE)),"")</f>
        <v/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8"/>
      <c r="X191" s="5"/>
      <c r="Y191" s="5"/>
      <c r="Z191" s="9"/>
      <c r="AA191" s="5"/>
      <c r="AB191" s="5"/>
      <c r="AC191" s="9"/>
      <c r="AD191" s="5"/>
      <c r="AE191" s="7" t="str">
        <f t="shared" si="14"/>
        <v/>
      </c>
      <c r="AF191" s="7" t="str">
        <f t="shared" si="15"/>
        <v/>
      </c>
      <c r="AG191" s="7" t="str">
        <f t="shared" si="16"/>
        <v/>
      </c>
      <c r="AH191" s="7" t="str">
        <f t="shared" si="17"/>
        <v/>
      </c>
      <c r="AI191" s="7" t="str">
        <f t="shared" si="18"/>
        <v/>
      </c>
      <c r="AJ191" s="7" t="str">
        <f t="shared" si="19"/>
        <v/>
      </c>
      <c r="AK191" s="10" t="str">
        <f t="shared" si="20"/>
        <v/>
      </c>
      <c r="AL191" s="15" t="str">
        <f>IF(OR($A191&lt;&gt;"",$B191&lt;&gt;""),IF(OR($A191="",$B191=""),"Isi tanggal dan ID PIC",IF(NOT(ISNUMBER($A191)),"Tanggal harus berupa tanggal Excel",IF(COUNTIFS(Master_PIC!$A$8:$A$73,$B191)&lt;&gt;1,"ID PIC tidak unik/terdaftar",IF(VLOOKUP($B191,Master_PIC!$A$8:$G$73,3,FALSE)&lt;&gt;"ASM","Jabatan tidak sesuai sheet",IF(OR($C191="",$D191="",$E191="",$F191=""),"Lengkapi master PIC",IF(COUNTIFS($A$8:$A$507,$A191,$B$8:$B$507,$B191)&gt;1,"Laporan ganda",IF(COUNTIFS(G191:O191,"Tidak Berlaku")&gt;0,"N/A hanya untuk kegiatan bersyarat",IF(SUM(AF191,AG191,AH191,AI191,AJ191)&lt;&gt;13,"Status kegiatan tidak valid",IF(AJ191&gt;0,"Lengkapi status kegiatan",IF(AND(AI191&gt;0,T191=""),"Isi alasan Tidak Berlaku",IF(AND(SUM(AG191,AH191)&gt;0,OR(T191="",U191="",V191="",W191="")),"Isi kendala dan tindak lanjut",IF(AND(Y191&lt;&gt;"Draft",Y191&lt;&gt;"Dikirim"),"Isi status laporan yang valid",IF(AND(AA191&lt;&gt;"",AA191&lt;&gt;"Belum Diperiksa",AA191&lt;&gt;"Disetujui",AA191&lt;&gt;"Perlu Perbaikan"),"Hasil review tidak valid",IF(AND(Y191="Dikirim",OR(X191="",Z191="")),"Isi bukti dan waktu kirim",IF(AND(AA191="Disetujui",OR(Y191&lt;&gt;"Dikirim",AB191="",AC191="")),"Lengkapi pemeriksaan",IF(AND(AA191="Perlu Perbaikan",OR(AD191="",AB191="",AC191="")),"Isi pemeriksa dan catatan perbaikan","OK")))))))))))))))),"")</f>
        <v/>
      </c>
    </row>
    <row r="192" spans="1:38" ht="24.95" customHeight="1">
      <c r="A192" s="8"/>
      <c r="B192" s="6"/>
      <c r="C192" s="15" t="str">
        <f>IF(COUNTIFS(Master_PIC!$A$8:$A$73,$B192)=1,IF(VLOOKUP($B192,Master_PIC!$A$8:$G$73,2,FALSE)="","",VLOOKUP($B192,Master_PIC!$A$8:$G$73,2,FALSE)),"")</f>
        <v/>
      </c>
      <c r="D192" s="15" t="str">
        <f>IF(COUNTIFS(Master_PIC!$A$8:$A$73,$B192)=1,IF(VLOOKUP($B192,Master_PIC!$A$8:$G$73,4,FALSE)="","",VLOOKUP($B192,Master_PIC!$A$8:$G$73,4,FALSE)),"")</f>
        <v/>
      </c>
      <c r="E192" s="15" t="str">
        <f>IF(COUNTIFS(Master_PIC!$A$8:$A$73,$B192)=1,IF(VLOOKUP($B192,Master_PIC!$A$8:$G$73,5,FALSE)="","",VLOOKUP($B192,Master_PIC!$A$8:$G$73,5,FALSE)),"")</f>
        <v/>
      </c>
      <c r="F192" s="15" t="str">
        <f>IF(COUNTIFS(Master_PIC!$A$8:$A$73,$B192)=1,IF(VLOOKUP($B192,Master_PIC!$A$8:$G$73,6,FALSE)="","",VLOOKUP($B192,Master_PIC!$A$8:$G$73,6,FALSE)),"")</f>
        <v/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8"/>
      <c r="X192" s="5"/>
      <c r="Y192" s="5"/>
      <c r="Z192" s="9"/>
      <c r="AA192" s="5"/>
      <c r="AB192" s="5"/>
      <c r="AC192" s="9"/>
      <c r="AD192" s="5"/>
      <c r="AE192" s="7" t="str">
        <f t="shared" si="14"/>
        <v/>
      </c>
      <c r="AF192" s="7" t="str">
        <f t="shared" si="15"/>
        <v/>
      </c>
      <c r="AG192" s="7" t="str">
        <f t="shared" si="16"/>
        <v/>
      </c>
      <c r="AH192" s="7" t="str">
        <f t="shared" si="17"/>
        <v/>
      </c>
      <c r="AI192" s="7" t="str">
        <f t="shared" si="18"/>
        <v/>
      </c>
      <c r="AJ192" s="7" t="str">
        <f t="shared" si="19"/>
        <v/>
      </c>
      <c r="AK192" s="10" t="str">
        <f t="shared" si="20"/>
        <v/>
      </c>
      <c r="AL192" s="15" t="str">
        <f>IF(OR($A192&lt;&gt;"",$B192&lt;&gt;""),IF(OR($A192="",$B192=""),"Isi tanggal dan ID PIC",IF(NOT(ISNUMBER($A192)),"Tanggal harus berupa tanggal Excel",IF(COUNTIFS(Master_PIC!$A$8:$A$73,$B192)&lt;&gt;1,"ID PIC tidak unik/terdaftar",IF(VLOOKUP($B192,Master_PIC!$A$8:$G$73,3,FALSE)&lt;&gt;"ASM","Jabatan tidak sesuai sheet",IF(OR($C192="",$D192="",$E192="",$F192=""),"Lengkapi master PIC",IF(COUNTIFS($A$8:$A$507,$A192,$B$8:$B$507,$B192)&gt;1,"Laporan ganda",IF(COUNTIFS(G192:O192,"Tidak Berlaku")&gt;0,"N/A hanya untuk kegiatan bersyarat",IF(SUM(AF192,AG192,AH192,AI192,AJ192)&lt;&gt;13,"Status kegiatan tidak valid",IF(AJ192&gt;0,"Lengkapi status kegiatan",IF(AND(AI192&gt;0,T192=""),"Isi alasan Tidak Berlaku",IF(AND(SUM(AG192,AH192)&gt;0,OR(T192="",U192="",V192="",W192="")),"Isi kendala dan tindak lanjut",IF(AND(Y192&lt;&gt;"Draft",Y192&lt;&gt;"Dikirim"),"Isi status laporan yang valid",IF(AND(AA192&lt;&gt;"",AA192&lt;&gt;"Belum Diperiksa",AA192&lt;&gt;"Disetujui",AA192&lt;&gt;"Perlu Perbaikan"),"Hasil review tidak valid",IF(AND(Y192="Dikirim",OR(X192="",Z192="")),"Isi bukti dan waktu kirim",IF(AND(AA192="Disetujui",OR(Y192&lt;&gt;"Dikirim",AB192="",AC192="")),"Lengkapi pemeriksaan",IF(AND(AA192="Perlu Perbaikan",OR(AD192="",AB192="",AC192="")),"Isi pemeriksa dan catatan perbaikan","OK")))))))))))))))),"")</f>
        <v/>
      </c>
    </row>
    <row r="193" spans="1:38" ht="24.95" customHeight="1">
      <c r="A193" s="8"/>
      <c r="B193" s="6"/>
      <c r="C193" s="15" t="str">
        <f>IF(COUNTIFS(Master_PIC!$A$8:$A$73,$B193)=1,IF(VLOOKUP($B193,Master_PIC!$A$8:$G$73,2,FALSE)="","",VLOOKUP($B193,Master_PIC!$A$8:$G$73,2,FALSE)),"")</f>
        <v/>
      </c>
      <c r="D193" s="15" t="str">
        <f>IF(COUNTIFS(Master_PIC!$A$8:$A$73,$B193)=1,IF(VLOOKUP($B193,Master_PIC!$A$8:$G$73,4,FALSE)="","",VLOOKUP($B193,Master_PIC!$A$8:$G$73,4,FALSE)),"")</f>
        <v/>
      </c>
      <c r="E193" s="15" t="str">
        <f>IF(COUNTIFS(Master_PIC!$A$8:$A$73,$B193)=1,IF(VLOOKUP($B193,Master_PIC!$A$8:$G$73,5,FALSE)="","",VLOOKUP($B193,Master_PIC!$A$8:$G$73,5,FALSE)),"")</f>
        <v/>
      </c>
      <c r="F193" s="15" t="str">
        <f>IF(COUNTIFS(Master_PIC!$A$8:$A$73,$B193)=1,IF(VLOOKUP($B193,Master_PIC!$A$8:$G$73,6,FALSE)="","",VLOOKUP($B193,Master_PIC!$A$8:$G$73,6,FALSE)),"")</f>
        <v/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8"/>
      <c r="X193" s="5"/>
      <c r="Y193" s="5"/>
      <c r="Z193" s="9"/>
      <c r="AA193" s="5"/>
      <c r="AB193" s="5"/>
      <c r="AC193" s="9"/>
      <c r="AD193" s="5"/>
      <c r="AE193" s="7" t="str">
        <f t="shared" si="14"/>
        <v/>
      </c>
      <c r="AF193" s="7" t="str">
        <f t="shared" si="15"/>
        <v/>
      </c>
      <c r="AG193" s="7" t="str">
        <f t="shared" si="16"/>
        <v/>
      </c>
      <c r="AH193" s="7" t="str">
        <f t="shared" si="17"/>
        <v/>
      </c>
      <c r="AI193" s="7" t="str">
        <f t="shared" si="18"/>
        <v/>
      </c>
      <c r="AJ193" s="7" t="str">
        <f t="shared" si="19"/>
        <v/>
      </c>
      <c r="AK193" s="10" t="str">
        <f t="shared" si="20"/>
        <v/>
      </c>
      <c r="AL193" s="15" t="str">
        <f>IF(OR($A193&lt;&gt;"",$B193&lt;&gt;""),IF(OR($A193="",$B193=""),"Isi tanggal dan ID PIC",IF(NOT(ISNUMBER($A193)),"Tanggal harus berupa tanggal Excel",IF(COUNTIFS(Master_PIC!$A$8:$A$73,$B193)&lt;&gt;1,"ID PIC tidak unik/terdaftar",IF(VLOOKUP($B193,Master_PIC!$A$8:$G$73,3,FALSE)&lt;&gt;"ASM","Jabatan tidak sesuai sheet",IF(OR($C193="",$D193="",$E193="",$F193=""),"Lengkapi master PIC",IF(COUNTIFS($A$8:$A$507,$A193,$B$8:$B$507,$B193)&gt;1,"Laporan ganda",IF(COUNTIFS(G193:O193,"Tidak Berlaku")&gt;0,"N/A hanya untuk kegiatan bersyarat",IF(SUM(AF193,AG193,AH193,AI193,AJ193)&lt;&gt;13,"Status kegiatan tidak valid",IF(AJ193&gt;0,"Lengkapi status kegiatan",IF(AND(AI193&gt;0,T193=""),"Isi alasan Tidak Berlaku",IF(AND(SUM(AG193,AH193)&gt;0,OR(T193="",U193="",V193="",W193="")),"Isi kendala dan tindak lanjut",IF(AND(Y193&lt;&gt;"Draft",Y193&lt;&gt;"Dikirim"),"Isi status laporan yang valid",IF(AND(AA193&lt;&gt;"",AA193&lt;&gt;"Belum Diperiksa",AA193&lt;&gt;"Disetujui",AA193&lt;&gt;"Perlu Perbaikan"),"Hasil review tidak valid",IF(AND(Y193="Dikirim",OR(X193="",Z193="")),"Isi bukti dan waktu kirim",IF(AND(AA193="Disetujui",OR(Y193&lt;&gt;"Dikirim",AB193="",AC193="")),"Lengkapi pemeriksaan",IF(AND(AA193="Perlu Perbaikan",OR(AD193="",AB193="",AC193="")),"Isi pemeriksa dan catatan perbaikan","OK")))))))))))))))),"")</f>
        <v/>
      </c>
    </row>
    <row r="194" spans="1:38" ht="24.95" customHeight="1">
      <c r="A194" s="8"/>
      <c r="B194" s="6"/>
      <c r="C194" s="15" t="str">
        <f>IF(COUNTIFS(Master_PIC!$A$8:$A$73,$B194)=1,IF(VLOOKUP($B194,Master_PIC!$A$8:$G$73,2,FALSE)="","",VLOOKUP($B194,Master_PIC!$A$8:$G$73,2,FALSE)),"")</f>
        <v/>
      </c>
      <c r="D194" s="15" t="str">
        <f>IF(COUNTIFS(Master_PIC!$A$8:$A$73,$B194)=1,IF(VLOOKUP($B194,Master_PIC!$A$8:$G$73,4,FALSE)="","",VLOOKUP($B194,Master_PIC!$A$8:$G$73,4,FALSE)),"")</f>
        <v/>
      </c>
      <c r="E194" s="15" t="str">
        <f>IF(COUNTIFS(Master_PIC!$A$8:$A$73,$B194)=1,IF(VLOOKUP($B194,Master_PIC!$A$8:$G$73,5,FALSE)="","",VLOOKUP($B194,Master_PIC!$A$8:$G$73,5,FALSE)),"")</f>
        <v/>
      </c>
      <c r="F194" s="15" t="str">
        <f>IF(COUNTIFS(Master_PIC!$A$8:$A$73,$B194)=1,IF(VLOOKUP($B194,Master_PIC!$A$8:$G$73,6,FALSE)="","",VLOOKUP($B194,Master_PIC!$A$8:$G$73,6,FALSE)),"")</f>
        <v/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8"/>
      <c r="X194" s="5"/>
      <c r="Y194" s="5"/>
      <c r="Z194" s="9"/>
      <c r="AA194" s="5"/>
      <c r="AB194" s="5"/>
      <c r="AC194" s="9"/>
      <c r="AD194" s="5"/>
      <c r="AE194" s="7" t="str">
        <f t="shared" si="14"/>
        <v/>
      </c>
      <c r="AF194" s="7" t="str">
        <f t="shared" si="15"/>
        <v/>
      </c>
      <c r="AG194" s="7" t="str">
        <f t="shared" si="16"/>
        <v/>
      </c>
      <c r="AH194" s="7" t="str">
        <f t="shared" si="17"/>
        <v/>
      </c>
      <c r="AI194" s="7" t="str">
        <f t="shared" si="18"/>
        <v/>
      </c>
      <c r="AJ194" s="7" t="str">
        <f t="shared" si="19"/>
        <v/>
      </c>
      <c r="AK194" s="10" t="str">
        <f t="shared" si="20"/>
        <v/>
      </c>
      <c r="AL194" s="15" t="str">
        <f>IF(OR($A194&lt;&gt;"",$B194&lt;&gt;""),IF(OR($A194="",$B194=""),"Isi tanggal dan ID PIC",IF(NOT(ISNUMBER($A194)),"Tanggal harus berupa tanggal Excel",IF(COUNTIFS(Master_PIC!$A$8:$A$73,$B194)&lt;&gt;1,"ID PIC tidak unik/terdaftar",IF(VLOOKUP($B194,Master_PIC!$A$8:$G$73,3,FALSE)&lt;&gt;"ASM","Jabatan tidak sesuai sheet",IF(OR($C194="",$D194="",$E194="",$F194=""),"Lengkapi master PIC",IF(COUNTIFS($A$8:$A$507,$A194,$B$8:$B$507,$B194)&gt;1,"Laporan ganda",IF(COUNTIFS(G194:O194,"Tidak Berlaku")&gt;0,"N/A hanya untuk kegiatan bersyarat",IF(SUM(AF194,AG194,AH194,AI194,AJ194)&lt;&gt;13,"Status kegiatan tidak valid",IF(AJ194&gt;0,"Lengkapi status kegiatan",IF(AND(AI194&gt;0,T194=""),"Isi alasan Tidak Berlaku",IF(AND(SUM(AG194,AH194)&gt;0,OR(T194="",U194="",V194="",W194="")),"Isi kendala dan tindak lanjut",IF(AND(Y194&lt;&gt;"Draft",Y194&lt;&gt;"Dikirim"),"Isi status laporan yang valid",IF(AND(AA194&lt;&gt;"",AA194&lt;&gt;"Belum Diperiksa",AA194&lt;&gt;"Disetujui",AA194&lt;&gt;"Perlu Perbaikan"),"Hasil review tidak valid",IF(AND(Y194="Dikirim",OR(X194="",Z194="")),"Isi bukti dan waktu kirim",IF(AND(AA194="Disetujui",OR(Y194&lt;&gt;"Dikirim",AB194="",AC194="")),"Lengkapi pemeriksaan",IF(AND(AA194="Perlu Perbaikan",OR(AD194="",AB194="",AC194="")),"Isi pemeriksa dan catatan perbaikan","OK")))))))))))))))),"")</f>
        <v/>
      </c>
    </row>
    <row r="195" spans="1:38" ht="24.95" customHeight="1">
      <c r="A195" s="8"/>
      <c r="B195" s="6"/>
      <c r="C195" s="15" t="str">
        <f>IF(COUNTIFS(Master_PIC!$A$8:$A$73,$B195)=1,IF(VLOOKUP($B195,Master_PIC!$A$8:$G$73,2,FALSE)="","",VLOOKUP($B195,Master_PIC!$A$8:$G$73,2,FALSE)),"")</f>
        <v/>
      </c>
      <c r="D195" s="15" t="str">
        <f>IF(COUNTIFS(Master_PIC!$A$8:$A$73,$B195)=1,IF(VLOOKUP($B195,Master_PIC!$A$8:$G$73,4,FALSE)="","",VLOOKUP($B195,Master_PIC!$A$8:$G$73,4,FALSE)),"")</f>
        <v/>
      </c>
      <c r="E195" s="15" t="str">
        <f>IF(COUNTIFS(Master_PIC!$A$8:$A$73,$B195)=1,IF(VLOOKUP($B195,Master_PIC!$A$8:$G$73,5,FALSE)="","",VLOOKUP($B195,Master_PIC!$A$8:$G$73,5,FALSE)),"")</f>
        <v/>
      </c>
      <c r="F195" s="15" t="str">
        <f>IF(COUNTIFS(Master_PIC!$A$8:$A$73,$B195)=1,IF(VLOOKUP($B195,Master_PIC!$A$8:$G$73,6,FALSE)="","",VLOOKUP($B195,Master_PIC!$A$8:$G$73,6,FALSE)),"")</f>
        <v/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8"/>
      <c r="X195" s="5"/>
      <c r="Y195" s="5"/>
      <c r="Z195" s="9"/>
      <c r="AA195" s="5"/>
      <c r="AB195" s="5"/>
      <c r="AC195" s="9"/>
      <c r="AD195" s="5"/>
      <c r="AE195" s="7" t="str">
        <f t="shared" si="14"/>
        <v/>
      </c>
      <c r="AF195" s="7" t="str">
        <f t="shared" si="15"/>
        <v/>
      </c>
      <c r="AG195" s="7" t="str">
        <f t="shared" si="16"/>
        <v/>
      </c>
      <c r="AH195" s="7" t="str">
        <f t="shared" si="17"/>
        <v/>
      </c>
      <c r="AI195" s="7" t="str">
        <f t="shared" si="18"/>
        <v/>
      </c>
      <c r="AJ195" s="7" t="str">
        <f t="shared" si="19"/>
        <v/>
      </c>
      <c r="AK195" s="10" t="str">
        <f t="shared" si="20"/>
        <v/>
      </c>
      <c r="AL195" s="15" t="str">
        <f>IF(OR($A195&lt;&gt;"",$B195&lt;&gt;""),IF(OR($A195="",$B195=""),"Isi tanggal dan ID PIC",IF(NOT(ISNUMBER($A195)),"Tanggal harus berupa tanggal Excel",IF(COUNTIFS(Master_PIC!$A$8:$A$73,$B195)&lt;&gt;1,"ID PIC tidak unik/terdaftar",IF(VLOOKUP($B195,Master_PIC!$A$8:$G$73,3,FALSE)&lt;&gt;"ASM","Jabatan tidak sesuai sheet",IF(OR($C195="",$D195="",$E195="",$F195=""),"Lengkapi master PIC",IF(COUNTIFS($A$8:$A$507,$A195,$B$8:$B$507,$B195)&gt;1,"Laporan ganda",IF(COUNTIFS(G195:O195,"Tidak Berlaku")&gt;0,"N/A hanya untuk kegiatan bersyarat",IF(SUM(AF195,AG195,AH195,AI195,AJ195)&lt;&gt;13,"Status kegiatan tidak valid",IF(AJ195&gt;0,"Lengkapi status kegiatan",IF(AND(AI195&gt;0,T195=""),"Isi alasan Tidak Berlaku",IF(AND(SUM(AG195,AH195)&gt;0,OR(T195="",U195="",V195="",W195="")),"Isi kendala dan tindak lanjut",IF(AND(Y195&lt;&gt;"Draft",Y195&lt;&gt;"Dikirim"),"Isi status laporan yang valid",IF(AND(AA195&lt;&gt;"",AA195&lt;&gt;"Belum Diperiksa",AA195&lt;&gt;"Disetujui",AA195&lt;&gt;"Perlu Perbaikan"),"Hasil review tidak valid",IF(AND(Y195="Dikirim",OR(X195="",Z195="")),"Isi bukti dan waktu kirim",IF(AND(AA195="Disetujui",OR(Y195&lt;&gt;"Dikirim",AB195="",AC195="")),"Lengkapi pemeriksaan",IF(AND(AA195="Perlu Perbaikan",OR(AD195="",AB195="",AC195="")),"Isi pemeriksa dan catatan perbaikan","OK")))))))))))))))),"")</f>
        <v/>
      </c>
    </row>
    <row r="196" spans="1:38" ht="24.95" customHeight="1">
      <c r="A196" s="8"/>
      <c r="B196" s="6"/>
      <c r="C196" s="15" t="str">
        <f>IF(COUNTIFS(Master_PIC!$A$8:$A$73,$B196)=1,IF(VLOOKUP($B196,Master_PIC!$A$8:$G$73,2,FALSE)="","",VLOOKUP($B196,Master_PIC!$A$8:$G$73,2,FALSE)),"")</f>
        <v/>
      </c>
      <c r="D196" s="15" t="str">
        <f>IF(COUNTIFS(Master_PIC!$A$8:$A$73,$B196)=1,IF(VLOOKUP($B196,Master_PIC!$A$8:$G$73,4,FALSE)="","",VLOOKUP($B196,Master_PIC!$A$8:$G$73,4,FALSE)),"")</f>
        <v/>
      </c>
      <c r="E196" s="15" t="str">
        <f>IF(COUNTIFS(Master_PIC!$A$8:$A$73,$B196)=1,IF(VLOOKUP($B196,Master_PIC!$A$8:$G$73,5,FALSE)="","",VLOOKUP($B196,Master_PIC!$A$8:$G$73,5,FALSE)),"")</f>
        <v/>
      </c>
      <c r="F196" s="15" t="str">
        <f>IF(COUNTIFS(Master_PIC!$A$8:$A$73,$B196)=1,IF(VLOOKUP($B196,Master_PIC!$A$8:$G$73,6,FALSE)="","",VLOOKUP($B196,Master_PIC!$A$8:$G$73,6,FALSE)),"")</f>
        <v/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8"/>
      <c r="X196" s="5"/>
      <c r="Y196" s="5"/>
      <c r="Z196" s="9"/>
      <c r="AA196" s="5"/>
      <c r="AB196" s="5"/>
      <c r="AC196" s="9"/>
      <c r="AD196" s="5"/>
      <c r="AE196" s="7" t="str">
        <f t="shared" si="14"/>
        <v/>
      </c>
      <c r="AF196" s="7" t="str">
        <f t="shared" si="15"/>
        <v/>
      </c>
      <c r="AG196" s="7" t="str">
        <f t="shared" si="16"/>
        <v/>
      </c>
      <c r="AH196" s="7" t="str">
        <f t="shared" si="17"/>
        <v/>
      </c>
      <c r="AI196" s="7" t="str">
        <f t="shared" si="18"/>
        <v/>
      </c>
      <c r="AJ196" s="7" t="str">
        <f t="shared" si="19"/>
        <v/>
      </c>
      <c r="AK196" s="10" t="str">
        <f t="shared" si="20"/>
        <v/>
      </c>
      <c r="AL196" s="15" t="str">
        <f>IF(OR($A196&lt;&gt;"",$B196&lt;&gt;""),IF(OR($A196="",$B196=""),"Isi tanggal dan ID PIC",IF(NOT(ISNUMBER($A196)),"Tanggal harus berupa tanggal Excel",IF(COUNTIFS(Master_PIC!$A$8:$A$73,$B196)&lt;&gt;1,"ID PIC tidak unik/terdaftar",IF(VLOOKUP($B196,Master_PIC!$A$8:$G$73,3,FALSE)&lt;&gt;"ASM","Jabatan tidak sesuai sheet",IF(OR($C196="",$D196="",$E196="",$F196=""),"Lengkapi master PIC",IF(COUNTIFS($A$8:$A$507,$A196,$B$8:$B$507,$B196)&gt;1,"Laporan ganda",IF(COUNTIFS(G196:O196,"Tidak Berlaku")&gt;0,"N/A hanya untuk kegiatan bersyarat",IF(SUM(AF196,AG196,AH196,AI196,AJ196)&lt;&gt;13,"Status kegiatan tidak valid",IF(AJ196&gt;0,"Lengkapi status kegiatan",IF(AND(AI196&gt;0,T196=""),"Isi alasan Tidak Berlaku",IF(AND(SUM(AG196,AH196)&gt;0,OR(T196="",U196="",V196="",W196="")),"Isi kendala dan tindak lanjut",IF(AND(Y196&lt;&gt;"Draft",Y196&lt;&gt;"Dikirim"),"Isi status laporan yang valid",IF(AND(AA196&lt;&gt;"",AA196&lt;&gt;"Belum Diperiksa",AA196&lt;&gt;"Disetujui",AA196&lt;&gt;"Perlu Perbaikan"),"Hasil review tidak valid",IF(AND(Y196="Dikirim",OR(X196="",Z196="")),"Isi bukti dan waktu kirim",IF(AND(AA196="Disetujui",OR(Y196&lt;&gt;"Dikirim",AB196="",AC196="")),"Lengkapi pemeriksaan",IF(AND(AA196="Perlu Perbaikan",OR(AD196="",AB196="",AC196="")),"Isi pemeriksa dan catatan perbaikan","OK")))))))))))))))),"")</f>
        <v/>
      </c>
    </row>
    <row r="197" spans="1:38" ht="24.95" customHeight="1">
      <c r="A197" s="8"/>
      <c r="B197" s="6"/>
      <c r="C197" s="15" t="str">
        <f>IF(COUNTIFS(Master_PIC!$A$8:$A$73,$B197)=1,IF(VLOOKUP($B197,Master_PIC!$A$8:$G$73,2,FALSE)="","",VLOOKUP($B197,Master_PIC!$A$8:$G$73,2,FALSE)),"")</f>
        <v/>
      </c>
      <c r="D197" s="15" t="str">
        <f>IF(COUNTIFS(Master_PIC!$A$8:$A$73,$B197)=1,IF(VLOOKUP($B197,Master_PIC!$A$8:$G$73,4,FALSE)="","",VLOOKUP($B197,Master_PIC!$A$8:$G$73,4,FALSE)),"")</f>
        <v/>
      </c>
      <c r="E197" s="15" t="str">
        <f>IF(COUNTIFS(Master_PIC!$A$8:$A$73,$B197)=1,IF(VLOOKUP($B197,Master_PIC!$A$8:$G$73,5,FALSE)="","",VLOOKUP($B197,Master_PIC!$A$8:$G$73,5,FALSE)),"")</f>
        <v/>
      </c>
      <c r="F197" s="15" t="str">
        <f>IF(COUNTIFS(Master_PIC!$A$8:$A$73,$B197)=1,IF(VLOOKUP($B197,Master_PIC!$A$8:$G$73,6,FALSE)="","",VLOOKUP($B197,Master_PIC!$A$8:$G$73,6,FALSE)),"")</f>
        <v/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9"/>
      <c r="AA197" s="5"/>
      <c r="AB197" s="5"/>
      <c r="AC197" s="9"/>
      <c r="AD197" s="5"/>
      <c r="AE197" s="7" t="str">
        <f t="shared" si="14"/>
        <v/>
      </c>
      <c r="AF197" s="7" t="str">
        <f t="shared" si="15"/>
        <v/>
      </c>
      <c r="AG197" s="7" t="str">
        <f t="shared" si="16"/>
        <v/>
      </c>
      <c r="AH197" s="7" t="str">
        <f t="shared" si="17"/>
        <v/>
      </c>
      <c r="AI197" s="7" t="str">
        <f t="shared" si="18"/>
        <v/>
      </c>
      <c r="AJ197" s="7" t="str">
        <f t="shared" si="19"/>
        <v/>
      </c>
      <c r="AK197" s="10" t="str">
        <f t="shared" si="20"/>
        <v/>
      </c>
      <c r="AL197" s="15" t="str">
        <f>IF(OR($A197&lt;&gt;"",$B197&lt;&gt;""),IF(OR($A197="",$B197=""),"Isi tanggal dan ID PIC",IF(NOT(ISNUMBER($A197)),"Tanggal harus berupa tanggal Excel",IF(COUNTIFS(Master_PIC!$A$8:$A$73,$B197)&lt;&gt;1,"ID PIC tidak unik/terdaftar",IF(VLOOKUP($B197,Master_PIC!$A$8:$G$73,3,FALSE)&lt;&gt;"ASM","Jabatan tidak sesuai sheet",IF(OR($C197="",$D197="",$E197="",$F197=""),"Lengkapi master PIC",IF(COUNTIFS($A$8:$A$507,$A197,$B$8:$B$507,$B197)&gt;1,"Laporan ganda",IF(COUNTIFS(G197:O197,"Tidak Berlaku")&gt;0,"N/A hanya untuk kegiatan bersyarat",IF(SUM(AF197,AG197,AH197,AI197,AJ197)&lt;&gt;13,"Status kegiatan tidak valid",IF(AJ197&gt;0,"Lengkapi status kegiatan",IF(AND(AI197&gt;0,T197=""),"Isi alasan Tidak Berlaku",IF(AND(SUM(AG197,AH197)&gt;0,OR(T197="",U197="",V197="",W197="")),"Isi kendala dan tindak lanjut",IF(AND(Y197&lt;&gt;"Draft",Y197&lt;&gt;"Dikirim"),"Isi status laporan yang valid",IF(AND(AA197&lt;&gt;"",AA197&lt;&gt;"Belum Diperiksa",AA197&lt;&gt;"Disetujui",AA197&lt;&gt;"Perlu Perbaikan"),"Hasil review tidak valid",IF(AND(Y197="Dikirim",OR(X197="",Z197="")),"Isi bukti dan waktu kirim",IF(AND(AA197="Disetujui",OR(Y197&lt;&gt;"Dikirim",AB197="",AC197="")),"Lengkapi pemeriksaan",IF(AND(AA197="Perlu Perbaikan",OR(AD197="",AB197="",AC197="")),"Isi pemeriksa dan catatan perbaikan","OK")))))))))))))))),"")</f>
        <v/>
      </c>
    </row>
    <row r="198" spans="1:38" ht="24.95" customHeight="1">
      <c r="A198" s="8"/>
      <c r="B198" s="6"/>
      <c r="C198" s="15" t="str">
        <f>IF(COUNTIFS(Master_PIC!$A$8:$A$73,$B198)=1,IF(VLOOKUP($B198,Master_PIC!$A$8:$G$73,2,FALSE)="","",VLOOKUP($B198,Master_PIC!$A$8:$G$73,2,FALSE)),"")</f>
        <v/>
      </c>
      <c r="D198" s="15" t="str">
        <f>IF(COUNTIFS(Master_PIC!$A$8:$A$73,$B198)=1,IF(VLOOKUP($B198,Master_PIC!$A$8:$G$73,4,FALSE)="","",VLOOKUP($B198,Master_PIC!$A$8:$G$73,4,FALSE)),"")</f>
        <v/>
      </c>
      <c r="E198" s="15" t="str">
        <f>IF(COUNTIFS(Master_PIC!$A$8:$A$73,$B198)=1,IF(VLOOKUP($B198,Master_PIC!$A$8:$G$73,5,FALSE)="","",VLOOKUP($B198,Master_PIC!$A$8:$G$73,5,FALSE)),"")</f>
        <v/>
      </c>
      <c r="F198" s="15" t="str">
        <f>IF(COUNTIFS(Master_PIC!$A$8:$A$73,$B198)=1,IF(VLOOKUP($B198,Master_PIC!$A$8:$G$73,6,FALSE)="","",VLOOKUP($B198,Master_PIC!$A$8:$G$73,6,FALSE)),"")</f>
        <v/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9"/>
      <c r="AA198" s="5"/>
      <c r="AB198" s="5"/>
      <c r="AC198" s="9"/>
      <c r="AD198" s="5"/>
      <c r="AE198" s="7" t="str">
        <f t="shared" si="14"/>
        <v/>
      </c>
      <c r="AF198" s="7" t="str">
        <f t="shared" si="15"/>
        <v/>
      </c>
      <c r="AG198" s="7" t="str">
        <f t="shared" si="16"/>
        <v/>
      </c>
      <c r="AH198" s="7" t="str">
        <f t="shared" si="17"/>
        <v/>
      </c>
      <c r="AI198" s="7" t="str">
        <f t="shared" si="18"/>
        <v/>
      </c>
      <c r="AJ198" s="7" t="str">
        <f t="shared" si="19"/>
        <v/>
      </c>
      <c r="AK198" s="10" t="str">
        <f t="shared" si="20"/>
        <v/>
      </c>
      <c r="AL198" s="15" t="str">
        <f>IF(OR($A198&lt;&gt;"",$B198&lt;&gt;""),IF(OR($A198="",$B198=""),"Isi tanggal dan ID PIC",IF(NOT(ISNUMBER($A198)),"Tanggal harus berupa tanggal Excel",IF(COUNTIFS(Master_PIC!$A$8:$A$73,$B198)&lt;&gt;1,"ID PIC tidak unik/terdaftar",IF(VLOOKUP($B198,Master_PIC!$A$8:$G$73,3,FALSE)&lt;&gt;"ASM","Jabatan tidak sesuai sheet",IF(OR($C198="",$D198="",$E198="",$F198=""),"Lengkapi master PIC",IF(COUNTIFS($A$8:$A$507,$A198,$B$8:$B$507,$B198)&gt;1,"Laporan ganda",IF(COUNTIFS(G198:O198,"Tidak Berlaku")&gt;0,"N/A hanya untuk kegiatan bersyarat",IF(SUM(AF198,AG198,AH198,AI198,AJ198)&lt;&gt;13,"Status kegiatan tidak valid",IF(AJ198&gt;0,"Lengkapi status kegiatan",IF(AND(AI198&gt;0,T198=""),"Isi alasan Tidak Berlaku",IF(AND(SUM(AG198,AH198)&gt;0,OR(T198="",U198="",V198="",W198="")),"Isi kendala dan tindak lanjut",IF(AND(Y198&lt;&gt;"Draft",Y198&lt;&gt;"Dikirim"),"Isi status laporan yang valid",IF(AND(AA198&lt;&gt;"",AA198&lt;&gt;"Belum Diperiksa",AA198&lt;&gt;"Disetujui",AA198&lt;&gt;"Perlu Perbaikan"),"Hasil review tidak valid",IF(AND(Y198="Dikirim",OR(X198="",Z198="")),"Isi bukti dan waktu kirim",IF(AND(AA198="Disetujui",OR(Y198&lt;&gt;"Dikirim",AB198="",AC198="")),"Lengkapi pemeriksaan",IF(AND(AA198="Perlu Perbaikan",OR(AD198="",AB198="",AC198="")),"Isi pemeriksa dan catatan perbaikan","OK")))))))))))))))),"")</f>
        <v/>
      </c>
    </row>
    <row r="199" spans="1:38" ht="24.95" customHeight="1">
      <c r="A199" s="8"/>
      <c r="B199" s="6"/>
      <c r="C199" s="15" t="str">
        <f>IF(COUNTIFS(Master_PIC!$A$8:$A$73,$B199)=1,IF(VLOOKUP($B199,Master_PIC!$A$8:$G$73,2,FALSE)="","",VLOOKUP($B199,Master_PIC!$A$8:$G$73,2,FALSE)),"")</f>
        <v/>
      </c>
      <c r="D199" s="15" t="str">
        <f>IF(COUNTIFS(Master_PIC!$A$8:$A$73,$B199)=1,IF(VLOOKUP($B199,Master_PIC!$A$8:$G$73,4,FALSE)="","",VLOOKUP($B199,Master_PIC!$A$8:$G$73,4,FALSE)),"")</f>
        <v/>
      </c>
      <c r="E199" s="15" t="str">
        <f>IF(COUNTIFS(Master_PIC!$A$8:$A$73,$B199)=1,IF(VLOOKUP($B199,Master_PIC!$A$8:$G$73,5,FALSE)="","",VLOOKUP($B199,Master_PIC!$A$8:$G$73,5,FALSE)),"")</f>
        <v/>
      </c>
      <c r="F199" s="15" t="str">
        <f>IF(COUNTIFS(Master_PIC!$A$8:$A$73,$B199)=1,IF(VLOOKUP($B199,Master_PIC!$A$8:$G$73,6,FALSE)="","",VLOOKUP($B199,Master_PIC!$A$8:$G$73,6,FALSE)),"")</f>
        <v/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8"/>
      <c r="X199" s="5"/>
      <c r="Y199" s="5"/>
      <c r="Z199" s="9"/>
      <c r="AA199" s="5"/>
      <c r="AB199" s="5"/>
      <c r="AC199" s="9"/>
      <c r="AD199" s="5"/>
      <c r="AE199" s="7" t="str">
        <f t="shared" si="14"/>
        <v/>
      </c>
      <c r="AF199" s="7" t="str">
        <f t="shared" si="15"/>
        <v/>
      </c>
      <c r="AG199" s="7" t="str">
        <f t="shared" si="16"/>
        <v/>
      </c>
      <c r="AH199" s="7" t="str">
        <f t="shared" si="17"/>
        <v/>
      </c>
      <c r="AI199" s="7" t="str">
        <f t="shared" si="18"/>
        <v/>
      </c>
      <c r="AJ199" s="7" t="str">
        <f t="shared" si="19"/>
        <v/>
      </c>
      <c r="AK199" s="10" t="str">
        <f t="shared" si="20"/>
        <v/>
      </c>
      <c r="AL199" s="15" t="str">
        <f>IF(OR($A199&lt;&gt;"",$B199&lt;&gt;""),IF(OR($A199="",$B199=""),"Isi tanggal dan ID PIC",IF(NOT(ISNUMBER($A199)),"Tanggal harus berupa tanggal Excel",IF(COUNTIFS(Master_PIC!$A$8:$A$73,$B199)&lt;&gt;1,"ID PIC tidak unik/terdaftar",IF(VLOOKUP($B199,Master_PIC!$A$8:$G$73,3,FALSE)&lt;&gt;"ASM","Jabatan tidak sesuai sheet",IF(OR($C199="",$D199="",$E199="",$F199=""),"Lengkapi master PIC",IF(COUNTIFS($A$8:$A$507,$A199,$B$8:$B$507,$B199)&gt;1,"Laporan ganda",IF(COUNTIFS(G199:O199,"Tidak Berlaku")&gt;0,"N/A hanya untuk kegiatan bersyarat",IF(SUM(AF199,AG199,AH199,AI199,AJ199)&lt;&gt;13,"Status kegiatan tidak valid",IF(AJ199&gt;0,"Lengkapi status kegiatan",IF(AND(AI199&gt;0,T199=""),"Isi alasan Tidak Berlaku",IF(AND(SUM(AG199,AH199)&gt;0,OR(T199="",U199="",V199="",W199="")),"Isi kendala dan tindak lanjut",IF(AND(Y199&lt;&gt;"Draft",Y199&lt;&gt;"Dikirim"),"Isi status laporan yang valid",IF(AND(AA199&lt;&gt;"",AA199&lt;&gt;"Belum Diperiksa",AA199&lt;&gt;"Disetujui",AA199&lt;&gt;"Perlu Perbaikan"),"Hasil review tidak valid",IF(AND(Y199="Dikirim",OR(X199="",Z199="")),"Isi bukti dan waktu kirim",IF(AND(AA199="Disetujui",OR(Y199&lt;&gt;"Dikirim",AB199="",AC199="")),"Lengkapi pemeriksaan",IF(AND(AA199="Perlu Perbaikan",OR(AD199="",AB199="",AC199="")),"Isi pemeriksa dan catatan perbaikan","OK")))))))))))))))),"")</f>
        <v/>
      </c>
    </row>
    <row r="200" spans="1:38" ht="24.95" customHeight="1">
      <c r="A200" s="8"/>
      <c r="B200" s="6"/>
      <c r="C200" s="15" t="str">
        <f>IF(COUNTIFS(Master_PIC!$A$8:$A$73,$B200)=1,IF(VLOOKUP($B200,Master_PIC!$A$8:$G$73,2,FALSE)="","",VLOOKUP($B200,Master_PIC!$A$8:$G$73,2,FALSE)),"")</f>
        <v/>
      </c>
      <c r="D200" s="15" t="str">
        <f>IF(COUNTIFS(Master_PIC!$A$8:$A$73,$B200)=1,IF(VLOOKUP($B200,Master_PIC!$A$8:$G$73,4,FALSE)="","",VLOOKUP($B200,Master_PIC!$A$8:$G$73,4,FALSE)),"")</f>
        <v/>
      </c>
      <c r="E200" s="15" t="str">
        <f>IF(COUNTIFS(Master_PIC!$A$8:$A$73,$B200)=1,IF(VLOOKUP($B200,Master_PIC!$A$8:$G$73,5,FALSE)="","",VLOOKUP($B200,Master_PIC!$A$8:$G$73,5,FALSE)),"")</f>
        <v/>
      </c>
      <c r="F200" s="15" t="str">
        <f>IF(COUNTIFS(Master_PIC!$A$8:$A$73,$B200)=1,IF(VLOOKUP($B200,Master_PIC!$A$8:$G$73,6,FALSE)="","",VLOOKUP($B200,Master_PIC!$A$8:$G$73,6,FALSE)),"")</f>
        <v/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8"/>
      <c r="X200" s="5"/>
      <c r="Y200" s="5"/>
      <c r="Z200" s="9"/>
      <c r="AA200" s="5"/>
      <c r="AB200" s="5"/>
      <c r="AC200" s="9"/>
      <c r="AD200" s="5"/>
      <c r="AE200" s="7" t="str">
        <f t="shared" ref="AE200:AE263" si="21">IF(OR($A200&lt;&gt;"",$B200&lt;&gt;""),13-AI200,"")</f>
        <v/>
      </c>
      <c r="AF200" s="7" t="str">
        <f t="shared" ref="AF200:AF263" si="22">IF(OR($A200&lt;&gt;"",$B200&lt;&gt;""),COUNTIFS(G200:S200,"Selesai"),"")</f>
        <v/>
      </c>
      <c r="AG200" s="7" t="str">
        <f t="shared" ref="AG200:AG263" si="23">IF(OR($A200&lt;&gt;"",$B200&lt;&gt;""),COUNTIFS(G200:S200,"Proses"),"")</f>
        <v/>
      </c>
      <c r="AH200" s="7" t="str">
        <f t="shared" ref="AH200:AH263" si="24">IF(OR($A200&lt;&gt;"",$B200&lt;&gt;""),COUNTIFS(G200:S200,"Belum"),"")</f>
        <v/>
      </c>
      <c r="AI200" s="7" t="str">
        <f t="shared" ref="AI200:AI263" si="25">IF(OR($A200&lt;&gt;"",$B200&lt;&gt;""),COUNTIFS(G200:S200,"Tidak Berlaku"),"")</f>
        <v/>
      </c>
      <c r="AJ200" s="7" t="str">
        <f t="shared" ref="AJ200:AJ263" si="26">IF(OR($A200&lt;&gt;"",$B200&lt;&gt;""),COUNTBLANK(G200:S200),"")</f>
        <v/>
      </c>
      <c r="AK200" s="10" t="str">
        <f t="shared" ref="AK200:AK263" si="27">IF(OR($A200&lt;&gt;"",$B200&lt;&gt;""),IF(AE200=0,"n.a.",AF200/AE200),"")</f>
        <v/>
      </c>
      <c r="AL200" s="15" t="str">
        <f>IF(OR($A200&lt;&gt;"",$B200&lt;&gt;""),IF(OR($A200="",$B200=""),"Isi tanggal dan ID PIC",IF(NOT(ISNUMBER($A200)),"Tanggal harus berupa tanggal Excel",IF(COUNTIFS(Master_PIC!$A$8:$A$73,$B200)&lt;&gt;1,"ID PIC tidak unik/terdaftar",IF(VLOOKUP($B200,Master_PIC!$A$8:$G$73,3,FALSE)&lt;&gt;"ASM","Jabatan tidak sesuai sheet",IF(OR($C200="",$D200="",$E200="",$F200=""),"Lengkapi master PIC",IF(COUNTIFS($A$8:$A$507,$A200,$B$8:$B$507,$B200)&gt;1,"Laporan ganda",IF(COUNTIFS(G200:O200,"Tidak Berlaku")&gt;0,"N/A hanya untuk kegiatan bersyarat",IF(SUM(AF200,AG200,AH200,AI200,AJ200)&lt;&gt;13,"Status kegiatan tidak valid",IF(AJ200&gt;0,"Lengkapi status kegiatan",IF(AND(AI200&gt;0,T200=""),"Isi alasan Tidak Berlaku",IF(AND(SUM(AG200,AH200)&gt;0,OR(T200="",U200="",V200="",W200="")),"Isi kendala dan tindak lanjut",IF(AND(Y200&lt;&gt;"Draft",Y200&lt;&gt;"Dikirim"),"Isi status laporan yang valid",IF(AND(AA200&lt;&gt;"",AA200&lt;&gt;"Belum Diperiksa",AA200&lt;&gt;"Disetujui",AA200&lt;&gt;"Perlu Perbaikan"),"Hasil review tidak valid",IF(AND(Y200="Dikirim",OR(X200="",Z200="")),"Isi bukti dan waktu kirim",IF(AND(AA200="Disetujui",OR(Y200&lt;&gt;"Dikirim",AB200="",AC200="")),"Lengkapi pemeriksaan",IF(AND(AA200="Perlu Perbaikan",OR(AD200="",AB200="",AC200="")),"Isi pemeriksa dan catatan perbaikan","OK")))))))))))))))),"")</f>
        <v/>
      </c>
    </row>
    <row r="201" spans="1:38" ht="24.95" customHeight="1">
      <c r="A201" s="8"/>
      <c r="B201" s="6"/>
      <c r="C201" s="15" t="str">
        <f>IF(COUNTIFS(Master_PIC!$A$8:$A$73,$B201)=1,IF(VLOOKUP($B201,Master_PIC!$A$8:$G$73,2,FALSE)="","",VLOOKUP($B201,Master_PIC!$A$8:$G$73,2,FALSE)),"")</f>
        <v/>
      </c>
      <c r="D201" s="15" t="str">
        <f>IF(COUNTIFS(Master_PIC!$A$8:$A$73,$B201)=1,IF(VLOOKUP($B201,Master_PIC!$A$8:$G$73,4,FALSE)="","",VLOOKUP($B201,Master_PIC!$A$8:$G$73,4,FALSE)),"")</f>
        <v/>
      </c>
      <c r="E201" s="15" t="str">
        <f>IF(COUNTIFS(Master_PIC!$A$8:$A$73,$B201)=1,IF(VLOOKUP($B201,Master_PIC!$A$8:$G$73,5,FALSE)="","",VLOOKUP($B201,Master_PIC!$A$8:$G$73,5,FALSE)),"")</f>
        <v/>
      </c>
      <c r="F201" s="15" t="str">
        <f>IF(COUNTIFS(Master_PIC!$A$8:$A$73,$B201)=1,IF(VLOOKUP($B201,Master_PIC!$A$8:$G$73,6,FALSE)="","",VLOOKUP($B201,Master_PIC!$A$8:$G$73,6,FALSE)),"")</f>
        <v/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8"/>
      <c r="X201" s="5"/>
      <c r="Y201" s="5"/>
      <c r="Z201" s="9"/>
      <c r="AA201" s="5"/>
      <c r="AB201" s="5"/>
      <c r="AC201" s="9"/>
      <c r="AD201" s="5"/>
      <c r="AE201" s="7" t="str">
        <f t="shared" si="21"/>
        <v/>
      </c>
      <c r="AF201" s="7" t="str">
        <f t="shared" si="22"/>
        <v/>
      </c>
      <c r="AG201" s="7" t="str">
        <f t="shared" si="23"/>
        <v/>
      </c>
      <c r="AH201" s="7" t="str">
        <f t="shared" si="24"/>
        <v/>
      </c>
      <c r="AI201" s="7" t="str">
        <f t="shared" si="25"/>
        <v/>
      </c>
      <c r="AJ201" s="7" t="str">
        <f t="shared" si="26"/>
        <v/>
      </c>
      <c r="AK201" s="10" t="str">
        <f t="shared" si="27"/>
        <v/>
      </c>
      <c r="AL201" s="15" t="str">
        <f>IF(OR($A201&lt;&gt;"",$B201&lt;&gt;""),IF(OR($A201="",$B201=""),"Isi tanggal dan ID PIC",IF(NOT(ISNUMBER($A201)),"Tanggal harus berupa tanggal Excel",IF(COUNTIFS(Master_PIC!$A$8:$A$73,$B201)&lt;&gt;1,"ID PIC tidak unik/terdaftar",IF(VLOOKUP($B201,Master_PIC!$A$8:$G$73,3,FALSE)&lt;&gt;"ASM","Jabatan tidak sesuai sheet",IF(OR($C201="",$D201="",$E201="",$F201=""),"Lengkapi master PIC",IF(COUNTIFS($A$8:$A$507,$A201,$B$8:$B$507,$B201)&gt;1,"Laporan ganda",IF(COUNTIFS(G201:O201,"Tidak Berlaku")&gt;0,"N/A hanya untuk kegiatan bersyarat",IF(SUM(AF201,AG201,AH201,AI201,AJ201)&lt;&gt;13,"Status kegiatan tidak valid",IF(AJ201&gt;0,"Lengkapi status kegiatan",IF(AND(AI201&gt;0,T201=""),"Isi alasan Tidak Berlaku",IF(AND(SUM(AG201,AH201)&gt;0,OR(T201="",U201="",V201="",W201="")),"Isi kendala dan tindak lanjut",IF(AND(Y201&lt;&gt;"Draft",Y201&lt;&gt;"Dikirim"),"Isi status laporan yang valid",IF(AND(AA201&lt;&gt;"",AA201&lt;&gt;"Belum Diperiksa",AA201&lt;&gt;"Disetujui",AA201&lt;&gt;"Perlu Perbaikan"),"Hasil review tidak valid",IF(AND(Y201="Dikirim",OR(X201="",Z201="")),"Isi bukti dan waktu kirim",IF(AND(AA201="Disetujui",OR(Y201&lt;&gt;"Dikirim",AB201="",AC201="")),"Lengkapi pemeriksaan",IF(AND(AA201="Perlu Perbaikan",OR(AD201="",AB201="",AC201="")),"Isi pemeriksa dan catatan perbaikan","OK")))))))))))))))),"")</f>
        <v/>
      </c>
    </row>
    <row r="202" spans="1:38" ht="24.95" customHeight="1">
      <c r="A202" s="8"/>
      <c r="B202" s="6"/>
      <c r="C202" s="15" t="str">
        <f>IF(COUNTIFS(Master_PIC!$A$8:$A$73,$B202)=1,IF(VLOOKUP($B202,Master_PIC!$A$8:$G$73,2,FALSE)="","",VLOOKUP($B202,Master_PIC!$A$8:$G$73,2,FALSE)),"")</f>
        <v/>
      </c>
      <c r="D202" s="15" t="str">
        <f>IF(COUNTIFS(Master_PIC!$A$8:$A$73,$B202)=1,IF(VLOOKUP($B202,Master_PIC!$A$8:$G$73,4,FALSE)="","",VLOOKUP($B202,Master_PIC!$A$8:$G$73,4,FALSE)),"")</f>
        <v/>
      </c>
      <c r="E202" s="15" t="str">
        <f>IF(COUNTIFS(Master_PIC!$A$8:$A$73,$B202)=1,IF(VLOOKUP($B202,Master_PIC!$A$8:$G$73,5,FALSE)="","",VLOOKUP($B202,Master_PIC!$A$8:$G$73,5,FALSE)),"")</f>
        <v/>
      </c>
      <c r="F202" s="15" t="str">
        <f>IF(COUNTIFS(Master_PIC!$A$8:$A$73,$B202)=1,IF(VLOOKUP($B202,Master_PIC!$A$8:$G$73,6,FALSE)="","",VLOOKUP($B202,Master_PIC!$A$8:$G$73,6,FALSE)),"")</f>
        <v/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8"/>
      <c r="X202" s="5"/>
      <c r="Y202" s="5"/>
      <c r="Z202" s="9"/>
      <c r="AA202" s="5"/>
      <c r="AB202" s="5"/>
      <c r="AC202" s="9"/>
      <c r="AD202" s="5"/>
      <c r="AE202" s="7" t="str">
        <f t="shared" si="21"/>
        <v/>
      </c>
      <c r="AF202" s="7" t="str">
        <f t="shared" si="22"/>
        <v/>
      </c>
      <c r="AG202" s="7" t="str">
        <f t="shared" si="23"/>
        <v/>
      </c>
      <c r="AH202" s="7" t="str">
        <f t="shared" si="24"/>
        <v/>
      </c>
      <c r="AI202" s="7" t="str">
        <f t="shared" si="25"/>
        <v/>
      </c>
      <c r="AJ202" s="7" t="str">
        <f t="shared" si="26"/>
        <v/>
      </c>
      <c r="AK202" s="10" t="str">
        <f t="shared" si="27"/>
        <v/>
      </c>
      <c r="AL202" s="15" t="str">
        <f>IF(OR($A202&lt;&gt;"",$B202&lt;&gt;""),IF(OR($A202="",$B202=""),"Isi tanggal dan ID PIC",IF(NOT(ISNUMBER($A202)),"Tanggal harus berupa tanggal Excel",IF(COUNTIFS(Master_PIC!$A$8:$A$73,$B202)&lt;&gt;1,"ID PIC tidak unik/terdaftar",IF(VLOOKUP($B202,Master_PIC!$A$8:$G$73,3,FALSE)&lt;&gt;"ASM","Jabatan tidak sesuai sheet",IF(OR($C202="",$D202="",$E202="",$F202=""),"Lengkapi master PIC",IF(COUNTIFS($A$8:$A$507,$A202,$B$8:$B$507,$B202)&gt;1,"Laporan ganda",IF(COUNTIFS(G202:O202,"Tidak Berlaku")&gt;0,"N/A hanya untuk kegiatan bersyarat",IF(SUM(AF202,AG202,AH202,AI202,AJ202)&lt;&gt;13,"Status kegiatan tidak valid",IF(AJ202&gt;0,"Lengkapi status kegiatan",IF(AND(AI202&gt;0,T202=""),"Isi alasan Tidak Berlaku",IF(AND(SUM(AG202,AH202)&gt;0,OR(T202="",U202="",V202="",W202="")),"Isi kendala dan tindak lanjut",IF(AND(Y202&lt;&gt;"Draft",Y202&lt;&gt;"Dikirim"),"Isi status laporan yang valid",IF(AND(AA202&lt;&gt;"",AA202&lt;&gt;"Belum Diperiksa",AA202&lt;&gt;"Disetujui",AA202&lt;&gt;"Perlu Perbaikan"),"Hasil review tidak valid",IF(AND(Y202="Dikirim",OR(X202="",Z202="")),"Isi bukti dan waktu kirim",IF(AND(AA202="Disetujui",OR(Y202&lt;&gt;"Dikirim",AB202="",AC202="")),"Lengkapi pemeriksaan",IF(AND(AA202="Perlu Perbaikan",OR(AD202="",AB202="",AC202="")),"Isi pemeriksa dan catatan perbaikan","OK")))))))))))))))),"")</f>
        <v/>
      </c>
    </row>
    <row r="203" spans="1:38" ht="24.95" customHeight="1">
      <c r="A203" s="8"/>
      <c r="B203" s="6"/>
      <c r="C203" s="15" t="str">
        <f>IF(COUNTIFS(Master_PIC!$A$8:$A$73,$B203)=1,IF(VLOOKUP($B203,Master_PIC!$A$8:$G$73,2,FALSE)="","",VLOOKUP($B203,Master_PIC!$A$8:$G$73,2,FALSE)),"")</f>
        <v/>
      </c>
      <c r="D203" s="15" t="str">
        <f>IF(COUNTIFS(Master_PIC!$A$8:$A$73,$B203)=1,IF(VLOOKUP($B203,Master_PIC!$A$8:$G$73,4,FALSE)="","",VLOOKUP($B203,Master_PIC!$A$8:$G$73,4,FALSE)),"")</f>
        <v/>
      </c>
      <c r="E203" s="15" t="str">
        <f>IF(COUNTIFS(Master_PIC!$A$8:$A$73,$B203)=1,IF(VLOOKUP($B203,Master_PIC!$A$8:$G$73,5,FALSE)="","",VLOOKUP($B203,Master_PIC!$A$8:$G$73,5,FALSE)),"")</f>
        <v/>
      </c>
      <c r="F203" s="15" t="str">
        <f>IF(COUNTIFS(Master_PIC!$A$8:$A$73,$B203)=1,IF(VLOOKUP($B203,Master_PIC!$A$8:$G$73,6,FALSE)="","",VLOOKUP($B203,Master_PIC!$A$8:$G$73,6,FALSE)),"")</f>
        <v/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9"/>
      <c r="AA203" s="5"/>
      <c r="AB203" s="5"/>
      <c r="AC203" s="9"/>
      <c r="AD203" s="5"/>
      <c r="AE203" s="7" t="str">
        <f t="shared" si="21"/>
        <v/>
      </c>
      <c r="AF203" s="7" t="str">
        <f t="shared" si="22"/>
        <v/>
      </c>
      <c r="AG203" s="7" t="str">
        <f t="shared" si="23"/>
        <v/>
      </c>
      <c r="AH203" s="7" t="str">
        <f t="shared" si="24"/>
        <v/>
      </c>
      <c r="AI203" s="7" t="str">
        <f t="shared" si="25"/>
        <v/>
      </c>
      <c r="AJ203" s="7" t="str">
        <f t="shared" si="26"/>
        <v/>
      </c>
      <c r="AK203" s="10" t="str">
        <f t="shared" si="27"/>
        <v/>
      </c>
      <c r="AL203" s="15" t="str">
        <f>IF(OR($A203&lt;&gt;"",$B203&lt;&gt;""),IF(OR($A203="",$B203=""),"Isi tanggal dan ID PIC",IF(NOT(ISNUMBER($A203)),"Tanggal harus berupa tanggal Excel",IF(COUNTIFS(Master_PIC!$A$8:$A$73,$B203)&lt;&gt;1,"ID PIC tidak unik/terdaftar",IF(VLOOKUP($B203,Master_PIC!$A$8:$G$73,3,FALSE)&lt;&gt;"ASM","Jabatan tidak sesuai sheet",IF(OR($C203="",$D203="",$E203="",$F203=""),"Lengkapi master PIC",IF(COUNTIFS($A$8:$A$507,$A203,$B$8:$B$507,$B203)&gt;1,"Laporan ganda",IF(COUNTIFS(G203:O203,"Tidak Berlaku")&gt;0,"N/A hanya untuk kegiatan bersyarat",IF(SUM(AF203,AG203,AH203,AI203,AJ203)&lt;&gt;13,"Status kegiatan tidak valid",IF(AJ203&gt;0,"Lengkapi status kegiatan",IF(AND(AI203&gt;0,T203=""),"Isi alasan Tidak Berlaku",IF(AND(SUM(AG203,AH203)&gt;0,OR(T203="",U203="",V203="",W203="")),"Isi kendala dan tindak lanjut",IF(AND(Y203&lt;&gt;"Draft",Y203&lt;&gt;"Dikirim"),"Isi status laporan yang valid",IF(AND(AA203&lt;&gt;"",AA203&lt;&gt;"Belum Diperiksa",AA203&lt;&gt;"Disetujui",AA203&lt;&gt;"Perlu Perbaikan"),"Hasil review tidak valid",IF(AND(Y203="Dikirim",OR(X203="",Z203="")),"Isi bukti dan waktu kirim",IF(AND(AA203="Disetujui",OR(Y203&lt;&gt;"Dikirim",AB203="",AC203="")),"Lengkapi pemeriksaan",IF(AND(AA203="Perlu Perbaikan",OR(AD203="",AB203="",AC203="")),"Isi pemeriksa dan catatan perbaikan","OK")))))))))))))))),"")</f>
        <v/>
      </c>
    </row>
    <row r="204" spans="1:38" ht="24.95" customHeight="1">
      <c r="A204" s="8"/>
      <c r="B204" s="6"/>
      <c r="C204" s="15" t="str">
        <f>IF(COUNTIFS(Master_PIC!$A$8:$A$73,$B204)=1,IF(VLOOKUP($B204,Master_PIC!$A$8:$G$73,2,FALSE)="","",VLOOKUP($B204,Master_PIC!$A$8:$G$73,2,FALSE)),"")</f>
        <v/>
      </c>
      <c r="D204" s="15" t="str">
        <f>IF(COUNTIFS(Master_PIC!$A$8:$A$73,$B204)=1,IF(VLOOKUP($B204,Master_PIC!$A$8:$G$73,4,FALSE)="","",VLOOKUP($B204,Master_PIC!$A$8:$G$73,4,FALSE)),"")</f>
        <v/>
      </c>
      <c r="E204" s="15" t="str">
        <f>IF(COUNTIFS(Master_PIC!$A$8:$A$73,$B204)=1,IF(VLOOKUP($B204,Master_PIC!$A$8:$G$73,5,FALSE)="","",VLOOKUP($B204,Master_PIC!$A$8:$G$73,5,FALSE)),"")</f>
        <v/>
      </c>
      <c r="F204" s="15" t="str">
        <f>IF(COUNTIFS(Master_PIC!$A$8:$A$73,$B204)=1,IF(VLOOKUP($B204,Master_PIC!$A$8:$G$73,6,FALSE)="","",VLOOKUP($B204,Master_PIC!$A$8:$G$73,6,FALSE)),"")</f>
        <v/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8"/>
      <c r="X204" s="5"/>
      <c r="Y204" s="5"/>
      <c r="Z204" s="9"/>
      <c r="AA204" s="5"/>
      <c r="AB204" s="5"/>
      <c r="AC204" s="9"/>
      <c r="AD204" s="5"/>
      <c r="AE204" s="7" t="str">
        <f t="shared" si="21"/>
        <v/>
      </c>
      <c r="AF204" s="7" t="str">
        <f t="shared" si="22"/>
        <v/>
      </c>
      <c r="AG204" s="7" t="str">
        <f t="shared" si="23"/>
        <v/>
      </c>
      <c r="AH204" s="7" t="str">
        <f t="shared" si="24"/>
        <v/>
      </c>
      <c r="AI204" s="7" t="str">
        <f t="shared" si="25"/>
        <v/>
      </c>
      <c r="AJ204" s="7" t="str">
        <f t="shared" si="26"/>
        <v/>
      </c>
      <c r="AK204" s="10" t="str">
        <f t="shared" si="27"/>
        <v/>
      </c>
      <c r="AL204" s="15" t="str">
        <f>IF(OR($A204&lt;&gt;"",$B204&lt;&gt;""),IF(OR($A204="",$B204=""),"Isi tanggal dan ID PIC",IF(NOT(ISNUMBER($A204)),"Tanggal harus berupa tanggal Excel",IF(COUNTIFS(Master_PIC!$A$8:$A$73,$B204)&lt;&gt;1,"ID PIC tidak unik/terdaftar",IF(VLOOKUP($B204,Master_PIC!$A$8:$G$73,3,FALSE)&lt;&gt;"ASM","Jabatan tidak sesuai sheet",IF(OR($C204="",$D204="",$E204="",$F204=""),"Lengkapi master PIC",IF(COUNTIFS($A$8:$A$507,$A204,$B$8:$B$507,$B204)&gt;1,"Laporan ganda",IF(COUNTIFS(G204:O204,"Tidak Berlaku")&gt;0,"N/A hanya untuk kegiatan bersyarat",IF(SUM(AF204,AG204,AH204,AI204,AJ204)&lt;&gt;13,"Status kegiatan tidak valid",IF(AJ204&gt;0,"Lengkapi status kegiatan",IF(AND(AI204&gt;0,T204=""),"Isi alasan Tidak Berlaku",IF(AND(SUM(AG204,AH204)&gt;0,OR(T204="",U204="",V204="",W204="")),"Isi kendala dan tindak lanjut",IF(AND(Y204&lt;&gt;"Draft",Y204&lt;&gt;"Dikirim"),"Isi status laporan yang valid",IF(AND(AA204&lt;&gt;"",AA204&lt;&gt;"Belum Diperiksa",AA204&lt;&gt;"Disetujui",AA204&lt;&gt;"Perlu Perbaikan"),"Hasil review tidak valid",IF(AND(Y204="Dikirim",OR(X204="",Z204="")),"Isi bukti dan waktu kirim",IF(AND(AA204="Disetujui",OR(Y204&lt;&gt;"Dikirim",AB204="",AC204="")),"Lengkapi pemeriksaan",IF(AND(AA204="Perlu Perbaikan",OR(AD204="",AB204="",AC204="")),"Isi pemeriksa dan catatan perbaikan","OK")))))))))))))))),"")</f>
        <v/>
      </c>
    </row>
    <row r="205" spans="1:38" ht="24.95" customHeight="1">
      <c r="A205" s="8"/>
      <c r="B205" s="6"/>
      <c r="C205" s="15" t="str">
        <f>IF(COUNTIFS(Master_PIC!$A$8:$A$73,$B205)=1,IF(VLOOKUP($B205,Master_PIC!$A$8:$G$73,2,FALSE)="","",VLOOKUP($B205,Master_PIC!$A$8:$G$73,2,FALSE)),"")</f>
        <v/>
      </c>
      <c r="D205" s="15" t="str">
        <f>IF(COUNTIFS(Master_PIC!$A$8:$A$73,$B205)=1,IF(VLOOKUP($B205,Master_PIC!$A$8:$G$73,4,FALSE)="","",VLOOKUP($B205,Master_PIC!$A$8:$G$73,4,FALSE)),"")</f>
        <v/>
      </c>
      <c r="E205" s="15" t="str">
        <f>IF(COUNTIFS(Master_PIC!$A$8:$A$73,$B205)=1,IF(VLOOKUP($B205,Master_PIC!$A$8:$G$73,5,FALSE)="","",VLOOKUP($B205,Master_PIC!$A$8:$G$73,5,FALSE)),"")</f>
        <v/>
      </c>
      <c r="F205" s="15" t="str">
        <f>IF(COUNTIFS(Master_PIC!$A$8:$A$73,$B205)=1,IF(VLOOKUP($B205,Master_PIC!$A$8:$G$73,6,FALSE)="","",VLOOKUP($B205,Master_PIC!$A$8:$G$73,6,FALSE)),"")</f>
        <v/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8"/>
      <c r="X205" s="5"/>
      <c r="Y205" s="5"/>
      <c r="Z205" s="9"/>
      <c r="AA205" s="5"/>
      <c r="AB205" s="5"/>
      <c r="AC205" s="9"/>
      <c r="AD205" s="5"/>
      <c r="AE205" s="7" t="str">
        <f t="shared" si="21"/>
        <v/>
      </c>
      <c r="AF205" s="7" t="str">
        <f t="shared" si="22"/>
        <v/>
      </c>
      <c r="AG205" s="7" t="str">
        <f t="shared" si="23"/>
        <v/>
      </c>
      <c r="AH205" s="7" t="str">
        <f t="shared" si="24"/>
        <v/>
      </c>
      <c r="AI205" s="7" t="str">
        <f t="shared" si="25"/>
        <v/>
      </c>
      <c r="AJ205" s="7" t="str">
        <f t="shared" si="26"/>
        <v/>
      </c>
      <c r="AK205" s="10" t="str">
        <f t="shared" si="27"/>
        <v/>
      </c>
      <c r="AL205" s="15" t="str">
        <f>IF(OR($A205&lt;&gt;"",$B205&lt;&gt;""),IF(OR($A205="",$B205=""),"Isi tanggal dan ID PIC",IF(NOT(ISNUMBER($A205)),"Tanggal harus berupa tanggal Excel",IF(COUNTIFS(Master_PIC!$A$8:$A$73,$B205)&lt;&gt;1,"ID PIC tidak unik/terdaftar",IF(VLOOKUP($B205,Master_PIC!$A$8:$G$73,3,FALSE)&lt;&gt;"ASM","Jabatan tidak sesuai sheet",IF(OR($C205="",$D205="",$E205="",$F205=""),"Lengkapi master PIC",IF(COUNTIFS($A$8:$A$507,$A205,$B$8:$B$507,$B205)&gt;1,"Laporan ganda",IF(COUNTIFS(G205:O205,"Tidak Berlaku")&gt;0,"N/A hanya untuk kegiatan bersyarat",IF(SUM(AF205,AG205,AH205,AI205,AJ205)&lt;&gt;13,"Status kegiatan tidak valid",IF(AJ205&gt;0,"Lengkapi status kegiatan",IF(AND(AI205&gt;0,T205=""),"Isi alasan Tidak Berlaku",IF(AND(SUM(AG205,AH205)&gt;0,OR(T205="",U205="",V205="",W205="")),"Isi kendala dan tindak lanjut",IF(AND(Y205&lt;&gt;"Draft",Y205&lt;&gt;"Dikirim"),"Isi status laporan yang valid",IF(AND(AA205&lt;&gt;"",AA205&lt;&gt;"Belum Diperiksa",AA205&lt;&gt;"Disetujui",AA205&lt;&gt;"Perlu Perbaikan"),"Hasil review tidak valid",IF(AND(Y205="Dikirim",OR(X205="",Z205="")),"Isi bukti dan waktu kirim",IF(AND(AA205="Disetujui",OR(Y205&lt;&gt;"Dikirim",AB205="",AC205="")),"Lengkapi pemeriksaan",IF(AND(AA205="Perlu Perbaikan",OR(AD205="",AB205="",AC205="")),"Isi pemeriksa dan catatan perbaikan","OK")))))))))))))))),"")</f>
        <v/>
      </c>
    </row>
    <row r="206" spans="1:38" ht="24.95" customHeight="1">
      <c r="A206" s="8"/>
      <c r="B206" s="6"/>
      <c r="C206" s="15" t="str">
        <f>IF(COUNTIFS(Master_PIC!$A$8:$A$73,$B206)=1,IF(VLOOKUP($B206,Master_PIC!$A$8:$G$73,2,FALSE)="","",VLOOKUP($B206,Master_PIC!$A$8:$G$73,2,FALSE)),"")</f>
        <v/>
      </c>
      <c r="D206" s="15" t="str">
        <f>IF(COUNTIFS(Master_PIC!$A$8:$A$73,$B206)=1,IF(VLOOKUP($B206,Master_PIC!$A$8:$G$73,4,FALSE)="","",VLOOKUP($B206,Master_PIC!$A$8:$G$73,4,FALSE)),"")</f>
        <v/>
      </c>
      <c r="E206" s="15" t="str">
        <f>IF(COUNTIFS(Master_PIC!$A$8:$A$73,$B206)=1,IF(VLOOKUP($B206,Master_PIC!$A$8:$G$73,5,FALSE)="","",VLOOKUP($B206,Master_PIC!$A$8:$G$73,5,FALSE)),"")</f>
        <v/>
      </c>
      <c r="F206" s="15" t="str">
        <f>IF(COUNTIFS(Master_PIC!$A$8:$A$73,$B206)=1,IF(VLOOKUP($B206,Master_PIC!$A$8:$G$73,6,FALSE)="","",VLOOKUP($B206,Master_PIC!$A$8:$G$73,6,FALSE)),"")</f>
        <v/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8"/>
      <c r="X206" s="5"/>
      <c r="Y206" s="5"/>
      <c r="Z206" s="9"/>
      <c r="AA206" s="5"/>
      <c r="AB206" s="5"/>
      <c r="AC206" s="9"/>
      <c r="AD206" s="5"/>
      <c r="AE206" s="7" t="str">
        <f t="shared" si="21"/>
        <v/>
      </c>
      <c r="AF206" s="7" t="str">
        <f t="shared" si="22"/>
        <v/>
      </c>
      <c r="AG206" s="7" t="str">
        <f t="shared" si="23"/>
        <v/>
      </c>
      <c r="AH206" s="7" t="str">
        <f t="shared" si="24"/>
        <v/>
      </c>
      <c r="AI206" s="7" t="str">
        <f t="shared" si="25"/>
        <v/>
      </c>
      <c r="AJ206" s="7" t="str">
        <f t="shared" si="26"/>
        <v/>
      </c>
      <c r="AK206" s="10" t="str">
        <f t="shared" si="27"/>
        <v/>
      </c>
      <c r="AL206" s="15" t="str">
        <f>IF(OR($A206&lt;&gt;"",$B206&lt;&gt;""),IF(OR($A206="",$B206=""),"Isi tanggal dan ID PIC",IF(NOT(ISNUMBER($A206)),"Tanggal harus berupa tanggal Excel",IF(COUNTIFS(Master_PIC!$A$8:$A$73,$B206)&lt;&gt;1,"ID PIC tidak unik/terdaftar",IF(VLOOKUP($B206,Master_PIC!$A$8:$G$73,3,FALSE)&lt;&gt;"ASM","Jabatan tidak sesuai sheet",IF(OR($C206="",$D206="",$E206="",$F206=""),"Lengkapi master PIC",IF(COUNTIFS($A$8:$A$507,$A206,$B$8:$B$507,$B206)&gt;1,"Laporan ganda",IF(COUNTIFS(G206:O206,"Tidak Berlaku")&gt;0,"N/A hanya untuk kegiatan bersyarat",IF(SUM(AF206,AG206,AH206,AI206,AJ206)&lt;&gt;13,"Status kegiatan tidak valid",IF(AJ206&gt;0,"Lengkapi status kegiatan",IF(AND(AI206&gt;0,T206=""),"Isi alasan Tidak Berlaku",IF(AND(SUM(AG206,AH206)&gt;0,OR(T206="",U206="",V206="",W206="")),"Isi kendala dan tindak lanjut",IF(AND(Y206&lt;&gt;"Draft",Y206&lt;&gt;"Dikirim"),"Isi status laporan yang valid",IF(AND(AA206&lt;&gt;"",AA206&lt;&gt;"Belum Diperiksa",AA206&lt;&gt;"Disetujui",AA206&lt;&gt;"Perlu Perbaikan"),"Hasil review tidak valid",IF(AND(Y206="Dikirim",OR(X206="",Z206="")),"Isi bukti dan waktu kirim",IF(AND(AA206="Disetujui",OR(Y206&lt;&gt;"Dikirim",AB206="",AC206="")),"Lengkapi pemeriksaan",IF(AND(AA206="Perlu Perbaikan",OR(AD206="",AB206="",AC206="")),"Isi pemeriksa dan catatan perbaikan","OK")))))))))))))))),"")</f>
        <v/>
      </c>
    </row>
    <row r="207" spans="1:38" ht="24.95" customHeight="1">
      <c r="A207" s="8"/>
      <c r="B207" s="6"/>
      <c r="C207" s="15" t="str">
        <f>IF(COUNTIFS(Master_PIC!$A$8:$A$73,$B207)=1,IF(VLOOKUP($B207,Master_PIC!$A$8:$G$73,2,FALSE)="","",VLOOKUP($B207,Master_PIC!$A$8:$G$73,2,FALSE)),"")</f>
        <v/>
      </c>
      <c r="D207" s="15" t="str">
        <f>IF(COUNTIFS(Master_PIC!$A$8:$A$73,$B207)=1,IF(VLOOKUP($B207,Master_PIC!$A$8:$G$73,4,FALSE)="","",VLOOKUP($B207,Master_PIC!$A$8:$G$73,4,FALSE)),"")</f>
        <v/>
      </c>
      <c r="E207" s="15" t="str">
        <f>IF(COUNTIFS(Master_PIC!$A$8:$A$73,$B207)=1,IF(VLOOKUP($B207,Master_PIC!$A$8:$G$73,5,FALSE)="","",VLOOKUP($B207,Master_PIC!$A$8:$G$73,5,FALSE)),"")</f>
        <v/>
      </c>
      <c r="F207" s="15" t="str">
        <f>IF(COUNTIFS(Master_PIC!$A$8:$A$73,$B207)=1,IF(VLOOKUP($B207,Master_PIC!$A$8:$G$73,6,FALSE)="","",VLOOKUP($B207,Master_PIC!$A$8:$G$73,6,FALSE)),"")</f>
        <v/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8"/>
      <c r="X207" s="5"/>
      <c r="Y207" s="5"/>
      <c r="Z207" s="9"/>
      <c r="AA207" s="5"/>
      <c r="AB207" s="5"/>
      <c r="AC207" s="9"/>
      <c r="AD207" s="5"/>
      <c r="AE207" s="7" t="str">
        <f t="shared" si="21"/>
        <v/>
      </c>
      <c r="AF207" s="7" t="str">
        <f t="shared" si="22"/>
        <v/>
      </c>
      <c r="AG207" s="7" t="str">
        <f t="shared" si="23"/>
        <v/>
      </c>
      <c r="AH207" s="7" t="str">
        <f t="shared" si="24"/>
        <v/>
      </c>
      <c r="AI207" s="7" t="str">
        <f t="shared" si="25"/>
        <v/>
      </c>
      <c r="AJ207" s="7" t="str">
        <f t="shared" si="26"/>
        <v/>
      </c>
      <c r="AK207" s="10" t="str">
        <f t="shared" si="27"/>
        <v/>
      </c>
      <c r="AL207" s="15" t="str">
        <f>IF(OR($A207&lt;&gt;"",$B207&lt;&gt;""),IF(OR($A207="",$B207=""),"Isi tanggal dan ID PIC",IF(NOT(ISNUMBER($A207)),"Tanggal harus berupa tanggal Excel",IF(COUNTIFS(Master_PIC!$A$8:$A$73,$B207)&lt;&gt;1,"ID PIC tidak unik/terdaftar",IF(VLOOKUP($B207,Master_PIC!$A$8:$G$73,3,FALSE)&lt;&gt;"ASM","Jabatan tidak sesuai sheet",IF(OR($C207="",$D207="",$E207="",$F207=""),"Lengkapi master PIC",IF(COUNTIFS($A$8:$A$507,$A207,$B$8:$B$507,$B207)&gt;1,"Laporan ganda",IF(COUNTIFS(G207:O207,"Tidak Berlaku")&gt;0,"N/A hanya untuk kegiatan bersyarat",IF(SUM(AF207,AG207,AH207,AI207,AJ207)&lt;&gt;13,"Status kegiatan tidak valid",IF(AJ207&gt;0,"Lengkapi status kegiatan",IF(AND(AI207&gt;0,T207=""),"Isi alasan Tidak Berlaku",IF(AND(SUM(AG207,AH207)&gt;0,OR(T207="",U207="",V207="",W207="")),"Isi kendala dan tindak lanjut",IF(AND(Y207&lt;&gt;"Draft",Y207&lt;&gt;"Dikirim"),"Isi status laporan yang valid",IF(AND(AA207&lt;&gt;"",AA207&lt;&gt;"Belum Diperiksa",AA207&lt;&gt;"Disetujui",AA207&lt;&gt;"Perlu Perbaikan"),"Hasil review tidak valid",IF(AND(Y207="Dikirim",OR(X207="",Z207="")),"Isi bukti dan waktu kirim",IF(AND(AA207="Disetujui",OR(Y207&lt;&gt;"Dikirim",AB207="",AC207="")),"Lengkapi pemeriksaan",IF(AND(AA207="Perlu Perbaikan",OR(AD207="",AB207="",AC207="")),"Isi pemeriksa dan catatan perbaikan","OK")))))))))))))))),"")</f>
        <v/>
      </c>
    </row>
    <row r="208" spans="1:38" ht="24.95" customHeight="1">
      <c r="A208" s="8"/>
      <c r="B208" s="6"/>
      <c r="C208" s="15" t="str">
        <f>IF(COUNTIFS(Master_PIC!$A$8:$A$73,$B208)=1,IF(VLOOKUP($B208,Master_PIC!$A$8:$G$73,2,FALSE)="","",VLOOKUP($B208,Master_PIC!$A$8:$G$73,2,FALSE)),"")</f>
        <v/>
      </c>
      <c r="D208" s="15" t="str">
        <f>IF(COUNTIFS(Master_PIC!$A$8:$A$73,$B208)=1,IF(VLOOKUP($B208,Master_PIC!$A$8:$G$73,4,FALSE)="","",VLOOKUP($B208,Master_PIC!$A$8:$G$73,4,FALSE)),"")</f>
        <v/>
      </c>
      <c r="E208" s="15" t="str">
        <f>IF(COUNTIFS(Master_PIC!$A$8:$A$73,$B208)=1,IF(VLOOKUP($B208,Master_PIC!$A$8:$G$73,5,FALSE)="","",VLOOKUP($B208,Master_PIC!$A$8:$G$73,5,FALSE)),"")</f>
        <v/>
      </c>
      <c r="F208" s="15" t="str">
        <f>IF(COUNTIFS(Master_PIC!$A$8:$A$73,$B208)=1,IF(VLOOKUP($B208,Master_PIC!$A$8:$G$73,6,FALSE)="","",VLOOKUP($B208,Master_PIC!$A$8:$G$73,6,FALSE)),"")</f>
        <v/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9"/>
      <c r="AA208" s="5"/>
      <c r="AB208" s="5"/>
      <c r="AC208" s="9"/>
      <c r="AD208" s="5"/>
      <c r="AE208" s="7" t="str">
        <f t="shared" si="21"/>
        <v/>
      </c>
      <c r="AF208" s="7" t="str">
        <f t="shared" si="22"/>
        <v/>
      </c>
      <c r="AG208" s="7" t="str">
        <f t="shared" si="23"/>
        <v/>
      </c>
      <c r="AH208" s="7" t="str">
        <f t="shared" si="24"/>
        <v/>
      </c>
      <c r="AI208" s="7" t="str">
        <f t="shared" si="25"/>
        <v/>
      </c>
      <c r="AJ208" s="7" t="str">
        <f t="shared" si="26"/>
        <v/>
      </c>
      <c r="AK208" s="10" t="str">
        <f t="shared" si="27"/>
        <v/>
      </c>
      <c r="AL208" s="15" t="str">
        <f>IF(OR($A208&lt;&gt;"",$B208&lt;&gt;""),IF(OR($A208="",$B208=""),"Isi tanggal dan ID PIC",IF(NOT(ISNUMBER($A208)),"Tanggal harus berupa tanggal Excel",IF(COUNTIFS(Master_PIC!$A$8:$A$73,$B208)&lt;&gt;1,"ID PIC tidak unik/terdaftar",IF(VLOOKUP($B208,Master_PIC!$A$8:$G$73,3,FALSE)&lt;&gt;"ASM","Jabatan tidak sesuai sheet",IF(OR($C208="",$D208="",$E208="",$F208=""),"Lengkapi master PIC",IF(COUNTIFS($A$8:$A$507,$A208,$B$8:$B$507,$B208)&gt;1,"Laporan ganda",IF(COUNTIFS(G208:O208,"Tidak Berlaku")&gt;0,"N/A hanya untuk kegiatan bersyarat",IF(SUM(AF208,AG208,AH208,AI208,AJ208)&lt;&gt;13,"Status kegiatan tidak valid",IF(AJ208&gt;0,"Lengkapi status kegiatan",IF(AND(AI208&gt;0,T208=""),"Isi alasan Tidak Berlaku",IF(AND(SUM(AG208,AH208)&gt;0,OR(T208="",U208="",V208="",W208="")),"Isi kendala dan tindak lanjut",IF(AND(Y208&lt;&gt;"Draft",Y208&lt;&gt;"Dikirim"),"Isi status laporan yang valid",IF(AND(AA208&lt;&gt;"",AA208&lt;&gt;"Belum Diperiksa",AA208&lt;&gt;"Disetujui",AA208&lt;&gt;"Perlu Perbaikan"),"Hasil review tidak valid",IF(AND(Y208="Dikirim",OR(X208="",Z208="")),"Isi bukti dan waktu kirim",IF(AND(AA208="Disetujui",OR(Y208&lt;&gt;"Dikirim",AB208="",AC208="")),"Lengkapi pemeriksaan",IF(AND(AA208="Perlu Perbaikan",OR(AD208="",AB208="",AC208="")),"Isi pemeriksa dan catatan perbaikan","OK")))))))))))))))),"")</f>
        <v/>
      </c>
    </row>
    <row r="209" spans="1:38" ht="24.95" customHeight="1">
      <c r="A209" s="8"/>
      <c r="B209" s="6"/>
      <c r="C209" s="15" t="str">
        <f>IF(COUNTIFS(Master_PIC!$A$8:$A$73,$B209)=1,IF(VLOOKUP($B209,Master_PIC!$A$8:$G$73,2,FALSE)="","",VLOOKUP($B209,Master_PIC!$A$8:$G$73,2,FALSE)),"")</f>
        <v/>
      </c>
      <c r="D209" s="15" t="str">
        <f>IF(COUNTIFS(Master_PIC!$A$8:$A$73,$B209)=1,IF(VLOOKUP($B209,Master_PIC!$A$8:$G$73,4,FALSE)="","",VLOOKUP($B209,Master_PIC!$A$8:$G$73,4,FALSE)),"")</f>
        <v/>
      </c>
      <c r="E209" s="15" t="str">
        <f>IF(COUNTIFS(Master_PIC!$A$8:$A$73,$B209)=1,IF(VLOOKUP($B209,Master_PIC!$A$8:$G$73,5,FALSE)="","",VLOOKUP($B209,Master_PIC!$A$8:$G$73,5,FALSE)),"")</f>
        <v/>
      </c>
      <c r="F209" s="15" t="str">
        <f>IF(COUNTIFS(Master_PIC!$A$8:$A$73,$B209)=1,IF(VLOOKUP($B209,Master_PIC!$A$8:$G$73,6,FALSE)="","",VLOOKUP($B209,Master_PIC!$A$8:$G$73,6,FALSE)),"")</f>
        <v/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8"/>
      <c r="X209" s="5"/>
      <c r="Y209" s="5"/>
      <c r="Z209" s="9"/>
      <c r="AA209" s="5"/>
      <c r="AB209" s="5"/>
      <c r="AC209" s="9"/>
      <c r="AD209" s="5"/>
      <c r="AE209" s="7" t="str">
        <f t="shared" si="21"/>
        <v/>
      </c>
      <c r="AF209" s="7" t="str">
        <f t="shared" si="22"/>
        <v/>
      </c>
      <c r="AG209" s="7" t="str">
        <f t="shared" si="23"/>
        <v/>
      </c>
      <c r="AH209" s="7" t="str">
        <f t="shared" si="24"/>
        <v/>
      </c>
      <c r="AI209" s="7" t="str">
        <f t="shared" si="25"/>
        <v/>
      </c>
      <c r="AJ209" s="7" t="str">
        <f t="shared" si="26"/>
        <v/>
      </c>
      <c r="AK209" s="10" t="str">
        <f t="shared" si="27"/>
        <v/>
      </c>
      <c r="AL209" s="15" t="str">
        <f>IF(OR($A209&lt;&gt;"",$B209&lt;&gt;""),IF(OR($A209="",$B209=""),"Isi tanggal dan ID PIC",IF(NOT(ISNUMBER($A209)),"Tanggal harus berupa tanggal Excel",IF(COUNTIFS(Master_PIC!$A$8:$A$73,$B209)&lt;&gt;1,"ID PIC tidak unik/terdaftar",IF(VLOOKUP($B209,Master_PIC!$A$8:$G$73,3,FALSE)&lt;&gt;"ASM","Jabatan tidak sesuai sheet",IF(OR($C209="",$D209="",$E209="",$F209=""),"Lengkapi master PIC",IF(COUNTIFS($A$8:$A$507,$A209,$B$8:$B$507,$B209)&gt;1,"Laporan ganda",IF(COUNTIFS(G209:O209,"Tidak Berlaku")&gt;0,"N/A hanya untuk kegiatan bersyarat",IF(SUM(AF209,AG209,AH209,AI209,AJ209)&lt;&gt;13,"Status kegiatan tidak valid",IF(AJ209&gt;0,"Lengkapi status kegiatan",IF(AND(AI209&gt;0,T209=""),"Isi alasan Tidak Berlaku",IF(AND(SUM(AG209,AH209)&gt;0,OR(T209="",U209="",V209="",W209="")),"Isi kendala dan tindak lanjut",IF(AND(Y209&lt;&gt;"Draft",Y209&lt;&gt;"Dikirim"),"Isi status laporan yang valid",IF(AND(AA209&lt;&gt;"",AA209&lt;&gt;"Belum Diperiksa",AA209&lt;&gt;"Disetujui",AA209&lt;&gt;"Perlu Perbaikan"),"Hasil review tidak valid",IF(AND(Y209="Dikirim",OR(X209="",Z209="")),"Isi bukti dan waktu kirim",IF(AND(AA209="Disetujui",OR(Y209&lt;&gt;"Dikirim",AB209="",AC209="")),"Lengkapi pemeriksaan",IF(AND(AA209="Perlu Perbaikan",OR(AD209="",AB209="",AC209="")),"Isi pemeriksa dan catatan perbaikan","OK")))))))))))))))),"")</f>
        <v/>
      </c>
    </row>
    <row r="210" spans="1:38" ht="24.95" customHeight="1">
      <c r="A210" s="8"/>
      <c r="B210" s="6"/>
      <c r="C210" s="15" t="str">
        <f>IF(COUNTIFS(Master_PIC!$A$8:$A$73,$B210)=1,IF(VLOOKUP($B210,Master_PIC!$A$8:$G$73,2,FALSE)="","",VLOOKUP($B210,Master_PIC!$A$8:$G$73,2,FALSE)),"")</f>
        <v/>
      </c>
      <c r="D210" s="15" t="str">
        <f>IF(COUNTIFS(Master_PIC!$A$8:$A$73,$B210)=1,IF(VLOOKUP($B210,Master_PIC!$A$8:$G$73,4,FALSE)="","",VLOOKUP($B210,Master_PIC!$A$8:$G$73,4,FALSE)),"")</f>
        <v/>
      </c>
      <c r="E210" s="15" t="str">
        <f>IF(COUNTIFS(Master_PIC!$A$8:$A$73,$B210)=1,IF(VLOOKUP($B210,Master_PIC!$A$8:$G$73,5,FALSE)="","",VLOOKUP($B210,Master_PIC!$A$8:$G$73,5,FALSE)),"")</f>
        <v/>
      </c>
      <c r="F210" s="15" t="str">
        <f>IF(COUNTIFS(Master_PIC!$A$8:$A$73,$B210)=1,IF(VLOOKUP($B210,Master_PIC!$A$8:$G$73,6,FALSE)="","",VLOOKUP($B210,Master_PIC!$A$8:$G$73,6,FALSE)),"")</f>
        <v/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8"/>
      <c r="X210" s="5"/>
      <c r="Y210" s="5"/>
      <c r="Z210" s="9"/>
      <c r="AA210" s="5"/>
      <c r="AB210" s="5"/>
      <c r="AC210" s="9"/>
      <c r="AD210" s="5"/>
      <c r="AE210" s="7" t="str">
        <f t="shared" si="21"/>
        <v/>
      </c>
      <c r="AF210" s="7" t="str">
        <f t="shared" si="22"/>
        <v/>
      </c>
      <c r="AG210" s="7" t="str">
        <f t="shared" si="23"/>
        <v/>
      </c>
      <c r="AH210" s="7" t="str">
        <f t="shared" si="24"/>
        <v/>
      </c>
      <c r="AI210" s="7" t="str">
        <f t="shared" si="25"/>
        <v/>
      </c>
      <c r="AJ210" s="7" t="str">
        <f t="shared" si="26"/>
        <v/>
      </c>
      <c r="AK210" s="10" t="str">
        <f t="shared" si="27"/>
        <v/>
      </c>
      <c r="AL210" s="15" t="str">
        <f>IF(OR($A210&lt;&gt;"",$B210&lt;&gt;""),IF(OR($A210="",$B210=""),"Isi tanggal dan ID PIC",IF(NOT(ISNUMBER($A210)),"Tanggal harus berupa tanggal Excel",IF(COUNTIFS(Master_PIC!$A$8:$A$73,$B210)&lt;&gt;1,"ID PIC tidak unik/terdaftar",IF(VLOOKUP($B210,Master_PIC!$A$8:$G$73,3,FALSE)&lt;&gt;"ASM","Jabatan tidak sesuai sheet",IF(OR($C210="",$D210="",$E210="",$F210=""),"Lengkapi master PIC",IF(COUNTIFS($A$8:$A$507,$A210,$B$8:$B$507,$B210)&gt;1,"Laporan ganda",IF(COUNTIFS(G210:O210,"Tidak Berlaku")&gt;0,"N/A hanya untuk kegiatan bersyarat",IF(SUM(AF210,AG210,AH210,AI210,AJ210)&lt;&gt;13,"Status kegiatan tidak valid",IF(AJ210&gt;0,"Lengkapi status kegiatan",IF(AND(AI210&gt;0,T210=""),"Isi alasan Tidak Berlaku",IF(AND(SUM(AG210,AH210)&gt;0,OR(T210="",U210="",V210="",W210="")),"Isi kendala dan tindak lanjut",IF(AND(Y210&lt;&gt;"Draft",Y210&lt;&gt;"Dikirim"),"Isi status laporan yang valid",IF(AND(AA210&lt;&gt;"",AA210&lt;&gt;"Belum Diperiksa",AA210&lt;&gt;"Disetujui",AA210&lt;&gt;"Perlu Perbaikan"),"Hasil review tidak valid",IF(AND(Y210="Dikirim",OR(X210="",Z210="")),"Isi bukti dan waktu kirim",IF(AND(AA210="Disetujui",OR(Y210&lt;&gt;"Dikirim",AB210="",AC210="")),"Lengkapi pemeriksaan",IF(AND(AA210="Perlu Perbaikan",OR(AD210="",AB210="",AC210="")),"Isi pemeriksa dan catatan perbaikan","OK")))))))))))))))),"")</f>
        <v/>
      </c>
    </row>
    <row r="211" spans="1:38" ht="24.95" customHeight="1">
      <c r="A211" s="8"/>
      <c r="B211" s="6"/>
      <c r="C211" s="15" t="str">
        <f>IF(COUNTIFS(Master_PIC!$A$8:$A$73,$B211)=1,IF(VLOOKUP($B211,Master_PIC!$A$8:$G$73,2,FALSE)="","",VLOOKUP($B211,Master_PIC!$A$8:$G$73,2,FALSE)),"")</f>
        <v/>
      </c>
      <c r="D211" s="15" t="str">
        <f>IF(COUNTIFS(Master_PIC!$A$8:$A$73,$B211)=1,IF(VLOOKUP($B211,Master_PIC!$A$8:$G$73,4,FALSE)="","",VLOOKUP($B211,Master_PIC!$A$8:$G$73,4,FALSE)),"")</f>
        <v/>
      </c>
      <c r="E211" s="15" t="str">
        <f>IF(COUNTIFS(Master_PIC!$A$8:$A$73,$B211)=1,IF(VLOOKUP($B211,Master_PIC!$A$8:$G$73,5,FALSE)="","",VLOOKUP($B211,Master_PIC!$A$8:$G$73,5,FALSE)),"")</f>
        <v/>
      </c>
      <c r="F211" s="15" t="str">
        <f>IF(COUNTIFS(Master_PIC!$A$8:$A$73,$B211)=1,IF(VLOOKUP($B211,Master_PIC!$A$8:$G$73,6,FALSE)="","",VLOOKUP($B211,Master_PIC!$A$8:$G$73,6,FALSE)),"")</f>
        <v/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8"/>
      <c r="X211" s="5"/>
      <c r="Y211" s="5"/>
      <c r="Z211" s="9"/>
      <c r="AA211" s="5"/>
      <c r="AB211" s="5"/>
      <c r="AC211" s="9"/>
      <c r="AD211" s="5"/>
      <c r="AE211" s="7" t="str">
        <f t="shared" si="21"/>
        <v/>
      </c>
      <c r="AF211" s="7" t="str">
        <f t="shared" si="22"/>
        <v/>
      </c>
      <c r="AG211" s="7" t="str">
        <f t="shared" si="23"/>
        <v/>
      </c>
      <c r="AH211" s="7" t="str">
        <f t="shared" si="24"/>
        <v/>
      </c>
      <c r="AI211" s="7" t="str">
        <f t="shared" si="25"/>
        <v/>
      </c>
      <c r="AJ211" s="7" t="str">
        <f t="shared" si="26"/>
        <v/>
      </c>
      <c r="AK211" s="10" t="str">
        <f t="shared" si="27"/>
        <v/>
      </c>
      <c r="AL211" s="15" t="str">
        <f>IF(OR($A211&lt;&gt;"",$B211&lt;&gt;""),IF(OR($A211="",$B211=""),"Isi tanggal dan ID PIC",IF(NOT(ISNUMBER($A211)),"Tanggal harus berupa tanggal Excel",IF(COUNTIFS(Master_PIC!$A$8:$A$73,$B211)&lt;&gt;1,"ID PIC tidak unik/terdaftar",IF(VLOOKUP($B211,Master_PIC!$A$8:$G$73,3,FALSE)&lt;&gt;"ASM","Jabatan tidak sesuai sheet",IF(OR($C211="",$D211="",$E211="",$F211=""),"Lengkapi master PIC",IF(COUNTIFS($A$8:$A$507,$A211,$B$8:$B$507,$B211)&gt;1,"Laporan ganda",IF(COUNTIFS(G211:O211,"Tidak Berlaku")&gt;0,"N/A hanya untuk kegiatan bersyarat",IF(SUM(AF211,AG211,AH211,AI211,AJ211)&lt;&gt;13,"Status kegiatan tidak valid",IF(AJ211&gt;0,"Lengkapi status kegiatan",IF(AND(AI211&gt;0,T211=""),"Isi alasan Tidak Berlaku",IF(AND(SUM(AG211,AH211)&gt;0,OR(T211="",U211="",V211="",W211="")),"Isi kendala dan tindak lanjut",IF(AND(Y211&lt;&gt;"Draft",Y211&lt;&gt;"Dikirim"),"Isi status laporan yang valid",IF(AND(AA211&lt;&gt;"",AA211&lt;&gt;"Belum Diperiksa",AA211&lt;&gt;"Disetujui",AA211&lt;&gt;"Perlu Perbaikan"),"Hasil review tidak valid",IF(AND(Y211="Dikirim",OR(X211="",Z211="")),"Isi bukti dan waktu kirim",IF(AND(AA211="Disetujui",OR(Y211&lt;&gt;"Dikirim",AB211="",AC211="")),"Lengkapi pemeriksaan",IF(AND(AA211="Perlu Perbaikan",OR(AD211="",AB211="",AC211="")),"Isi pemeriksa dan catatan perbaikan","OK")))))))))))))))),"")</f>
        <v/>
      </c>
    </row>
    <row r="212" spans="1:38" ht="24.95" customHeight="1">
      <c r="A212" s="8"/>
      <c r="B212" s="6"/>
      <c r="C212" s="15" t="str">
        <f>IF(COUNTIFS(Master_PIC!$A$8:$A$73,$B212)=1,IF(VLOOKUP($B212,Master_PIC!$A$8:$G$73,2,FALSE)="","",VLOOKUP($B212,Master_PIC!$A$8:$G$73,2,FALSE)),"")</f>
        <v/>
      </c>
      <c r="D212" s="15" t="str">
        <f>IF(COUNTIFS(Master_PIC!$A$8:$A$73,$B212)=1,IF(VLOOKUP($B212,Master_PIC!$A$8:$G$73,4,FALSE)="","",VLOOKUP($B212,Master_PIC!$A$8:$G$73,4,FALSE)),"")</f>
        <v/>
      </c>
      <c r="E212" s="15" t="str">
        <f>IF(COUNTIFS(Master_PIC!$A$8:$A$73,$B212)=1,IF(VLOOKUP($B212,Master_PIC!$A$8:$G$73,5,FALSE)="","",VLOOKUP($B212,Master_PIC!$A$8:$G$73,5,FALSE)),"")</f>
        <v/>
      </c>
      <c r="F212" s="15" t="str">
        <f>IF(COUNTIFS(Master_PIC!$A$8:$A$73,$B212)=1,IF(VLOOKUP($B212,Master_PIC!$A$8:$G$73,6,FALSE)="","",VLOOKUP($B212,Master_PIC!$A$8:$G$73,6,FALSE)),"")</f>
        <v/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8"/>
      <c r="X212" s="5"/>
      <c r="Y212" s="5"/>
      <c r="Z212" s="9"/>
      <c r="AA212" s="5"/>
      <c r="AB212" s="5"/>
      <c r="AC212" s="9"/>
      <c r="AD212" s="5"/>
      <c r="AE212" s="7" t="str">
        <f t="shared" si="21"/>
        <v/>
      </c>
      <c r="AF212" s="7" t="str">
        <f t="shared" si="22"/>
        <v/>
      </c>
      <c r="AG212" s="7" t="str">
        <f t="shared" si="23"/>
        <v/>
      </c>
      <c r="AH212" s="7" t="str">
        <f t="shared" si="24"/>
        <v/>
      </c>
      <c r="AI212" s="7" t="str">
        <f t="shared" si="25"/>
        <v/>
      </c>
      <c r="AJ212" s="7" t="str">
        <f t="shared" si="26"/>
        <v/>
      </c>
      <c r="AK212" s="10" t="str">
        <f t="shared" si="27"/>
        <v/>
      </c>
      <c r="AL212" s="15" t="str">
        <f>IF(OR($A212&lt;&gt;"",$B212&lt;&gt;""),IF(OR($A212="",$B212=""),"Isi tanggal dan ID PIC",IF(NOT(ISNUMBER($A212)),"Tanggal harus berupa tanggal Excel",IF(COUNTIFS(Master_PIC!$A$8:$A$73,$B212)&lt;&gt;1,"ID PIC tidak unik/terdaftar",IF(VLOOKUP($B212,Master_PIC!$A$8:$G$73,3,FALSE)&lt;&gt;"ASM","Jabatan tidak sesuai sheet",IF(OR($C212="",$D212="",$E212="",$F212=""),"Lengkapi master PIC",IF(COUNTIFS($A$8:$A$507,$A212,$B$8:$B$507,$B212)&gt;1,"Laporan ganda",IF(COUNTIFS(G212:O212,"Tidak Berlaku")&gt;0,"N/A hanya untuk kegiatan bersyarat",IF(SUM(AF212,AG212,AH212,AI212,AJ212)&lt;&gt;13,"Status kegiatan tidak valid",IF(AJ212&gt;0,"Lengkapi status kegiatan",IF(AND(AI212&gt;0,T212=""),"Isi alasan Tidak Berlaku",IF(AND(SUM(AG212,AH212)&gt;0,OR(T212="",U212="",V212="",W212="")),"Isi kendala dan tindak lanjut",IF(AND(Y212&lt;&gt;"Draft",Y212&lt;&gt;"Dikirim"),"Isi status laporan yang valid",IF(AND(AA212&lt;&gt;"",AA212&lt;&gt;"Belum Diperiksa",AA212&lt;&gt;"Disetujui",AA212&lt;&gt;"Perlu Perbaikan"),"Hasil review tidak valid",IF(AND(Y212="Dikirim",OR(X212="",Z212="")),"Isi bukti dan waktu kirim",IF(AND(AA212="Disetujui",OR(Y212&lt;&gt;"Dikirim",AB212="",AC212="")),"Lengkapi pemeriksaan",IF(AND(AA212="Perlu Perbaikan",OR(AD212="",AB212="",AC212="")),"Isi pemeriksa dan catatan perbaikan","OK")))))))))))))))),"")</f>
        <v/>
      </c>
    </row>
    <row r="213" spans="1:38" ht="24.95" customHeight="1">
      <c r="A213" s="8"/>
      <c r="B213" s="6"/>
      <c r="C213" s="15" t="str">
        <f>IF(COUNTIFS(Master_PIC!$A$8:$A$73,$B213)=1,IF(VLOOKUP($B213,Master_PIC!$A$8:$G$73,2,FALSE)="","",VLOOKUP($B213,Master_PIC!$A$8:$G$73,2,FALSE)),"")</f>
        <v/>
      </c>
      <c r="D213" s="15" t="str">
        <f>IF(COUNTIFS(Master_PIC!$A$8:$A$73,$B213)=1,IF(VLOOKUP($B213,Master_PIC!$A$8:$G$73,4,FALSE)="","",VLOOKUP($B213,Master_PIC!$A$8:$G$73,4,FALSE)),"")</f>
        <v/>
      </c>
      <c r="E213" s="15" t="str">
        <f>IF(COUNTIFS(Master_PIC!$A$8:$A$73,$B213)=1,IF(VLOOKUP($B213,Master_PIC!$A$8:$G$73,5,FALSE)="","",VLOOKUP($B213,Master_PIC!$A$8:$G$73,5,FALSE)),"")</f>
        <v/>
      </c>
      <c r="F213" s="15" t="str">
        <f>IF(COUNTIFS(Master_PIC!$A$8:$A$73,$B213)=1,IF(VLOOKUP($B213,Master_PIC!$A$8:$G$73,6,FALSE)="","",VLOOKUP($B213,Master_PIC!$A$8:$G$73,6,FALSE)),"")</f>
        <v/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8"/>
      <c r="X213" s="5"/>
      <c r="Y213" s="5"/>
      <c r="Z213" s="9"/>
      <c r="AA213" s="5"/>
      <c r="AB213" s="5"/>
      <c r="AC213" s="9"/>
      <c r="AD213" s="5"/>
      <c r="AE213" s="7" t="str">
        <f t="shared" si="21"/>
        <v/>
      </c>
      <c r="AF213" s="7" t="str">
        <f t="shared" si="22"/>
        <v/>
      </c>
      <c r="AG213" s="7" t="str">
        <f t="shared" si="23"/>
        <v/>
      </c>
      <c r="AH213" s="7" t="str">
        <f t="shared" si="24"/>
        <v/>
      </c>
      <c r="AI213" s="7" t="str">
        <f t="shared" si="25"/>
        <v/>
      </c>
      <c r="AJ213" s="7" t="str">
        <f t="shared" si="26"/>
        <v/>
      </c>
      <c r="AK213" s="10" t="str">
        <f t="shared" si="27"/>
        <v/>
      </c>
      <c r="AL213" s="15" t="str">
        <f>IF(OR($A213&lt;&gt;"",$B213&lt;&gt;""),IF(OR($A213="",$B213=""),"Isi tanggal dan ID PIC",IF(NOT(ISNUMBER($A213)),"Tanggal harus berupa tanggal Excel",IF(COUNTIFS(Master_PIC!$A$8:$A$73,$B213)&lt;&gt;1,"ID PIC tidak unik/terdaftar",IF(VLOOKUP($B213,Master_PIC!$A$8:$G$73,3,FALSE)&lt;&gt;"ASM","Jabatan tidak sesuai sheet",IF(OR($C213="",$D213="",$E213="",$F213=""),"Lengkapi master PIC",IF(COUNTIFS($A$8:$A$507,$A213,$B$8:$B$507,$B213)&gt;1,"Laporan ganda",IF(COUNTIFS(G213:O213,"Tidak Berlaku")&gt;0,"N/A hanya untuk kegiatan bersyarat",IF(SUM(AF213,AG213,AH213,AI213,AJ213)&lt;&gt;13,"Status kegiatan tidak valid",IF(AJ213&gt;0,"Lengkapi status kegiatan",IF(AND(AI213&gt;0,T213=""),"Isi alasan Tidak Berlaku",IF(AND(SUM(AG213,AH213)&gt;0,OR(T213="",U213="",V213="",W213="")),"Isi kendala dan tindak lanjut",IF(AND(Y213&lt;&gt;"Draft",Y213&lt;&gt;"Dikirim"),"Isi status laporan yang valid",IF(AND(AA213&lt;&gt;"",AA213&lt;&gt;"Belum Diperiksa",AA213&lt;&gt;"Disetujui",AA213&lt;&gt;"Perlu Perbaikan"),"Hasil review tidak valid",IF(AND(Y213="Dikirim",OR(X213="",Z213="")),"Isi bukti dan waktu kirim",IF(AND(AA213="Disetujui",OR(Y213&lt;&gt;"Dikirim",AB213="",AC213="")),"Lengkapi pemeriksaan",IF(AND(AA213="Perlu Perbaikan",OR(AD213="",AB213="",AC213="")),"Isi pemeriksa dan catatan perbaikan","OK")))))))))))))))),"")</f>
        <v/>
      </c>
    </row>
    <row r="214" spans="1:38" ht="24.95" customHeight="1">
      <c r="A214" s="8"/>
      <c r="B214" s="6"/>
      <c r="C214" s="15" t="str">
        <f>IF(COUNTIFS(Master_PIC!$A$8:$A$73,$B214)=1,IF(VLOOKUP($B214,Master_PIC!$A$8:$G$73,2,FALSE)="","",VLOOKUP($B214,Master_PIC!$A$8:$G$73,2,FALSE)),"")</f>
        <v/>
      </c>
      <c r="D214" s="15" t="str">
        <f>IF(COUNTIFS(Master_PIC!$A$8:$A$73,$B214)=1,IF(VLOOKUP($B214,Master_PIC!$A$8:$G$73,4,FALSE)="","",VLOOKUP($B214,Master_PIC!$A$8:$G$73,4,FALSE)),"")</f>
        <v/>
      </c>
      <c r="E214" s="15" t="str">
        <f>IF(COUNTIFS(Master_PIC!$A$8:$A$73,$B214)=1,IF(VLOOKUP($B214,Master_PIC!$A$8:$G$73,5,FALSE)="","",VLOOKUP($B214,Master_PIC!$A$8:$G$73,5,FALSE)),"")</f>
        <v/>
      </c>
      <c r="F214" s="15" t="str">
        <f>IF(COUNTIFS(Master_PIC!$A$8:$A$73,$B214)=1,IF(VLOOKUP($B214,Master_PIC!$A$8:$G$73,6,FALSE)="","",VLOOKUP($B214,Master_PIC!$A$8:$G$73,6,FALSE)),"")</f>
        <v/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8"/>
      <c r="X214" s="5"/>
      <c r="Y214" s="5"/>
      <c r="Z214" s="9"/>
      <c r="AA214" s="5"/>
      <c r="AB214" s="5"/>
      <c r="AC214" s="9"/>
      <c r="AD214" s="5"/>
      <c r="AE214" s="7" t="str">
        <f t="shared" si="21"/>
        <v/>
      </c>
      <c r="AF214" s="7" t="str">
        <f t="shared" si="22"/>
        <v/>
      </c>
      <c r="AG214" s="7" t="str">
        <f t="shared" si="23"/>
        <v/>
      </c>
      <c r="AH214" s="7" t="str">
        <f t="shared" si="24"/>
        <v/>
      </c>
      <c r="AI214" s="7" t="str">
        <f t="shared" si="25"/>
        <v/>
      </c>
      <c r="AJ214" s="7" t="str">
        <f t="shared" si="26"/>
        <v/>
      </c>
      <c r="AK214" s="10" t="str">
        <f t="shared" si="27"/>
        <v/>
      </c>
      <c r="AL214" s="15" t="str">
        <f>IF(OR($A214&lt;&gt;"",$B214&lt;&gt;""),IF(OR($A214="",$B214=""),"Isi tanggal dan ID PIC",IF(NOT(ISNUMBER($A214)),"Tanggal harus berupa tanggal Excel",IF(COUNTIFS(Master_PIC!$A$8:$A$73,$B214)&lt;&gt;1,"ID PIC tidak unik/terdaftar",IF(VLOOKUP($B214,Master_PIC!$A$8:$G$73,3,FALSE)&lt;&gt;"ASM","Jabatan tidak sesuai sheet",IF(OR($C214="",$D214="",$E214="",$F214=""),"Lengkapi master PIC",IF(COUNTIFS($A$8:$A$507,$A214,$B$8:$B$507,$B214)&gt;1,"Laporan ganda",IF(COUNTIFS(G214:O214,"Tidak Berlaku")&gt;0,"N/A hanya untuk kegiatan bersyarat",IF(SUM(AF214,AG214,AH214,AI214,AJ214)&lt;&gt;13,"Status kegiatan tidak valid",IF(AJ214&gt;0,"Lengkapi status kegiatan",IF(AND(AI214&gt;0,T214=""),"Isi alasan Tidak Berlaku",IF(AND(SUM(AG214,AH214)&gt;0,OR(T214="",U214="",V214="",W214="")),"Isi kendala dan tindak lanjut",IF(AND(Y214&lt;&gt;"Draft",Y214&lt;&gt;"Dikirim"),"Isi status laporan yang valid",IF(AND(AA214&lt;&gt;"",AA214&lt;&gt;"Belum Diperiksa",AA214&lt;&gt;"Disetujui",AA214&lt;&gt;"Perlu Perbaikan"),"Hasil review tidak valid",IF(AND(Y214="Dikirim",OR(X214="",Z214="")),"Isi bukti dan waktu kirim",IF(AND(AA214="Disetujui",OR(Y214&lt;&gt;"Dikirim",AB214="",AC214="")),"Lengkapi pemeriksaan",IF(AND(AA214="Perlu Perbaikan",OR(AD214="",AB214="",AC214="")),"Isi pemeriksa dan catatan perbaikan","OK")))))))))))))))),"")</f>
        <v/>
      </c>
    </row>
    <row r="215" spans="1:38" ht="24.95" customHeight="1">
      <c r="A215" s="8"/>
      <c r="B215" s="6"/>
      <c r="C215" s="15" t="str">
        <f>IF(COUNTIFS(Master_PIC!$A$8:$A$73,$B215)=1,IF(VLOOKUP($B215,Master_PIC!$A$8:$G$73,2,FALSE)="","",VLOOKUP($B215,Master_PIC!$A$8:$G$73,2,FALSE)),"")</f>
        <v/>
      </c>
      <c r="D215" s="15" t="str">
        <f>IF(COUNTIFS(Master_PIC!$A$8:$A$73,$B215)=1,IF(VLOOKUP($B215,Master_PIC!$A$8:$G$73,4,FALSE)="","",VLOOKUP($B215,Master_PIC!$A$8:$G$73,4,FALSE)),"")</f>
        <v/>
      </c>
      <c r="E215" s="15" t="str">
        <f>IF(COUNTIFS(Master_PIC!$A$8:$A$73,$B215)=1,IF(VLOOKUP($B215,Master_PIC!$A$8:$G$73,5,FALSE)="","",VLOOKUP($B215,Master_PIC!$A$8:$G$73,5,FALSE)),"")</f>
        <v/>
      </c>
      <c r="F215" s="15" t="str">
        <f>IF(COUNTIFS(Master_PIC!$A$8:$A$73,$B215)=1,IF(VLOOKUP($B215,Master_PIC!$A$8:$G$73,6,FALSE)="","",VLOOKUP($B215,Master_PIC!$A$8:$G$73,6,FALSE)),"")</f>
        <v/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8"/>
      <c r="X215" s="5"/>
      <c r="Y215" s="5"/>
      <c r="Z215" s="9"/>
      <c r="AA215" s="5"/>
      <c r="AB215" s="5"/>
      <c r="AC215" s="9"/>
      <c r="AD215" s="5"/>
      <c r="AE215" s="7" t="str">
        <f t="shared" si="21"/>
        <v/>
      </c>
      <c r="AF215" s="7" t="str">
        <f t="shared" si="22"/>
        <v/>
      </c>
      <c r="AG215" s="7" t="str">
        <f t="shared" si="23"/>
        <v/>
      </c>
      <c r="AH215" s="7" t="str">
        <f t="shared" si="24"/>
        <v/>
      </c>
      <c r="AI215" s="7" t="str">
        <f t="shared" si="25"/>
        <v/>
      </c>
      <c r="AJ215" s="7" t="str">
        <f t="shared" si="26"/>
        <v/>
      </c>
      <c r="AK215" s="10" t="str">
        <f t="shared" si="27"/>
        <v/>
      </c>
      <c r="AL215" s="15" t="str">
        <f>IF(OR($A215&lt;&gt;"",$B215&lt;&gt;""),IF(OR($A215="",$B215=""),"Isi tanggal dan ID PIC",IF(NOT(ISNUMBER($A215)),"Tanggal harus berupa tanggal Excel",IF(COUNTIFS(Master_PIC!$A$8:$A$73,$B215)&lt;&gt;1,"ID PIC tidak unik/terdaftar",IF(VLOOKUP($B215,Master_PIC!$A$8:$G$73,3,FALSE)&lt;&gt;"ASM","Jabatan tidak sesuai sheet",IF(OR($C215="",$D215="",$E215="",$F215=""),"Lengkapi master PIC",IF(COUNTIFS($A$8:$A$507,$A215,$B$8:$B$507,$B215)&gt;1,"Laporan ganda",IF(COUNTIFS(G215:O215,"Tidak Berlaku")&gt;0,"N/A hanya untuk kegiatan bersyarat",IF(SUM(AF215,AG215,AH215,AI215,AJ215)&lt;&gt;13,"Status kegiatan tidak valid",IF(AJ215&gt;0,"Lengkapi status kegiatan",IF(AND(AI215&gt;0,T215=""),"Isi alasan Tidak Berlaku",IF(AND(SUM(AG215,AH215)&gt;0,OR(T215="",U215="",V215="",W215="")),"Isi kendala dan tindak lanjut",IF(AND(Y215&lt;&gt;"Draft",Y215&lt;&gt;"Dikirim"),"Isi status laporan yang valid",IF(AND(AA215&lt;&gt;"",AA215&lt;&gt;"Belum Diperiksa",AA215&lt;&gt;"Disetujui",AA215&lt;&gt;"Perlu Perbaikan"),"Hasil review tidak valid",IF(AND(Y215="Dikirim",OR(X215="",Z215="")),"Isi bukti dan waktu kirim",IF(AND(AA215="Disetujui",OR(Y215&lt;&gt;"Dikirim",AB215="",AC215="")),"Lengkapi pemeriksaan",IF(AND(AA215="Perlu Perbaikan",OR(AD215="",AB215="",AC215="")),"Isi pemeriksa dan catatan perbaikan","OK")))))))))))))))),"")</f>
        <v/>
      </c>
    </row>
    <row r="216" spans="1:38" ht="24.95" customHeight="1">
      <c r="A216" s="8"/>
      <c r="B216" s="6"/>
      <c r="C216" s="15" t="str">
        <f>IF(COUNTIFS(Master_PIC!$A$8:$A$73,$B216)=1,IF(VLOOKUP($B216,Master_PIC!$A$8:$G$73,2,FALSE)="","",VLOOKUP($B216,Master_PIC!$A$8:$G$73,2,FALSE)),"")</f>
        <v/>
      </c>
      <c r="D216" s="15" t="str">
        <f>IF(COUNTIFS(Master_PIC!$A$8:$A$73,$B216)=1,IF(VLOOKUP($B216,Master_PIC!$A$8:$G$73,4,FALSE)="","",VLOOKUP($B216,Master_PIC!$A$8:$G$73,4,FALSE)),"")</f>
        <v/>
      </c>
      <c r="E216" s="15" t="str">
        <f>IF(COUNTIFS(Master_PIC!$A$8:$A$73,$B216)=1,IF(VLOOKUP($B216,Master_PIC!$A$8:$G$73,5,FALSE)="","",VLOOKUP($B216,Master_PIC!$A$8:$G$73,5,FALSE)),"")</f>
        <v/>
      </c>
      <c r="F216" s="15" t="str">
        <f>IF(COUNTIFS(Master_PIC!$A$8:$A$73,$B216)=1,IF(VLOOKUP($B216,Master_PIC!$A$8:$G$73,6,FALSE)="","",VLOOKUP($B216,Master_PIC!$A$8:$G$73,6,FALSE)),"")</f>
        <v/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8"/>
      <c r="X216" s="5"/>
      <c r="Y216" s="5"/>
      <c r="Z216" s="9"/>
      <c r="AA216" s="5"/>
      <c r="AB216" s="5"/>
      <c r="AC216" s="9"/>
      <c r="AD216" s="5"/>
      <c r="AE216" s="7" t="str">
        <f t="shared" si="21"/>
        <v/>
      </c>
      <c r="AF216" s="7" t="str">
        <f t="shared" si="22"/>
        <v/>
      </c>
      <c r="AG216" s="7" t="str">
        <f t="shared" si="23"/>
        <v/>
      </c>
      <c r="AH216" s="7" t="str">
        <f t="shared" si="24"/>
        <v/>
      </c>
      <c r="AI216" s="7" t="str">
        <f t="shared" si="25"/>
        <v/>
      </c>
      <c r="AJ216" s="7" t="str">
        <f t="shared" si="26"/>
        <v/>
      </c>
      <c r="AK216" s="10" t="str">
        <f t="shared" si="27"/>
        <v/>
      </c>
      <c r="AL216" s="15" t="str">
        <f>IF(OR($A216&lt;&gt;"",$B216&lt;&gt;""),IF(OR($A216="",$B216=""),"Isi tanggal dan ID PIC",IF(NOT(ISNUMBER($A216)),"Tanggal harus berupa tanggal Excel",IF(COUNTIFS(Master_PIC!$A$8:$A$73,$B216)&lt;&gt;1,"ID PIC tidak unik/terdaftar",IF(VLOOKUP($B216,Master_PIC!$A$8:$G$73,3,FALSE)&lt;&gt;"ASM","Jabatan tidak sesuai sheet",IF(OR($C216="",$D216="",$E216="",$F216=""),"Lengkapi master PIC",IF(COUNTIFS($A$8:$A$507,$A216,$B$8:$B$507,$B216)&gt;1,"Laporan ganda",IF(COUNTIFS(G216:O216,"Tidak Berlaku")&gt;0,"N/A hanya untuk kegiatan bersyarat",IF(SUM(AF216,AG216,AH216,AI216,AJ216)&lt;&gt;13,"Status kegiatan tidak valid",IF(AJ216&gt;0,"Lengkapi status kegiatan",IF(AND(AI216&gt;0,T216=""),"Isi alasan Tidak Berlaku",IF(AND(SUM(AG216,AH216)&gt;0,OR(T216="",U216="",V216="",W216="")),"Isi kendala dan tindak lanjut",IF(AND(Y216&lt;&gt;"Draft",Y216&lt;&gt;"Dikirim"),"Isi status laporan yang valid",IF(AND(AA216&lt;&gt;"",AA216&lt;&gt;"Belum Diperiksa",AA216&lt;&gt;"Disetujui",AA216&lt;&gt;"Perlu Perbaikan"),"Hasil review tidak valid",IF(AND(Y216="Dikirim",OR(X216="",Z216="")),"Isi bukti dan waktu kirim",IF(AND(AA216="Disetujui",OR(Y216&lt;&gt;"Dikirim",AB216="",AC216="")),"Lengkapi pemeriksaan",IF(AND(AA216="Perlu Perbaikan",OR(AD216="",AB216="",AC216="")),"Isi pemeriksa dan catatan perbaikan","OK")))))))))))))))),"")</f>
        <v/>
      </c>
    </row>
    <row r="217" spans="1:38" ht="24.95" customHeight="1">
      <c r="A217" s="8"/>
      <c r="B217" s="6"/>
      <c r="C217" s="15" t="str">
        <f>IF(COUNTIFS(Master_PIC!$A$8:$A$73,$B217)=1,IF(VLOOKUP($B217,Master_PIC!$A$8:$G$73,2,FALSE)="","",VLOOKUP($B217,Master_PIC!$A$8:$G$73,2,FALSE)),"")</f>
        <v/>
      </c>
      <c r="D217" s="15" t="str">
        <f>IF(COUNTIFS(Master_PIC!$A$8:$A$73,$B217)=1,IF(VLOOKUP($B217,Master_PIC!$A$8:$G$73,4,FALSE)="","",VLOOKUP($B217,Master_PIC!$A$8:$G$73,4,FALSE)),"")</f>
        <v/>
      </c>
      <c r="E217" s="15" t="str">
        <f>IF(COUNTIFS(Master_PIC!$A$8:$A$73,$B217)=1,IF(VLOOKUP($B217,Master_PIC!$A$8:$G$73,5,FALSE)="","",VLOOKUP($B217,Master_PIC!$A$8:$G$73,5,FALSE)),"")</f>
        <v/>
      </c>
      <c r="F217" s="15" t="str">
        <f>IF(COUNTIFS(Master_PIC!$A$8:$A$73,$B217)=1,IF(VLOOKUP($B217,Master_PIC!$A$8:$G$73,6,FALSE)="","",VLOOKUP($B217,Master_PIC!$A$8:$G$73,6,FALSE)),"")</f>
        <v/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8"/>
      <c r="X217" s="5"/>
      <c r="Y217" s="5"/>
      <c r="Z217" s="9"/>
      <c r="AA217" s="5"/>
      <c r="AB217" s="5"/>
      <c r="AC217" s="9"/>
      <c r="AD217" s="5"/>
      <c r="AE217" s="7" t="str">
        <f t="shared" si="21"/>
        <v/>
      </c>
      <c r="AF217" s="7" t="str">
        <f t="shared" si="22"/>
        <v/>
      </c>
      <c r="AG217" s="7" t="str">
        <f t="shared" si="23"/>
        <v/>
      </c>
      <c r="AH217" s="7" t="str">
        <f t="shared" si="24"/>
        <v/>
      </c>
      <c r="AI217" s="7" t="str">
        <f t="shared" si="25"/>
        <v/>
      </c>
      <c r="AJ217" s="7" t="str">
        <f t="shared" si="26"/>
        <v/>
      </c>
      <c r="AK217" s="10" t="str">
        <f t="shared" si="27"/>
        <v/>
      </c>
      <c r="AL217" s="15" t="str">
        <f>IF(OR($A217&lt;&gt;"",$B217&lt;&gt;""),IF(OR($A217="",$B217=""),"Isi tanggal dan ID PIC",IF(NOT(ISNUMBER($A217)),"Tanggal harus berupa tanggal Excel",IF(COUNTIFS(Master_PIC!$A$8:$A$73,$B217)&lt;&gt;1,"ID PIC tidak unik/terdaftar",IF(VLOOKUP($B217,Master_PIC!$A$8:$G$73,3,FALSE)&lt;&gt;"ASM","Jabatan tidak sesuai sheet",IF(OR($C217="",$D217="",$E217="",$F217=""),"Lengkapi master PIC",IF(COUNTIFS($A$8:$A$507,$A217,$B$8:$B$507,$B217)&gt;1,"Laporan ganda",IF(COUNTIFS(G217:O217,"Tidak Berlaku")&gt;0,"N/A hanya untuk kegiatan bersyarat",IF(SUM(AF217,AG217,AH217,AI217,AJ217)&lt;&gt;13,"Status kegiatan tidak valid",IF(AJ217&gt;0,"Lengkapi status kegiatan",IF(AND(AI217&gt;0,T217=""),"Isi alasan Tidak Berlaku",IF(AND(SUM(AG217,AH217)&gt;0,OR(T217="",U217="",V217="",W217="")),"Isi kendala dan tindak lanjut",IF(AND(Y217&lt;&gt;"Draft",Y217&lt;&gt;"Dikirim"),"Isi status laporan yang valid",IF(AND(AA217&lt;&gt;"",AA217&lt;&gt;"Belum Diperiksa",AA217&lt;&gt;"Disetujui",AA217&lt;&gt;"Perlu Perbaikan"),"Hasil review tidak valid",IF(AND(Y217="Dikirim",OR(X217="",Z217="")),"Isi bukti dan waktu kirim",IF(AND(AA217="Disetujui",OR(Y217&lt;&gt;"Dikirim",AB217="",AC217="")),"Lengkapi pemeriksaan",IF(AND(AA217="Perlu Perbaikan",OR(AD217="",AB217="",AC217="")),"Isi pemeriksa dan catatan perbaikan","OK")))))))))))))))),"")</f>
        <v/>
      </c>
    </row>
    <row r="218" spans="1:38" ht="24.95" customHeight="1">
      <c r="A218" s="8"/>
      <c r="B218" s="6"/>
      <c r="C218" s="15" t="str">
        <f>IF(COUNTIFS(Master_PIC!$A$8:$A$73,$B218)=1,IF(VLOOKUP($B218,Master_PIC!$A$8:$G$73,2,FALSE)="","",VLOOKUP($B218,Master_PIC!$A$8:$G$73,2,FALSE)),"")</f>
        <v/>
      </c>
      <c r="D218" s="15" t="str">
        <f>IF(COUNTIFS(Master_PIC!$A$8:$A$73,$B218)=1,IF(VLOOKUP($B218,Master_PIC!$A$8:$G$73,4,FALSE)="","",VLOOKUP($B218,Master_PIC!$A$8:$G$73,4,FALSE)),"")</f>
        <v/>
      </c>
      <c r="E218" s="15" t="str">
        <f>IF(COUNTIFS(Master_PIC!$A$8:$A$73,$B218)=1,IF(VLOOKUP($B218,Master_PIC!$A$8:$G$73,5,FALSE)="","",VLOOKUP($B218,Master_PIC!$A$8:$G$73,5,FALSE)),"")</f>
        <v/>
      </c>
      <c r="F218" s="15" t="str">
        <f>IF(COUNTIFS(Master_PIC!$A$8:$A$73,$B218)=1,IF(VLOOKUP($B218,Master_PIC!$A$8:$G$73,6,FALSE)="","",VLOOKUP($B218,Master_PIC!$A$8:$G$73,6,FALSE)),"")</f>
        <v/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8"/>
      <c r="X218" s="5"/>
      <c r="Y218" s="5"/>
      <c r="Z218" s="9"/>
      <c r="AA218" s="5"/>
      <c r="AB218" s="5"/>
      <c r="AC218" s="9"/>
      <c r="AD218" s="5"/>
      <c r="AE218" s="7" t="str">
        <f t="shared" si="21"/>
        <v/>
      </c>
      <c r="AF218" s="7" t="str">
        <f t="shared" si="22"/>
        <v/>
      </c>
      <c r="AG218" s="7" t="str">
        <f t="shared" si="23"/>
        <v/>
      </c>
      <c r="AH218" s="7" t="str">
        <f t="shared" si="24"/>
        <v/>
      </c>
      <c r="AI218" s="7" t="str">
        <f t="shared" si="25"/>
        <v/>
      </c>
      <c r="AJ218" s="7" t="str">
        <f t="shared" si="26"/>
        <v/>
      </c>
      <c r="AK218" s="10" t="str">
        <f t="shared" si="27"/>
        <v/>
      </c>
      <c r="AL218" s="15" t="str">
        <f>IF(OR($A218&lt;&gt;"",$B218&lt;&gt;""),IF(OR($A218="",$B218=""),"Isi tanggal dan ID PIC",IF(NOT(ISNUMBER($A218)),"Tanggal harus berupa tanggal Excel",IF(COUNTIFS(Master_PIC!$A$8:$A$73,$B218)&lt;&gt;1,"ID PIC tidak unik/terdaftar",IF(VLOOKUP($B218,Master_PIC!$A$8:$G$73,3,FALSE)&lt;&gt;"ASM","Jabatan tidak sesuai sheet",IF(OR($C218="",$D218="",$E218="",$F218=""),"Lengkapi master PIC",IF(COUNTIFS($A$8:$A$507,$A218,$B$8:$B$507,$B218)&gt;1,"Laporan ganda",IF(COUNTIFS(G218:O218,"Tidak Berlaku")&gt;0,"N/A hanya untuk kegiatan bersyarat",IF(SUM(AF218,AG218,AH218,AI218,AJ218)&lt;&gt;13,"Status kegiatan tidak valid",IF(AJ218&gt;0,"Lengkapi status kegiatan",IF(AND(AI218&gt;0,T218=""),"Isi alasan Tidak Berlaku",IF(AND(SUM(AG218,AH218)&gt;0,OR(T218="",U218="",V218="",W218="")),"Isi kendala dan tindak lanjut",IF(AND(Y218&lt;&gt;"Draft",Y218&lt;&gt;"Dikirim"),"Isi status laporan yang valid",IF(AND(AA218&lt;&gt;"",AA218&lt;&gt;"Belum Diperiksa",AA218&lt;&gt;"Disetujui",AA218&lt;&gt;"Perlu Perbaikan"),"Hasil review tidak valid",IF(AND(Y218="Dikirim",OR(X218="",Z218="")),"Isi bukti dan waktu kirim",IF(AND(AA218="Disetujui",OR(Y218&lt;&gt;"Dikirim",AB218="",AC218="")),"Lengkapi pemeriksaan",IF(AND(AA218="Perlu Perbaikan",OR(AD218="",AB218="",AC218="")),"Isi pemeriksa dan catatan perbaikan","OK")))))))))))))))),"")</f>
        <v/>
      </c>
    </row>
    <row r="219" spans="1:38" ht="24.95" customHeight="1">
      <c r="A219" s="8"/>
      <c r="B219" s="6"/>
      <c r="C219" s="15" t="str">
        <f>IF(COUNTIFS(Master_PIC!$A$8:$A$73,$B219)=1,IF(VLOOKUP($B219,Master_PIC!$A$8:$G$73,2,FALSE)="","",VLOOKUP($B219,Master_PIC!$A$8:$G$73,2,FALSE)),"")</f>
        <v/>
      </c>
      <c r="D219" s="15" t="str">
        <f>IF(COUNTIFS(Master_PIC!$A$8:$A$73,$B219)=1,IF(VLOOKUP($B219,Master_PIC!$A$8:$G$73,4,FALSE)="","",VLOOKUP($B219,Master_PIC!$A$8:$G$73,4,FALSE)),"")</f>
        <v/>
      </c>
      <c r="E219" s="15" t="str">
        <f>IF(COUNTIFS(Master_PIC!$A$8:$A$73,$B219)=1,IF(VLOOKUP($B219,Master_PIC!$A$8:$G$73,5,FALSE)="","",VLOOKUP($B219,Master_PIC!$A$8:$G$73,5,FALSE)),"")</f>
        <v/>
      </c>
      <c r="F219" s="15" t="str">
        <f>IF(COUNTIFS(Master_PIC!$A$8:$A$73,$B219)=1,IF(VLOOKUP($B219,Master_PIC!$A$8:$G$73,6,FALSE)="","",VLOOKUP($B219,Master_PIC!$A$8:$G$73,6,FALSE)),"")</f>
        <v/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8"/>
      <c r="X219" s="5"/>
      <c r="Y219" s="5"/>
      <c r="Z219" s="9"/>
      <c r="AA219" s="5"/>
      <c r="AB219" s="5"/>
      <c r="AC219" s="9"/>
      <c r="AD219" s="5"/>
      <c r="AE219" s="7" t="str">
        <f t="shared" si="21"/>
        <v/>
      </c>
      <c r="AF219" s="7" t="str">
        <f t="shared" si="22"/>
        <v/>
      </c>
      <c r="AG219" s="7" t="str">
        <f t="shared" si="23"/>
        <v/>
      </c>
      <c r="AH219" s="7" t="str">
        <f t="shared" si="24"/>
        <v/>
      </c>
      <c r="AI219" s="7" t="str">
        <f t="shared" si="25"/>
        <v/>
      </c>
      <c r="AJ219" s="7" t="str">
        <f t="shared" si="26"/>
        <v/>
      </c>
      <c r="AK219" s="10" t="str">
        <f t="shared" si="27"/>
        <v/>
      </c>
      <c r="AL219" s="15" t="str">
        <f>IF(OR($A219&lt;&gt;"",$B219&lt;&gt;""),IF(OR($A219="",$B219=""),"Isi tanggal dan ID PIC",IF(NOT(ISNUMBER($A219)),"Tanggal harus berupa tanggal Excel",IF(COUNTIFS(Master_PIC!$A$8:$A$73,$B219)&lt;&gt;1,"ID PIC tidak unik/terdaftar",IF(VLOOKUP($B219,Master_PIC!$A$8:$G$73,3,FALSE)&lt;&gt;"ASM","Jabatan tidak sesuai sheet",IF(OR($C219="",$D219="",$E219="",$F219=""),"Lengkapi master PIC",IF(COUNTIFS($A$8:$A$507,$A219,$B$8:$B$507,$B219)&gt;1,"Laporan ganda",IF(COUNTIFS(G219:O219,"Tidak Berlaku")&gt;0,"N/A hanya untuk kegiatan bersyarat",IF(SUM(AF219,AG219,AH219,AI219,AJ219)&lt;&gt;13,"Status kegiatan tidak valid",IF(AJ219&gt;0,"Lengkapi status kegiatan",IF(AND(AI219&gt;0,T219=""),"Isi alasan Tidak Berlaku",IF(AND(SUM(AG219,AH219)&gt;0,OR(T219="",U219="",V219="",W219="")),"Isi kendala dan tindak lanjut",IF(AND(Y219&lt;&gt;"Draft",Y219&lt;&gt;"Dikirim"),"Isi status laporan yang valid",IF(AND(AA219&lt;&gt;"",AA219&lt;&gt;"Belum Diperiksa",AA219&lt;&gt;"Disetujui",AA219&lt;&gt;"Perlu Perbaikan"),"Hasil review tidak valid",IF(AND(Y219="Dikirim",OR(X219="",Z219="")),"Isi bukti dan waktu kirim",IF(AND(AA219="Disetujui",OR(Y219&lt;&gt;"Dikirim",AB219="",AC219="")),"Lengkapi pemeriksaan",IF(AND(AA219="Perlu Perbaikan",OR(AD219="",AB219="",AC219="")),"Isi pemeriksa dan catatan perbaikan","OK")))))))))))))))),"")</f>
        <v/>
      </c>
    </row>
    <row r="220" spans="1:38" ht="24.95" customHeight="1">
      <c r="A220" s="8"/>
      <c r="B220" s="6"/>
      <c r="C220" s="15" t="str">
        <f>IF(COUNTIFS(Master_PIC!$A$8:$A$73,$B220)=1,IF(VLOOKUP($B220,Master_PIC!$A$8:$G$73,2,FALSE)="","",VLOOKUP($B220,Master_PIC!$A$8:$G$73,2,FALSE)),"")</f>
        <v/>
      </c>
      <c r="D220" s="15" t="str">
        <f>IF(COUNTIFS(Master_PIC!$A$8:$A$73,$B220)=1,IF(VLOOKUP($B220,Master_PIC!$A$8:$G$73,4,FALSE)="","",VLOOKUP($B220,Master_PIC!$A$8:$G$73,4,FALSE)),"")</f>
        <v/>
      </c>
      <c r="E220" s="15" t="str">
        <f>IF(COUNTIFS(Master_PIC!$A$8:$A$73,$B220)=1,IF(VLOOKUP($B220,Master_PIC!$A$8:$G$73,5,FALSE)="","",VLOOKUP($B220,Master_PIC!$A$8:$G$73,5,FALSE)),"")</f>
        <v/>
      </c>
      <c r="F220" s="15" t="str">
        <f>IF(COUNTIFS(Master_PIC!$A$8:$A$73,$B220)=1,IF(VLOOKUP($B220,Master_PIC!$A$8:$G$73,6,FALSE)="","",VLOOKUP($B220,Master_PIC!$A$8:$G$73,6,FALSE)),"")</f>
        <v/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8"/>
      <c r="X220" s="5"/>
      <c r="Y220" s="5"/>
      <c r="Z220" s="9"/>
      <c r="AA220" s="5"/>
      <c r="AB220" s="5"/>
      <c r="AC220" s="9"/>
      <c r="AD220" s="5"/>
      <c r="AE220" s="7" t="str">
        <f t="shared" si="21"/>
        <v/>
      </c>
      <c r="AF220" s="7" t="str">
        <f t="shared" si="22"/>
        <v/>
      </c>
      <c r="AG220" s="7" t="str">
        <f t="shared" si="23"/>
        <v/>
      </c>
      <c r="AH220" s="7" t="str">
        <f t="shared" si="24"/>
        <v/>
      </c>
      <c r="AI220" s="7" t="str">
        <f t="shared" si="25"/>
        <v/>
      </c>
      <c r="AJ220" s="7" t="str">
        <f t="shared" si="26"/>
        <v/>
      </c>
      <c r="AK220" s="10" t="str">
        <f t="shared" si="27"/>
        <v/>
      </c>
      <c r="AL220" s="15" t="str">
        <f>IF(OR($A220&lt;&gt;"",$B220&lt;&gt;""),IF(OR($A220="",$B220=""),"Isi tanggal dan ID PIC",IF(NOT(ISNUMBER($A220)),"Tanggal harus berupa tanggal Excel",IF(COUNTIFS(Master_PIC!$A$8:$A$73,$B220)&lt;&gt;1,"ID PIC tidak unik/terdaftar",IF(VLOOKUP($B220,Master_PIC!$A$8:$G$73,3,FALSE)&lt;&gt;"ASM","Jabatan tidak sesuai sheet",IF(OR($C220="",$D220="",$E220="",$F220=""),"Lengkapi master PIC",IF(COUNTIFS($A$8:$A$507,$A220,$B$8:$B$507,$B220)&gt;1,"Laporan ganda",IF(COUNTIFS(G220:O220,"Tidak Berlaku")&gt;0,"N/A hanya untuk kegiatan bersyarat",IF(SUM(AF220,AG220,AH220,AI220,AJ220)&lt;&gt;13,"Status kegiatan tidak valid",IF(AJ220&gt;0,"Lengkapi status kegiatan",IF(AND(AI220&gt;0,T220=""),"Isi alasan Tidak Berlaku",IF(AND(SUM(AG220,AH220)&gt;0,OR(T220="",U220="",V220="",W220="")),"Isi kendala dan tindak lanjut",IF(AND(Y220&lt;&gt;"Draft",Y220&lt;&gt;"Dikirim"),"Isi status laporan yang valid",IF(AND(AA220&lt;&gt;"",AA220&lt;&gt;"Belum Diperiksa",AA220&lt;&gt;"Disetujui",AA220&lt;&gt;"Perlu Perbaikan"),"Hasil review tidak valid",IF(AND(Y220="Dikirim",OR(X220="",Z220="")),"Isi bukti dan waktu kirim",IF(AND(AA220="Disetujui",OR(Y220&lt;&gt;"Dikirim",AB220="",AC220="")),"Lengkapi pemeriksaan",IF(AND(AA220="Perlu Perbaikan",OR(AD220="",AB220="",AC220="")),"Isi pemeriksa dan catatan perbaikan","OK")))))))))))))))),"")</f>
        <v/>
      </c>
    </row>
    <row r="221" spans="1:38" ht="24.95" customHeight="1">
      <c r="A221" s="8"/>
      <c r="B221" s="6"/>
      <c r="C221" s="15" t="str">
        <f>IF(COUNTIFS(Master_PIC!$A$8:$A$73,$B221)=1,IF(VLOOKUP($B221,Master_PIC!$A$8:$G$73,2,FALSE)="","",VLOOKUP($B221,Master_PIC!$A$8:$G$73,2,FALSE)),"")</f>
        <v/>
      </c>
      <c r="D221" s="15" t="str">
        <f>IF(COUNTIFS(Master_PIC!$A$8:$A$73,$B221)=1,IF(VLOOKUP($B221,Master_PIC!$A$8:$G$73,4,FALSE)="","",VLOOKUP($B221,Master_PIC!$A$8:$G$73,4,FALSE)),"")</f>
        <v/>
      </c>
      <c r="E221" s="15" t="str">
        <f>IF(COUNTIFS(Master_PIC!$A$8:$A$73,$B221)=1,IF(VLOOKUP($B221,Master_PIC!$A$8:$G$73,5,FALSE)="","",VLOOKUP($B221,Master_PIC!$A$8:$G$73,5,FALSE)),"")</f>
        <v/>
      </c>
      <c r="F221" s="15" t="str">
        <f>IF(COUNTIFS(Master_PIC!$A$8:$A$73,$B221)=1,IF(VLOOKUP($B221,Master_PIC!$A$8:$G$73,6,FALSE)="","",VLOOKUP($B221,Master_PIC!$A$8:$G$73,6,FALSE)),"")</f>
        <v/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8"/>
      <c r="X221" s="5"/>
      <c r="Y221" s="5"/>
      <c r="Z221" s="9"/>
      <c r="AA221" s="5"/>
      <c r="AB221" s="5"/>
      <c r="AC221" s="9"/>
      <c r="AD221" s="5"/>
      <c r="AE221" s="7" t="str">
        <f t="shared" si="21"/>
        <v/>
      </c>
      <c r="AF221" s="7" t="str">
        <f t="shared" si="22"/>
        <v/>
      </c>
      <c r="AG221" s="7" t="str">
        <f t="shared" si="23"/>
        <v/>
      </c>
      <c r="AH221" s="7" t="str">
        <f t="shared" si="24"/>
        <v/>
      </c>
      <c r="AI221" s="7" t="str">
        <f t="shared" si="25"/>
        <v/>
      </c>
      <c r="AJ221" s="7" t="str">
        <f t="shared" si="26"/>
        <v/>
      </c>
      <c r="AK221" s="10" t="str">
        <f t="shared" si="27"/>
        <v/>
      </c>
      <c r="AL221" s="15" t="str">
        <f>IF(OR($A221&lt;&gt;"",$B221&lt;&gt;""),IF(OR($A221="",$B221=""),"Isi tanggal dan ID PIC",IF(NOT(ISNUMBER($A221)),"Tanggal harus berupa tanggal Excel",IF(COUNTIFS(Master_PIC!$A$8:$A$73,$B221)&lt;&gt;1,"ID PIC tidak unik/terdaftar",IF(VLOOKUP($B221,Master_PIC!$A$8:$G$73,3,FALSE)&lt;&gt;"ASM","Jabatan tidak sesuai sheet",IF(OR($C221="",$D221="",$E221="",$F221=""),"Lengkapi master PIC",IF(COUNTIFS($A$8:$A$507,$A221,$B$8:$B$507,$B221)&gt;1,"Laporan ganda",IF(COUNTIFS(G221:O221,"Tidak Berlaku")&gt;0,"N/A hanya untuk kegiatan bersyarat",IF(SUM(AF221,AG221,AH221,AI221,AJ221)&lt;&gt;13,"Status kegiatan tidak valid",IF(AJ221&gt;0,"Lengkapi status kegiatan",IF(AND(AI221&gt;0,T221=""),"Isi alasan Tidak Berlaku",IF(AND(SUM(AG221,AH221)&gt;0,OR(T221="",U221="",V221="",W221="")),"Isi kendala dan tindak lanjut",IF(AND(Y221&lt;&gt;"Draft",Y221&lt;&gt;"Dikirim"),"Isi status laporan yang valid",IF(AND(AA221&lt;&gt;"",AA221&lt;&gt;"Belum Diperiksa",AA221&lt;&gt;"Disetujui",AA221&lt;&gt;"Perlu Perbaikan"),"Hasil review tidak valid",IF(AND(Y221="Dikirim",OR(X221="",Z221="")),"Isi bukti dan waktu kirim",IF(AND(AA221="Disetujui",OR(Y221&lt;&gt;"Dikirim",AB221="",AC221="")),"Lengkapi pemeriksaan",IF(AND(AA221="Perlu Perbaikan",OR(AD221="",AB221="",AC221="")),"Isi pemeriksa dan catatan perbaikan","OK")))))))))))))))),"")</f>
        <v/>
      </c>
    </row>
    <row r="222" spans="1:38" ht="24.95" customHeight="1">
      <c r="A222" s="8"/>
      <c r="B222" s="6"/>
      <c r="C222" s="15" t="str">
        <f>IF(COUNTIFS(Master_PIC!$A$8:$A$73,$B222)=1,IF(VLOOKUP($B222,Master_PIC!$A$8:$G$73,2,FALSE)="","",VLOOKUP($B222,Master_PIC!$A$8:$G$73,2,FALSE)),"")</f>
        <v/>
      </c>
      <c r="D222" s="15" t="str">
        <f>IF(COUNTIFS(Master_PIC!$A$8:$A$73,$B222)=1,IF(VLOOKUP($B222,Master_PIC!$A$8:$G$73,4,FALSE)="","",VLOOKUP($B222,Master_PIC!$A$8:$G$73,4,FALSE)),"")</f>
        <v/>
      </c>
      <c r="E222" s="15" t="str">
        <f>IF(COUNTIFS(Master_PIC!$A$8:$A$73,$B222)=1,IF(VLOOKUP($B222,Master_PIC!$A$8:$G$73,5,FALSE)="","",VLOOKUP($B222,Master_PIC!$A$8:$G$73,5,FALSE)),"")</f>
        <v/>
      </c>
      <c r="F222" s="15" t="str">
        <f>IF(COUNTIFS(Master_PIC!$A$8:$A$73,$B222)=1,IF(VLOOKUP($B222,Master_PIC!$A$8:$G$73,6,FALSE)="","",VLOOKUP($B222,Master_PIC!$A$8:$G$73,6,FALSE)),"")</f>
        <v/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8"/>
      <c r="X222" s="5"/>
      <c r="Y222" s="5"/>
      <c r="Z222" s="9"/>
      <c r="AA222" s="5"/>
      <c r="AB222" s="5"/>
      <c r="AC222" s="9"/>
      <c r="AD222" s="5"/>
      <c r="AE222" s="7" t="str">
        <f t="shared" si="21"/>
        <v/>
      </c>
      <c r="AF222" s="7" t="str">
        <f t="shared" si="22"/>
        <v/>
      </c>
      <c r="AG222" s="7" t="str">
        <f t="shared" si="23"/>
        <v/>
      </c>
      <c r="AH222" s="7" t="str">
        <f t="shared" si="24"/>
        <v/>
      </c>
      <c r="AI222" s="7" t="str">
        <f t="shared" si="25"/>
        <v/>
      </c>
      <c r="AJ222" s="7" t="str">
        <f t="shared" si="26"/>
        <v/>
      </c>
      <c r="AK222" s="10" t="str">
        <f t="shared" si="27"/>
        <v/>
      </c>
      <c r="AL222" s="15" t="str">
        <f>IF(OR($A222&lt;&gt;"",$B222&lt;&gt;""),IF(OR($A222="",$B222=""),"Isi tanggal dan ID PIC",IF(NOT(ISNUMBER($A222)),"Tanggal harus berupa tanggal Excel",IF(COUNTIFS(Master_PIC!$A$8:$A$73,$B222)&lt;&gt;1,"ID PIC tidak unik/terdaftar",IF(VLOOKUP($B222,Master_PIC!$A$8:$G$73,3,FALSE)&lt;&gt;"ASM","Jabatan tidak sesuai sheet",IF(OR($C222="",$D222="",$E222="",$F222=""),"Lengkapi master PIC",IF(COUNTIFS($A$8:$A$507,$A222,$B$8:$B$507,$B222)&gt;1,"Laporan ganda",IF(COUNTIFS(G222:O222,"Tidak Berlaku")&gt;0,"N/A hanya untuk kegiatan bersyarat",IF(SUM(AF222,AG222,AH222,AI222,AJ222)&lt;&gt;13,"Status kegiatan tidak valid",IF(AJ222&gt;0,"Lengkapi status kegiatan",IF(AND(AI222&gt;0,T222=""),"Isi alasan Tidak Berlaku",IF(AND(SUM(AG222,AH222)&gt;0,OR(T222="",U222="",V222="",W222="")),"Isi kendala dan tindak lanjut",IF(AND(Y222&lt;&gt;"Draft",Y222&lt;&gt;"Dikirim"),"Isi status laporan yang valid",IF(AND(AA222&lt;&gt;"",AA222&lt;&gt;"Belum Diperiksa",AA222&lt;&gt;"Disetujui",AA222&lt;&gt;"Perlu Perbaikan"),"Hasil review tidak valid",IF(AND(Y222="Dikirim",OR(X222="",Z222="")),"Isi bukti dan waktu kirim",IF(AND(AA222="Disetujui",OR(Y222&lt;&gt;"Dikirim",AB222="",AC222="")),"Lengkapi pemeriksaan",IF(AND(AA222="Perlu Perbaikan",OR(AD222="",AB222="",AC222="")),"Isi pemeriksa dan catatan perbaikan","OK")))))))))))))))),"")</f>
        <v/>
      </c>
    </row>
    <row r="223" spans="1:38" ht="24.95" customHeight="1">
      <c r="A223" s="8"/>
      <c r="B223" s="6"/>
      <c r="C223" s="15" t="str">
        <f>IF(COUNTIFS(Master_PIC!$A$8:$A$73,$B223)=1,IF(VLOOKUP($B223,Master_PIC!$A$8:$G$73,2,FALSE)="","",VLOOKUP($B223,Master_PIC!$A$8:$G$73,2,FALSE)),"")</f>
        <v/>
      </c>
      <c r="D223" s="15" t="str">
        <f>IF(COUNTIFS(Master_PIC!$A$8:$A$73,$B223)=1,IF(VLOOKUP($B223,Master_PIC!$A$8:$G$73,4,FALSE)="","",VLOOKUP($B223,Master_PIC!$A$8:$G$73,4,FALSE)),"")</f>
        <v/>
      </c>
      <c r="E223" s="15" t="str">
        <f>IF(COUNTIFS(Master_PIC!$A$8:$A$73,$B223)=1,IF(VLOOKUP($B223,Master_PIC!$A$8:$G$73,5,FALSE)="","",VLOOKUP($B223,Master_PIC!$A$8:$G$73,5,FALSE)),"")</f>
        <v/>
      </c>
      <c r="F223" s="15" t="str">
        <f>IF(COUNTIFS(Master_PIC!$A$8:$A$73,$B223)=1,IF(VLOOKUP($B223,Master_PIC!$A$8:$G$73,6,FALSE)="","",VLOOKUP($B223,Master_PIC!$A$8:$G$73,6,FALSE)),"")</f>
        <v/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8"/>
      <c r="X223" s="5"/>
      <c r="Y223" s="5"/>
      <c r="Z223" s="9"/>
      <c r="AA223" s="5"/>
      <c r="AB223" s="5"/>
      <c r="AC223" s="9"/>
      <c r="AD223" s="5"/>
      <c r="AE223" s="7" t="str">
        <f t="shared" si="21"/>
        <v/>
      </c>
      <c r="AF223" s="7" t="str">
        <f t="shared" si="22"/>
        <v/>
      </c>
      <c r="AG223" s="7" t="str">
        <f t="shared" si="23"/>
        <v/>
      </c>
      <c r="AH223" s="7" t="str">
        <f t="shared" si="24"/>
        <v/>
      </c>
      <c r="AI223" s="7" t="str">
        <f t="shared" si="25"/>
        <v/>
      </c>
      <c r="AJ223" s="7" t="str">
        <f t="shared" si="26"/>
        <v/>
      </c>
      <c r="AK223" s="10" t="str">
        <f t="shared" si="27"/>
        <v/>
      </c>
      <c r="AL223" s="15" t="str">
        <f>IF(OR($A223&lt;&gt;"",$B223&lt;&gt;""),IF(OR($A223="",$B223=""),"Isi tanggal dan ID PIC",IF(NOT(ISNUMBER($A223)),"Tanggal harus berupa tanggal Excel",IF(COUNTIFS(Master_PIC!$A$8:$A$73,$B223)&lt;&gt;1,"ID PIC tidak unik/terdaftar",IF(VLOOKUP($B223,Master_PIC!$A$8:$G$73,3,FALSE)&lt;&gt;"ASM","Jabatan tidak sesuai sheet",IF(OR($C223="",$D223="",$E223="",$F223=""),"Lengkapi master PIC",IF(COUNTIFS($A$8:$A$507,$A223,$B$8:$B$507,$B223)&gt;1,"Laporan ganda",IF(COUNTIFS(G223:O223,"Tidak Berlaku")&gt;0,"N/A hanya untuk kegiatan bersyarat",IF(SUM(AF223,AG223,AH223,AI223,AJ223)&lt;&gt;13,"Status kegiatan tidak valid",IF(AJ223&gt;0,"Lengkapi status kegiatan",IF(AND(AI223&gt;0,T223=""),"Isi alasan Tidak Berlaku",IF(AND(SUM(AG223,AH223)&gt;0,OR(T223="",U223="",V223="",W223="")),"Isi kendala dan tindak lanjut",IF(AND(Y223&lt;&gt;"Draft",Y223&lt;&gt;"Dikirim"),"Isi status laporan yang valid",IF(AND(AA223&lt;&gt;"",AA223&lt;&gt;"Belum Diperiksa",AA223&lt;&gt;"Disetujui",AA223&lt;&gt;"Perlu Perbaikan"),"Hasil review tidak valid",IF(AND(Y223="Dikirim",OR(X223="",Z223="")),"Isi bukti dan waktu kirim",IF(AND(AA223="Disetujui",OR(Y223&lt;&gt;"Dikirim",AB223="",AC223="")),"Lengkapi pemeriksaan",IF(AND(AA223="Perlu Perbaikan",OR(AD223="",AB223="",AC223="")),"Isi pemeriksa dan catatan perbaikan","OK")))))))))))))))),"")</f>
        <v/>
      </c>
    </row>
    <row r="224" spans="1:38" ht="24.95" customHeight="1">
      <c r="A224" s="8"/>
      <c r="B224" s="6"/>
      <c r="C224" s="15" t="str">
        <f>IF(COUNTIFS(Master_PIC!$A$8:$A$73,$B224)=1,IF(VLOOKUP($B224,Master_PIC!$A$8:$G$73,2,FALSE)="","",VLOOKUP($B224,Master_PIC!$A$8:$G$73,2,FALSE)),"")</f>
        <v/>
      </c>
      <c r="D224" s="15" t="str">
        <f>IF(COUNTIFS(Master_PIC!$A$8:$A$73,$B224)=1,IF(VLOOKUP($B224,Master_PIC!$A$8:$G$73,4,FALSE)="","",VLOOKUP($B224,Master_PIC!$A$8:$G$73,4,FALSE)),"")</f>
        <v/>
      </c>
      <c r="E224" s="15" t="str">
        <f>IF(COUNTIFS(Master_PIC!$A$8:$A$73,$B224)=1,IF(VLOOKUP($B224,Master_PIC!$A$8:$G$73,5,FALSE)="","",VLOOKUP($B224,Master_PIC!$A$8:$G$73,5,FALSE)),"")</f>
        <v/>
      </c>
      <c r="F224" s="15" t="str">
        <f>IF(COUNTIFS(Master_PIC!$A$8:$A$73,$B224)=1,IF(VLOOKUP($B224,Master_PIC!$A$8:$G$73,6,FALSE)="","",VLOOKUP($B224,Master_PIC!$A$8:$G$73,6,FALSE)),"")</f>
        <v/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8"/>
      <c r="X224" s="5"/>
      <c r="Y224" s="5"/>
      <c r="Z224" s="9"/>
      <c r="AA224" s="5"/>
      <c r="AB224" s="5"/>
      <c r="AC224" s="9"/>
      <c r="AD224" s="5"/>
      <c r="AE224" s="7" t="str">
        <f t="shared" si="21"/>
        <v/>
      </c>
      <c r="AF224" s="7" t="str">
        <f t="shared" si="22"/>
        <v/>
      </c>
      <c r="AG224" s="7" t="str">
        <f t="shared" si="23"/>
        <v/>
      </c>
      <c r="AH224" s="7" t="str">
        <f t="shared" si="24"/>
        <v/>
      </c>
      <c r="AI224" s="7" t="str">
        <f t="shared" si="25"/>
        <v/>
      </c>
      <c r="AJ224" s="7" t="str">
        <f t="shared" si="26"/>
        <v/>
      </c>
      <c r="AK224" s="10" t="str">
        <f t="shared" si="27"/>
        <v/>
      </c>
      <c r="AL224" s="15" t="str">
        <f>IF(OR($A224&lt;&gt;"",$B224&lt;&gt;""),IF(OR($A224="",$B224=""),"Isi tanggal dan ID PIC",IF(NOT(ISNUMBER($A224)),"Tanggal harus berupa tanggal Excel",IF(COUNTIFS(Master_PIC!$A$8:$A$73,$B224)&lt;&gt;1,"ID PIC tidak unik/terdaftar",IF(VLOOKUP($B224,Master_PIC!$A$8:$G$73,3,FALSE)&lt;&gt;"ASM","Jabatan tidak sesuai sheet",IF(OR($C224="",$D224="",$E224="",$F224=""),"Lengkapi master PIC",IF(COUNTIFS($A$8:$A$507,$A224,$B$8:$B$507,$B224)&gt;1,"Laporan ganda",IF(COUNTIFS(G224:O224,"Tidak Berlaku")&gt;0,"N/A hanya untuk kegiatan bersyarat",IF(SUM(AF224,AG224,AH224,AI224,AJ224)&lt;&gt;13,"Status kegiatan tidak valid",IF(AJ224&gt;0,"Lengkapi status kegiatan",IF(AND(AI224&gt;0,T224=""),"Isi alasan Tidak Berlaku",IF(AND(SUM(AG224,AH224)&gt;0,OR(T224="",U224="",V224="",W224="")),"Isi kendala dan tindak lanjut",IF(AND(Y224&lt;&gt;"Draft",Y224&lt;&gt;"Dikirim"),"Isi status laporan yang valid",IF(AND(AA224&lt;&gt;"",AA224&lt;&gt;"Belum Diperiksa",AA224&lt;&gt;"Disetujui",AA224&lt;&gt;"Perlu Perbaikan"),"Hasil review tidak valid",IF(AND(Y224="Dikirim",OR(X224="",Z224="")),"Isi bukti dan waktu kirim",IF(AND(AA224="Disetujui",OR(Y224&lt;&gt;"Dikirim",AB224="",AC224="")),"Lengkapi pemeriksaan",IF(AND(AA224="Perlu Perbaikan",OR(AD224="",AB224="",AC224="")),"Isi pemeriksa dan catatan perbaikan","OK")))))))))))))))),"")</f>
        <v/>
      </c>
    </row>
    <row r="225" spans="1:38" ht="24.95" customHeight="1">
      <c r="A225" s="8"/>
      <c r="B225" s="6"/>
      <c r="C225" s="15" t="str">
        <f>IF(COUNTIFS(Master_PIC!$A$8:$A$73,$B225)=1,IF(VLOOKUP($B225,Master_PIC!$A$8:$G$73,2,FALSE)="","",VLOOKUP($B225,Master_PIC!$A$8:$G$73,2,FALSE)),"")</f>
        <v/>
      </c>
      <c r="D225" s="15" t="str">
        <f>IF(COUNTIFS(Master_PIC!$A$8:$A$73,$B225)=1,IF(VLOOKUP($B225,Master_PIC!$A$8:$G$73,4,FALSE)="","",VLOOKUP($B225,Master_PIC!$A$8:$G$73,4,FALSE)),"")</f>
        <v/>
      </c>
      <c r="E225" s="15" t="str">
        <f>IF(COUNTIFS(Master_PIC!$A$8:$A$73,$B225)=1,IF(VLOOKUP($B225,Master_PIC!$A$8:$G$73,5,FALSE)="","",VLOOKUP($B225,Master_PIC!$A$8:$G$73,5,FALSE)),"")</f>
        <v/>
      </c>
      <c r="F225" s="15" t="str">
        <f>IF(COUNTIFS(Master_PIC!$A$8:$A$73,$B225)=1,IF(VLOOKUP($B225,Master_PIC!$A$8:$G$73,6,FALSE)="","",VLOOKUP($B225,Master_PIC!$A$8:$G$73,6,FALSE)),"")</f>
        <v/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8"/>
      <c r="X225" s="5"/>
      <c r="Y225" s="5"/>
      <c r="Z225" s="9"/>
      <c r="AA225" s="5"/>
      <c r="AB225" s="5"/>
      <c r="AC225" s="9"/>
      <c r="AD225" s="5"/>
      <c r="AE225" s="7" t="str">
        <f t="shared" si="21"/>
        <v/>
      </c>
      <c r="AF225" s="7" t="str">
        <f t="shared" si="22"/>
        <v/>
      </c>
      <c r="AG225" s="7" t="str">
        <f t="shared" si="23"/>
        <v/>
      </c>
      <c r="AH225" s="7" t="str">
        <f t="shared" si="24"/>
        <v/>
      </c>
      <c r="AI225" s="7" t="str">
        <f t="shared" si="25"/>
        <v/>
      </c>
      <c r="AJ225" s="7" t="str">
        <f t="shared" si="26"/>
        <v/>
      </c>
      <c r="AK225" s="10" t="str">
        <f t="shared" si="27"/>
        <v/>
      </c>
      <c r="AL225" s="15" t="str">
        <f>IF(OR($A225&lt;&gt;"",$B225&lt;&gt;""),IF(OR($A225="",$B225=""),"Isi tanggal dan ID PIC",IF(NOT(ISNUMBER($A225)),"Tanggal harus berupa tanggal Excel",IF(COUNTIFS(Master_PIC!$A$8:$A$73,$B225)&lt;&gt;1,"ID PIC tidak unik/terdaftar",IF(VLOOKUP($B225,Master_PIC!$A$8:$G$73,3,FALSE)&lt;&gt;"ASM","Jabatan tidak sesuai sheet",IF(OR($C225="",$D225="",$E225="",$F225=""),"Lengkapi master PIC",IF(COUNTIFS($A$8:$A$507,$A225,$B$8:$B$507,$B225)&gt;1,"Laporan ganda",IF(COUNTIFS(G225:O225,"Tidak Berlaku")&gt;0,"N/A hanya untuk kegiatan bersyarat",IF(SUM(AF225,AG225,AH225,AI225,AJ225)&lt;&gt;13,"Status kegiatan tidak valid",IF(AJ225&gt;0,"Lengkapi status kegiatan",IF(AND(AI225&gt;0,T225=""),"Isi alasan Tidak Berlaku",IF(AND(SUM(AG225,AH225)&gt;0,OR(T225="",U225="",V225="",W225="")),"Isi kendala dan tindak lanjut",IF(AND(Y225&lt;&gt;"Draft",Y225&lt;&gt;"Dikirim"),"Isi status laporan yang valid",IF(AND(AA225&lt;&gt;"",AA225&lt;&gt;"Belum Diperiksa",AA225&lt;&gt;"Disetujui",AA225&lt;&gt;"Perlu Perbaikan"),"Hasil review tidak valid",IF(AND(Y225="Dikirim",OR(X225="",Z225="")),"Isi bukti dan waktu kirim",IF(AND(AA225="Disetujui",OR(Y225&lt;&gt;"Dikirim",AB225="",AC225="")),"Lengkapi pemeriksaan",IF(AND(AA225="Perlu Perbaikan",OR(AD225="",AB225="",AC225="")),"Isi pemeriksa dan catatan perbaikan","OK")))))))))))))))),"")</f>
        <v/>
      </c>
    </row>
    <row r="226" spans="1:38" ht="24.95" customHeight="1">
      <c r="A226" s="8"/>
      <c r="B226" s="6"/>
      <c r="C226" s="15" t="str">
        <f>IF(COUNTIFS(Master_PIC!$A$8:$A$73,$B226)=1,IF(VLOOKUP($B226,Master_PIC!$A$8:$G$73,2,FALSE)="","",VLOOKUP($B226,Master_PIC!$A$8:$G$73,2,FALSE)),"")</f>
        <v/>
      </c>
      <c r="D226" s="15" t="str">
        <f>IF(COUNTIFS(Master_PIC!$A$8:$A$73,$B226)=1,IF(VLOOKUP($B226,Master_PIC!$A$8:$G$73,4,FALSE)="","",VLOOKUP($B226,Master_PIC!$A$8:$G$73,4,FALSE)),"")</f>
        <v/>
      </c>
      <c r="E226" s="15" t="str">
        <f>IF(COUNTIFS(Master_PIC!$A$8:$A$73,$B226)=1,IF(VLOOKUP($B226,Master_PIC!$A$8:$G$73,5,FALSE)="","",VLOOKUP($B226,Master_PIC!$A$8:$G$73,5,FALSE)),"")</f>
        <v/>
      </c>
      <c r="F226" s="15" t="str">
        <f>IF(COUNTIFS(Master_PIC!$A$8:$A$73,$B226)=1,IF(VLOOKUP($B226,Master_PIC!$A$8:$G$73,6,FALSE)="","",VLOOKUP($B226,Master_PIC!$A$8:$G$73,6,FALSE)),"")</f>
        <v/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8"/>
      <c r="X226" s="5"/>
      <c r="Y226" s="5"/>
      <c r="Z226" s="9"/>
      <c r="AA226" s="5"/>
      <c r="AB226" s="5"/>
      <c r="AC226" s="9"/>
      <c r="AD226" s="5"/>
      <c r="AE226" s="7" t="str">
        <f t="shared" si="21"/>
        <v/>
      </c>
      <c r="AF226" s="7" t="str">
        <f t="shared" si="22"/>
        <v/>
      </c>
      <c r="AG226" s="7" t="str">
        <f t="shared" si="23"/>
        <v/>
      </c>
      <c r="AH226" s="7" t="str">
        <f t="shared" si="24"/>
        <v/>
      </c>
      <c r="AI226" s="7" t="str">
        <f t="shared" si="25"/>
        <v/>
      </c>
      <c r="AJ226" s="7" t="str">
        <f t="shared" si="26"/>
        <v/>
      </c>
      <c r="AK226" s="10" t="str">
        <f t="shared" si="27"/>
        <v/>
      </c>
      <c r="AL226" s="15" t="str">
        <f>IF(OR($A226&lt;&gt;"",$B226&lt;&gt;""),IF(OR($A226="",$B226=""),"Isi tanggal dan ID PIC",IF(NOT(ISNUMBER($A226)),"Tanggal harus berupa tanggal Excel",IF(COUNTIFS(Master_PIC!$A$8:$A$73,$B226)&lt;&gt;1,"ID PIC tidak unik/terdaftar",IF(VLOOKUP($B226,Master_PIC!$A$8:$G$73,3,FALSE)&lt;&gt;"ASM","Jabatan tidak sesuai sheet",IF(OR($C226="",$D226="",$E226="",$F226=""),"Lengkapi master PIC",IF(COUNTIFS($A$8:$A$507,$A226,$B$8:$B$507,$B226)&gt;1,"Laporan ganda",IF(COUNTIFS(G226:O226,"Tidak Berlaku")&gt;0,"N/A hanya untuk kegiatan bersyarat",IF(SUM(AF226,AG226,AH226,AI226,AJ226)&lt;&gt;13,"Status kegiatan tidak valid",IF(AJ226&gt;0,"Lengkapi status kegiatan",IF(AND(AI226&gt;0,T226=""),"Isi alasan Tidak Berlaku",IF(AND(SUM(AG226,AH226)&gt;0,OR(T226="",U226="",V226="",W226="")),"Isi kendala dan tindak lanjut",IF(AND(Y226&lt;&gt;"Draft",Y226&lt;&gt;"Dikirim"),"Isi status laporan yang valid",IF(AND(AA226&lt;&gt;"",AA226&lt;&gt;"Belum Diperiksa",AA226&lt;&gt;"Disetujui",AA226&lt;&gt;"Perlu Perbaikan"),"Hasil review tidak valid",IF(AND(Y226="Dikirim",OR(X226="",Z226="")),"Isi bukti dan waktu kirim",IF(AND(AA226="Disetujui",OR(Y226&lt;&gt;"Dikirim",AB226="",AC226="")),"Lengkapi pemeriksaan",IF(AND(AA226="Perlu Perbaikan",OR(AD226="",AB226="",AC226="")),"Isi pemeriksa dan catatan perbaikan","OK")))))))))))))))),"")</f>
        <v/>
      </c>
    </row>
    <row r="227" spans="1:38" ht="24.95" customHeight="1">
      <c r="A227" s="8"/>
      <c r="B227" s="6"/>
      <c r="C227" s="15" t="str">
        <f>IF(COUNTIFS(Master_PIC!$A$8:$A$73,$B227)=1,IF(VLOOKUP($B227,Master_PIC!$A$8:$G$73,2,FALSE)="","",VLOOKUP($B227,Master_PIC!$A$8:$G$73,2,FALSE)),"")</f>
        <v/>
      </c>
      <c r="D227" s="15" t="str">
        <f>IF(COUNTIFS(Master_PIC!$A$8:$A$73,$B227)=1,IF(VLOOKUP($B227,Master_PIC!$A$8:$G$73,4,FALSE)="","",VLOOKUP($B227,Master_PIC!$A$8:$G$73,4,FALSE)),"")</f>
        <v/>
      </c>
      <c r="E227" s="15" t="str">
        <f>IF(COUNTIFS(Master_PIC!$A$8:$A$73,$B227)=1,IF(VLOOKUP($B227,Master_PIC!$A$8:$G$73,5,FALSE)="","",VLOOKUP($B227,Master_PIC!$A$8:$G$73,5,FALSE)),"")</f>
        <v/>
      </c>
      <c r="F227" s="15" t="str">
        <f>IF(COUNTIFS(Master_PIC!$A$8:$A$73,$B227)=1,IF(VLOOKUP($B227,Master_PIC!$A$8:$G$73,6,FALSE)="","",VLOOKUP($B227,Master_PIC!$A$8:$G$73,6,FALSE)),"")</f>
        <v/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8"/>
      <c r="X227" s="5"/>
      <c r="Y227" s="5"/>
      <c r="Z227" s="9"/>
      <c r="AA227" s="5"/>
      <c r="AB227" s="5"/>
      <c r="AC227" s="9"/>
      <c r="AD227" s="5"/>
      <c r="AE227" s="7" t="str">
        <f t="shared" si="21"/>
        <v/>
      </c>
      <c r="AF227" s="7" t="str">
        <f t="shared" si="22"/>
        <v/>
      </c>
      <c r="AG227" s="7" t="str">
        <f t="shared" si="23"/>
        <v/>
      </c>
      <c r="AH227" s="7" t="str">
        <f t="shared" si="24"/>
        <v/>
      </c>
      <c r="AI227" s="7" t="str">
        <f t="shared" si="25"/>
        <v/>
      </c>
      <c r="AJ227" s="7" t="str">
        <f t="shared" si="26"/>
        <v/>
      </c>
      <c r="AK227" s="10" t="str">
        <f t="shared" si="27"/>
        <v/>
      </c>
      <c r="AL227" s="15" t="str">
        <f>IF(OR($A227&lt;&gt;"",$B227&lt;&gt;""),IF(OR($A227="",$B227=""),"Isi tanggal dan ID PIC",IF(NOT(ISNUMBER($A227)),"Tanggal harus berupa tanggal Excel",IF(COUNTIFS(Master_PIC!$A$8:$A$73,$B227)&lt;&gt;1,"ID PIC tidak unik/terdaftar",IF(VLOOKUP($B227,Master_PIC!$A$8:$G$73,3,FALSE)&lt;&gt;"ASM","Jabatan tidak sesuai sheet",IF(OR($C227="",$D227="",$E227="",$F227=""),"Lengkapi master PIC",IF(COUNTIFS($A$8:$A$507,$A227,$B$8:$B$507,$B227)&gt;1,"Laporan ganda",IF(COUNTIFS(G227:O227,"Tidak Berlaku")&gt;0,"N/A hanya untuk kegiatan bersyarat",IF(SUM(AF227,AG227,AH227,AI227,AJ227)&lt;&gt;13,"Status kegiatan tidak valid",IF(AJ227&gt;0,"Lengkapi status kegiatan",IF(AND(AI227&gt;0,T227=""),"Isi alasan Tidak Berlaku",IF(AND(SUM(AG227,AH227)&gt;0,OR(T227="",U227="",V227="",W227="")),"Isi kendala dan tindak lanjut",IF(AND(Y227&lt;&gt;"Draft",Y227&lt;&gt;"Dikirim"),"Isi status laporan yang valid",IF(AND(AA227&lt;&gt;"",AA227&lt;&gt;"Belum Diperiksa",AA227&lt;&gt;"Disetujui",AA227&lt;&gt;"Perlu Perbaikan"),"Hasil review tidak valid",IF(AND(Y227="Dikirim",OR(X227="",Z227="")),"Isi bukti dan waktu kirim",IF(AND(AA227="Disetujui",OR(Y227&lt;&gt;"Dikirim",AB227="",AC227="")),"Lengkapi pemeriksaan",IF(AND(AA227="Perlu Perbaikan",OR(AD227="",AB227="",AC227="")),"Isi pemeriksa dan catatan perbaikan","OK")))))))))))))))),"")</f>
        <v/>
      </c>
    </row>
    <row r="228" spans="1:38" ht="24.95" customHeight="1">
      <c r="A228" s="8"/>
      <c r="B228" s="6"/>
      <c r="C228" s="15" t="str">
        <f>IF(COUNTIFS(Master_PIC!$A$8:$A$73,$B228)=1,IF(VLOOKUP($B228,Master_PIC!$A$8:$G$73,2,FALSE)="","",VLOOKUP($B228,Master_PIC!$A$8:$G$73,2,FALSE)),"")</f>
        <v/>
      </c>
      <c r="D228" s="15" t="str">
        <f>IF(COUNTIFS(Master_PIC!$A$8:$A$73,$B228)=1,IF(VLOOKUP($B228,Master_PIC!$A$8:$G$73,4,FALSE)="","",VLOOKUP($B228,Master_PIC!$A$8:$G$73,4,FALSE)),"")</f>
        <v/>
      </c>
      <c r="E228" s="15" t="str">
        <f>IF(COUNTIFS(Master_PIC!$A$8:$A$73,$B228)=1,IF(VLOOKUP($B228,Master_PIC!$A$8:$G$73,5,FALSE)="","",VLOOKUP($B228,Master_PIC!$A$8:$G$73,5,FALSE)),"")</f>
        <v/>
      </c>
      <c r="F228" s="15" t="str">
        <f>IF(COUNTIFS(Master_PIC!$A$8:$A$73,$B228)=1,IF(VLOOKUP($B228,Master_PIC!$A$8:$G$73,6,FALSE)="","",VLOOKUP($B228,Master_PIC!$A$8:$G$73,6,FALSE)),"")</f>
        <v/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8"/>
      <c r="X228" s="5"/>
      <c r="Y228" s="5"/>
      <c r="Z228" s="9"/>
      <c r="AA228" s="5"/>
      <c r="AB228" s="5"/>
      <c r="AC228" s="9"/>
      <c r="AD228" s="5"/>
      <c r="AE228" s="7" t="str">
        <f t="shared" si="21"/>
        <v/>
      </c>
      <c r="AF228" s="7" t="str">
        <f t="shared" si="22"/>
        <v/>
      </c>
      <c r="AG228" s="7" t="str">
        <f t="shared" si="23"/>
        <v/>
      </c>
      <c r="AH228" s="7" t="str">
        <f t="shared" si="24"/>
        <v/>
      </c>
      <c r="AI228" s="7" t="str">
        <f t="shared" si="25"/>
        <v/>
      </c>
      <c r="AJ228" s="7" t="str">
        <f t="shared" si="26"/>
        <v/>
      </c>
      <c r="AK228" s="10" t="str">
        <f t="shared" si="27"/>
        <v/>
      </c>
      <c r="AL228" s="15" t="str">
        <f>IF(OR($A228&lt;&gt;"",$B228&lt;&gt;""),IF(OR($A228="",$B228=""),"Isi tanggal dan ID PIC",IF(NOT(ISNUMBER($A228)),"Tanggal harus berupa tanggal Excel",IF(COUNTIFS(Master_PIC!$A$8:$A$73,$B228)&lt;&gt;1,"ID PIC tidak unik/terdaftar",IF(VLOOKUP($B228,Master_PIC!$A$8:$G$73,3,FALSE)&lt;&gt;"ASM","Jabatan tidak sesuai sheet",IF(OR($C228="",$D228="",$E228="",$F228=""),"Lengkapi master PIC",IF(COUNTIFS($A$8:$A$507,$A228,$B$8:$B$507,$B228)&gt;1,"Laporan ganda",IF(COUNTIFS(G228:O228,"Tidak Berlaku")&gt;0,"N/A hanya untuk kegiatan bersyarat",IF(SUM(AF228,AG228,AH228,AI228,AJ228)&lt;&gt;13,"Status kegiatan tidak valid",IF(AJ228&gt;0,"Lengkapi status kegiatan",IF(AND(AI228&gt;0,T228=""),"Isi alasan Tidak Berlaku",IF(AND(SUM(AG228,AH228)&gt;0,OR(T228="",U228="",V228="",W228="")),"Isi kendala dan tindak lanjut",IF(AND(Y228&lt;&gt;"Draft",Y228&lt;&gt;"Dikirim"),"Isi status laporan yang valid",IF(AND(AA228&lt;&gt;"",AA228&lt;&gt;"Belum Diperiksa",AA228&lt;&gt;"Disetujui",AA228&lt;&gt;"Perlu Perbaikan"),"Hasil review tidak valid",IF(AND(Y228="Dikirim",OR(X228="",Z228="")),"Isi bukti dan waktu kirim",IF(AND(AA228="Disetujui",OR(Y228&lt;&gt;"Dikirim",AB228="",AC228="")),"Lengkapi pemeriksaan",IF(AND(AA228="Perlu Perbaikan",OR(AD228="",AB228="",AC228="")),"Isi pemeriksa dan catatan perbaikan","OK")))))))))))))))),"")</f>
        <v/>
      </c>
    </row>
    <row r="229" spans="1:38" ht="24.95" customHeight="1">
      <c r="A229" s="8"/>
      <c r="B229" s="6"/>
      <c r="C229" s="15" t="str">
        <f>IF(COUNTIFS(Master_PIC!$A$8:$A$73,$B229)=1,IF(VLOOKUP($B229,Master_PIC!$A$8:$G$73,2,FALSE)="","",VLOOKUP($B229,Master_PIC!$A$8:$G$73,2,FALSE)),"")</f>
        <v/>
      </c>
      <c r="D229" s="15" t="str">
        <f>IF(COUNTIFS(Master_PIC!$A$8:$A$73,$B229)=1,IF(VLOOKUP($B229,Master_PIC!$A$8:$G$73,4,FALSE)="","",VLOOKUP($B229,Master_PIC!$A$8:$G$73,4,FALSE)),"")</f>
        <v/>
      </c>
      <c r="E229" s="15" t="str">
        <f>IF(COUNTIFS(Master_PIC!$A$8:$A$73,$B229)=1,IF(VLOOKUP($B229,Master_PIC!$A$8:$G$73,5,FALSE)="","",VLOOKUP($B229,Master_PIC!$A$8:$G$73,5,FALSE)),"")</f>
        <v/>
      </c>
      <c r="F229" s="15" t="str">
        <f>IF(COUNTIFS(Master_PIC!$A$8:$A$73,$B229)=1,IF(VLOOKUP($B229,Master_PIC!$A$8:$G$73,6,FALSE)="","",VLOOKUP($B229,Master_PIC!$A$8:$G$73,6,FALSE)),"")</f>
        <v/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8"/>
      <c r="X229" s="5"/>
      <c r="Y229" s="5"/>
      <c r="Z229" s="9"/>
      <c r="AA229" s="5"/>
      <c r="AB229" s="5"/>
      <c r="AC229" s="9"/>
      <c r="AD229" s="5"/>
      <c r="AE229" s="7" t="str">
        <f t="shared" si="21"/>
        <v/>
      </c>
      <c r="AF229" s="7" t="str">
        <f t="shared" si="22"/>
        <v/>
      </c>
      <c r="AG229" s="7" t="str">
        <f t="shared" si="23"/>
        <v/>
      </c>
      <c r="AH229" s="7" t="str">
        <f t="shared" si="24"/>
        <v/>
      </c>
      <c r="AI229" s="7" t="str">
        <f t="shared" si="25"/>
        <v/>
      </c>
      <c r="AJ229" s="7" t="str">
        <f t="shared" si="26"/>
        <v/>
      </c>
      <c r="AK229" s="10" t="str">
        <f t="shared" si="27"/>
        <v/>
      </c>
      <c r="AL229" s="15" t="str">
        <f>IF(OR($A229&lt;&gt;"",$B229&lt;&gt;""),IF(OR($A229="",$B229=""),"Isi tanggal dan ID PIC",IF(NOT(ISNUMBER($A229)),"Tanggal harus berupa tanggal Excel",IF(COUNTIFS(Master_PIC!$A$8:$A$73,$B229)&lt;&gt;1,"ID PIC tidak unik/terdaftar",IF(VLOOKUP($B229,Master_PIC!$A$8:$G$73,3,FALSE)&lt;&gt;"ASM","Jabatan tidak sesuai sheet",IF(OR($C229="",$D229="",$E229="",$F229=""),"Lengkapi master PIC",IF(COUNTIFS($A$8:$A$507,$A229,$B$8:$B$507,$B229)&gt;1,"Laporan ganda",IF(COUNTIFS(G229:O229,"Tidak Berlaku")&gt;0,"N/A hanya untuk kegiatan bersyarat",IF(SUM(AF229,AG229,AH229,AI229,AJ229)&lt;&gt;13,"Status kegiatan tidak valid",IF(AJ229&gt;0,"Lengkapi status kegiatan",IF(AND(AI229&gt;0,T229=""),"Isi alasan Tidak Berlaku",IF(AND(SUM(AG229,AH229)&gt;0,OR(T229="",U229="",V229="",W229="")),"Isi kendala dan tindak lanjut",IF(AND(Y229&lt;&gt;"Draft",Y229&lt;&gt;"Dikirim"),"Isi status laporan yang valid",IF(AND(AA229&lt;&gt;"",AA229&lt;&gt;"Belum Diperiksa",AA229&lt;&gt;"Disetujui",AA229&lt;&gt;"Perlu Perbaikan"),"Hasil review tidak valid",IF(AND(Y229="Dikirim",OR(X229="",Z229="")),"Isi bukti dan waktu kirim",IF(AND(AA229="Disetujui",OR(Y229&lt;&gt;"Dikirim",AB229="",AC229="")),"Lengkapi pemeriksaan",IF(AND(AA229="Perlu Perbaikan",OR(AD229="",AB229="",AC229="")),"Isi pemeriksa dan catatan perbaikan","OK")))))))))))))))),"")</f>
        <v/>
      </c>
    </row>
    <row r="230" spans="1:38" ht="24.95" customHeight="1">
      <c r="A230" s="8"/>
      <c r="B230" s="6"/>
      <c r="C230" s="15" t="str">
        <f>IF(COUNTIFS(Master_PIC!$A$8:$A$73,$B230)=1,IF(VLOOKUP($B230,Master_PIC!$A$8:$G$73,2,FALSE)="","",VLOOKUP($B230,Master_PIC!$A$8:$G$73,2,FALSE)),"")</f>
        <v/>
      </c>
      <c r="D230" s="15" t="str">
        <f>IF(COUNTIFS(Master_PIC!$A$8:$A$73,$B230)=1,IF(VLOOKUP($B230,Master_PIC!$A$8:$G$73,4,FALSE)="","",VLOOKUP($B230,Master_PIC!$A$8:$G$73,4,FALSE)),"")</f>
        <v/>
      </c>
      <c r="E230" s="15" t="str">
        <f>IF(COUNTIFS(Master_PIC!$A$8:$A$73,$B230)=1,IF(VLOOKUP($B230,Master_PIC!$A$8:$G$73,5,FALSE)="","",VLOOKUP($B230,Master_PIC!$A$8:$G$73,5,FALSE)),"")</f>
        <v/>
      </c>
      <c r="F230" s="15" t="str">
        <f>IF(COUNTIFS(Master_PIC!$A$8:$A$73,$B230)=1,IF(VLOOKUP($B230,Master_PIC!$A$8:$G$73,6,FALSE)="","",VLOOKUP($B230,Master_PIC!$A$8:$G$73,6,FALSE)),"")</f>
        <v/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8"/>
      <c r="X230" s="5"/>
      <c r="Y230" s="5"/>
      <c r="Z230" s="9"/>
      <c r="AA230" s="5"/>
      <c r="AB230" s="5"/>
      <c r="AC230" s="9"/>
      <c r="AD230" s="5"/>
      <c r="AE230" s="7" t="str">
        <f t="shared" si="21"/>
        <v/>
      </c>
      <c r="AF230" s="7" t="str">
        <f t="shared" si="22"/>
        <v/>
      </c>
      <c r="AG230" s="7" t="str">
        <f t="shared" si="23"/>
        <v/>
      </c>
      <c r="AH230" s="7" t="str">
        <f t="shared" si="24"/>
        <v/>
      </c>
      <c r="AI230" s="7" t="str">
        <f t="shared" si="25"/>
        <v/>
      </c>
      <c r="AJ230" s="7" t="str">
        <f t="shared" si="26"/>
        <v/>
      </c>
      <c r="AK230" s="10" t="str">
        <f t="shared" si="27"/>
        <v/>
      </c>
      <c r="AL230" s="15" t="str">
        <f>IF(OR($A230&lt;&gt;"",$B230&lt;&gt;""),IF(OR($A230="",$B230=""),"Isi tanggal dan ID PIC",IF(NOT(ISNUMBER($A230)),"Tanggal harus berupa tanggal Excel",IF(COUNTIFS(Master_PIC!$A$8:$A$73,$B230)&lt;&gt;1,"ID PIC tidak unik/terdaftar",IF(VLOOKUP($B230,Master_PIC!$A$8:$G$73,3,FALSE)&lt;&gt;"ASM","Jabatan tidak sesuai sheet",IF(OR($C230="",$D230="",$E230="",$F230=""),"Lengkapi master PIC",IF(COUNTIFS($A$8:$A$507,$A230,$B$8:$B$507,$B230)&gt;1,"Laporan ganda",IF(COUNTIFS(G230:O230,"Tidak Berlaku")&gt;0,"N/A hanya untuk kegiatan bersyarat",IF(SUM(AF230,AG230,AH230,AI230,AJ230)&lt;&gt;13,"Status kegiatan tidak valid",IF(AJ230&gt;0,"Lengkapi status kegiatan",IF(AND(AI230&gt;0,T230=""),"Isi alasan Tidak Berlaku",IF(AND(SUM(AG230,AH230)&gt;0,OR(T230="",U230="",V230="",W230="")),"Isi kendala dan tindak lanjut",IF(AND(Y230&lt;&gt;"Draft",Y230&lt;&gt;"Dikirim"),"Isi status laporan yang valid",IF(AND(AA230&lt;&gt;"",AA230&lt;&gt;"Belum Diperiksa",AA230&lt;&gt;"Disetujui",AA230&lt;&gt;"Perlu Perbaikan"),"Hasil review tidak valid",IF(AND(Y230="Dikirim",OR(X230="",Z230="")),"Isi bukti dan waktu kirim",IF(AND(AA230="Disetujui",OR(Y230&lt;&gt;"Dikirim",AB230="",AC230="")),"Lengkapi pemeriksaan",IF(AND(AA230="Perlu Perbaikan",OR(AD230="",AB230="",AC230="")),"Isi pemeriksa dan catatan perbaikan","OK")))))))))))))))),"")</f>
        <v/>
      </c>
    </row>
    <row r="231" spans="1:38" ht="24.95" customHeight="1">
      <c r="A231" s="8"/>
      <c r="B231" s="6"/>
      <c r="C231" s="15" t="str">
        <f>IF(COUNTIFS(Master_PIC!$A$8:$A$73,$B231)=1,IF(VLOOKUP($B231,Master_PIC!$A$8:$G$73,2,FALSE)="","",VLOOKUP($B231,Master_PIC!$A$8:$G$73,2,FALSE)),"")</f>
        <v/>
      </c>
      <c r="D231" s="15" t="str">
        <f>IF(COUNTIFS(Master_PIC!$A$8:$A$73,$B231)=1,IF(VLOOKUP($B231,Master_PIC!$A$8:$G$73,4,FALSE)="","",VLOOKUP($B231,Master_PIC!$A$8:$G$73,4,FALSE)),"")</f>
        <v/>
      </c>
      <c r="E231" s="15" t="str">
        <f>IF(COUNTIFS(Master_PIC!$A$8:$A$73,$B231)=1,IF(VLOOKUP($B231,Master_PIC!$A$8:$G$73,5,FALSE)="","",VLOOKUP($B231,Master_PIC!$A$8:$G$73,5,FALSE)),"")</f>
        <v/>
      </c>
      <c r="F231" s="15" t="str">
        <f>IF(COUNTIFS(Master_PIC!$A$8:$A$73,$B231)=1,IF(VLOOKUP($B231,Master_PIC!$A$8:$G$73,6,FALSE)="","",VLOOKUP($B231,Master_PIC!$A$8:$G$73,6,FALSE)),"")</f>
        <v/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8"/>
      <c r="X231" s="5"/>
      <c r="Y231" s="5"/>
      <c r="Z231" s="9"/>
      <c r="AA231" s="5"/>
      <c r="AB231" s="5"/>
      <c r="AC231" s="9"/>
      <c r="AD231" s="5"/>
      <c r="AE231" s="7" t="str">
        <f t="shared" si="21"/>
        <v/>
      </c>
      <c r="AF231" s="7" t="str">
        <f t="shared" si="22"/>
        <v/>
      </c>
      <c r="AG231" s="7" t="str">
        <f t="shared" si="23"/>
        <v/>
      </c>
      <c r="AH231" s="7" t="str">
        <f t="shared" si="24"/>
        <v/>
      </c>
      <c r="AI231" s="7" t="str">
        <f t="shared" si="25"/>
        <v/>
      </c>
      <c r="AJ231" s="7" t="str">
        <f t="shared" si="26"/>
        <v/>
      </c>
      <c r="AK231" s="10" t="str">
        <f t="shared" si="27"/>
        <v/>
      </c>
      <c r="AL231" s="15" t="str">
        <f>IF(OR($A231&lt;&gt;"",$B231&lt;&gt;""),IF(OR($A231="",$B231=""),"Isi tanggal dan ID PIC",IF(NOT(ISNUMBER($A231)),"Tanggal harus berupa tanggal Excel",IF(COUNTIFS(Master_PIC!$A$8:$A$73,$B231)&lt;&gt;1,"ID PIC tidak unik/terdaftar",IF(VLOOKUP($B231,Master_PIC!$A$8:$G$73,3,FALSE)&lt;&gt;"ASM","Jabatan tidak sesuai sheet",IF(OR($C231="",$D231="",$E231="",$F231=""),"Lengkapi master PIC",IF(COUNTIFS($A$8:$A$507,$A231,$B$8:$B$507,$B231)&gt;1,"Laporan ganda",IF(COUNTIFS(G231:O231,"Tidak Berlaku")&gt;0,"N/A hanya untuk kegiatan bersyarat",IF(SUM(AF231,AG231,AH231,AI231,AJ231)&lt;&gt;13,"Status kegiatan tidak valid",IF(AJ231&gt;0,"Lengkapi status kegiatan",IF(AND(AI231&gt;0,T231=""),"Isi alasan Tidak Berlaku",IF(AND(SUM(AG231,AH231)&gt;0,OR(T231="",U231="",V231="",W231="")),"Isi kendala dan tindak lanjut",IF(AND(Y231&lt;&gt;"Draft",Y231&lt;&gt;"Dikirim"),"Isi status laporan yang valid",IF(AND(AA231&lt;&gt;"",AA231&lt;&gt;"Belum Diperiksa",AA231&lt;&gt;"Disetujui",AA231&lt;&gt;"Perlu Perbaikan"),"Hasil review tidak valid",IF(AND(Y231="Dikirim",OR(X231="",Z231="")),"Isi bukti dan waktu kirim",IF(AND(AA231="Disetujui",OR(Y231&lt;&gt;"Dikirim",AB231="",AC231="")),"Lengkapi pemeriksaan",IF(AND(AA231="Perlu Perbaikan",OR(AD231="",AB231="",AC231="")),"Isi pemeriksa dan catatan perbaikan","OK")))))))))))))))),"")</f>
        <v/>
      </c>
    </row>
    <row r="232" spans="1:38" ht="24.95" customHeight="1">
      <c r="A232" s="8"/>
      <c r="B232" s="6"/>
      <c r="C232" s="15" t="str">
        <f>IF(COUNTIFS(Master_PIC!$A$8:$A$73,$B232)=1,IF(VLOOKUP($B232,Master_PIC!$A$8:$G$73,2,FALSE)="","",VLOOKUP($B232,Master_PIC!$A$8:$G$73,2,FALSE)),"")</f>
        <v/>
      </c>
      <c r="D232" s="15" t="str">
        <f>IF(COUNTIFS(Master_PIC!$A$8:$A$73,$B232)=1,IF(VLOOKUP($B232,Master_PIC!$A$8:$G$73,4,FALSE)="","",VLOOKUP($B232,Master_PIC!$A$8:$G$73,4,FALSE)),"")</f>
        <v/>
      </c>
      <c r="E232" s="15" t="str">
        <f>IF(COUNTIFS(Master_PIC!$A$8:$A$73,$B232)=1,IF(VLOOKUP($B232,Master_PIC!$A$8:$G$73,5,FALSE)="","",VLOOKUP($B232,Master_PIC!$A$8:$G$73,5,FALSE)),"")</f>
        <v/>
      </c>
      <c r="F232" s="15" t="str">
        <f>IF(COUNTIFS(Master_PIC!$A$8:$A$73,$B232)=1,IF(VLOOKUP($B232,Master_PIC!$A$8:$G$73,6,FALSE)="","",VLOOKUP($B232,Master_PIC!$A$8:$G$73,6,FALSE)),"")</f>
        <v/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8"/>
      <c r="X232" s="5"/>
      <c r="Y232" s="5"/>
      <c r="Z232" s="9"/>
      <c r="AA232" s="5"/>
      <c r="AB232" s="5"/>
      <c r="AC232" s="9"/>
      <c r="AD232" s="5"/>
      <c r="AE232" s="7" t="str">
        <f t="shared" si="21"/>
        <v/>
      </c>
      <c r="AF232" s="7" t="str">
        <f t="shared" si="22"/>
        <v/>
      </c>
      <c r="AG232" s="7" t="str">
        <f t="shared" si="23"/>
        <v/>
      </c>
      <c r="AH232" s="7" t="str">
        <f t="shared" si="24"/>
        <v/>
      </c>
      <c r="AI232" s="7" t="str">
        <f t="shared" si="25"/>
        <v/>
      </c>
      <c r="AJ232" s="7" t="str">
        <f t="shared" si="26"/>
        <v/>
      </c>
      <c r="AK232" s="10" t="str">
        <f t="shared" si="27"/>
        <v/>
      </c>
      <c r="AL232" s="15" t="str">
        <f>IF(OR($A232&lt;&gt;"",$B232&lt;&gt;""),IF(OR($A232="",$B232=""),"Isi tanggal dan ID PIC",IF(NOT(ISNUMBER($A232)),"Tanggal harus berupa tanggal Excel",IF(COUNTIFS(Master_PIC!$A$8:$A$73,$B232)&lt;&gt;1,"ID PIC tidak unik/terdaftar",IF(VLOOKUP($B232,Master_PIC!$A$8:$G$73,3,FALSE)&lt;&gt;"ASM","Jabatan tidak sesuai sheet",IF(OR($C232="",$D232="",$E232="",$F232=""),"Lengkapi master PIC",IF(COUNTIFS($A$8:$A$507,$A232,$B$8:$B$507,$B232)&gt;1,"Laporan ganda",IF(COUNTIFS(G232:O232,"Tidak Berlaku")&gt;0,"N/A hanya untuk kegiatan bersyarat",IF(SUM(AF232,AG232,AH232,AI232,AJ232)&lt;&gt;13,"Status kegiatan tidak valid",IF(AJ232&gt;0,"Lengkapi status kegiatan",IF(AND(AI232&gt;0,T232=""),"Isi alasan Tidak Berlaku",IF(AND(SUM(AG232,AH232)&gt;0,OR(T232="",U232="",V232="",W232="")),"Isi kendala dan tindak lanjut",IF(AND(Y232&lt;&gt;"Draft",Y232&lt;&gt;"Dikirim"),"Isi status laporan yang valid",IF(AND(AA232&lt;&gt;"",AA232&lt;&gt;"Belum Diperiksa",AA232&lt;&gt;"Disetujui",AA232&lt;&gt;"Perlu Perbaikan"),"Hasil review tidak valid",IF(AND(Y232="Dikirim",OR(X232="",Z232="")),"Isi bukti dan waktu kirim",IF(AND(AA232="Disetujui",OR(Y232&lt;&gt;"Dikirim",AB232="",AC232="")),"Lengkapi pemeriksaan",IF(AND(AA232="Perlu Perbaikan",OR(AD232="",AB232="",AC232="")),"Isi pemeriksa dan catatan perbaikan","OK")))))))))))))))),"")</f>
        <v/>
      </c>
    </row>
    <row r="233" spans="1:38" ht="24.95" customHeight="1">
      <c r="A233" s="8"/>
      <c r="B233" s="6"/>
      <c r="C233" s="15" t="str">
        <f>IF(COUNTIFS(Master_PIC!$A$8:$A$73,$B233)=1,IF(VLOOKUP($B233,Master_PIC!$A$8:$G$73,2,FALSE)="","",VLOOKUP($B233,Master_PIC!$A$8:$G$73,2,FALSE)),"")</f>
        <v/>
      </c>
      <c r="D233" s="15" t="str">
        <f>IF(COUNTIFS(Master_PIC!$A$8:$A$73,$B233)=1,IF(VLOOKUP($B233,Master_PIC!$A$8:$G$73,4,FALSE)="","",VLOOKUP($B233,Master_PIC!$A$8:$G$73,4,FALSE)),"")</f>
        <v/>
      </c>
      <c r="E233" s="15" t="str">
        <f>IF(COUNTIFS(Master_PIC!$A$8:$A$73,$B233)=1,IF(VLOOKUP($B233,Master_PIC!$A$8:$G$73,5,FALSE)="","",VLOOKUP($B233,Master_PIC!$A$8:$G$73,5,FALSE)),"")</f>
        <v/>
      </c>
      <c r="F233" s="15" t="str">
        <f>IF(COUNTIFS(Master_PIC!$A$8:$A$73,$B233)=1,IF(VLOOKUP($B233,Master_PIC!$A$8:$G$73,6,FALSE)="","",VLOOKUP($B233,Master_PIC!$A$8:$G$73,6,FALSE)),"")</f>
        <v/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8"/>
      <c r="X233" s="5"/>
      <c r="Y233" s="5"/>
      <c r="Z233" s="9"/>
      <c r="AA233" s="5"/>
      <c r="AB233" s="5"/>
      <c r="AC233" s="9"/>
      <c r="AD233" s="5"/>
      <c r="AE233" s="7" t="str">
        <f t="shared" si="21"/>
        <v/>
      </c>
      <c r="AF233" s="7" t="str">
        <f t="shared" si="22"/>
        <v/>
      </c>
      <c r="AG233" s="7" t="str">
        <f t="shared" si="23"/>
        <v/>
      </c>
      <c r="AH233" s="7" t="str">
        <f t="shared" si="24"/>
        <v/>
      </c>
      <c r="AI233" s="7" t="str">
        <f t="shared" si="25"/>
        <v/>
      </c>
      <c r="AJ233" s="7" t="str">
        <f t="shared" si="26"/>
        <v/>
      </c>
      <c r="AK233" s="10" t="str">
        <f t="shared" si="27"/>
        <v/>
      </c>
      <c r="AL233" s="15" t="str">
        <f>IF(OR($A233&lt;&gt;"",$B233&lt;&gt;""),IF(OR($A233="",$B233=""),"Isi tanggal dan ID PIC",IF(NOT(ISNUMBER($A233)),"Tanggal harus berupa tanggal Excel",IF(COUNTIFS(Master_PIC!$A$8:$A$73,$B233)&lt;&gt;1,"ID PIC tidak unik/terdaftar",IF(VLOOKUP($B233,Master_PIC!$A$8:$G$73,3,FALSE)&lt;&gt;"ASM","Jabatan tidak sesuai sheet",IF(OR($C233="",$D233="",$E233="",$F233=""),"Lengkapi master PIC",IF(COUNTIFS($A$8:$A$507,$A233,$B$8:$B$507,$B233)&gt;1,"Laporan ganda",IF(COUNTIFS(G233:O233,"Tidak Berlaku")&gt;0,"N/A hanya untuk kegiatan bersyarat",IF(SUM(AF233,AG233,AH233,AI233,AJ233)&lt;&gt;13,"Status kegiatan tidak valid",IF(AJ233&gt;0,"Lengkapi status kegiatan",IF(AND(AI233&gt;0,T233=""),"Isi alasan Tidak Berlaku",IF(AND(SUM(AG233,AH233)&gt;0,OR(T233="",U233="",V233="",W233="")),"Isi kendala dan tindak lanjut",IF(AND(Y233&lt;&gt;"Draft",Y233&lt;&gt;"Dikirim"),"Isi status laporan yang valid",IF(AND(AA233&lt;&gt;"",AA233&lt;&gt;"Belum Diperiksa",AA233&lt;&gt;"Disetujui",AA233&lt;&gt;"Perlu Perbaikan"),"Hasil review tidak valid",IF(AND(Y233="Dikirim",OR(X233="",Z233="")),"Isi bukti dan waktu kirim",IF(AND(AA233="Disetujui",OR(Y233&lt;&gt;"Dikirim",AB233="",AC233="")),"Lengkapi pemeriksaan",IF(AND(AA233="Perlu Perbaikan",OR(AD233="",AB233="",AC233="")),"Isi pemeriksa dan catatan perbaikan","OK")))))))))))))))),"")</f>
        <v/>
      </c>
    </row>
    <row r="234" spans="1:38" ht="24.95" customHeight="1">
      <c r="A234" s="8"/>
      <c r="B234" s="6"/>
      <c r="C234" s="15" t="str">
        <f>IF(COUNTIFS(Master_PIC!$A$8:$A$73,$B234)=1,IF(VLOOKUP($B234,Master_PIC!$A$8:$G$73,2,FALSE)="","",VLOOKUP($B234,Master_PIC!$A$8:$G$73,2,FALSE)),"")</f>
        <v/>
      </c>
      <c r="D234" s="15" t="str">
        <f>IF(COUNTIFS(Master_PIC!$A$8:$A$73,$B234)=1,IF(VLOOKUP($B234,Master_PIC!$A$8:$G$73,4,FALSE)="","",VLOOKUP($B234,Master_PIC!$A$8:$G$73,4,FALSE)),"")</f>
        <v/>
      </c>
      <c r="E234" s="15" t="str">
        <f>IF(COUNTIFS(Master_PIC!$A$8:$A$73,$B234)=1,IF(VLOOKUP($B234,Master_PIC!$A$8:$G$73,5,FALSE)="","",VLOOKUP($B234,Master_PIC!$A$8:$G$73,5,FALSE)),"")</f>
        <v/>
      </c>
      <c r="F234" s="15" t="str">
        <f>IF(COUNTIFS(Master_PIC!$A$8:$A$73,$B234)=1,IF(VLOOKUP($B234,Master_PIC!$A$8:$G$73,6,FALSE)="","",VLOOKUP($B234,Master_PIC!$A$8:$G$73,6,FALSE)),"")</f>
        <v/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8"/>
      <c r="X234" s="5"/>
      <c r="Y234" s="5"/>
      <c r="Z234" s="9"/>
      <c r="AA234" s="5"/>
      <c r="AB234" s="5"/>
      <c r="AC234" s="9"/>
      <c r="AD234" s="5"/>
      <c r="AE234" s="7" t="str">
        <f t="shared" si="21"/>
        <v/>
      </c>
      <c r="AF234" s="7" t="str">
        <f t="shared" si="22"/>
        <v/>
      </c>
      <c r="AG234" s="7" t="str">
        <f t="shared" si="23"/>
        <v/>
      </c>
      <c r="AH234" s="7" t="str">
        <f t="shared" si="24"/>
        <v/>
      </c>
      <c r="AI234" s="7" t="str">
        <f t="shared" si="25"/>
        <v/>
      </c>
      <c r="AJ234" s="7" t="str">
        <f t="shared" si="26"/>
        <v/>
      </c>
      <c r="AK234" s="10" t="str">
        <f t="shared" si="27"/>
        <v/>
      </c>
      <c r="AL234" s="15" t="str">
        <f>IF(OR($A234&lt;&gt;"",$B234&lt;&gt;""),IF(OR($A234="",$B234=""),"Isi tanggal dan ID PIC",IF(NOT(ISNUMBER($A234)),"Tanggal harus berupa tanggal Excel",IF(COUNTIFS(Master_PIC!$A$8:$A$73,$B234)&lt;&gt;1,"ID PIC tidak unik/terdaftar",IF(VLOOKUP($B234,Master_PIC!$A$8:$G$73,3,FALSE)&lt;&gt;"ASM","Jabatan tidak sesuai sheet",IF(OR($C234="",$D234="",$E234="",$F234=""),"Lengkapi master PIC",IF(COUNTIFS($A$8:$A$507,$A234,$B$8:$B$507,$B234)&gt;1,"Laporan ganda",IF(COUNTIFS(G234:O234,"Tidak Berlaku")&gt;0,"N/A hanya untuk kegiatan bersyarat",IF(SUM(AF234,AG234,AH234,AI234,AJ234)&lt;&gt;13,"Status kegiatan tidak valid",IF(AJ234&gt;0,"Lengkapi status kegiatan",IF(AND(AI234&gt;0,T234=""),"Isi alasan Tidak Berlaku",IF(AND(SUM(AG234,AH234)&gt;0,OR(T234="",U234="",V234="",W234="")),"Isi kendala dan tindak lanjut",IF(AND(Y234&lt;&gt;"Draft",Y234&lt;&gt;"Dikirim"),"Isi status laporan yang valid",IF(AND(AA234&lt;&gt;"",AA234&lt;&gt;"Belum Diperiksa",AA234&lt;&gt;"Disetujui",AA234&lt;&gt;"Perlu Perbaikan"),"Hasil review tidak valid",IF(AND(Y234="Dikirim",OR(X234="",Z234="")),"Isi bukti dan waktu kirim",IF(AND(AA234="Disetujui",OR(Y234&lt;&gt;"Dikirim",AB234="",AC234="")),"Lengkapi pemeriksaan",IF(AND(AA234="Perlu Perbaikan",OR(AD234="",AB234="",AC234="")),"Isi pemeriksa dan catatan perbaikan","OK")))))))))))))))),"")</f>
        <v/>
      </c>
    </row>
    <row r="235" spans="1:38" ht="24.95" customHeight="1">
      <c r="A235" s="8"/>
      <c r="B235" s="6"/>
      <c r="C235" s="15" t="str">
        <f>IF(COUNTIFS(Master_PIC!$A$8:$A$73,$B235)=1,IF(VLOOKUP($B235,Master_PIC!$A$8:$G$73,2,FALSE)="","",VLOOKUP($B235,Master_PIC!$A$8:$G$73,2,FALSE)),"")</f>
        <v/>
      </c>
      <c r="D235" s="15" t="str">
        <f>IF(COUNTIFS(Master_PIC!$A$8:$A$73,$B235)=1,IF(VLOOKUP($B235,Master_PIC!$A$8:$G$73,4,FALSE)="","",VLOOKUP($B235,Master_PIC!$A$8:$G$73,4,FALSE)),"")</f>
        <v/>
      </c>
      <c r="E235" s="15" t="str">
        <f>IF(COUNTIFS(Master_PIC!$A$8:$A$73,$B235)=1,IF(VLOOKUP($B235,Master_PIC!$A$8:$G$73,5,FALSE)="","",VLOOKUP($B235,Master_PIC!$A$8:$G$73,5,FALSE)),"")</f>
        <v/>
      </c>
      <c r="F235" s="15" t="str">
        <f>IF(COUNTIFS(Master_PIC!$A$8:$A$73,$B235)=1,IF(VLOOKUP($B235,Master_PIC!$A$8:$G$73,6,FALSE)="","",VLOOKUP($B235,Master_PIC!$A$8:$G$73,6,FALSE)),"")</f>
        <v/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8"/>
      <c r="X235" s="5"/>
      <c r="Y235" s="5"/>
      <c r="Z235" s="9"/>
      <c r="AA235" s="5"/>
      <c r="AB235" s="5"/>
      <c r="AC235" s="9"/>
      <c r="AD235" s="5"/>
      <c r="AE235" s="7" t="str">
        <f t="shared" si="21"/>
        <v/>
      </c>
      <c r="AF235" s="7" t="str">
        <f t="shared" si="22"/>
        <v/>
      </c>
      <c r="AG235" s="7" t="str">
        <f t="shared" si="23"/>
        <v/>
      </c>
      <c r="AH235" s="7" t="str">
        <f t="shared" si="24"/>
        <v/>
      </c>
      <c r="AI235" s="7" t="str">
        <f t="shared" si="25"/>
        <v/>
      </c>
      <c r="AJ235" s="7" t="str">
        <f t="shared" si="26"/>
        <v/>
      </c>
      <c r="AK235" s="10" t="str">
        <f t="shared" si="27"/>
        <v/>
      </c>
      <c r="AL235" s="15" t="str">
        <f>IF(OR($A235&lt;&gt;"",$B235&lt;&gt;""),IF(OR($A235="",$B235=""),"Isi tanggal dan ID PIC",IF(NOT(ISNUMBER($A235)),"Tanggal harus berupa tanggal Excel",IF(COUNTIFS(Master_PIC!$A$8:$A$73,$B235)&lt;&gt;1,"ID PIC tidak unik/terdaftar",IF(VLOOKUP($B235,Master_PIC!$A$8:$G$73,3,FALSE)&lt;&gt;"ASM","Jabatan tidak sesuai sheet",IF(OR($C235="",$D235="",$E235="",$F235=""),"Lengkapi master PIC",IF(COUNTIFS($A$8:$A$507,$A235,$B$8:$B$507,$B235)&gt;1,"Laporan ganda",IF(COUNTIFS(G235:O235,"Tidak Berlaku")&gt;0,"N/A hanya untuk kegiatan bersyarat",IF(SUM(AF235,AG235,AH235,AI235,AJ235)&lt;&gt;13,"Status kegiatan tidak valid",IF(AJ235&gt;0,"Lengkapi status kegiatan",IF(AND(AI235&gt;0,T235=""),"Isi alasan Tidak Berlaku",IF(AND(SUM(AG235,AH235)&gt;0,OR(T235="",U235="",V235="",W235="")),"Isi kendala dan tindak lanjut",IF(AND(Y235&lt;&gt;"Draft",Y235&lt;&gt;"Dikirim"),"Isi status laporan yang valid",IF(AND(AA235&lt;&gt;"",AA235&lt;&gt;"Belum Diperiksa",AA235&lt;&gt;"Disetujui",AA235&lt;&gt;"Perlu Perbaikan"),"Hasil review tidak valid",IF(AND(Y235="Dikirim",OR(X235="",Z235="")),"Isi bukti dan waktu kirim",IF(AND(AA235="Disetujui",OR(Y235&lt;&gt;"Dikirim",AB235="",AC235="")),"Lengkapi pemeriksaan",IF(AND(AA235="Perlu Perbaikan",OR(AD235="",AB235="",AC235="")),"Isi pemeriksa dan catatan perbaikan","OK")))))))))))))))),"")</f>
        <v/>
      </c>
    </row>
    <row r="236" spans="1:38" ht="24.95" customHeight="1">
      <c r="A236" s="8"/>
      <c r="B236" s="6"/>
      <c r="C236" s="15" t="str">
        <f>IF(COUNTIFS(Master_PIC!$A$8:$A$73,$B236)=1,IF(VLOOKUP($B236,Master_PIC!$A$8:$G$73,2,FALSE)="","",VLOOKUP($B236,Master_PIC!$A$8:$G$73,2,FALSE)),"")</f>
        <v/>
      </c>
      <c r="D236" s="15" t="str">
        <f>IF(COUNTIFS(Master_PIC!$A$8:$A$73,$B236)=1,IF(VLOOKUP($B236,Master_PIC!$A$8:$G$73,4,FALSE)="","",VLOOKUP($B236,Master_PIC!$A$8:$G$73,4,FALSE)),"")</f>
        <v/>
      </c>
      <c r="E236" s="15" t="str">
        <f>IF(COUNTIFS(Master_PIC!$A$8:$A$73,$B236)=1,IF(VLOOKUP($B236,Master_PIC!$A$8:$G$73,5,FALSE)="","",VLOOKUP($B236,Master_PIC!$A$8:$G$73,5,FALSE)),"")</f>
        <v/>
      </c>
      <c r="F236" s="15" t="str">
        <f>IF(COUNTIFS(Master_PIC!$A$8:$A$73,$B236)=1,IF(VLOOKUP($B236,Master_PIC!$A$8:$G$73,6,FALSE)="","",VLOOKUP($B236,Master_PIC!$A$8:$G$73,6,FALSE)),"")</f>
        <v/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8"/>
      <c r="X236" s="5"/>
      <c r="Y236" s="5"/>
      <c r="Z236" s="9"/>
      <c r="AA236" s="5"/>
      <c r="AB236" s="5"/>
      <c r="AC236" s="9"/>
      <c r="AD236" s="5"/>
      <c r="AE236" s="7" t="str">
        <f t="shared" si="21"/>
        <v/>
      </c>
      <c r="AF236" s="7" t="str">
        <f t="shared" si="22"/>
        <v/>
      </c>
      <c r="AG236" s="7" t="str">
        <f t="shared" si="23"/>
        <v/>
      </c>
      <c r="AH236" s="7" t="str">
        <f t="shared" si="24"/>
        <v/>
      </c>
      <c r="AI236" s="7" t="str">
        <f t="shared" si="25"/>
        <v/>
      </c>
      <c r="AJ236" s="7" t="str">
        <f t="shared" si="26"/>
        <v/>
      </c>
      <c r="AK236" s="10" t="str">
        <f t="shared" si="27"/>
        <v/>
      </c>
      <c r="AL236" s="15" t="str">
        <f>IF(OR($A236&lt;&gt;"",$B236&lt;&gt;""),IF(OR($A236="",$B236=""),"Isi tanggal dan ID PIC",IF(NOT(ISNUMBER($A236)),"Tanggal harus berupa tanggal Excel",IF(COUNTIFS(Master_PIC!$A$8:$A$73,$B236)&lt;&gt;1,"ID PIC tidak unik/terdaftar",IF(VLOOKUP($B236,Master_PIC!$A$8:$G$73,3,FALSE)&lt;&gt;"ASM","Jabatan tidak sesuai sheet",IF(OR($C236="",$D236="",$E236="",$F236=""),"Lengkapi master PIC",IF(COUNTIFS($A$8:$A$507,$A236,$B$8:$B$507,$B236)&gt;1,"Laporan ganda",IF(COUNTIFS(G236:O236,"Tidak Berlaku")&gt;0,"N/A hanya untuk kegiatan bersyarat",IF(SUM(AF236,AG236,AH236,AI236,AJ236)&lt;&gt;13,"Status kegiatan tidak valid",IF(AJ236&gt;0,"Lengkapi status kegiatan",IF(AND(AI236&gt;0,T236=""),"Isi alasan Tidak Berlaku",IF(AND(SUM(AG236,AH236)&gt;0,OR(T236="",U236="",V236="",W236="")),"Isi kendala dan tindak lanjut",IF(AND(Y236&lt;&gt;"Draft",Y236&lt;&gt;"Dikirim"),"Isi status laporan yang valid",IF(AND(AA236&lt;&gt;"",AA236&lt;&gt;"Belum Diperiksa",AA236&lt;&gt;"Disetujui",AA236&lt;&gt;"Perlu Perbaikan"),"Hasil review tidak valid",IF(AND(Y236="Dikirim",OR(X236="",Z236="")),"Isi bukti dan waktu kirim",IF(AND(AA236="Disetujui",OR(Y236&lt;&gt;"Dikirim",AB236="",AC236="")),"Lengkapi pemeriksaan",IF(AND(AA236="Perlu Perbaikan",OR(AD236="",AB236="",AC236="")),"Isi pemeriksa dan catatan perbaikan","OK")))))))))))))))),"")</f>
        <v/>
      </c>
    </row>
    <row r="237" spans="1:38" ht="24.95" customHeight="1">
      <c r="A237" s="8"/>
      <c r="B237" s="6"/>
      <c r="C237" s="15" t="str">
        <f>IF(COUNTIFS(Master_PIC!$A$8:$A$73,$B237)=1,IF(VLOOKUP($B237,Master_PIC!$A$8:$G$73,2,FALSE)="","",VLOOKUP($B237,Master_PIC!$A$8:$G$73,2,FALSE)),"")</f>
        <v/>
      </c>
      <c r="D237" s="15" t="str">
        <f>IF(COUNTIFS(Master_PIC!$A$8:$A$73,$B237)=1,IF(VLOOKUP($B237,Master_PIC!$A$8:$G$73,4,FALSE)="","",VLOOKUP($B237,Master_PIC!$A$8:$G$73,4,FALSE)),"")</f>
        <v/>
      </c>
      <c r="E237" s="15" t="str">
        <f>IF(COUNTIFS(Master_PIC!$A$8:$A$73,$B237)=1,IF(VLOOKUP($B237,Master_PIC!$A$8:$G$73,5,FALSE)="","",VLOOKUP($B237,Master_PIC!$A$8:$G$73,5,FALSE)),"")</f>
        <v/>
      </c>
      <c r="F237" s="15" t="str">
        <f>IF(COUNTIFS(Master_PIC!$A$8:$A$73,$B237)=1,IF(VLOOKUP($B237,Master_PIC!$A$8:$G$73,6,FALSE)="","",VLOOKUP($B237,Master_PIC!$A$8:$G$73,6,FALSE)),"")</f>
        <v/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8"/>
      <c r="X237" s="5"/>
      <c r="Y237" s="5"/>
      <c r="Z237" s="9"/>
      <c r="AA237" s="5"/>
      <c r="AB237" s="5"/>
      <c r="AC237" s="9"/>
      <c r="AD237" s="5"/>
      <c r="AE237" s="7" t="str">
        <f t="shared" si="21"/>
        <v/>
      </c>
      <c r="AF237" s="7" t="str">
        <f t="shared" si="22"/>
        <v/>
      </c>
      <c r="AG237" s="7" t="str">
        <f t="shared" si="23"/>
        <v/>
      </c>
      <c r="AH237" s="7" t="str">
        <f t="shared" si="24"/>
        <v/>
      </c>
      <c r="AI237" s="7" t="str">
        <f t="shared" si="25"/>
        <v/>
      </c>
      <c r="AJ237" s="7" t="str">
        <f t="shared" si="26"/>
        <v/>
      </c>
      <c r="AK237" s="10" t="str">
        <f t="shared" si="27"/>
        <v/>
      </c>
      <c r="AL237" s="15" t="str">
        <f>IF(OR($A237&lt;&gt;"",$B237&lt;&gt;""),IF(OR($A237="",$B237=""),"Isi tanggal dan ID PIC",IF(NOT(ISNUMBER($A237)),"Tanggal harus berupa tanggal Excel",IF(COUNTIFS(Master_PIC!$A$8:$A$73,$B237)&lt;&gt;1,"ID PIC tidak unik/terdaftar",IF(VLOOKUP($B237,Master_PIC!$A$8:$G$73,3,FALSE)&lt;&gt;"ASM","Jabatan tidak sesuai sheet",IF(OR($C237="",$D237="",$E237="",$F237=""),"Lengkapi master PIC",IF(COUNTIFS($A$8:$A$507,$A237,$B$8:$B$507,$B237)&gt;1,"Laporan ganda",IF(COUNTIFS(G237:O237,"Tidak Berlaku")&gt;0,"N/A hanya untuk kegiatan bersyarat",IF(SUM(AF237,AG237,AH237,AI237,AJ237)&lt;&gt;13,"Status kegiatan tidak valid",IF(AJ237&gt;0,"Lengkapi status kegiatan",IF(AND(AI237&gt;0,T237=""),"Isi alasan Tidak Berlaku",IF(AND(SUM(AG237,AH237)&gt;0,OR(T237="",U237="",V237="",W237="")),"Isi kendala dan tindak lanjut",IF(AND(Y237&lt;&gt;"Draft",Y237&lt;&gt;"Dikirim"),"Isi status laporan yang valid",IF(AND(AA237&lt;&gt;"",AA237&lt;&gt;"Belum Diperiksa",AA237&lt;&gt;"Disetujui",AA237&lt;&gt;"Perlu Perbaikan"),"Hasil review tidak valid",IF(AND(Y237="Dikirim",OR(X237="",Z237="")),"Isi bukti dan waktu kirim",IF(AND(AA237="Disetujui",OR(Y237&lt;&gt;"Dikirim",AB237="",AC237="")),"Lengkapi pemeriksaan",IF(AND(AA237="Perlu Perbaikan",OR(AD237="",AB237="",AC237="")),"Isi pemeriksa dan catatan perbaikan","OK")))))))))))))))),"")</f>
        <v/>
      </c>
    </row>
    <row r="238" spans="1:38" ht="24.95" customHeight="1">
      <c r="A238" s="8"/>
      <c r="B238" s="6"/>
      <c r="C238" s="15" t="str">
        <f>IF(COUNTIFS(Master_PIC!$A$8:$A$73,$B238)=1,IF(VLOOKUP($B238,Master_PIC!$A$8:$G$73,2,FALSE)="","",VLOOKUP($B238,Master_PIC!$A$8:$G$73,2,FALSE)),"")</f>
        <v/>
      </c>
      <c r="D238" s="15" t="str">
        <f>IF(COUNTIFS(Master_PIC!$A$8:$A$73,$B238)=1,IF(VLOOKUP($B238,Master_PIC!$A$8:$G$73,4,FALSE)="","",VLOOKUP($B238,Master_PIC!$A$8:$G$73,4,FALSE)),"")</f>
        <v/>
      </c>
      <c r="E238" s="15" t="str">
        <f>IF(COUNTIFS(Master_PIC!$A$8:$A$73,$B238)=1,IF(VLOOKUP($B238,Master_PIC!$A$8:$G$73,5,FALSE)="","",VLOOKUP($B238,Master_PIC!$A$8:$G$73,5,FALSE)),"")</f>
        <v/>
      </c>
      <c r="F238" s="15" t="str">
        <f>IF(COUNTIFS(Master_PIC!$A$8:$A$73,$B238)=1,IF(VLOOKUP($B238,Master_PIC!$A$8:$G$73,6,FALSE)="","",VLOOKUP($B238,Master_PIC!$A$8:$G$73,6,FALSE)),"")</f>
        <v/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8"/>
      <c r="X238" s="5"/>
      <c r="Y238" s="5"/>
      <c r="Z238" s="9"/>
      <c r="AA238" s="5"/>
      <c r="AB238" s="5"/>
      <c r="AC238" s="9"/>
      <c r="AD238" s="5"/>
      <c r="AE238" s="7" t="str">
        <f t="shared" si="21"/>
        <v/>
      </c>
      <c r="AF238" s="7" t="str">
        <f t="shared" si="22"/>
        <v/>
      </c>
      <c r="AG238" s="7" t="str">
        <f t="shared" si="23"/>
        <v/>
      </c>
      <c r="AH238" s="7" t="str">
        <f t="shared" si="24"/>
        <v/>
      </c>
      <c r="AI238" s="7" t="str">
        <f t="shared" si="25"/>
        <v/>
      </c>
      <c r="AJ238" s="7" t="str">
        <f t="shared" si="26"/>
        <v/>
      </c>
      <c r="AK238" s="10" t="str">
        <f t="shared" si="27"/>
        <v/>
      </c>
      <c r="AL238" s="15" t="str">
        <f>IF(OR($A238&lt;&gt;"",$B238&lt;&gt;""),IF(OR($A238="",$B238=""),"Isi tanggal dan ID PIC",IF(NOT(ISNUMBER($A238)),"Tanggal harus berupa tanggal Excel",IF(COUNTIFS(Master_PIC!$A$8:$A$73,$B238)&lt;&gt;1,"ID PIC tidak unik/terdaftar",IF(VLOOKUP($B238,Master_PIC!$A$8:$G$73,3,FALSE)&lt;&gt;"ASM","Jabatan tidak sesuai sheet",IF(OR($C238="",$D238="",$E238="",$F238=""),"Lengkapi master PIC",IF(COUNTIFS($A$8:$A$507,$A238,$B$8:$B$507,$B238)&gt;1,"Laporan ganda",IF(COUNTIFS(G238:O238,"Tidak Berlaku")&gt;0,"N/A hanya untuk kegiatan bersyarat",IF(SUM(AF238,AG238,AH238,AI238,AJ238)&lt;&gt;13,"Status kegiatan tidak valid",IF(AJ238&gt;0,"Lengkapi status kegiatan",IF(AND(AI238&gt;0,T238=""),"Isi alasan Tidak Berlaku",IF(AND(SUM(AG238,AH238)&gt;0,OR(T238="",U238="",V238="",W238="")),"Isi kendala dan tindak lanjut",IF(AND(Y238&lt;&gt;"Draft",Y238&lt;&gt;"Dikirim"),"Isi status laporan yang valid",IF(AND(AA238&lt;&gt;"",AA238&lt;&gt;"Belum Diperiksa",AA238&lt;&gt;"Disetujui",AA238&lt;&gt;"Perlu Perbaikan"),"Hasil review tidak valid",IF(AND(Y238="Dikirim",OR(X238="",Z238="")),"Isi bukti dan waktu kirim",IF(AND(AA238="Disetujui",OR(Y238&lt;&gt;"Dikirim",AB238="",AC238="")),"Lengkapi pemeriksaan",IF(AND(AA238="Perlu Perbaikan",OR(AD238="",AB238="",AC238="")),"Isi pemeriksa dan catatan perbaikan","OK")))))))))))))))),"")</f>
        <v/>
      </c>
    </row>
    <row r="239" spans="1:38" ht="24.95" customHeight="1">
      <c r="A239" s="8"/>
      <c r="B239" s="6"/>
      <c r="C239" s="15" t="str">
        <f>IF(COUNTIFS(Master_PIC!$A$8:$A$73,$B239)=1,IF(VLOOKUP($B239,Master_PIC!$A$8:$G$73,2,FALSE)="","",VLOOKUP($B239,Master_PIC!$A$8:$G$73,2,FALSE)),"")</f>
        <v/>
      </c>
      <c r="D239" s="15" t="str">
        <f>IF(COUNTIFS(Master_PIC!$A$8:$A$73,$B239)=1,IF(VLOOKUP($B239,Master_PIC!$A$8:$G$73,4,FALSE)="","",VLOOKUP($B239,Master_PIC!$A$8:$G$73,4,FALSE)),"")</f>
        <v/>
      </c>
      <c r="E239" s="15" t="str">
        <f>IF(COUNTIFS(Master_PIC!$A$8:$A$73,$B239)=1,IF(VLOOKUP($B239,Master_PIC!$A$8:$G$73,5,FALSE)="","",VLOOKUP($B239,Master_PIC!$A$8:$G$73,5,FALSE)),"")</f>
        <v/>
      </c>
      <c r="F239" s="15" t="str">
        <f>IF(COUNTIFS(Master_PIC!$A$8:$A$73,$B239)=1,IF(VLOOKUP($B239,Master_PIC!$A$8:$G$73,6,FALSE)="","",VLOOKUP($B239,Master_PIC!$A$8:$G$73,6,FALSE)),"")</f>
        <v/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8"/>
      <c r="X239" s="5"/>
      <c r="Y239" s="5"/>
      <c r="Z239" s="9"/>
      <c r="AA239" s="5"/>
      <c r="AB239" s="5"/>
      <c r="AC239" s="9"/>
      <c r="AD239" s="5"/>
      <c r="AE239" s="7" t="str">
        <f t="shared" si="21"/>
        <v/>
      </c>
      <c r="AF239" s="7" t="str">
        <f t="shared" si="22"/>
        <v/>
      </c>
      <c r="AG239" s="7" t="str">
        <f t="shared" si="23"/>
        <v/>
      </c>
      <c r="AH239" s="7" t="str">
        <f t="shared" si="24"/>
        <v/>
      </c>
      <c r="AI239" s="7" t="str">
        <f t="shared" si="25"/>
        <v/>
      </c>
      <c r="AJ239" s="7" t="str">
        <f t="shared" si="26"/>
        <v/>
      </c>
      <c r="AK239" s="10" t="str">
        <f t="shared" si="27"/>
        <v/>
      </c>
      <c r="AL239" s="15" t="str">
        <f>IF(OR($A239&lt;&gt;"",$B239&lt;&gt;""),IF(OR($A239="",$B239=""),"Isi tanggal dan ID PIC",IF(NOT(ISNUMBER($A239)),"Tanggal harus berupa tanggal Excel",IF(COUNTIFS(Master_PIC!$A$8:$A$73,$B239)&lt;&gt;1,"ID PIC tidak unik/terdaftar",IF(VLOOKUP($B239,Master_PIC!$A$8:$G$73,3,FALSE)&lt;&gt;"ASM","Jabatan tidak sesuai sheet",IF(OR($C239="",$D239="",$E239="",$F239=""),"Lengkapi master PIC",IF(COUNTIFS($A$8:$A$507,$A239,$B$8:$B$507,$B239)&gt;1,"Laporan ganda",IF(COUNTIFS(G239:O239,"Tidak Berlaku")&gt;0,"N/A hanya untuk kegiatan bersyarat",IF(SUM(AF239,AG239,AH239,AI239,AJ239)&lt;&gt;13,"Status kegiatan tidak valid",IF(AJ239&gt;0,"Lengkapi status kegiatan",IF(AND(AI239&gt;0,T239=""),"Isi alasan Tidak Berlaku",IF(AND(SUM(AG239,AH239)&gt;0,OR(T239="",U239="",V239="",W239="")),"Isi kendala dan tindak lanjut",IF(AND(Y239&lt;&gt;"Draft",Y239&lt;&gt;"Dikirim"),"Isi status laporan yang valid",IF(AND(AA239&lt;&gt;"",AA239&lt;&gt;"Belum Diperiksa",AA239&lt;&gt;"Disetujui",AA239&lt;&gt;"Perlu Perbaikan"),"Hasil review tidak valid",IF(AND(Y239="Dikirim",OR(X239="",Z239="")),"Isi bukti dan waktu kirim",IF(AND(AA239="Disetujui",OR(Y239&lt;&gt;"Dikirim",AB239="",AC239="")),"Lengkapi pemeriksaan",IF(AND(AA239="Perlu Perbaikan",OR(AD239="",AB239="",AC239="")),"Isi pemeriksa dan catatan perbaikan","OK")))))))))))))))),"")</f>
        <v/>
      </c>
    </row>
    <row r="240" spans="1:38" ht="24.95" customHeight="1">
      <c r="A240" s="8"/>
      <c r="B240" s="6"/>
      <c r="C240" s="15" t="str">
        <f>IF(COUNTIFS(Master_PIC!$A$8:$A$73,$B240)=1,IF(VLOOKUP($B240,Master_PIC!$A$8:$G$73,2,FALSE)="","",VLOOKUP($B240,Master_PIC!$A$8:$G$73,2,FALSE)),"")</f>
        <v/>
      </c>
      <c r="D240" s="15" t="str">
        <f>IF(COUNTIFS(Master_PIC!$A$8:$A$73,$B240)=1,IF(VLOOKUP($B240,Master_PIC!$A$8:$G$73,4,FALSE)="","",VLOOKUP($B240,Master_PIC!$A$8:$G$73,4,FALSE)),"")</f>
        <v/>
      </c>
      <c r="E240" s="15" t="str">
        <f>IF(COUNTIFS(Master_PIC!$A$8:$A$73,$B240)=1,IF(VLOOKUP($B240,Master_PIC!$A$8:$G$73,5,FALSE)="","",VLOOKUP($B240,Master_PIC!$A$8:$G$73,5,FALSE)),"")</f>
        <v/>
      </c>
      <c r="F240" s="15" t="str">
        <f>IF(COUNTIFS(Master_PIC!$A$8:$A$73,$B240)=1,IF(VLOOKUP($B240,Master_PIC!$A$8:$G$73,6,FALSE)="","",VLOOKUP($B240,Master_PIC!$A$8:$G$73,6,FALSE)),"")</f>
        <v/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8"/>
      <c r="X240" s="5"/>
      <c r="Y240" s="5"/>
      <c r="Z240" s="9"/>
      <c r="AA240" s="5"/>
      <c r="AB240" s="5"/>
      <c r="AC240" s="9"/>
      <c r="AD240" s="5"/>
      <c r="AE240" s="7" t="str">
        <f t="shared" si="21"/>
        <v/>
      </c>
      <c r="AF240" s="7" t="str">
        <f t="shared" si="22"/>
        <v/>
      </c>
      <c r="AG240" s="7" t="str">
        <f t="shared" si="23"/>
        <v/>
      </c>
      <c r="AH240" s="7" t="str">
        <f t="shared" si="24"/>
        <v/>
      </c>
      <c r="AI240" s="7" t="str">
        <f t="shared" si="25"/>
        <v/>
      </c>
      <c r="AJ240" s="7" t="str">
        <f t="shared" si="26"/>
        <v/>
      </c>
      <c r="AK240" s="10" t="str">
        <f t="shared" si="27"/>
        <v/>
      </c>
      <c r="AL240" s="15" t="str">
        <f>IF(OR($A240&lt;&gt;"",$B240&lt;&gt;""),IF(OR($A240="",$B240=""),"Isi tanggal dan ID PIC",IF(NOT(ISNUMBER($A240)),"Tanggal harus berupa tanggal Excel",IF(COUNTIFS(Master_PIC!$A$8:$A$73,$B240)&lt;&gt;1,"ID PIC tidak unik/terdaftar",IF(VLOOKUP($B240,Master_PIC!$A$8:$G$73,3,FALSE)&lt;&gt;"ASM","Jabatan tidak sesuai sheet",IF(OR($C240="",$D240="",$E240="",$F240=""),"Lengkapi master PIC",IF(COUNTIFS($A$8:$A$507,$A240,$B$8:$B$507,$B240)&gt;1,"Laporan ganda",IF(COUNTIFS(G240:O240,"Tidak Berlaku")&gt;0,"N/A hanya untuk kegiatan bersyarat",IF(SUM(AF240,AG240,AH240,AI240,AJ240)&lt;&gt;13,"Status kegiatan tidak valid",IF(AJ240&gt;0,"Lengkapi status kegiatan",IF(AND(AI240&gt;0,T240=""),"Isi alasan Tidak Berlaku",IF(AND(SUM(AG240,AH240)&gt;0,OR(T240="",U240="",V240="",W240="")),"Isi kendala dan tindak lanjut",IF(AND(Y240&lt;&gt;"Draft",Y240&lt;&gt;"Dikirim"),"Isi status laporan yang valid",IF(AND(AA240&lt;&gt;"",AA240&lt;&gt;"Belum Diperiksa",AA240&lt;&gt;"Disetujui",AA240&lt;&gt;"Perlu Perbaikan"),"Hasil review tidak valid",IF(AND(Y240="Dikirim",OR(X240="",Z240="")),"Isi bukti dan waktu kirim",IF(AND(AA240="Disetujui",OR(Y240&lt;&gt;"Dikirim",AB240="",AC240="")),"Lengkapi pemeriksaan",IF(AND(AA240="Perlu Perbaikan",OR(AD240="",AB240="",AC240="")),"Isi pemeriksa dan catatan perbaikan","OK")))))))))))))))),"")</f>
        <v/>
      </c>
    </row>
    <row r="241" spans="1:38" ht="24.95" customHeight="1">
      <c r="A241" s="8"/>
      <c r="B241" s="6"/>
      <c r="C241" s="15" t="str">
        <f>IF(COUNTIFS(Master_PIC!$A$8:$A$73,$B241)=1,IF(VLOOKUP($B241,Master_PIC!$A$8:$G$73,2,FALSE)="","",VLOOKUP($B241,Master_PIC!$A$8:$G$73,2,FALSE)),"")</f>
        <v/>
      </c>
      <c r="D241" s="15" t="str">
        <f>IF(COUNTIFS(Master_PIC!$A$8:$A$73,$B241)=1,IF(VLOOKUP($B241,Master_PIC!$A$8:$G$73,4,FALSE)="","",VLOOKUP($B241,Master_PIC!$A$8:$G$73,4,FALSE)),"")</f>
        <v/>
      </c>
      <c r="E241" s="15" t="str">
        <f>IF(COUNTIFS(Master_PIC!$A$8:$A$73,$B241)=1,IF(VLOOKUP($B241,Master_PIC!$A$8:$G$73,5,FALSE)="","",VLOOKUP($B241,Master_PIC!$A$8:$G$73,5,FALSE)),"")</f>
        <v/>
      </c>
      <c r="F241" s="15" t="str">
        <f>IF(COUNTIFS(Master_PIC!$A$8:$A$73,$B241)=1,IF(VLOOKUP($B241,Master_PIC!$A$8:$G$73,6,FALSE)="","",VLOOKUP($B241,Master_PIC!$A$8:$G$73,6,FALSE)),"")</f>
        <v/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8"/>
      <c r="X241" s="5"/>
      <c r="Y241" s="5"/>
      <c r="Z241" s="9"/>
      <c r="AA241" s="5"/>
      <c r="AB241" s="5"/>
      <c r="AC241" s="9"/>
      <c r="AD241" s="5"/>
      <c r="AE241" s="7" t="str">
        <f t="shared" si="21"/>
        <v/>
      </c>
      <c r="AF241" s="7" t="str">
        <f t="shared" si="22"/>
        <v/>
      </c>
      <c r="AG241" s="7" t="str">
        <f t="shared" si="23"/>
        <v/>
      </c>
      <c r="AH241" s="7" t="str">
        <f t="shared" si="24"/>
        <v/>
      </c>
      <c r="AI241" s="7" t="str">
        <f t="shared" si="25"/>
        <v/>
      </c>
      <c r="AJ241" s="7" t="str">
        <f t="shared" si="26"/>
        <v/>
      </c>
      <c r="AK241" s="10" t="str">
        <f t="shared" si="27"/>
        <v/>
      </c>
      <c r="AL241" s="15" t="str">
        <f>IF(OR($A241&lt;&gt;"",$B241&lt;&gt;""),IF(OR($A241="",$B241=""),"Isi tanggal dan ID PIC",IF(NOT(ISNUMBER($A241)),"Tanggal harus berupa tanggal Excel",IF(COUNTIFS(Master_PIC!$A$8:$A$73,$B241)&lt;&gt;1,"ID PIC tidak unik/terdaftar",IF(VLOOKUP($B241,Master_PIC!$A$8:$G$73,3,FALSE)&lt;&gt;"ASM","Jabatan tidak sesuai sheet",IF(OR($C241="",$D241="",$E241="",$F241=""),"Lengkapi master PIC",IF(COUNTIFS($A$8:$A$507,$A241,$B$8:$B$507,$B241)&gt;1,"Laporan ganda",IF(COUNTIFS(G241:O241,"Tidak Berlaku")&gt;0,"N/A hanya untuk kegiatan bersyarat",IF(SUM(AF241,AG241,AH241,AI241,AJ241)&lt;&gt;13,"Status kegiatan tidak valid",IF(AJ241&gt;0,"Lengkapi status kegiatan",IF(AND(AI241&gt;0,T241=""),"Isi alasan Tidak Berlaku",IF(AND(SUM(AG241,AH241)&gt;0,OR(T241="",U241="",V241="",W241="")),"Isi kendala dan tindak lanjut",IF(AND(Y241&lt;&gt;"Draft",Y241&lt;&gt;"Dikirim"),"Isi status laporan yang valid",IF(AND(AA241&lt;&gt;"",AA241&lt;&gt;"Belum Diperiksa",AA241&lt;&gt;"Disetujui",AA241&lt;&gt;"Perlu Perbaikan"),"Hasil review tidak valid",IF(AND(Y241="Dikirim",OR(X241="",Z241="")),"Isi bukti dan waktu kirim",IF(AND(AA241="Disetujui",OR(Y241&lt;&gt;"Dikirim",AB241="",AC241="")),"Lengkapi pemeriksaan",IF(AND(AA241="Perlu Perbaikan",OR(AD241="",AB241="",AC241="")),"Isi pemeriksa dan catatan perbaikan","OK")))))))))))))))),"")</f>
        <v/>
      </c>
    </row>
    <row r="242" spans="1:38" ht="24.95" customHeight="1">
      <c r="A242" s="8"/>
      <c r="B242" s="6"/>
      <c r="C242" s="15" t="str">
        <f>IF(COUNTIFS(Master_PIC!$A$8:$A$73,$B242)=1,IF(VLOOKUP($B242,Master_PIC!$A$8:$G$73,2,FALSE)="","",VLOOKUP($B242,Master_PIC!$A$8:$G$73,2,FALSE)),"")</f>
        <v/>
      </c>
      <c r="D242" s="15" t="str">
        <f>IF(COUNTIFS(Master_PIC!$A$8:$A$73,$B242)=1,IF(VLOOKUP($B242,Master_PIC!$A$8:$G$73,4,FALSE)="","",VLOOKUP($B242,Master_PIC!$A$8:$G$73,4,FALSE)),"")</f>
        <v/>
      </c>
      <c r="E242" s="15" t="str">
        <f>IF(COUNTIFS(Master_PIC!$A$8:$A$73,$B242)=1,IF(VLOOKUP($B242,Master_PIC!$A$8:$G$73,5,FALSE)="","",VLOOKUP($B242,Master_PIC!$A$8:$G$73,5,FALSE)),"")</f>
        <v/>
      </c>
      <c r="F242" s="15" t="str">
        <f>IF(COUNTIFS(Master_PIC!$A$8:$A$73,$B242)=1,IF(VLOOKUP($B242,Master_PIC!$A$8:$G$73,6,FALSE)="","",VLOOKUP($B242,Master_PIC!$A$8:$G$73,6,FALSE)),"")</f>
        <v/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8"/>
      <c r="X242" s="5"/>
      <c r="Y242" s="5"/>
      <c r="Z242" s="9"/>
      <c r="AA242" s="5"/>
      <c r="AB242" s="5"/>
      <c r="AC242" s="9"/>
      <c r="AD242" s="5"/>
      <c r="AE242" s="7" t="str">
        <f t="shared" si="21"/>
        <v/>
      </c>
      <c r="AF242" s="7" t="str">
        <f t="shared" si="22"/>
        <v/>
      </c>
      <c r="AG242" s="7" t="str">
        <f t="shared" si="23"/>
        <v/>
      </c>
      <c r="AH242" s="7" t="str">
        <f t="shared" si="24"/>
        <v/>
      </c>
      <c r="AI242" s="7" t="str">
        <f t="shared" si="25"/>
        <v/>
      </c>
      <c r="AJ242" s="7" t="str">
        <f t="shared" si="26"/>
        <v/>
      </c>
      <c r="AK242" s="10" t="str">
        <f t="shared" si="27"/>
        <v/>
      </c>
      <c r="AL242" s="15" t="str">
        <f>IF(OR($A242&lt;&gt;"",$B242&lt;&gt;""),IF(OR($A242="",$B242=""),"Isi tanggal dan ID PIC",IF(NOT(ISNUMBER($A242)),"Tanggal harus berupa tanggal Excel",IF(COUNTIFS(Master_PIC!$A$8:$A$73,$B242)&lt;&gt;1,"ID PIC tidak unik/terdaftar",IF(VLOOKUP($B242,Master_PIC!$A$8:$G$73,3,FALSE)&lt;&gt;"ASM","Jabatan tidak sesuai sheet",IF(OR($C242="",$D242="",$E242="",$F242=""),"Lengkapi master PIC",IF(COUNTIFS($A$8:$A$507,$A242,$B$8:$B$507,$B242)&gt;1,"Laporan ganda",IF(COUNTIFS(G242:O242,"Tidak Berlaku")&gt;0,"N/A hanya untuk kegiatan bersyarat",IF(SUM(AF242,AG242,AH242,AI242,AJ242)&lt;&gt;13,"Status kegiatan tidak valid",IF(AJ242&gt;0,"Lengkapi status kegiatan",IF(AND(AI242&gt;0,T242=""),"Isi alasan Tidak Berlaku",IF(AND(SUM(AG242,AH242)&gt;0,OR(T242="",U242="",V242="",W242="")),"Isi kendala dan tindak lanjut",IF(AND(Y242&lt;&gt;"Draft",Y242&lt;&gt;"Dikirim"),"Isi status laporan yang valid",IF(AND(AA242&lt;&gt;"",AA242&lt;&gt;"Belum Diperiksa",AA242&lt;&gt;"Disetujui",AA242&lt;&gt;"Perlu Perbaikan"),"Hasil review tidak valid",IF(AND(Y242="Dikirim",OR(X242="",Z242="")),"Isi bukti dan waktu kirim",IF(AND(AA242="Disetujui",OR(Y242&lt;&gt;"Dikirim",AB242="",AC242="")),"Lengkapi pemeriksaan",IF(AND(AA242="Perlu Perbaikan",OR(AD242="",AB242="",AC242="")),"Isi pemeriksa dan catatan perbaikan","OK")))))))))))))))),"")</f>
        <v/>
      </c>
    </row>
    <row r="243" spans="1:38" ht="24.95" customHeight="1">
      <c r="A243" s="8"/>
      <c r="B243" s="6"/>
      <c r="C243" s="15" t="str">
        <f>IF(COUNTIFS(Master_PIC!$A$8:$A$73,$B243)=1,IF(VLOOKUP($B243,Master_PIC!$A$8:$G$73,2,FALSE)="","",VLOOKUP($B243,Master_PIC!$A$8:$G$73,2,FALSE)),"")</f>
        <v/>
      </c>
      <c r="D243" s="15" t="str">
        <f>IF(COUNTIFS(Master_PIC!$A$8:$A$73,$B243)=1,IF(VLOOKUP($B243,Master_PIC!$A$8:$G$73,4,FALSE)="","",VLOOKUP($B243,Master_PIC!$A$8:$G$73,4,FALSE)),"")</f>
        <v/>
      </c>
      <c r="E243" s="15" t="str">
        <f>IF(COUNTIFS(Master_PIC!$A$8:$A$73,$B243)=1,IF(VLOOKUP($B243,Master_PIC!$A$8:$G$73,5,FALSE)="","",VLOOKUP($B243,Master_PIC!$A$8:$G$73,5,FALSE)),"")</f>
        <v/>
      </c>
      <c r="F243" s="15" t="str">
        <f>IF(COUNTIFS(Master_PIC!$A$8:$A$73,$B243)=1,IF(VLOOKUP($B243,Master_PIC!$A$8:$G$73,6,FALSE)="","",VLOOKUP($B243,Master_PIC!$A$8:$G$73,6,FALSE)),"")</f>
        <v/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8"/>
      <c r="X243" s="5"/>
      <c r="Y243" s="5"/>
      <c r="Z243" s="9"/>
      <c r="AA243" s="5"/>
      <c r="AB243" s="5"/>
      <c r="AC243" s="9"/>
      <c r="AD243" s="5"/>
      <c r="AE243" s="7" t="str">
        <f t="shared" si="21"/>
        <v/>
      </c>
      <c r="AF243" s="7" t="str">
        <f t="shared" si="22"/>
        <v/>
      </c>
      <c r="AG243" s="7" t="str">
        <f t="shared" si="23"/>
        <v/>
      </c>
      <c r="AH243" s="7" t="str">
        <f t="shared" si="24"/>
        <v/>
      </c>
      <c r="AI243" s="7" t="str">
        <f t="shared" si="25"/>
        <v/>
      </c>
      <c r="AJ243" s="7" t="str">
        <f t="shared" si="26"/>
        <v/>
      </c>
      <c r="AK243" s="10" t="str">
        <f t="shared" si="27"/>
        <v/>
      </c>
      <c r="AL243" s="15" t="str">
        <f>IF(OR($A243&lt;&gt;"",$B243&lt;&gt;""),IF(OR($A243="",$B243=""),"Isi tanggal dan ID PIC",IF(NOT(ISNUMBER($A243)),"Tanggal harus berupa tanggal Excel",IF(COUNTIFS(Master_PIC!$A$8:$A$73,$B243)&lt;&gt;1,"ID PIC tidak unik/terdaftar",IF(VLOOKUP($B243,Master_PIC!$A$8:$G$73,3,FALSE)&lt;&gt;"ASM","Jabatan tidak sesuai sheet",IF(OR($C243="",$D243="",$E243="",$F243=""),"Lengkapi master PIC",IF(COUNTIFS($A$8:$A$507,$A243,$B$8:$B$507,$B243)&gt;1,"Laporan ganda",IF(COUNTIFS(G243:O243,"Tidak Berlaku")&gt;0,"N/A hanya untuk kegiatan bersyarat",IF(SUM(AF243,AG243,AH243,AI243,AJ243)&lt;&gt;13,"Status kegiatan tidak valid",IF(AJ243&gt;0,"Lengkapi status kegiatan",IF(AND(AI243&gt;0,T243=""),"Isi alasan Tidak Berlaku",IF(AND(SUM(AG243,AH243)&gt;0,OR(T243="",U243="",V243="",W243="")),"Isi kendala dan tindak lanjut",IF(AND(Y243&lt;&gt;"Draft",Y243&lt;&gt;"Dikirim"),"Isi status laporan yang valid",IF(AND(AA243&lt;&gt;"",AA243&lt;&gt;"Belum Diperiksa",AA243&lt;&gt;"Disetujui",AA243&lt;&gt;"Perlu Perbaikan"),"Hasil review tidak valid",IF(AND(Y243="Dikirim",OR(X243="",Z243="")),"Isi bukti dan waktu kirim",IF(AND(AA243="Disetujui",OR(Y243&lt;&gt;"Dikirim",AB243="",AC243="")),"Lengkapi pemeriksaan",IF(AND(AA243="Perlu Perbaikan",OR(AD243="",AB243="",AC243="")),"Isi pemeriksa dan catatan perbaikan","OK")))))))))))))))),"")</f>
        <v/>
      </c>
    </row>
    <row r="244" spans="1:38" ht="24.95" customHeight="1">
      <c r="A244" s="8"/>
      <c r="B244" s="6"/>
      <c r="C244" s="15" t="str">
        <f>IF(COUNTIFS(Master_PIC!$A$8:$A$73,$B244)=1,IF(VLOOKUP($B244,Master_PIC!$A$8:$G$73,2,FALSE)="","",VLOOKUP($B244,Master_PIC!$A$8:$G$73,2,FALSE)),"")</f>
        <v/>
      </c>
      <c r="D244" s="15" t="str">
        <f>IF(COUNTIFS(Master_PIC!$A$8:$A$73,$B244)=1,IF(VLOOKUP($B244,Master_PIC!$A$8:$G$73,4,FALSE)="","",VLOOKUP($B244,Master_PIC!$A$8:$G$73,4,FALSE)),"")</f>
        <v/>
      </c>
      <c r="E244" s="15" t="str">
        <f>IF(COUNTIFS(Master_PIC!$A$8:$A$73,$B244)=1,IF(VLOOKUP($B244,Master_PIC!$A$8:$G$73,5,FALSE)="","",VLOOKUP($B244,Master_PIC!$A$8:$G$73,5,FALSE)),"")</f>
        <v/>
      </c>
      <c r="F244" s="15" t="str">
        <f>IF(COUNTIFS(Master_PIC!$A$8:$A$73,$B244)=1,IF(VLOOKUP($B244,Master_PIC!$A$8:$G$73,6,FALSE)="","",VLOOKUP($B244,Master_PIC!$A$8:$G$73,6,FALSE)),"")</f>
        <v/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8"/>
      <c r="X244" s="5"/>
      <c r="Y244" s="5"/>
      <c r="Z244" s="9"/>
      <c r="AA244" s="5"/>
      <c r="AB244" s="5"/>
      <c r="AC244" s="9"/>
      <c r="AD244" s="5"/>
      <c r="AE244" s="7" t="str">
        <f t="shared" si="21"/>
        <v/>
      </c>
      <c r="AF244" s="7" t="str">
        <f t="shared" si="22"/>
        <v/>
      </c>
      <c r="AG244" s="7" t="str">
        <f t="shared" si="23"/>
        <v/>
      </c>
      <c r="AH244" s="7" t="str">
        <f t="shared" si="24"/>
        <v/>
      </c>
      <c r="AI244" s="7" t="str">
        <f t="shared" si="25"/>
        <v/>
      </c>
      <c r="AJ244" s="7" t="str">
        <f t="shared" si="26"/>
        <v/>
      </c>
      <c r="AK244" s="10" t="str">
        <f t="shared" si="27"/>
        <v/>
      </c>
      <c r="AL244" s="15" t="str">
        <f>IF(OR($A244&lt;&gt;"",$B244&lt;&gt;""),IF(OR($A244="",$B244=""),"Isi tanggal dan ID PIC",IF(NOT(ISNUMBER($A244)),"Tanggal harus berupa tanggal Excel",IF(COUNTIFS(Master_PIC!$A$8:$A$73,$B244)&lt;&gt;1,"ID PIC tidak unik/terdaftar",IF(VLOOKUP($B244,Master_PIC!$A$8:$G$73,3,FALSE)&lt;&gt;"ASM","Jabatan tidak sesuai sheet",IF(OR($C244="",$D244="",$E244="",$F244=""),"Lengkapi master PIC",IF(COUNTIFS($A$8:$A$507,$A244,$B$8:$B$507,$B244)&gt;1,"Laporan ganda",IF(COUNTIFS(G244:O244,"Tidak Berlaku")&gt;0,"N/A hanya untuk kegiatan bersyarat",IF(SUM(AF244,AG244,AH244,AI244,AJ244)&lt;&gt;13,"Status kegiatan tidak valid",IF(AJ244&gt;0,"Lengkapi status kegiatan",IF(AND(AI244&gt;0,T244=""),"Isi alasan Tidak Berlaku",IF(AND(SUM(AG244,AH244)&gt;0,OR(T244="",U244="",V244="",W244="")),"Isi kendala dan tindak lanjut",IF(AND(Y244&lt;&gt;"Draft",Y244&lt;&gt;"Dikirim"),"Isi status laporan yang valid",IF(AND(AA244&lt;&gt;"",AA244&lt;&gt;"Belum Diperiksa",AA244&lt;&gt;"Disetujui",AA244&lt;&gt;"Perlu Perbaikan"),"Hasil review tidak valid",IF(AND(Y244="Dikirim",OR(X244="",Z244="")),"Isi bukti dan waktu kirim",IF(AND(AA244="Disetujui",OR(Y244&lt;&gt;"Dikirim",AB244="",AC244="")),"Lengkapi pemeriksaan",IF(AND(AA244="Perlu Perbaikan",OR(AD244="",AB244="",AC244="")),"Isi pemeriksa dan catatan perbaikan","OK")))))))))))))))),"")</f>
        <v/>
      </c>
    </row>
    <row r="245" spans="1:38" ht="24.95" customHeight="1">
      <c r="A245" s="8"/>
      <c r="B245" s="6"/>
      <c r="C245" s="15" t="str">
        <f>IF(COUNTIFS(Master_PIC!$A$8:$A$73,$B245)=1,IF(VLOOKUP($B245,Master_PIC!$A$8:$G$73,2,FALSE)="","",VLOOKUP($B245,Master_PIC!$A$8:$G$73,2,FALSE)),"")</f>
        <v/>
      </c>
      <c r="D245" s="15" t="str">
        <f>IF(COUNTIFS(Master_PIC!$A$8:$A$73,$B245)=1,IF(VLOOKUP($B245,Master_PIC!$A$8:$G$73,4,FALSE)="","",VLOOKUP($B245,Master_PIC!$A$8:$G$73,4,FALSE)),"")</f>
        <v/>
      </c>
      <c r="E245" s="15" t="str">
        <f>IF(COUNTIFS(Master_PIC!$A$8:$A$73,$B245)=1,IF(VLOOKUP($B245,Master_PIC!$A$8:$G$73,5,FALSE)="","",VLOOKUP($B245,Master_PIC!$A$8:$G$73,5,FALSE)),"")</f>
        <v/>
      </c>
      <c r="F245" s="15" t="str">
        <f>IF(COUNTIFS(Master_PIC!$A$8:$A$73,$B245)=1,IF(VLOOKUP($B245,Master_PIC!$A$8:$G$73,6,FALSE)="","",VLOOKUP($B245,Master_PIC!$A$8:$G$73,6,FALSE)),"")</f>
        <v/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8"/>
      <c r="X245" s="5"/>
      <c r="Y245" s="5"/>
      <c r="Z245" s="9"/>
      <c r="AA245" s="5"/>
      <c r="AB245" s="5"/>
      <c r="AC245" s="9"/>
      <c r="AD245" s="5"/>
      <c r="AE245" s="7" t="str">
        <f t="shared" si="21"/>
        <v/>
      </c>
      <c r="AF245" s="7" t="str">
        <f t="shared" si="22"/>
        <v/>
      </c>
      <c r="AG245" s="7" t="str">
        <f t="shared" si="23"/>
        <v/>
      </c>
      <c r="AH245" s="7" t="str">
        <f t="shared" si="24"/>
        <v/>
      </c>
      <c r="AI245" s="7" t="str">
        <f t="shared" si="25"/>
        <v/>
      </c>
      <c r="AJ245" s="7" t="str">
        <f t="shared" si="26"/>
        <v/>
      </c>
      <c r="AK245" s="10" t="str">
        <f t="shared" si="27"/>
        <v/>
      </c>
      <c r="AL245" s="15" t="str">
        <f>IF(OR($A245&lt;&gt;"",$B245&lt;&gt;""),IF(OR($A245="",$B245=""),"Isi tanggal dan ID PIC",IF(NOT(ISNUMBER($A245)),"Tanggal harus berupa tanggal Excel",IF(COUNTIFS(Master_PIC!$A$8:$A$73,$B245)&lt;&gt;1,"ID PIC tidak unik/terdaftar",IF(VLOOKUP($B245,Master_PIC!$A$8:$G$73,3,FALSE)&lt;&gt;"ASM","Jabatan tidak sesuai sheet",IF(OR($C245="",$D245="",$E245="",$F245=""),"Lengkapi master PIC",IF(COUNTIFS($A$8:$A$507,$A245,$B$8:$B$507,$B245)&gt;1,"Laporan ganda",IF(COUNTIFS(G245:O245,"Tidak Berlaku")&gt;0,"N/A hanya untuk kegiatan bersyarat",IF(SUM(AF245,AG245,AH245,AI245,AJ245)&lt;&gt;13,"Status kegiatan tidak valid",IF(AJ245&gt;0,"Lengkapi status kegiatan",IF(AND(AI245&gt;0,T245=""),"Isi alasan Tidak Berlaku",IF(AND(SUM(AG245,AH245)&gt;0,OR(T245="",U245="",V245="",W245="")),"Isi kendala dan tindak lanjut",IF(AND(Y245&lt;&gt;"Draft",Y245&lt;&gt;"Dikirim"),"Isi status laporan yang valid",IF(AND(AA245&lt;&gt;"",AA245&lt;&gt;"Belum Diperiksa",AA245&lt;&gt;"Disetujui",AA245&lt;&gt;"Perlu Perbaikan"),"Hasil review tidak valid",IF(AND(Y245="Dikirim",OR(X245="",Z245="")),"Isi bukti dan waktu kirim",IF(AND(AA245="Disetujui",OR(Y245&lt;&gt;"Dikirim",AB245="",AC245="")),"Lengkapi pemeriksaan",IF(AND(AA245="Perlu Perbaikan",OR(AD245="",AB245="",AC245="")),"Isi pemeriksa dan catatan perbaikan","OK")))))))))))))))),"")</f>
        <v/>
      </c>
    </row>
    <row r="246" spans="1:38" ht="24.95" customHeight="1">
      <c r="A246" s="8"/>
      <c r="B246" s="6"/>
      <c r="C246" s="15" t="str">
        <f>IF(COUNTIFS(Master_PIC!$A$8:$A$73,$B246)=1,IF(VLOOKUP($B246,Master_PIC!$A$8:$G$73,2,FALSE)="","",VLOOKUP($B246,Master_PIC!$A$8:$G$73,2,FALSE)),"")</f>
        <v/>
      </c>
      <c r="D246" s="15" t="str">
        <f>IF(COUNTIFS(Master_PIC!$A$8:$A$73,$B246)=1,IF(VLOOKUP($B246,Master_PIC!$A$8:$G$73,4,FALSE)="","",VLOOKUP($B246,Master_PIC!$A$8:$G$73,4,FALSE)),"")</f>
        <v/>
      </c>
      <c r="E246" s="15" t="str">
        <f>IF(COUNTIFS(Master_PIC!$A$8:$A$73,$B246)=1,IF(VLOOKUP($B246,Master_PIC!$A$8:$G$73,5,FALSE)="","",VLOOKUP($B246,Master_PIC!$A$8:$G$73,5,FALSE)),"")</f>
        <v/>
      </c>
      <c r="F246" s="15" t="str">
        <f>IF(COUNTIFS(Master_PIC!$A$8:$A$73,$B246)=1,IF(VLOOKUP($B246,Master_PIC!$A$8:$G$73,6,FALSE)="","",VLOOKUP($B246,Master_PIC!$A$8:$G$73,6,FALSE)),"")</f>
        <v/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8"/>
      <c r="X246" s="5"/>
      <c r="Y246" s="5"/>
      <c r="Z246" s="9"/>
      <c r="AA246" s="5"/>
      <c r="AB246" s="5"/>
      <c r="AC246" s="9"/>
      <c r="AD246" s="5"/>
      <c r="AE246" s="7" t="str">
        <f t="shared" si="21"/>
        <v/>
      </c>
      <c r="AF246" s="7" t="str">
        <f t="shared" si="22"/>
        <v/>
      </c>
      <c r="AG246" s="7" t="str">
        <f t="shared" si="23"/>
        <v/>
      </c>
      <c r="AH246" s="7" t="str">
        <f t="shared" si="24"/>
        <v/>
      </c>
      <c r="AI246" s="7" t="str">
        <f t="shared" si="25"/>
        <v/>
      </c>
      <c r="AJ246" s="7" t="str">
        <f t="shared" si="26"/>
        <v/>
      </c>
      <c r="AK246" s="10" t="str">
        <f t="shared" si="27"/>
        <v/>
      </c>
      <c r="AL246" s="15" t="str">
        <f>IF(OR($A246&lt;&gt;"",$B246&lt;&gt;""),IF(OR($A246="",$B246=""),"Isi tanggal dan ID PIC",IF(NOT(ISNUMBER($A246)),"Tanggal harus berupa tanggal Excel",IF(COUNTIFS(Master_PIC!$A$8:$A$73,$B246)&lt;&gt;1,"ID PIC tidak unik/terdaftar",IF(VLOOKUP($B246,Master_PIC!$A$8:$G$73,3,FALSE)&lt;&gt;"ASM","Jabatan tidak sesuai sheet",IF(OR($C246="",$D246="",$E246="",$F246=""),"Lengkapi master PIC",IF(COUNTIFS($A$8:$A$507,$A246,$B$8:$B$507,$B246)&gt;1,"Laporan ganda",IF(COUNTIFS(G246:O246,"Tidak Berlaku")&gt;0,"N/A hanya untuk kegiatan bersyarat",IF(SUM(AF246,AG246,AH246,AI246,AJ246)&lt;&gt;13,"Status kegiatan tidak valid",IF(AJ246&gt;0,"Lengkapi status kegiatan",IF(AND(AI246&gt;0,T246=""),"Isi alasan Tidak Berlaku",IF(AND(SUM(AG246,AH246)&gt;0,OR(T246="",U246="",V246="",W246="")),"Isi kendala dan tindak lanjut",IF(AND(Y246&lt;&gt;"Draft",Y246&lt;&gt;"Dikirim"),"Isi status laporan yang valid",IF(AND(AA246&lt;&gt;"",AA246&lt;&gt;"Belum Diperiksa",AA246&lt;&gt;"Disetujui",AA246&lt;&gt;"Perlu Perbaikan"),"Hasil review tidak valid",IF(AND(Y246="Dikirim",OR(X246="",Z246="")),"Isi bukti dan waktu kirim",IF(AND(AA246="Disetujui",OR(Y246&lt;&gt;"Dikirim",AB246="",AC246="")),"Lengkapi pemeriksaan",IF(AND(AA246="Perlu Perbaikan",OR(AD246="",AB246="",AC246="")),"Isi pemeriksa dan catatan perbaikan","OK")))))))))))))))),"")</f>
        <v/>
      </c>
    </row>
    <row r="247" spans="1:38" ht="24.95" customHeight="1">
      <c r="A247" s="8"/>
      <c r="B247" s="6"/>
      <c r="C247" s="15" t="str">
        <f>IF(COUNTIFS(Master_PIC!$A$8:$A$73,$B247)=1,IF(VLOOKUP($B247,Master_PIC!$A$8:$G$73,2,FALSE)="","",VLOOKUP($B247,Master_PIC!$A$8:$G$73,2,FALSE)),"")</f>
        <v/>
      </c>
      <c r="D247" s="15" t="str">
        <f>IF(COUNTIFS(Master_PIC!$A$8:$A$73,$B247)=1,IF(VLOOKUP($B247,Master_PIC!$A$8:$G$73,4,FALSE)="","",VLOOKUP($B247,Master_PIC!$A$8:$G$73,4,FALSE)),"")</f>
        <v/>
      </c>
      <c r="E247" s="15" t="str">
        <f>IF(COUNTIFS(Master_PIC!$A$8:$A$73,$B247)=1,IF(VLOOKUP($B247,Master_PIC!$A$8:$G$73,5,FALSE)="","",VLOOKUP($B247,Master_PIC!$A$8:$G$73,5,FALSE)),"")</f>
        <v/>
      </c>
      <c r="F247" s="15" t="str">
        <f>IF(COUNTIFS(Master_PIC!$A$8:$A$73,$B247)=1,IF(VLOOKUP($B247,Master_PIC!$A$8:$G$73,6,FALSE)="","",VLOOKUP($B247,Master_PIC!$A$8:$G$73,6,FALSE)),"")</f>
        <v/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8"/>
      <c r="X247" s="5"/>
      <c r="Y247" s="5"/>
      <c r="Z247" s="9"/>
      <c r="AA247" s="5"/>
      <c r="AB247" s="5"/>
      <c r="AC247" s="9"/>
      <c r="AD247" s="5"/>
      <c r="AE247" s="7" t="str">
        <f t="shared" si="21"/>
        <v/>
      </c>
      <c r="AF247" s="7" t="str">
        <f t="shared" si="22"/>
        <v/>
      </c>
      <c r="AG247" s="7" t="str">
        <f t="shared" si="23"/>
        <v/>
      </c>
      <c r="AH247" s="7" t="str">
        <f t="shared" si="24"/>
        <v/>
      </c>
      <c r="AI247" s="7" t="str">
        <f t="shared" si="25"/>
        <v/>
      </c>
      <c r="AJ247" s="7" t="str">
        <f t="shared" si="26"/>
        <v/>
      </c>
      <c r="AK247" s="10" t="str">
        <f t="shared" si="27"/>
        <v/>
      </c>
      <c r="AL247" s="15" t="str">
        <f>IF(OR($A247&lt;&gt;"",$B247&lt;&gt;""),IF(OR($A247="",$B247=""),"Isi tanggal dan ID PIC",IF(NOT(ISNUMBER($A247)),"Tanggal harus berupa tanggal Excel",IF(COUNTIFS(Master_PIC!$A$8:$A$73,$B247)&lt;&gt;1,"ID PIC tidak unik/terdaftar",IF(VLOOKUP($B247,Master_PIC!$A$8:$G$73,3,FALSE)&lt;&gt;"ASM","Jabatan tidak sesuai sheet",IF(OR($C247="",$D247="",$E247="",$F247=""),"Lengkapi master PIC",IF(COUNTIFS($A$8:$A$507,$A247,$B$8:$B$507,$B247)&gt;1,"Laporan ganda",IF(COUNTIFS(G247:O247,"Tidak Berlaku")&gt;0,"N/A hanya untuk kegiatan bersyarat",IF(SUM(AF247,AG247,AH247,AI247,AJ247)&lt;&gt;13,"Status kegiatan tidak valid",IF(AJ247&gt;0,"Lengkapi status kegiatan",IF(AND(AI247&gt;0,T247=""),"Isi alasan Tidak Berlaku",IF(AND(SUM(AG247,AH247)&gt;0,OR(T247="",U247="",V247="",W247="")),"Isi kendala dan tindak lanjut",IF(AND(Y247&lt;&gt;"Draft",Y247&lt;&gt;"Dikirim"),"Isi status laporan yang valid",IF(AND(AA247&lt;&gt;"",AA247&lt;&gt;"Belum Diperiksa",AA247&lt;&gt;"Disetujui",AA247&lt;&gt;"Perlu Perbaikan"),"Hasil review tidak valid",IF(AND(Y247="Dikirim",OR(X247="",Z247="")),"Isi bukti dan waktu kirim",IF(AND(AA247="Disetujui",OR(Y247&lt;&gt;"Dikirim",AB247="",AC247="")),"Lengkapi pemeriksaan",IF(AND(AA247="Perlu Perbaikan",OR(AD247="",AB247="",AC247="")),"Isi pemeriksa dan catatan perbaikan","OK")))))))))))))))),"")</f>
        <v/>
      </c>
    </row>
    <row r="248" spans="1:38" ht="24.95" customHeight="1">
      <c r="A248" s="8"/>
      <c r="B248" s="6"/>
      <c r="C248" s="15" t="str">
        <f>IF(COUNTIFS(Master_PIC!$A$8:$A$73,$B248)=1,IF(VLOOKUP($B248,Master_PIC!$A$8:$G$73,2,FALSE)="","",VLOOKUP($B248,Master_PIC!$A$8:$G$73,2,FALSE)),"")</f>
        <v/>
      </c>
      <c r="D248" s="15" t="str">
        <f>IF(COUNTIFS(Master_PIC!$A$8:$A$73,$B248)=1,IF(VLOOKUP($B248,Master_PIC!$A$8:$G$73,4,FALSE)="","",VLOOKUP($B248,Master_PIC!$A$8:$G$73,4,FALSE)),"")</f>
        <v/>
      </c>
      <c r="E248" s="15" t="str">
        <f>IF(COUNTIFS(Master_PIC!$A$8:$A$73,$B248)=1,IF(VLOOKUP($B248,Master_PIC!$A$8:$G$73,5,FALSE)="","",VLOOKUP($B248,Master_PIC!$A$8:$G$73,5,FALSE)),"")</f>
        <v/>
      </c>
      <c r="F248" s="15" t="str">
        <f>IF(COUNTIFS(Master_PIC!$A$8:$A$73,$B248)=1,IF(VLOOKUP($B248,Master_PIC!$A$8:$G$73,6,FALSE)="","",VLOOKUP($B248,Master_PIC!$A$8:$G$73,6,FALSE)),"")</f>
        <v/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8"/>
      <c r="X248" s="5"/>
      <c r="Y248" s="5"/>
      <c r="Z248" s="9"/>
      <c r="AA248" s="5"/>
      <c r="AB248" s="5"/>
      <c r="AC248" s="9"/>
      <c r="AD248" s="5"/>
      <c r="AE248" s="7" t="str">
        <f t="shared" si="21"/>
        <v/>
      </c>
      <c r="AF248" s="7" t="str">
        <f t="shared" si="22"/>
        <v/>
      </c>
      <c r="AG248" s="7" t="str">
        <f t="shared" si="23"/>
        <v/>
      </c>
      <c r="AH248" s="7" t="str">
        <f t="shared" si="24"/>
        <v/>
      </c>
      <c r="AI248" s="7" t="str">
        <f t="shared" si="25"/>
        <v/>
      </c>
      <c r="AJ248" s="7" t="str">
        <f t="shared" si="26"/>
        <v/>
      </c>
      <c r="AK248" s="10" t="str">
        <f t="shared" si="27"/>
        <v/>
      </c>
      <c r="AL248" s="15" t="str">
        <f>IF(OR($A248&lt;&gt;"",$B248&lt;&gt;""),IF(OR($A248="",$B248=""),"Isi tanggal dan ID PIC",IF(NOT(ISNUMBER($A248)),"Tanggal harus berupa tanggal Excel",IF(COUNTIFS(Master_PIC!$A$8:$A$73,$B248)&lt;&gt;1,"ID PIC tidak unik/terdaftar",IF(VLOOKUP($B248,Master_PIC!$A$8:$G$73,3,FALSE)&lt;&gt;"ASM","Jabatan tidak sesuai sheet",IF(OR($C248="",$D248="",$E248="",$F248=""),"Lengkapi master PIC",IF(COUNTIFS($A$8:$A$507,$A248,$B$8:$B$507,$B248)&gt;1,"Laporan ganda",IF(COUNTIFS(G248:O248,"Tidak Berlaku")&gt;0,"N/A hanya untuk kegiatan bersyarat",IF(SUM(AF248,AG248,AH248,AI248,AJ248)&lt;&gt;13,"Status kegiatan tidak valid",IF(AJ248&gt;0,"Lengkapi status kegiatan",IF(AND(AI248&gt;0,T248=""),"Isi alasan Tidak Berlaku",IF(AND(SUM(AG248,AH248)&gt;0,OR(T248="",U248="",V248="",W248="")),"Isi kendala dan tindak lanjut",IF(AND(Y248&lt;&gt;"Draft",Y248&lt;&gt;"Dikirim"),"Isi status laporan yang valid",IF(AND(AA248&lt;&gt;"",AA248&lt;&gt;"Belum Diperiksa",AA248&lt;&gt;"Disetujui",AA248&lt;&gt;"Perlu Perbaikan"),"Hasil review tidak valid",IF(AND(Y248="Dikirim",OR(X248="",Z248="")),"Isi bukti dan waktu kirim",IF(AND(AA248="Disetujui",OR(Y248&lt;&gt;"Dikirim",AB248="",AC248="")),"Lengkapi pemeriksaan",IF(AND(AA248="Perlu Perbaikan",OR(AD248="",AB248="",AC248="")),"Isi pemeriksa dan catatan perbaikan","OK")))))))))))))))),"")</f>
        <v/>
      </c>
    </row>
    <row r="249" spans="1:38" ht="24.95" customHeight="1">
      <c r="A249" s="8"/>
      <c r="B249" s="6"/>
      <c r="C249" s="15" t="str">
        <f>IF(COUNTIFS(Master_PIC!$A$8:$A$73,$B249)=1,IF(VLOOKUP($B249,Master_PIC!$A$8:$G$73,2,FALSE)="","",VLOOKUP($B249,Master_PIC!$A$8:$G$73,2,FALSE)),"")</f>
        <v/>
      </c>
      <c r="D249" s="15" t="str">
        <f>IF(COUNTIFS(Master_PIC!$A$8:$A$73,$B249)=1,IF(VLOOKUP($B249,Master_PIC!$A$8:$G$73,4,FALSE)="","",VLOOKUP($B249,Master_PIC!$A$8:$G$73,4,FALSE)),"")</f>
        <v/>
      </c>
      <c r="E249" s="15" t="str">
        <f>IF(COUNTIFS(Master_PIC!$A$8:$A$73,$B249)=1,IF(VLOOKUP($B249,Master_PIC!$A$8:$G$73,5,FALSE)="","",VLOOKUP($B249,Master_PIC!$A$8:$G$73,5,FALSE)),"")</f>
        <v/>
      </c>
      <c r="F249" s="15" t="str">
        <f>IF(COUNTIFS(Master_PIC!$A$8:$A$73,$B249)=1,IF(VLOOKUP($B249,Master_PIC!$A$8:$G$73,6,FALSE)="","",VLOOKUP($B249,Master_PIC!$A$8:$G$73,6,FALSE)),"")</f>
        <v/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8"/>
      <c r="X249" s="5"/>
      <c r="Y249" s="5"/>
      <c r="Z249" s="9"/>
      <c r="AA249" s="5"/>
      <c r="AB249" s="5"/>
      <c r="AC249" s="9"/>
      <c r="AD249" s="5"/>
      <c r="AE249" s="7" t="str">
        <f t="shared" si="21"/>
        <v/>
      </c>
      <c r="AF249" s="7" t="str">
        <f t="shared" si="22"/>
        <v/>
      </c>
      <c r="AG249" s="7" t="str">
        <f t="shared" si="23"/>
        <v/>
      </c>
      <c r="AH249" s="7" t="str">
        <f t="shared" si="24"/>
        <v/>
      </c>
      <c r="AI249" s="7" t="str">
        <f t="shared" si="25"/>
        <v/>
      </c>
      <c r="AJ249" s="7" t="str">
        <f t="shared" si="26"/>
        <v/>
      </c>
      <c r="AK249" s="10" t="str">
        <f t="shared" si="27"/>
        <v/>
      </c>
      <c r="AL249" s="15" t="str">
        <f>IF(OR($A249&lt;&gt;"",$B249&lt;&gt;""),IF(OR($A249="",$B249=""),"Isi tanggal dan ID PIC",IF(NOT(ISNUMBER($A249)),"Tanggal harus berupa tanggal Excel",IF(COUNTIFS(Master_PIC!$A$8:$A$73,$B249)&lt;&gt;1,"ID PIC tidak unik/terdaftar",IF(VLOOKUP($B249,Master_PIC!$A$8:$G$73,3,FALSE)&lt;&gt;"ASM","Jabatan tidak sesuai sheet",IF(OR($C249="",$D249="",$E249="",$F249=""),"Lengkapi master PIC",IF(COUNTIFS($A$8:$A$507,$A249,$B$8:$B$507,$B249)&gt;1,"Laporan ganda",IF(COUNTIFS(G249:O249,"Tidak Berlaku")&gt;0,"N/A hanya untuk kegiatan bersyarat",IF(SUM(AF249,AG249,AH249,AI249,AJ249)&lt;&gt;13,"Status kegiatan tidak valid",IF(AJ249&gt;0,"Lengkapi status kegiatan",IF(AND(AI249&gt;0,T249=""),"Isi alasan Tidak Berlaku",IF(AND(SUM(AG249,AH249)&gt;0,OR(T249="",U249="",V249="",W249="")),"Isi kendala dan tindak lanjut",IF(AND(Y249&lt;&gt;"Draft",Y249&lt;&gt;"Dikirim"),"Isi status laporan yang valid",IF(AND(AA249&lt;&gt;"",AA249&lt;&gt;"Belum Diperiksa",AA249&lt;&gt;"Disetujui",AA249&lt;&gt;"Perlu Perbaikan"),"Hasil review tidak valid",IF(AND(Y249="Dikirim",OR(X249="",Z249="")),"Isi bukti dan waktu kirim",IF(AND(AA249="Disetujui",OR(Y249&lt;&gt;"Dikirim",AB249="",AC249="")),"Lengkapi pemeriksaan",IF(AND(AA249="Perlu Perbaikan",OR(AD249="",AB249="",AC249="")),"Isi pemeriksa dan catatan perbaikan","OK")))))))))))))))),"")</f>
        <v/>
      </c>
    </row>
    <row r="250" spans="1:38" ht="24.95" customHeight="1">
      <c r="A250" s="8"/>
      <c r="B250" s="6"/>
      <c r="C250" s="15" t="str">
        <f>IF(COUNTIFS(Master_PIC!$A$8:$A$73,$B250)=1,IF(VLOOKUP($B250,Master_PIC!$A$8:$G$73,2,FALSE)="","",VLOOKUP($B250,Master_PIC!$A$8:$G$73,2,FALSE)),"")</f>
        <v/>
      </c>
      <c r="D250" s="15" t="str">
        <f>IF(COUNTIFS(Master_PIC!$A$8:$A$73,$B250)=1,IF(VLOOKUP($B250,Master_PIC!$A$8:$G$73,4,FALSE)="","",VLOOKUP($B250,Master_PIC!$A$8:$G$73,4,FALSE)),"")</f>
        <v/>
      </c>
      <c r="E250" s="15" t="str">
        <f>IF(COUNTIFS(Master_PIC!$A$8:$A$73,$B250)=1,IF(VLOOKUP($B250,Master_PIC!$A$8:$G$73,5,FALSE)="","",VLOOKUP($B250,Master_PIC!$A$8:$G$73,5,FALSE)),"")</f>
        <v/>
      </c>
      <c r="F250" s="15" t="str">
        <f>IF(COUNTIFS(Master_PIC!$A$8:$A$73,$B250)=1,IF(VLOOKUP($B250,Master_PIC!$A$8:$G$73,6,FALSE)="","",VLOOKUP($B250,Master_PIC!$A$8:$G$73,6,FALSE)),"")</f>
        <v/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8"/>
      <c r="X250" s="5"/>
      <c r="Y250" s="5"/>
      <c r="Z250" s="9"/>
      <c r="AA250" s="5"/>
      <c r="AB250" s="5"/>
      <c r="AC250" s="9"/>
      <c r="AD250" s="5"/>
      <c r="AE250" s="7" t="str">
        <f t="shared" si="21"/>
        <v/>
      </c>
      <c r="AF250" s="7" t="str">
        <f t="shared" si="22"/>
        <v/>
      </c>
      <c r="AG250" s="7" t="str">
        <f t="shared" si="23"/>
        <v/>
      </c>
      <c r="AH250" s="7" t="str">
        <f t="shared" si="24"/>
        <v/>
      </c>
      <c r="AI250" s="7" t="str">
        <f t="shared" si="25"/>
        <v/>
      </c>
      <c r="AJ250" s="7" t="str">
        <f t="shared" si="26"/>
        <v/>
      </c>
      <c r="AK250" s="10" t="str">
        <f t="shared" si="27"/>
        <v/>
      </c>
      <c r="AL250" s="15" t="str">
        <f>IF(OR($A250&lt;&gt;"",$B250&lt;&gt;""),IF(OR($A250="",$B250=""),"Isi tanggal dan ID PIC",IF(NOT(ISNUMBER($A250)),"Tanggal harus berupa tanggal Excel",IF(COUNTIFS(Master_PIC!$A$8:$A$73,$B250)&lt;&gt;1,"ID PIC tidak unik/terdaftar",IF(VLOOKUP($B250,Master_PIC!$A$8:$G$73,3,FALSE)&lt;&gt;"ASM","Jabatan tidak sesuai sheet",IF(OR($C250="",$D250="",$E250="",$F250=""),"Lengkapi master PIC",IF(COUNTIFS($A$8:$A$507,$A250,$B$8:$B$507,$B250)&gt;1,"Laporan ganda",IF(COUNTIFS(G250:O250,"Tidak Berlaku")&gt;0,"N/A hanya untuk kegiatan bersyarat",IF(SUM(AF250,AG250,AH250,AI250,AJ250)&lt;&gt;13,"Status kegiatan tidak valid",IF(AJ250&gt;0,"Lengkapi status kegiatan",IF(AND(AI250&gt;0,T250=""),"Isi alasan Tidak Berlaku",IF(AND(SUM(AG250,AH250)&gt;0,OR(T250="",U250="",V250="",W250="")),"Isi kendala dan tindak lanjut",IF(AND(Y250&lt;&gt;"Draft",Y250&lt;&gt;"Dikirim"),"Isi status laporan yang valid",IF(AND(AA250&lt;&gt;"",AA250&lt;&gt;"Belum Diperiksa",AA250&lt;&gt;"Disetujui",AA250&lt;&gt;"Perlu Perbaikan"),"Hasil review tidak valid",IF(AND(Y250="Dikirim",OR(X250="",Z250="")),"Isi bukti dan waktu kirim",IF(AND(AA250="Disetujui",OR(Y250&lt;&gt;"Dikirim",AB250="",AC250="")),"Lengkapi pemeriksaan",IF(AND(AA250="Perlu Perbaikan",OR(AD250="",AB250="",AC250="")),"Isi pemeriksa dan catatan perbaikan","OK")))))))))))))))),"")</f>
        <v/>
      </c>
    </row>
    <row r="251" spans="1:38" ht="24.95" customHeight="1">
      <c r="A251" s="8"/>
      <c r="B251" s="6"/>
      <c r="C251" s="15" t="str">
        <f>IF(COUNTIFS(Master_PIC!$A$8:$A$73,$B251)=1,IF(VLOOKUP($B251,Master_PIC!$A$8:$G$73,2,FALSE)="","",VLOOKUP($B251,Master_PIC!$A$8:$G$73,2,FALSE)),"")</f>
        <v/>
      </c>
      <c r="D251" s="15" t="str">
        <f>IF(COUNTIFS(Master_PIC!$A$8:$A$73,$B251)=1,IF(VLOOKUP($B251,Master_PIC!$A$8:$G$73,4,FALSE)="","",VLOOKUP($B251,Master_PIC!$A$8:$G$73,4,FALSE)),"")</f>
        <v/>
      </c>
      <c r="E251" s="15" t="str">
        <f>IF(COUNTIFS(Master_PIC!$A$8:$A$73,$B251)=1,IF(VLOOKUP($B251,Master_PIC!$A$8:$G$73,5,FALSE)="","",VLOOKUP($B251,Master_PIC!$A$8:$G$73,5,FALSE)),"")</f>
        <v/>
      </c>
      <c r="F251" s="15" t="str">
        <f>IF(COUNTIFS(Master_PIC!$A$8:$A$73,$B251)=1,IF(VLOOKUP($B251,Master_PIC!$A$8:$G$73,6,FALSE)="","",VLOOKUP($B251,Master_PIC!$A$8:$G$73,6,FALSE)),"")</f>
        <v/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8"/>
      <c r="X251" s="5"/>
      <c r="Y251" s="5"/>
      <c r="Z251" s="9"/>
      <c r="AA251" s="5"/>
      <c r="AB251" s="5"/>
      <c r="AC251" s="9"/>
      <c r="AD251" s="5"/>
      <c r="AE251" s="7" t="str">
        <f t="shared" si="21"/>
        <v/>
      </c>
      <c r="AF251" s="7" t="str">
        <f t="shared" si="22"/>
        <v/>
      </c>
      <c r="AG251" s="7" t="str">
        <f t="shared" si="23"/>
        <v/>
      </c>
      <c r="AH251" s="7" t="str">
        <f t="shared" si="24"/>
        <v/>
      </c>
      <c r="AI251" s="7" t="str">
        <f t="shared" si="25"/>
        <v/>
      </c>
      <c r="AJ251" s="7" t="str">
        <f t="shared" si="26"/>
        <v/>
      </c>
      <c r="AK251" s="10" t="str">
        <f t="shared" si="27"/>
        <v/>
      </c>
      <c r="AL251" s="15" t="str">
        <f>IF(OR($A251&lt;&gt;"",$B251&lt;&gt;""),IF(OR($A251="",$B251=""),"Isi tanggal dan ID PIC",IF(NOT(ISNUMBER($A251)),"Tanggal harus berupa tanggal Excel",IF(COUNTIFS(Master_PIC!$A$8:$A$73,$B251)&lt;&gt;1,"ID PIC tidak unik/terdaftar",IF(VLOOKUP($B251,Master_PIC!$A$8:$G$73,3,FALSE)&lt;&gt;"ASM","Jabatan tidak sesuai sheet",IF(OR($C251="",$D251="",$E251="",$F251=""),"Lengkapi master PIC",IF(COUNTIFS($A$8:$A$507,$A251,$B$8:$B$507,$B251)&gt;1,"Laporan ganda",IF(COUNTIFS(G251:O251,"Tidak Berlaku")&gt;0,"N/A hanya untuk kegiatan bersyarat",IF(SUM(AF251,AG251,AH251,AI251,AJ251)&lt;&gt;13,"Status kegiatan tidak valid",IF(AJ251&gt;0,"Lengkapi status kegiatan",IF(AND(AI251&gt;0,T251=""),"Isi alasan Tidak Berlaku",IF(AND(SUM(AG251,AH251)&gt;0,OR(T251="",U251="",V251="",W251="")),"Isi kendala dan tindak lanjut",IF(AND(Y251&lt;&gt;"Draft",Y251&lt;&gt;"Dikirim"),"Isi status laporan yang valid",IF(AND(AA251&lt;&gt;"",AA251&lt;&gt;"Belum Diperiksa",AA251&lt;&gt;"Disetujui",AA251&lt;&gt;"Perlu Perbaikan"),"Hasil review tidak valid",IF(AND(Y251="Dikirim",OR(X251="",Z251="")),"Isi bukti dan waktu kirim",IF(AND(AA251="Disetujui",OR(Y251&lt;&gt;"Dikirim",AB251="",AC251="")),"Lengkapi pemeriksaan",IF(AND(AA251="Perlu Perbaikan",OR(AD251="",AB251="",AC251="")),"Isi pemeriksa dan catatan perbaikan","OK")))))))))))))))),"")</f>
        <v/>
      </c>
    </row>
    <row r="252" spans="1:38" ht="24.95" customHeight="1">
      <c r="A252" s="8"/>
      <c r="B252" s="6"/>
      <c r="C252" s="15" t="str">
        <f>IF(COUNTIFS(Master_PIC!$A$8:$A$73,$B252)=1,IF(VLOOKUP($B252,Master_PIC!$A$8:$G$73,2,FALSE)="","",VLOOKUP($B252,Master_PIC!$A$8:$G$73,2,FALSE)),"")</f>
        <v/>
      </c>
      <c r="D252" s="15" t="str">
        <f>IF(COUNTIFS(Master_PIC!$A$8:$A$73,$B252)=1,IF(VLOOKUP($B252,Master_PIC!$A$8:$G$73,4,FALSE)="","",VLOOKUP($B252,Master_PIC!$A$8:$G$73,4,FALSE)),"")</f>
        <v/>
      </c>
      <c r="E252" s="15" t="str">
        <f>IF(COUNTIFS(Master_PIC!$A$8:$A$73,$B252)=1,IF(VLOOKUP($B252,Master_PIC!$A$8:$G$73,5,FALSE)="","",VLOOKUP($B252,Master_PIC!$A$8:$G$73,5,FALSE)),"")</f>
        <v/>
      </c>
      <c r="F252" s="15" t="str">
        <f>IF(COUNTIFS(Master_PIC!$A$8:$A$73,$B252)=1,IF(VLOOKUP($B252,Master_PIC!$A$8:$G$73,6,FALSE)="","",VLOOKUP($B252,Master_PIC!$A$8:$G$73,6,FALSE)),"")</f>
        <v/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8"/>
      <c r="X252" s="5"/>
      <c r="Y252" s="5"/>
      <c r="Z252" s="9"/>
      <c r="AA252" s="5"/>
      <c r="AB252" s="5"/>
      <c r="AC252" s="9"/>
      <c r="AD252" s="5"/>
      <c r="AE252" s="7" t="str">
        <f t="shared" si="21"/>
        <v/>
      </c>
      <c r="AF252" s="7" t="str">
        <f t="shared" si="22"/>
        <v/>
      </c>
      <c r="AG252" s="7" t="str">
        <f t="shared" si="23"/>
        <v/>
      </c>
      <c r="AH252" s="7" t="str">
        <f t="shared" si="24"/>
        <v/>
      </c>
      <c r="AI252" s="7" t="str">
        <f t="shared" si="25"/>
        <v/>
      </c>
      <c r="AJ252" s="7" t="str">
        <f t="shared" si="26"/>
        <v/>
      </c>
      <c r="AK252" s="10" t="str">
        <f t="shared" si="27"/>
        <v/>
      </c>
      <c r="AL252" s="15" t="str">
        <f>IF(OR($A252&lt;&gt;"",$B252&lt;&gt;""),IF(OR($A252="",$B252=""),"Isi tanggal dan ID PIC",IF(NOT(ISNUMBER($A252)),"Tanggal harus berupa tanggal Excel",IF(COUNTIFS(Master_PIC!$A$8:$A$73,$B252)&lt;&gt;1,"ID PIC tidak unik/terdaftar",IF(VLOOKUP($B252,Master_PIC!$A$8:$G$73,3,FALSE)&lt;&gt;"ASM","Jabatan tidak sesuai sheet",IF(OR($C252="",$D252="",$E252="",$F252=""),"Lengkapi master PIC",IF(COUNTIFS($A$8:$A$507,$A252,$B$8:$B$507,$B252)&gt;1,"Laporan ganda",IF(COUNTIFS(G252:O252,"Tidak Berlaku")&gt;0,"N/A hanya untuk kegiatan bersyarat",IF(SUM(AF252,AG252,AH252,AI252,AJ252)&lt;&gt;13,"Status kegiatan tidak valid",IF(AJ252&gt;0,"Lengkapi status kegiatan",IF(AND(AI252&gt;0,T252=""),"Isi alasan Tidak Berlaku",IF(AND(SUM(AG252,AH252)&gt;0,OR(T252="",U252="",V252="",W252="")),"Isi kendala dan tindak lanjut",IF(AND(Y252&lt;&gt;"Draft",Y252&lt;&gt;"Dikirim"),"Isi status laporan yang valid",IF(AND(AA252&lt;&gt;"",AA252&lt;&gt;"Belum Diperiksa",AA252&lt;&gt;"Disetujui",AA252&lt;&gt;"Perlu Perbaikan"),"Hasil review tidak valid",IF(AND(Y252="Dikirim",OR(X252="",Z252="")),"Isi bukti dan waktu kirim",IF(AND(AA252="Disetujui",OR(Y252&lt;&gt;"Dikirim",AB252="",AC252="")),"Lengkapi pemeriksaan",IF(AND(AA252="Perlu Perbaikan",OR(AD252="",AB252="",AC252="")),"Isi pemeriksa dan catatan perbaikan","OK")))))))))))))))),"")</f>
        <v/>
      </c>
    </row>
    <row r="253" spans="1:38" ht="24.95" customHeight="1">
      <c r="A253" s="8"/>
      <c r="B253" s="6"/>
      <c r="C253" s="15" t="str">
        <f>IF(COUNTIFS(Master_PIC!$A$8:$A$73,$B253)=1,IF(VLOOKUP($B253,Master_PIC!$A$8:$G$73,2,FALSE)="","",VLOOKUP($B253,Master_PIC!$A$8:$G$73,2,FALSE)),"")</f>
        <v/>
      </c>
      <c r="D253" s="15" t="str">
        <f>IF(COUNTIFS(Master_PIC!$A$8:$A$73,$B253)=1,IF(VLOOKUP($B253,Master_PIC!$A$8:$G$73,4,FALSE)="","",VLOOKUP($B253,Master_PIC!$A$8:$G$73,4,FALSE)),"")</f>
        <v/>
      </c>
      <c r="E253" s="15" t="str">
        <f>IF(COUNTIFS(Master_PIC!$A$8:$A$73,$B253)=1,IF(VLOOKUP($B253,Master_PIC!$A$8:$G$73,5,FALSE)="","",VLOOKUP($B253,Master_PIC!$A$8:$G$73,5,FALSE)),"")</f>
        <v/>
      </c>
      <c r="F253" s="15" t="str">
        <f>IF(COUNTIFS(Master_PIC!$A$8:$A$73,$B253)=1,IF(VLOOKUP($B253,Master_PIC!$A$8:$G$73,6,FALSE)="","",VLOOKUP($B253,Master_PIC!$A$8:$G$73,6,FALSE)),"")</f>
        <v/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8"/>
      <c r="X253" s="5"/>
      <c r="Y253" s="5"/>
      <c r="Z253" s="9"/>
      <c r="AA253" s="5"/>
      <c r="AB253" s="5"/>
      <c r="AC253" s="9"/>
      <c r="AD253" s="5"/>
      <c r="AE253" s="7" t="str">
        <f t="shared" si="21"/>
        <v/>
      </c>
      <c r="AF253" s="7" t="str">
        <f t="shared" si="22"/>
        <v/>
      </c>
      <c r="AG253" s="7" t="str">
        <f t="shared" si="23"/>
        <v/>
      </c>
      <c r="AH253" s="7" t="str">
        <f t="shared" si="24"/>
        <v/>
      </c>
      <c r="AI253" s="7" t="str">
        <f t="shared" si="25"/>
        <v/>
      </c>
      <c r="AJ253" s="7" t="str">
        <f t="shared" si="26"/>
        <v/>
      </c>
      <c r="AK253" s="10" t="str">
        <f t="shared" si="27"/>
        <v/>
      </c>
      <c r="AL253" s="15" t="str">
        <f>IF(OR($A253&lt;&gt;"",$B253&lt;&gt;""),IF(OR($A253="",$B253=""),"Isi tanggal dan ID PIC",IF(NOT(ISNUMBER($A253)),"Tanggal harus berupa tanggal Excel",IF(COUNTIFS(Master_PIC!$A$8:$A$73,$B253)&lt;&gt;1,"ID PIC tidak unik/terdaftar",IF(VLOOKUP($B253,Master_PIC!$A$8:$G$73,3,FALSE)&lt;&gt;"ASM","Jabatan tidak sesuai sheet",IF(OR($C253="",$D253="",$E253="",$F253=""),"Lengkapi master PIC",IF(COUNTIFS($A$8:$A$507,$A253,$B$8:$B$507,$B253)&gt;1,"Laporan ganda",IF(COUNTIFS(G253:O253,"Tidak Berlaku")&gt;0,"N/A hanya untuk kegiatan bersyarat",IF(SUM(AF253,AG253,AH253,AI253,AJ253)&lt;&gt;13,"Status kegiatan tidak valid",IF(AJ253&gt;0,"Lengkapi status kegiatan",IF(AND(AI253&gt;0,T253=""),"Isi alasan Tidak Berlaku",IF(AND(SUM(AG253,AH253)&gt;0,OR(T253="",U253="",V253="",W253="")),"Isi kendala dan tindak lanjut",IF(AND(Y253&lt;&gt;"Draft",Y253&lt;&gt;"Dikirim"),"Isi status laporan yang valid",IF(AND(AA253&lt;&gt;"",AA253&lt;&gt;"Belum Diperiksa",AA253&lt;&gt;"Disetujui",AA253&lt;&gt;"Perlu Perbaikan"),"Hasil review tidak valid",IF(AND(Y253="Dikirim",OR(X253="",Z253="")),"Isi bukti dan waktu kirim",IF(AND(AA253="Disetujui",OR(Y253&lt;&gt;"Dikirim",AB253="",AC253="")),"Lengkapi pemeriksaan",IF(AND(AA253="Perlu Perbaikan",OR(AD253="",AB253="",AC253="")),"Isi pemeriksa dan catatan perbaikan","OK")))))))))))))))),"")</f>
        <v/>
      </c>
    </row>
    <row r="254" spans="1:38" ht="24.95" customHeight="1">
      <c r="A254" s="8"/>
      <c r="B254" s="6"/>
      <c r="C254" s="15" t="str">
        <f>IF(COUNTIFS(Master_PIC!$A$8:$A$73,$B254)=1,IF(VLOOKUP($B254,Master_PIC!$A$8:$G$73,2,FALSE)="","",VLOOKUP($B254,Master_PIC!$A$8:$G$73,2,FALSE)),"")</f>
        <v/>
      </c>
      <c r="D254" s="15" t="str">
        <f>IF(COUNTIFS(Master_PIC!$A$8:$A$73,$B254)=1,IF(VLOOKUP($B254,Master_PIC!$A$8:$G$73,4,FALSE)="","",VLOOKUP($B254,Master_PIC!$A$8:$G$73,4,FALSE)),"")</f>
        <v/>
      </c>
      <c r="E254" s="15" t="str">
        <f>IF(COUNTIFS(Master_PIC!$A$8:$A$73,$B254)=1,IF(VLOOKUP($B254,Master_PIC!$A$8:$G$73,5,FALSE)="","",VLOOKUP($B254,Master_PIC!$A$8:$G$73,5,FALSE)),"")</f>
        <v/>
      </c>
      <c r="F254" s="15" t="str">
        <f>IF(COUNTIFS(Master_PIC!$A$8:$A$73,$B254)=1,IF(VLOOKUP($B254,Master_PIC!$A$8:$G$73,6,FALSE)="","",VLOOKUP($B254,Master_PIC!$A$8:$G$73,6,FALSE)),"")</f>
        <v/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8"/>
      <c r="X254" s="5"/>
      <c r="Y254" s="5"/>
      <c r="Z254" s="9"/>
      <c r="AA254" s="5"/>
      <c r="AB254" s="5"/>
      <c r="AC254" s="9"/>
      <c r="AD254" s="5"/>
      <c r="AE254" s="7" t="str">
        <f t="shared" si="21"/>
        <v/>
      </c>
      <c r="AF254" s="7" t="str">
        <f t="shared" si="22"/>
        <v/>
      </c>
      <c r="AG254" s="7" t="str">
        <f t="shared" si="23"/>
        <v/>
      </c>
      <c r="AH254" s="7" t="str">
        <f t="shared" si="24"/>
        <v/>
      </c>
      <c r="AI254" s="7" t="str">
        <f t="shared" si="25"/>
        <v/>
      </c>
      <c r="AJ254" s="7" t="str">
        <f t="shared" si="26"/>
        <v/>
      </c>
      <c r="AK254" s="10" t="str">
        <f t="shared" si="27"/>
        <v/>
      </c>
      <c r="AL254" s="15" t="str">
        <f>IF(OR($A254&lt;&gt;"",$B254&lt;&gt;""),IF(OR($A254="",$B254=""),"Isi tanggal dan ID PIC",IF(NOT(ISNUMBER($A254)),"Tanggal harus berupa tanggal Excel",IF(COUNTIFS(Master_PIC!$A$8:$A$73,$B254)&lt;&gt;1,"ID PIC tidak unik/terdaftar",IF(VLOOKUP($B254,Master_PIC!$A$8:$G$73,3,FALSE)&lt;&gt;"ASM","Jabatan tidak sesuai sheet",IF(OR($C254="",$D254="",$E254="",$F254=""),"Lengkapi master PIC",IF(COUNTIFS($A$8:$A$507,$A254,$B$8:$B$507,$B254)&gt;1,"Laporan ganda",IF(COUNTIFS(G254:O254,"Tidak Berlaku")&gt;0,"N/A hanya untuk kegiatan bersyarat",IF(SUM(AF254,AG254,AH254,AI254,AJ254)&lt;&gt;13,"Status kegiatan tidak valid",IF(AJ254&gt;0,"Lengkapi status kegiatan",IF(AND(AI254&gt;0,T254=""),"Isi alasan Tidak Berlaku",IF(AND(SUM(AG254,AH254)&gt;0,OR(T254="",U254="",V254="",W254="")),"Isi kendala dan tindak lanjut",IF(AND(Y254&lt;&gt;"Draft",Y254&lt;&gt;"Dikirim"),"Isi status laporan yang valid",IF(AND(AA254&lt;&gt;"",AA254&lt;&gt;"Belum Diperiksa",AA254&lt;&gt;"Disetujui",AA254&lt;&gt;"Perlu Perbaikan"),"Hasil review tidak valid",IF(AND(Y254="Dikirim",OR(X254="",Z254="")),"Isi bukti dan waktu kirim",IF(AND(AA254="Disetujui",OR(Y254&lt;&gt;"Dikirim",AB254="",AC254="")),"Lengkapi pemeriksaan",IF(AND(AA254="Perlu Perbaikan",OR(AD254="",AB254="",AC254="")),"Isi pemeriksa dan catatan perbaikan","OK")))))))))))))))),"")</f>
        <v/>
      </c>
    </row>
    <row r="255" spans="1:38" ht="24.95" customHeight="1">
      <c r="A255" s="8"/>
      <c r="B255" s="6"/>
      <c r="C255" s="15" t="str">
        <f>IF(COUNTIFS(Master_PIC!$A$8:$A$73,$B255)=1,IF(VLOOKUP($B255,Master_PIC!$A$8:$G$73,2,FALSE)="","",VLOOKUP($B255,Master_PIC!$A$8:$G$73,2,FALSE)),"")</f>
        <v/>
      </c>
      <c r="D255" s="15" t="str">
        <f>IF(COUNTIFS(Master_PIC!$A$8:$A$73,$B255)=1,IF(VLOOKUP($B255,Master_PIC!$A$8:$G$73,4,FALSE)="","",VLOOKUP($B255,Master_PIC!$A$8:$G$73,4,FALSE)),"")</f>
        <v/>
      </c>
      <c r="E255" s="15" t="str">
        <f>IF(COUNTIFS(Master_PIC!$A$8:$A$73,$B255)=1,IF(VLOOKUP($B255,Master_PIC!$A$8:$G$73,5,FALSE)="","",VLOOKUP($B255,Master_PIC!$A$8:$G$73,5,FALSE)),"")</f>
        <v/>
      </c>
      <c r="F255" s="15" t="str">
        <f>IF(COUNTIFS(Master_PIC!$A$8:$A$73,$B255)=1,IF(VLOOKUP($B255,Master_PIC!$A$8:$G$73,6,FALSE)="","",VLOOKUP($B255,Master_PIC!$A$8:$G$73,6,FALSE)),"")</f>
        <v/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8"/>
      <c r="X255" s="5"/>
      <c r="Y255" s="5"/>
      <c r="Z255" s="9"/>
      <c r="AA255" s="5"/>
      <c r="AB255" s="5"/>
      <c r="AC255" s="9"/>
      <c r="AD255" s="5"/>
      <c r="AE255" s="7" t="str">
        <f t="shared" si="21"/>
        <v/>
      </c>
      <c r="AF255" s="7" t="str">
        <f t="shared" si="22"/>
        <v/>
      </c>
      <c r="AG255" s="7" t="str">
        <f t="shared" si="23"/>
        <v/>
      </c>
      <c r="AH255" s="7" t="str">
        <f t="shared" si="24"/>
        <v/>
      </c>
      <c r="AI255" s="7" t="str">
        <f t="shared" si="25"/>
        <v/>
      </c>
      <c r="AJ255" s="7" t="str">
        <f t="shared" si="26"/>
        <v/>
      </c>
      <c r="AK255" s="10" t="str">
        <f t="shared" si="27"/>
        <v/>
      </c>
      <c r="AL255" s="15" t="str">
        <f>IF(OR($A255&lt;&gt;"",$B255&lt;&gt;""),IF(OR($A255="",$B255=""),"Isi tanggal dan ID PIC",IF(NOT(ISNUMBER($A255)),"Tanggal harus berupa tanggal Excel",IF(COUNTIFS(Master_PIC!$A$8:$A$73,$B255)&lt;&gt;1,"ID PIC tidak unik/terdaftar",IF(VLOOKUP($B255,Master_PIC!$A$8:$G$73,3,FALSE)&lt;&gt;"ASM","Jabatan tidak sesuai sheet",IF(OR($C255="",$D255="",$E255="",$F255=""),"Lengkapi master PIC",IF(COUNTIFS($A$8:$A$507,$A255,$B$8:$B$507,$B255)&gt;1,"Laporan ganda",IF(COUNTIFS(G255:O255,"Tidak Berlaku")&gt;0,"N/A hanya untuk kegiatan bersyarat",IF(SUM(AF255,AG255,AH255,AI255,AJ255)&lt;&gt;13,"Status kegiatan tidak valid",IF(AJ255&gt;0,"Lengkapi status kegiatan",IF(AND(AI255&gt;0,T255=""),"Isi alasan Tidak Berlaku",IF(AND(SUM(AG255,AH255)&gt;0,OR(T255="",U255="",V255="",W255="")),"Isi kendala dan tindak lanjut",IF(AND(Y255&lt;&gt;"Draft",Y255&lt;&gt;"Dikirim"),"Isi status laporan yang valid",IF(AND(AA255&lt;&gt;"",AA255&lt;&gt;"Belum Diperiksa",AA255&lt;&gt;"Disetujui",AA255&lt;&gt;"Perlu Perbaikan"),"Hasil review tidak valid",IF(AND(Y255="Dikirim",OR(X255="",Z255="")),"Isi bukti dan waktu kirim",IF(AND(AA255="Disetujui",OR(Y255&lt;&gt;"Dikirim",AB255="",AC255="")),"Lengkapi pemeriksaan",IF(AND(AA255="Perlu Perbaikan",OR(AD255="",AB255="",AC255="")),"Isi pemeriksa dan catatan perbaikan","OK")))))))))))))))),"")</f>
        <v/>
      </c>
    </row>
    <row r="256" spans="1:38" ht="24.95" customHeight="1">
      <c r="A256" s="8"/>
      <c r="B256" s="6"/>
      <c r="C256" s="15" t="str">
        <f>IF(COUNTIFS(Master_PIC!$A$8:$A$73,$B256)=1,IF(VLOOKUP($B256,Master_PIC!$A$8:$G$73,2,FALSE)="","",VLOOKUP($B256,Master_PIC!$A$8:$G$73,2,FALSE)),"")</f>
        <v/>
      </c>
      <c r="D256" s="15" t="str">
        <f>IF(COUNTIFS(Master_PIC!$A$8:$A$73,$B256)=1,IF(VLOOKUP($B256,Master_PIC!$A$8:$G$73,4,FALSE)="","",VLOOKUP($B256,Master_PIC!$A$8:$G$73,4,FALSE)),"")</f>
        <v/>
      </c>
      <c r="E256" s="15" t="str">
        <f>IF(COUNTIFS(Master_PIC!$A$8:$A$73,$B256)=1,IF(VLOOKUP($B256,Master_PIC!$A$8:$G$73,5,FALSE)="","",VLOOKUP($B256,Master_PIC!$A$8:$G$73,5,FALSE)),"")</f>
        <v/>
      </c>
      <c r="F256" s="15" t="str">
        <f>IF(COUNTIFS(Master_PIC!$A$8:$A$73,$B256)=1,IF(VLOOKUP($B256,Master_PIC!$A$8:$G$73,6,FALSE)="","",VLOOKUP($B256,Master_PIC!$A$8:$G$73,6,FALSE)),"")</f>
        <v/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8"/>
      <c r="X256" s="5"/>
      <c r="Y256" s="5"/>
      <c r="Z256" s="9"/>
      <c r="AA256" s="5"/>
      <c r="AB256" s="5"/>
      <c r="AC256" s="9"/>
      <c r="AD256" s="5"/>
      <c r="AE256" s="7" t="str">
        <f t="shared" si="21"/>
        <v/>
      </c>
      <c r="AF256" s="7" t="str">
        <f t="shared" si="22"/>
        <v/>
      </c>
      <c r="AG256" s="7" t="str">
        <f t="shared" si="23"/>
        <v/>
      </c>
      <c r="AH256" s="7" t="str">
        <f t="shared" si="24"/>
        <v/>
      </c>
      <c r="AI256" s="7" t="str">
        <f t="shared" si="25"/>
        <v/>
      </c>
      <c r="AJ256" s="7" t="str">
        <f t="shared" si="26"/>
        <v/>
      </c>
      <c r="AK256" s="10" t="str">
        <f t="shared" si="27"/>
        <v/>
      </c>
      <c r="AL256" s="15" t="str">
        <f>IF(OR($A256&lt;&gt;"",$B256&lt;&gt;""),IF(OR($A256="",$B256=""),"Isi tanggal dan ID PIC",IF(NOT(ISNUMBER($A256)),"Tanggal harus berupa tanggal Excel",IF(COUNTIFS(Master_PIC!$A$8:$A$73,$B256)&lt;&gt;1,"ID PIC tidak unik/terdaftar",IF(VLOOKUP($B256,Master_PIC!$A$8:$G$73,3,FALSE)&lt;&gt;"ASM","Jabatan tidak sesuai sheet",IF(OR($C256="",$D256="",$E256="",$F256=""),"Lengkapi master PIC",IF(COUNTIFS($A$8:$A$507,$A256,$B$8:$B$507,$B256)&gt;1,"Laporan ganda",IF(COUNTIFS(G256:O256,"Tidak Berlaku")&gt;0,"N/A hanya untuk kegiatan bersyarat",IF(SUM(AF256,AG256,AH256,AI256,AJ256)&lt;&gt;13,"Status kegiatan tidak valid",IF(AJ256&gt;0,"Lengkapi status kegiatan",IF(AND(AI256&gt;0,T256=""),"Isi alasan Tidak Berlaku",IF(AND(SUM(AG256,AH256)&gt;0,OR(T256="",U256="",V256="",W256="")),"Isi kendala dan tindak lanjut",IF(AND(Y256&lt;&gt;"Draft",Y256&lt;&gt;"Dikirim"),"Isi status laporan yang valid",IF(AND(AA256&lt;&gt;"",AA256&lt;&gt;"Belum Diperiksa",AA256&lt;&gt;"Disetujui",AA256&lt;&gt;"Perlu Perbaikan"),"Hasil review tidak valid",IF(AND(Y256="Dikirim",OR(X256="",Z256="")),"Isi bukti dan waktu kirim",IF(AND(AA256="Disetujui",OR(Y256&lt;&gt;"Dikirim",AB256="",AC256="")),"Lengkapi pemeriksaan",IF(AND(AA256="Perlu Perbaikan",OR(AD256="",AB256="",AC256="")),"Isi pemeriksa dan catatan perbaikan","OK")))))))))))))))),"")</f>
        <v/>
      </c>
    </row>
    <row r="257" spans="1:38" ht="24.95" customHeight="1">
      <c r="A257" s="8"/>
      <c r="B257" s="6"/>
      <c r="C257" s="15" t="str">
        <f>IF(COUNTIFS(Master_PIC!$A$8:$A$73,$B257)=1,IF(VLOOKUP($B257,Master_PIC!$A$8:$G$73,2,FALSE)="","",VLOOKUP($B257,Master_PIC!$A$8:$G$73,2,FALSE)),"")</f>
        <v/>
      </c>
      <c r="D257" s="15" t="str">
        <f>IF(COUNTIFS(Master_PIC!$A$8:$A$73,$B257)=1,IF(VLOOKUP($B257,Master_PIC!$A$8:$G$73,4,FALSE)="","",VLOOKUP($B257,Master_PIC!$A$8:$G$73,4,FALSE)),"")</f>
        <v/>
      </c>
      <c r="E257" s="15" t="str">
        <f>IF(COUNTIFS(Master_PIC!$A$8:$A$73,$B257)=1,IF(VLOOKUP($B257,Master_PIC!$A$8:$G$73,5,FALSE)="","",VLOOKUP($B257,Master_PIC!$A$8:$G$73,5,FALSE)),"")</f>
        <v/>
      </c>
      <c r="F257" s="15" t="str">
        <f>IF(COUNTIFS(Master_PIC!$A$8:$A$73,$B257)=1,IF(VLOOKUP($B257,Master_PIC!$A$8:$G$73,6,FALSE)="","",VLOOKUP($B257,Master_PIC!$A$8:$G$73,6,FALSE)),"")</f>
        <v/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8"/>
      <c r="X257" s="5"/>
      <c r="Y257" s="5"/>
      <c r="Z257" s="9"/>
      <c r="AA257" s="5"/>
      <c r="AB257" s="5"/>
      <c r="AC257" s="9"/>
      <c r="AD257" s="5"/>
      <c r="AE257" s="7" t="str">
        <f t="shared" si="21"/>
        <v/>
      </c>
      <c r="AF257" s="7" t="str">
        <f t="shared" si="22"/>
        <v/>
      </c>
      <c r="AG257" s="7" t="str">
        <f t="shared" si="23"/>
        <v/>
      </c>
      <c r="AH257" s="7" t="str">
        <f t="shared" si="24"/>
        <v/>
      </c>
      <c r="AI257" s="7" t="str">
        <f t="shared" si="25"/>
        <v/>
      </c>
      <c r="AJ257" s="7" t="str">
        <f t="shared" si="26"/>
        <v/>
      </c>
      <c r="AK257" s="10" t="str">
        <f t="shared" si="27"/>
        <v/>
      </c>
      <c r="AL257" s="15" t="str">
        <f>IF(OR($A257&lt;&gt;"",$B257&lt;&gt;""),IF(OR($A257="",$B257=""),"Isi tanggal dan ID PIC",IF(NOT(ISNUMBER($A257)),"Tanggal harus berupa tanggal Excel",IF(COUNTIFS(Master_PIC!$A$8:$A$73,$B257)&lt;&gt;1,"ID PIC tidak unik/terdaftar",IF(VLOOKUP($B257,Master_PIC!$A$8:$G$73,3,FALSE)&lt;&gt;"ASM","Jabatan tidak sesuai sheet",IF(OR($C257="",$D257="",$E257="",$F257=""),"Lengkapi master PIC",IF(COUNTIFS($A$8:$A$507,$A257,$B$8:$B$507,$B257)&gt;1,"Laporan ganda",IF(COUNTIFS(G257:O257,"Tidak Berlaku")&gt;0,"N/A hanya untuk kegiatan bersyarat",IF(SUM(AF257,AG257,AH257,AI257,AJ257)&lt;&gt;13,"Status kegiatan tidak valid",IF(AJ257&gt;0,"Lengkapi status kegiatan",IF(AND(AI257&gt;0,T257=""),"Isi alasan Tidak Berlaku",IF(AND(SUM(AG257,AH257)&gt;0,OR(T257="",U257="",V257="",W257="")),"Isi kendala dan tindak lanjut",IF(AND(Y257&lt;&gt;"Draft",Y257&lt;&gt;"Dikirim"),"Isi status laporan yang valid",IF(AND(AA257&lt;&gt;"",AA257&lt;&gt;"Belum Diperiksa",AA257&lt;&gt;"Disetujui",AA257&lt;&gt;"Perlu Perbaikan"),"Hasil review tidak valid",IF(AND(Y257="Dikirim",OR(X257="",Z257="")),"Isi bukti dan waktu kirim",IF(AND(AA257="Disetujui",OR(Y257&lt;&gt;"Dikirim",AB257="",AC257="")),"Lengkapi pemeriksaan",IF(AND(AA257="Perlu Perbaikan",OR(AD257="",AB257="",AC257="")),"Isi pemeriksa dan catatan perbaikan","OK")))))))))))))))),"")</f>
        <v/>
      </c>
    </row>
    <row r="258" spans="1:38" ht="24.95" customHeight="1">
      <c r="A258" s="8"/>
      <c r="B258" s="6"/>
      <c r="C258" s="15" t="str">
        <f>IF(COUNTIFS(Master_PIC!$A$8:$A$73,$B258)=1,IF(VLOOKUP($B258,Master_PIC!$A$8:$G$73,2,FALSE)="","",VLOOKUP($B258,Master_PIC!$A$8:$G$73,2,FALSE)),"")</f>
        <v/>
      </c>
      <c r="D258" s="15" t="str">
        <f>IF(COUNTIFS(Master_PIC!$A$8:$A$73,$B258)=1,IF(VLOOKUP($B258,Master_PIC!$A$8:$G$73,4,FALSE)="","",VLOOKUP($B258,Master_PIC!$A$8:$G$73,4,FALSE)),"")</f>
        <v/>
      </c>
      <c r="E258" s="15" t="str">
        <f>IF(COUNTIFS(Master_PIC!$A$8:$A$73,$B258)=1,IF(VLOOKUP($B258,Master_PIC!$A$8:$G$73,5,FALSE)="","",VLOOKUP($B258,Master_PIC!$A$8:$G$73,5,FALSE)),"")</f>
        <v/>
      </c>
      <c r="F258" s="15" t="str">
        <f>IF(COUNTIFS(Master_PIC!$A$8:$A$73,$B258)=1,IF(VLOOKUP($B258,Master_PIC!$A$8:$G$73,6,FALSE)="","",VLOOKUP($B258,Master_PIC!$A$8:$G$73,6,FALSE)),"")</f>
        <v/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8"/>
      <c r="X258" s="5"/>
      <c r="Y258" s="5"/>
      <c r="Z258" s="9"/>
      <c r="AA258" s="5"/>
      <c r="AB258" s="5"/>
      <c r="AC258" s="9"/>
      <c r="AD258" s="5"/>
      <c r="AE258" s="7" t="str">
        <f t="shared" si="21"/>
        <v/>
      </c>
      <c r="AF258" s="7" t="str">
        <f t="shared" si="22"/>
        <v/>
      </c>
      <c r="AG258" s="7" t="str">
        <f t="shared" si="23"/>
        <v/>
      </c>
      <c r="AH258" s="7" t="str">
        <f t="shared" si="24"/>
        <v/>
      </c>
      <c r="AI258" s="7" t="str">
        <f t="shared" si="25"/>
        <v/>
      </c>
      <c r="AJ258" s="7" t="str">
        <f t="shared" si="26"/>
        <v/>
      </c>
      <c r="AK258" s="10" t="str">
        <f t="shared" si="27"/>
        <v/>
      </c>
      <c r="AL258" s="15" t="str">
        <f>IF(OR($A258&lt;&gt;"",$B258&lt;&gt;""),IF(OR($A258="",$B258=""),"Isi tanggal dan ID PIC",IF(NOT(ISNUMBER($A258)),"Tanggal harus berupa tanggal Excel",IF(COUNTIFS(Master_PIC!$A$8:$A$73,$B258)&lt;&gt;1,"ID PIC tidak unik/terdaftar",IF(VLOOKUP($B258,Master_PIC!$A$8:$G$73,3,FALSE)&lt;&gt;"ASM","Jabatan tidak sesuai sheet",IF(OR($C258="",$D258="",$E258="",$F258=""),"Lengkapi master PIC",IF(COUNTIFS($A$8:$A$507,$A258,$B$8:$B$507,$B258)&gt;1,"Laporan ganda",IF(COUNTIFS(G258:O258,"Tidak Berlaku")&gt;0,"N/A hanya untuk kegiatan bersyarat",IF(SUM(AF258,AG258,AH258,AI258,AJ258)&lt;&gt;13,"Status kegiatan tidak valid",IF(AJ258&gt;0,"Lengkapi status kegiatan",IF(AND(AI258&gt;0,T258=""),"Isi alasan Tidak Berlaku",IF(AND(SUM(AG258,AH258)&gt;0,OR(T258="",U258="",V258="",W258="")),"Isi kendala dan tindak lanjut",IF(AND(Y258&lt;&gt;"Draft",Y258&lt;&gt;"Dikirim"),"Isi status laporan yang valid",IF(AND(AA258&lt;&gt;"",AA258&lt;&gt;"Belum Diperiksa",AA258&lt;&gt;"Disetujui",AA258&lt;&gt;"Perlu Perbaikan"),"Hasil review tidak valid",IF(AND(Y258="Dikirim",OR(X258="",Z258="")),"Isi bukti dan waktu kirim",IF(AND(AA258="Disetujui",OR(Y258&lt;&gt;"Dikirim",AB258="",AC258="")),"Lengkapi pemeriksaan",IF(AND(AA258="Perlu Perbaikan",OR(AD258="",AB258="",AC258="")),"Isi pemeriksa dan catatan perbaikan","OK")))))))))))))))),"")</f>
        <v/>
      </c>
    </row>
    <row r="259" spans="1:38" ht="24.95" customHeight="1">
      <c r="A259" s="8"/>
      <c r="B259" s="6"/>
      <c r="C259" s="15" t="str">
        <f>IF(COUNTIFS(Master_PIC!$A$8:$A$73,$B259)=1,IF(VLOOKUP($B259,Master_PIC!$A$8:$G$73,2,FALSE)="","",VLOOKUP($B259,Master_PIC!$A$8:$G$73,2,FALSE)),"")</f>
        <v/>
      </c>
      <c r="D259" s="15" t="str">
        <f>IF(COUNTIFS(Master_PIC!$A$8:$A$73,$B259)=1,IF(VLOOKUP($B259,Master_PIC!$A$8:$G$73,4,FALSE)="","",VLOOKUP($B259,Master_PIC!$A$8:$G$73,4,FALSE)),"")</f>
        <v/>
      </c>
      <c r="E259" s="15" t="str">
        <f>IF(COUNTIFS(Master_PIC!$A$8:$A$73,$B259)=1,IF(VLOOKUP($B259,Master_PIC!$A$8:$G$73,5,FALSE)="","",VLOOKUP($B259,Master_PIC!$A$8:$G$73,5,FALSE)),"")</f>
        <v/>
      </c>
      <c r="F259" s="15" t="str">
        <f>IF(COUNTIFS(Master_PIC!$A$8:$A$73,$B259)=1,IF(VLOOKUP($B259,Master_PIC!$A$8:$G$73,6,FALSE)="","",VLOOKUP($B259,Master_PIC!$A$8:$G$73,6,FALSE)),"")</f>
        <v/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8"/>
      <c r="X259" s="5"/>
      <c r="Y259" s="5"/>
      <c r="Z259" s="9"/>
      <c r="AA259" s="5"/>
      <c r="AB259" s="5"/>
      <c r="AC259" s="9"/>
      <c r="AD259" s="5"/>
      <c r="AE259" s="7" t="str">
        <f t="shared" si="21"/>
        <v/>
      </c>
      <c r="AF259" s="7" t="str">
        <f t="shared" si="22"/>
        <v/>
      </c>
      <c r="AG259" s="7" t="str">
        <f t="shared" si="23"/>
        <v/>
      </c>
      <c r="AH259" s="7" t="str">
        <f t="shared" si="24"/>
        <v/>
      </c>
      <c r="AI259" s="7" t="str">
        <f t="shared" si="25"/>
        <v/>
      </c>
      <c r="AJ259" s="7" t="str">
        <f t="shared" si="26"/>
        <v/>
      </c>
      <c r="AK259" s="10" t="str">
        <f t="shared" si="27"/>
        <v/>
      </c>
      <c r="AL259" s="15" t="str">
        <f>IF(OR($A259&lt;&gt;"",$B259&lt;&gt;""),IF(OR($A259="",$B259=""),"Isi tanggal dan ID PIC",IF(NOT(ISNUMBER($A259)),"Tanggal harus berupa tanggal Excel",IF(COUNTIFS(Master_PIC!$A$8:$A$73,$B259)&lt;&gt;1,"ID PIC tidak unik/terdaftar",IF(VLOOKUP($B259,Master_PIC!$A$8:$G$73,3,FALSE)&lt;&gt;"ASM","Jabatan tidak sesuai sheet",IF(OR($C259="",$D259="",$E259="",$F259=""),"Lengkapi master PIC",IF(COUNTIFS($A$8:$A$507,$A259,$B$8:$B$507,$B259)&gt;1,"Laporan ganda",IF(COUNTIFS(G259:O259,"Tidak Berlaku")&gt;0,"N/A hanya untuk kegiatan bersyarat",IF(SUM(AF259,AG259,AH259,AI259,AJ259)&lt;&gt;13,"Status kegiatan tidak valid",IF(AJ259&gt;0,"Lengkapi status kegiatan",IF(AND(AI259&gt;0,T259=""),"Isi alasan Tidak Berlaku",IF(AND(SUM(AG259,AH259)&gt;0,OR(T259="",U259="",V259="",W259="")),"Isi kendala dan tindak lanjut",IF(AND(Y259&lt;&gt;"Draft",Y259&lt;&gt;"Dikirim"),"Isi status laporan yang valid",IF(AND(AA259&lt;&gt;"",AA259&lt;&gt;"Belum Diperiksa",AA259&lt;&gt;"Disetujui",AA259&lt;&gt;"Perlu Perbaikan"),"Hasil review tidak valid",IF(AND(Y259="Dikirim",OR(X259="",Z259="")),"Isi bukti dan waktu kirim",IF(AND(AA259="Disetujui",OR(Y259&lt;&gt;"Dikirim",AB259="",AC259="")),"Lengkapi pemeriksaan",IF(AND(AA259="Perlu Perbaikan",OR(AD259="",AB259="",AC259="")),"Isi pemeriksa dan catatan perbaikan","OK")))))))))))))))),"")</f>
        <v/>
      </c>
    </row>
    <row r="260" spans="1:38" ht="24.95" customHeight="1">
      <c r="A260" s="8"/>
      <c r="B260" s="6"/>
      <c r="C260" s="15" t="str">
        <f>IF(COUNTIFS(Master_PIC!$A$8:$A$73,$B260)=1,IF(VLOOKUP($B260,Master_PIC!$A$8:$G$73,2,FALSE)="","",VLOOKUP($B260,Master_PIC!$A$8:$G$73,2,FALSE)),"")</f>
        <v/>
      </c>
      <c r="D260" s="15" t="str">
        <f>IF(COUNTIFS(Master_PIC!$A$8:$A$73,$B260)=1,IF(VLOOKUP($B260,Master_PIC!$A$8:$G$73,4,FALSE)="","",VLOOKUP($B260,Master_PIC!$A$8:$G$73,4,FALSE)),"")</f>
        <v/>
      </c>
      <c r="E260" s="15" t="str">
        <f>IF(COUNTIFS(Master_PIC!$A$8:$A$73,$B260)=1,IF(VLOOKUP($B260,Master_PIC!$A$8:$G$73,5,FALSE)="","",VLOOKUP($B260,Master_PIC!$A$8:$G$73,5,FALSE)),"")</f>
        <v/>
      </c>
      <c r="F260" s="15" t="str">
        <f>IF(COUNTIFS(Master_PIC!$A$8:$A$73,$B260)=1,IF(VLOOKUP($B260,Master_PIC!$A$8:$G$73,6,FALSE)="","",VLOOKUP($B260,Master_PIC!$A$8:$G$73,6,FALSE)),"")</f>
        <v/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9"/>
      <c r="AA260" s="5"/>
      <c r="AB260" s="5"/>
      <c r="AC260" s="9"/>
      <c r="AD260" s="5"/>
      <c r="AE260" s="7" t="str">
        <f t="shared" si="21"/>
        <v/>
      </c>
      <c r="AF260" s="7" t="str">
        <f t="shared" si="22"/>
        <v/>
      </c>
      <c r="AG260" s="7" t="str">
        <f t="shared" si="23"/>
        <v/>
      </c>
      <c r="AH260" s="7" t="str">
        <f t="shared" si="24"/>
        <v/>
      </c>
      <c r="AI260" s="7" t="str">
        <f t="shared" si="25"/>
        <v/>
      </c>
      <c r="AJ260" s="7" t="str">
        <f t="shared" si="26"/>
        <v/>
      </c>
      <c r="AK260" s="10" t="str">
        <f t="shared" si="27"/>
        <v/>
      </c>
      <c r="AL260" s="15" t="str">
        <f>IF(OR($A260&lt;&gt;"",$B260&lt;&gt;""),IF(OR($A260="",$B260=""),"Isi tanggal dan ID PIC",IF(NOT(ISNUMBER($A260)),"Tanggal harus berupa tanggal Excel",IF(COUNTIFS(Master_PIC!$A$8:$A$73,$B260)&lt;&gt;1,"ID PIC tidak unik/terdaftar",IF(VLOOKUP($B260,Master_PIC!$A$8:$G$73,3,FALSE)&lt;&gt;"ASM","Jabatan tidak sesuai sheet",IF(OR($C260="",$D260="",$E260="",$F260=""),"Lengkapi master PIC",IF(COUNTIFS($A$8:$A$507,$A260,$B$8:$B$507,$B260)&gt;1,"Laporan ganda",IF(COUNTIFS(G260:O260,"Tidak Berlaku")&gt;0,"N/A hanya untuk kegiatan bersyarat",IF(SUM(AF260,AG260,AH260,AI260,AJ260)&lt;&gt;13,"Status kegiatan tidak valid",IF(AJ260&gt;0,"Lengkapi status kegiatan",IF(AND(AI260&gt;0,T260=""),"Isi alasan Tidak Berlaku",IF(AND(SUM(AG260,AH260)&gt;0,OR(T260="",U260="",V260="",W260="")),"Isi kendala dan tindak lanjut",IF(AND(Y260&lt;&gt;"Draft",Y260&lt;&gt;"Dikirim"),"Isi status laporan yang valid",IF(AND(AA260&lt;&gt;"",AA260&lt;&gt;"Belum Diperiksa",AA260&lt;&gt;"Disetujui",AA260&lt;&gt;"Perlu Perbaikan"),"Hasil review tidak valid",IF(AND(Y260="Dikirim",OR(X260="",Z260="")),"Isi bukti dan waktu kirim",IF(AND(AA260="Disetujui",OR(Y260&lt;&gt;"Dikirim",AB260="",AC260="")),"Lengkapi pemeriksaan",IF(AND(AA260="Perlu Perbaikan",OR(AD260="",AB260="",AC260="")),"Isi pemeriksa dan catatan perbaikan","OK")))))))))))))))),"")</f>
        <v/>
      </c>
    </row>
    <row r="261" spans="1:38" ht="24.95" customHeight="1">
      <c r="A261" s="8"/>
      <c r="B261" s="6"/>
      <c r="C261" s="15" t="str">
        <f>IF(COUNTIFS(Master_PIC!$A$8:$A$73,$B261)=1,IF(VLOOKUP($B261,Master_PIC!$A$8:$G$73,2,FALSE)="","",VLOOKUP($B261,Master_PIC!$A$8:$G$73,2,FALSE)),"")</f>
        <v/>
      </c>
      <c r="D261" s="15" t="str">
        <f>IF(COUNTIFS(Master_PIC!$A$8:$A$73,$B261)=1,IF(VLOOKUP($B261,Master_PIC!$A$8:$G$73,4,FALSE)="","",VLOOKUP($B261,Master_PIC!$A$8:$G$73,4,FALSE)),"")</f>
        <v/>
      </c>
      <c r="E261" s="15" t="str">
        <f>IF(COUNTIFS(Master_PIC!$A$8:$A$73,$B261)=1,IF(VLOOKUP($B261,Master_PIC!$A$8:$G$73,5,FALSE)="","",VLOOKUP($B261,Master_PIC!$A$8:$G$73,5,FALSE)),"")</f>
        <v/>
      </c>
      <c r="F261" s="15" t="str">
        <f>IF(COUNTIFS(Master_PIC!$A$8:$A$73,$B261)=1,IF(VLOOKUP($B261,Master_PIC!$A$8:$G$73,6,FALSE)="","",VLOOKUP($B261,Master_PIC!$A$8:$G$73,6,FALSE)),"")</f>
        <v/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8"/>
      <c r="X261" s="5"/>
      <c r="Y261" s="5"/>
      <c r="Z261" s="9"/>
      <c r="AA261" s="5"/>
      <c r="AB261" s="5"/>
      <c r="AC261" s="9"/>
      <c r="AD261" s="5"/>
      <c r="AE261" s="7" t="str">
        <f t="shared" si="21"/>
        <v/>
      </c>
      <c r="AF261" s="7" t="str">
        <f t="shared" si="22"/>
        <v/>
      </c>
      <c r="AG261" s="7" t="str">
        <f t="shared" si="23"/>
        <v/>
      </c>
      <c r="AH261" s="7" t="str">
        <f t="shared" si="24"/>
        <v/>
      </c>
      <c r="AI261" s="7" t="str">
        <f t="shared" si="25"/>
        <v/>
      </c>
      <c r="AJ261" s="7" t="str">
        <f t="shared" si="26"/>
        <v/>
      </c>
      <c r="AK261" s="10" t="str">
        <f t="shared" si="27"/>
        <v/>
      </c>
      <c r="AL261" s="15" t="str">
        <f>IF(OR($A261&lt;&gt;"",$B261&lt;&gt;""),IF(OR($A261="",$B261=""),"Isi tanggal dan ID PIC",IF(NOT(ISNUMBER($A261)),"Tanggal harus berupa tanggal Excel",IF(COUNTIFS(Master_PIC!$A$8:$A$73,$B261)&lt;&gt;1,"ID PIC tidak unik/terdaftar",IF(VLOOKUP($B261,Master_PIC!$A$8:$G$73,3,FALSE)&lt;&gt;"ASM","Jabatan tidak sesuai sheet",IF(OR($C261="",$D261="",$E261="",$F261=""),"Lengkapi master PIC",IF(COUNTIFS($A$8:$A$507,$A261,$B$8:$B$507,$B261)&gt;1,"Laporan ganda",IF(COUNTIFS(G261:O261,"Tidak Berlaku")&gt;0,"N/A hanya untuk kegiatan bersyarat",IF(SUM(AF261,AG261,AH261,AI261,AJ261)&lt;&gt;13,"Status kegiatan tidak valid",IF(AJ261&gt;0,"Lengkapi status kegiatan",IF(AND(AI261&gt;0,T261=""),"Isi alasan Tidak Berlaku",IF(AND(SUM(AG261,AH261)&gt;0,OR(T261="",U261="",V261="",W261="")),"Isi kendala dan tindak lanjut",IF(AND(Y261&lt;&gt;"Draft",Y261&lt;&gt;"Dikirim"),"Isi status laporan yang valid",IF(AND(AA261&lt;&gt;"",AA261&lt;&gt;"Belum Diperiksa",AA261&lt;&gt;"Disetujui",AA261&lt;&gt;"Perlu Perbaikan"),"Hasil review tidak valid",IF(AND(Y261="Dikirim",OR(X261="",Z261="")),"Isi bukti dan waktu kirim",IF(AND(AA261="Disetujui",OR(Y261&lt;&gt;"Dikirim",AB261="",AC261="")),"Lengkapi pemeriksaan",IF(AND(AA261="Perlu Perbaikan",OR(AD261="",AB261="",AC261="")),"Isi pemeriksa dan catatan perbaikan","OK")))))))))))))))),"")</f>
        <v/>
      </c>
    </row>
    <row r="262" spans="1:38" ht="24.95" customHeight="1">
      <c r="A262" s="8"/>
      <c r="B262" s="6"/>
      <c r="C262" s="15" t="str">
        <f>IF(COUNTIFS(Master_PIC!$A$8:$A$73,$B262)=1,IF(VLOOKUP($B262,Master_PIC!$A$8:$G$73,2,FALSE)="","",VLOOKUP($B262,Master_PIC!$A$8:$G$73,2,FALSE)),"")</f>
        <v/>
      </c>
      <c r="D262" s="15" t="str">
        <f>IF(COUNTIFS(Master_PIC!$A$8:$A$73,$B262)=1,IF(VLOOKUP($B262,Master_PIC!$A$8:$G$73,4,FALSE)="","",VLOOKUP($B262,Master_PIC!$A$8:$G$73,4,FALSE)),"")</f>
        <v/>
      </c>
      <c r="E262" s="15" t="str">
        <f>IF(COUNTIFS(Master_PIC!$A$8:$A$73,$B262)=1,IF(VLOOKUP($B262,Master_PIC!$A$8:$G$73,5,FALSE)="","",VLOOKUP($B262,Master_PIC!$A$8:$G$73,5,FALSE)),"")</f>
        <v/>
      </c>
      <c r="F262" s="15" t="str">
        <f>IF(COUNTIFS(Master_PIC!$A$8:$A$73,$B262)=1,IF(VLOOKUP($B262,Master_PIC!$A$8:$G$73,6,FALSE)="","",VLOOKUP($B262,Master_PIC!$A$8:$G$73,6,FALSE)),"")</f>
        <v/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8"/>
      <c r="X262" s="5"/>
      <c r="Y262" s="5"/>
      <c r="Z262" s="9"/>
      <c r="AA262" s="5"/>
      <c r="AB262" s="5"/>
      <c r="AC262" s="9"/>
      <c r="AD262" s="5"/>
      <c r="AE262" s="7" t="str">
        <f t="shared" si="21"/>
        <v/>
      </c>
      <c r="AF262" s="7" t="str">
        <f t="shared" si="22"/>
        <v/>
      </c>
      <c r="AG262" s="7" t="str">
        <f t="shared" si="23"/>
        <v/>
      </c>
      <c r="AH262" s="7" t="str">
        <f t="shared" si="24"/>
        <v/>
      </c>
      <c r="AI262" s="7" t="str">
        <f t="shared" si="25"/>
        <v/>
      </c>
      <c r="AJ262" s="7" t="str">
        <f t="shared" si="26"/>
        <v/>
      </c>
      <c r="AK262" s="10" t="str">
        <f t="shared" si="27"/>
        <v/>
      </c>
      <c r="AL262" s="15" t="str">
        <f>IF(OR($A262&lt;&gt;"",$B262&lt;&gt;""),IF(OR($A262="",$B262=""),"Isi tanggal dan ID PIC",IF(NOT(ISNUMBER($A262)),"Tanggal harus berupa tanggal Excel",IF(COUNTIFS(Master_PIC!$A$8:$A$73,$B262)&lt;&gt;1,"ID PIC tidak unik/terdaftar",IF(VLOOKUP($B262,Master_PIC!$A$8:$G$73,3,FALSE)&lt;&gt;"ASM","Jabatan tidak sesuai sheet",IF(OR($C262="",$D262="",$E262="",$F262=""),"Lengkapi master PIC",IF(COUNTIFS($A$8:$A$507,$A262,$B$8:$B$507,$B262)&gt;1,"Laporan ganda",IF(COUNTIFS(G262:O262,"Tidak Berlaku")&gt;0,"N/A hanya untuk kegiatan bersyarat",IF(SUM(AF262,AG262,AH262,AI262,AJ262)&lt;&gt;13,"Status kegiatan tidak valid",IF(AJ262&gt;0,"Lengkapi status kegiatan",IF(AND(AI262&gt;0,T262=""),"Isi alasan Tidak Berlaku",IF(AND(SUM(AG262,AH262)&gt;0,OR(T262="",U262="",V262="",W262="")),"Isi kendala dan tindak lanjut",IF(AND(Y262&lt;&gt;"Draft",Y262&lt;&gt;"Dikirim"),"Isi status laporan yang valid",IF(AND(AA262&lt;&gt;"",AA262&lt;&gt;"Belum Diperiksa",AA262&lt;&gt;"Disetujui",AA262&lt;&gt;"Perlu Perbaikan"),"Hasil review tidak valid",IF(AND(Y262="Dikirim",OR(X262="",Z262="")),"Isi bukti dan waktu kirim",IF(AND(AA262="Disetujui",OR(Y262&lt;&gt;"Dikirim",AB262="",AC262="")),"Lengkapi pemeriksaan",IF(AND(AA262="Perlu Perbaikan",OR(AD262="",AB262="",AC262="")),"Isi pemeriksa dan catatan perbaikan","OK")))))))))))))))),"")</f>
        <v/>
      </c>
    </row>
    <row r="263" spans="1:38" ht="24.95" customHeight="1">
      <c r="A263" s="8"/>
      <c r="B263" s="6"/>
      <c r="C263" s="15" t="str">
        <f>IF(COUNTIFS(Master_PIC!$A$8:$A$73,$B263)=1,IF(VLOOKUP($B263,Master_PIC!$A$8:$G$73,2,FALSE)="","",VLOOKUP($B263,Master_PIC!$A$8:$G$73,2,FALSE)),"")</f>
        <v/>
      </c>
      <c r="D263" s="15" t="str">
        <f>IF(COUNTIFS(Master_PIC!$A$8:$A$73,$B263)=1,IF(VLOOKUP($B263,Master_PIC!$A$8:$G$73,4,FALSE)="","",VLOOKUP($B263,Master_PIC!$A$8:$G$73,4,FALSE)),"")</f>
        <v/>
      </c>
      <c r="E263" s="15" t="str">
        <f>IF(COUNTIFS(Master_PIC!$A$8:$A$73,$B263)=1,IF(VLOOKUP($B263,Master_PIC!$A$8:$G$73,5,FALSE)="","",VLOOKUP($B263,Master_PIC!$A$8:$G$73,5,FALSE)),"")</f>
        <v/>
      </c>
      <c r="F263" s="15" t="str">
        <f>IF(COUNTIFS(Master_PIC!$A$8:$A$73,$B263)=1,IF(VLOOKUP($B263,Master_PIC!$A$8:$G$73,6,FALSE)="","",VLOOKUP($B263,Master_PIC!$A$8:$G$73,6,FALSE)),"")</f>
        <v/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9"/>
      <c r="AA263" s="5"/>
      <c r="AB263" s="5"/>
      <c r="AC263" s="9"/>
      <c r="AD263" s="5"/>
      <c r="AE263" s="7" t="str">
        <f t="shared" si="21"/>
        <v/>
      </c>
      <c r="AF263" s="7" t="str">
        <f t="shared" si="22"/>
        <v/>
      </c>
      <c r="AG263" s="7" t="str">
        <f t="shared" si="23"/>
        <v/>
      </c>
      <c r="AH263" s="7" t="str">
        <f t="shared" si="24"/>
        <v/>
      </c>
      <c r="AI263" s="7" t="str">
        <f t="shared" si="25"/>
        <v/>
      </c>
      <c r="AJ263" s="7" t="str">
        <f t="shared" si="26"/>
        <v/>
      </c>
      <c r="AK263" s="10" t="str">
        <f t="shared" si="27"/>
        <v/>
      </c>
      <c r="AL263" s="15" t="str">
        <f>IF(OR($A263&lt;&gt;"",$B263&lt;&gt;""),IF(OR($A263="",$B263=""),"Isi tanggal dan ID PIC",IF(NOT(ISNUMBER($A263)),"Tanggal harus berupa tanggal Excel",IF(COUNTIFS(Master_PIC!$A$8:$A$73,$B263)&lt;&gt;1,"ID PIC tidak unik/terdaftar",IF(VLOOKUP($B263,Master_PIC!$A$8:$G$73,3,FALSE)&lt;&gt;"ASM","Jabatan tidak sesuai sheet",IF(OR($C263="",$D263="",$E263="",$F263=""),"Lengkapi master PIC",IF(COUNTIFS($A$8:$A$507,$A263,$B$8:$B$507,$B263)&gt;1,"Laporan ganda",IF(COUNTIFS(G263:O263,"Tidak Berlaku")&gt;0,"N/A hanya untuk kegiatan bersyarat",IF(SUM(AF263,AG263,AH263,AI263,AJ263)&lt;&gt;13,"Status kegiatan tidak valid",IF(AJ263&gt;0,"Lengkapi status kegiatan",IF(AND(AI263&gt;0,T263=""),"Isi alasan Tidak Berlaku",IF(AND(SUM(AG263,AH263)&gt;0,OR(T263="",U263="",V263="",W263="")),"Isi kendala dan tindak lanjut",IF(AND(Y263&lt;&gt;"Draft",Y263&lt;&gt;"Dikirim"),"Isi status laporan yang valid",IF(AND(AA263&lt;&gt;"",AA263&lt;&gt;"Belum Diperiksa",AA263&lt;&gt;"Disetujui",AA263&lt;&gt;"Perlu Perbaikan"),"Hasil review tidak valid",IF(AND(Y263="Dikirim",OR(X263="",Z263="")),"Isi bukti dan waktu kirim",IF(AND(AA263="Disetujui",OR(Y263&lt;&gt;"Dikirim",AB263="",AC263="")),"Lengkapi pemeriksaan",IF(AND(AA263="Perlu Perbaikan",OR(AD263="",AB263="",AC263="")),"Isi pemeriksa dan catatan perbaikan","OK")))))))))))))))),"")</f>
        <v/>
      </c>
    </row>
    <row r="264" spans="1:38" ht="24.95" customHeight="1">
      <c r="A264" s="8"/>
      <c r="B264" s="6"/>
      <c r="C264" s="15" t="str">
        <f>IF(COUNTIFS(Master_PIC!$A$8:$A$73,$B264)=1,IF(VLOOKUP($B264,Master_PIC!$A$8:$G$73,2,FALSE)="","",VLOOKUP($B264,Master_PIC!$A$8:$G$73,2,FALSE)),"")</f>
        <v/>
      </c>
      <c r="D264" s="15" t="str">
        <f>IF(COUNTIFS(Master_PIC!$A$8:$A$73,$B264)=1,IF(VLOOKUP($B264,Master_PIC!$A$8:$G$73,4,FALSE)="","",VLOOKUP($B264,Master_PIC!$A$8:$G$73,4,FALSE)),"")</f>
        <v/>
      </c>
      <c r="E264" s="15" t="str">
        <f>IF(COUNTIFS(Master_PIC!$A$8:$A$73,$B264)=1,IF(VLOOKUP($B264,Master_PIC!$A$8:$G$73,5,FALSE)="","",VLOOKUP($B264,Master_PIC!$A$8:$G$73,5,FALSE)),"")</f>
        <v/>
      </c>
      <c r="F264" s="15" t="str">
        <f>IF(COUNTIFS(Master_PIC!$A$8:$A$73,$B264)=1,IF(VLOOKUP($B264,Master_PIC!$A$8:$G$73,6,FALSE)="","",VLOOKUP($B264,Master_PIC!$A$8:$G$73,6,FALSE)),"")</f>
        <v/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8"/>
      <c r="X264" s="5"/>
      <c r="Y264" s="5"/>
      <c r="Z264" s="9"/>
      <c r="AA264" s="5"/>
      <c r="AB264" s="5"/>
      <c r="AC264" s="9"/>
      <c r="AD264" s="5"/>
      <c r="AE264" s="7" t="str">
        <f t="shared" ref="AE264:AE327" si="28">IF(OR($A264&lt;&gt;"",$B264&lt;&gt;""),13-AI264,"")</f>
        <v/>
      </c>
      <c r="AF264" s="7" t="str">
        <f t="shared" ref="AF264:AF327" si="29">IF(OR($A264&lt;&gt;"",$B264&lt;&gt;""),COUNTIFS(G264:S264,"Selesai"),"")</f>
        <v/>
      </c>
      <c r="AG264" s="7" t="str">
        <f t="shared" ref="AG264:AG327" si="30">IF(OR($A264&lt;&gt;"",$B264&lt;&gt;""),COUNTIFS(G264:S264,"Proses"),"")</f>
        <v/>
      </c>
      <c r="AH264" s="7" t="str">
        <f t="shared" ref="AH264:AH327" si="31">IF(OR($A264&lt;&gt;"",$B264&lt;&gt;""),COUNTIFS(G264:S264,"Belum"),"")</f>
        <v/>
      </c>
      <c r="AI264" s="7" t="str">
        <f t="shared" ref="AI264:AI327" si="32">IF(OR($A264&lt;&gt;"",$B264&lt;&gt;""),COUNTIFS(G264:S264,"Tidak Berlaku"),"")</f>
        <v/>
      </c>
      <c r="AJ264" s="7" t="str">
        <f t="shared" ref="AJ264:AJ327" si="33">IF(OR($A264&lt;&gt;"",$B264&lt;&gt;""),COUNTBLANK(G264:S264),"")</f>
        <v/>
      </c>
      <c r="AK264" s="10" t="str">
        <f t="shared" ref="AK264:AK327" si="34">IF(OR($A264&lt;&gt;"",$B264&lt;&gt;""),IF(AE264=0,"n.a.",AF264/AE264),"")</f>
        <v/>
      </c>
      <c r="AL264" s="15" t="str">
        <f>IF(OR($A264&lt;&gt;"",$B264&lt;&gt;""),IF(OR($A264="",$B264=""),"Isi tanggal dan ID PIC",IF(NOT(ISNUMBER($A264)),"Tanggal harus berupa tanggal Excel",IF(COUNTIFS(Master_PIC!$A$8:$A$73,$B264)&lt;&gt;1,"ID PIC tidak unik/terdaftar",IF(VLOOKUP($B264,Master_PIC!$A$8:$G$73,3,FALSE)&lt;&gt;"ASM","Jabatan tidak sesuai sheet",IF(OR($C264="",$D264="",$E264="",$F264=""),"Lengkapi master PIC",IF(COUNTIFS($A$8:$A$507,$A264,$B$8:$B$507,$B264)&gt;1,"Laporan ganda",IF(COUNTIFS(G264:O264,"Tidak Berlaku")&gt;0,"N/A hanya untuk kegiatan bersyarat",IF(SUM(AF264,AG264,AH264,AI264,AJ264)&lt;&gt;13,"Status kegiatan tidak valid",IF(AJ264&gt;0,"Lengkapi status kegiatan",IF(AND(AI264&gt;0,T264=""),"Isi alasan Tidak Berlaku",IF(AND(SUM(AG264,AH264)&gt;0,OR(T264="",U264="",V264="",W264="")),"Isi kendala dan tindak lanjut",IF(AND(Y264&lt;&gt;"Draft",Y264&lt;&gt;"Dikirim"),"Isi status laporan yang valid",IF(AND(AA264&lt;&gt;"",AA264&lt;&gt;"Belum Diperiksa",AA264&lt;&gt;"Disetujui",AA264&lt;&gt;"Perlu Perbaikan"),"Hasil review tidak valid",IF(AND(Y264="Dikirim",OR(X264="",Z264="")),"Isi bukti dan waktu kirim",IF(AND(AA264="Disetujui",OR(Y264&lt;&gt;"Dikirim",AB264="",AC264="")),"Lengkapi pemeriksaan",IF(AND(AA264="Perlu Perbaikan",OR(AD264="",AB264="",AC264="")),"Isi pemeriksa dan catatan perbaikan","OK")))))))))))))))),"")</f>
        <v/>
      </c>
    </row>
    <row r="265" spans="1:38" ht="24.95" customHeight="1">
      <c r="A265" s="8"/>
      <c r="B265" s="6"/>
      <c r="C265" s="15" t="str">
        <f>IF(COUNTIFS(Master_PIC!$A$8:$A$73,$B265)=1,IF(VLOOKUP($B265,Master_PIC!$A$8:$G$73,2,FALSE)="","",VLOOKUP($B265,Master_PIC!$A$8:$G$73,2,FALSE)),"")</f>
        <v/>
      </c>
      <c r="D265" s="15" t="str">
        <f>IF(COUNTIFS(Master_PIC!$A$8:$A$73,$B265)=1,IF(VLOOKUP($B265,Master_PIC!$A$8:$G$73,4,FALSE)="","",VLOOKUP($B265,Master_PIC!$A$8:$G$73,4,FALSE)),"")</f>
        <v/>
      </c>
      <c r="E265" s="15" t="str">
        <f>IF(COUNTIFS(Master_PIC!$A$8:$A$73,$B265)=1,IF(VLOOKUP($B265,Master_PIC!$A$8:$G$73,5,FALSE)="","",VLOOKUP($B265,Master_PIC!$A$8:$G$73,5,FALSE)),"")</f>
        <v/>
      </c>
      <c r="F265" s="15" t="str">
        <f>IF(COUNTIFS(Master_PIC!$A$8:$A$73,$B265)=1,IF(VLOOKUP($B265,Master_PIC!$A$8:$G$73,6,FALSE)="","",VLOOKUP($B265,Master_PIC!$A$8:$G$73,6,FALSE)),"")</f>
        <v/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8"/>
      <c r="X265" s="5"/>
      <c r="Y265" s="5"/>
      <c r="Z265" s="9"/>
      <c r="AA265" s="5"/>
      <c r="AB265" s="5"/>
      <c r="AC265" s="9"/>
      <c r="AD265" s="5"/>
      <c r="AE265" s="7" t="str">
        <f t="shared" si="28"/>
        <v/>
      </c>
      <c r="AF265" s="7" t="str">
        <f t="shared" si="29"/>
        <v/>
      </c>
      <c r="AG265" s="7" t="str">
        <f t="shared" si="30"/>
        <v/>
      </c>
      <c r="AH265" s="7" t="str">
        <f t="shared" si="31"/>
        <v/>
      </c>
      <c r="AI265" s="7" t="str">
        <f t="shared" si="32"/>
        <v/>
      </c>
      <c r="AJ265" s="7" t="str">
        <f t="shared" si="33"/>
        <v/>
      </c>
      <c r="AK265" s="10" t="str">
        <f t="shared" si="34"/>
        <v/>
      </c>
      <c r="AL265" s="15" t="str">
        <f>IF(OR($A265&lt;&gt;"",$B265&lt;&gt;""),IF(OR($A265="",$B265=""),"Isi tanggal dan ID PIC",IF(NOT(ISNUMBER($A265)),"Tanggal harus berupa tanggal Excel",IF(COUNTIFS(Master_PIC!$A$8:$A$73,$B265)&lt;&gt;1,"ID PIC tidak unik/terdaftar",IF(VLOOKUP($B265,Master_PIC!$A$8:$G$73,3,FALSE)&lt;&gt;"ASM","Jabatan tidak sesuai sheet",IF(OR($C265="",$D265="",$E265="",$F265=""),"Lengkapi master PIC",IF(COUNTIFS($A$8:$A$507,$A265,$B$8:$B$507,$B265)&gt;1,"Laporan ganda",IF(COUNTIFS(G265:O265,"Tidak Berlaku")&gt;0,"N/A hanya untuk kegiatan bersyarat",IF(SUM(AF265,AG265,AH265,AI265,AJ265)&lt;&gt;13,"Status kegiatan tidak valid",IF(AJ265&gt;0,"Lengkapi status kegiatan",IF(AND(AI265&gt;0,T265=""),"Isi alasan Tidak Berlaku",IF(AND(SUM(AG265,AH265)&gt;0,OR(T265="",U265="",V265="",W265="")),"Isi kendala dan tindak lanjut",IF(AND(Y265&lt;&gt;"Draft",Y265&lt;&gt;"Dikirim"),"Isi status laporan yang valid",IF(AND(AA265&lt;&gt;"",AA265&lt;&gt;"Belum Diperiksa",AA265&lt;&gt;"Disetujui",AA265&lt;&gt;"Perlu Perbaikan"),"Hasil review tidak valid",IF(AND(Y265="Dikirim",OR(X265="",Z265="")),"Isi bukti dan waktu kirim",IF(AND(AA265="Disetujui",OR(Y265&lt;&gt;"Dikirim",AB265="",AC265="")),"Lengkapi pemeriksaan",IF(AND(AA265="Perlu Perbaikan",OR(AD265="",AB265="",AC265="")),"Isi pemeriksa dan catatan perbaikan","OK")))))))))))))))),"")</f>
        <v/>
      </c>
    </row>
    <row r="266" spans="1:38" ht="24.95" customHeight="1">
      <c r="A266" s="8"/>
      <c r="B266" s="6"/>
      <c r="C266" s="15" t="str">
        <f>IF(COUNTIFS(Master_PIC!$A$8:$A$73,$B266)=1,IF(VLOOKUP($B266,Master_PIC!$A$8:$G$73,2,FALSE)="","",VLOOKUP($B266,Master_PIC!$A$8:$G$73,2,FALSE)),"")</f>
        <v/>
      </c>
      <c r="D266" s="15" t="str">
        <f>IF(COUNTIFS(Master_PIC!$A$8:$A$73,$B266)=1,IF(VLOOKUP($B266,Master_PIC!$A$8:$G$73,4,FALSE)="","",VLOOKUP($B266,Master_PIC!$A$8:$G$73,4,FALSE)),"")</f>
        <v/>
      </c>
      <c r="E266" s="15" t="str">
        <f>IF(COUNTIFS(Master_PIC!$A$8:$A$73,$B266)=1,IF(VLOOKUP($B266,Master_PIC!$A$8:$G$73,5,FALSE)="","",VLOOKUP($B266,Master_PIC!$A$8:$G$73,5,FALSE)),"")</f>
        <v/>
      </c>
      <c r="F266" s="15" t="str">
        <f>IF(COUNTIFS(Master_PIC!$A$8:$A$73,$B266)=1,IF(VLOOKUP($B266,Master_PIC!$A$8:$G$73,6,FALSE)="","",VLOOKUP($B266,Master_PIC!$A$8:$G$73,6,FALSE)),"")</f>
        <v/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8"/>
      <c r="X266" s="5"/>
      <c r="Y266" s="5"/>
      <c r="Z266" s="9"/>
      <c r="AA266" s="5"/>
      <c r="AB266" s="5"/>
      <c r="AC266" s="9"/>
      <c r="AD266" s="5"/>
      <c r="AE266" s="7" t="str">
        <f t="shared" si="28"/>
        <v/>
      </c>
      <c r="AF266" s="7" t="str">
        <f t="shared" si="29"/>
        <v/>
      </c>
      <c r="AG266" s="7" t="str">
        <f t="shared" si="30"/>
        <v/>
      </c>
      <c r="AH266" s="7" t="str">
        <f t="shared" si="31"/>
        <v/>
      </c>
      <c r="AI266" s="7" t="str">
        <f t="shared" si="32"/>
        <v/>
      </c>
      <c r="AJ266" s="7" t="str">
        <f t="shared" si="33"/>
        <v/>
      </c>
      <c r="AK266" s="10" t="str">
        <f t="shared" si="34"/>
        <v/>
      </c>
      <c r="AL266" s="15" t="str">
        <f>IF(OR($A266&lt;&gt;"",$B266&lt;&gt;""),IF(OR($A266="",$B266=""),"Isi tanggal dan ID PIC",IF(NOT(ISNUMBER($A266)),"Tanggal harus berupa tanggal Excel",IF(COUNTIFS(Master_PIC!$A$8:$A$73,$B266)&lt;&gt;1,"ID PIC tidak unik/terdaftar",IF(VLOOKUP($B266,Master_PIC!$A$8:$G$73,3,FALSE)&lt;&gt;"ASM","Jabatan tidak sesuai sheet",IF(OR($C266="",$D266="",$E266="",$F266=""),"Lengkapi master PIC",IF(COUNTIFS($A$8:$A$507,$A266,$B$8:$B$507,$B266)&gt;1,"Laporan ganda",IF(COUNTIFS(G266:O266,"Tidak Berlaku")&gt;0,"N/A hanya untuk kegiatan bersyarat",IF(SUM(AF266,AG266,AH266,AI266,AJ266)&lt;&gt;13,"Status kegiatan tidak valid",IF(AJ266&gt;0,"Lengkapi status kegiatan",IF(AND(AI266&gt;0,T266=""),"Isi alasan Tidak Berlaku",IF(AND(SUM(AG266,AH266)&gt;0,OR(T266="",U266="",V266="",W266="")),"Isi kendala dan tindak lanjut",IF(AND(Y266&lt;&gt;"Draft",Y266&lt;&gt;"Dikirim"),"Isi status laporan yang valid",IF(AND(AA266&lt;&gt;"",AA266&lt;&gt;"Belum Diperiksa",AA266&lt;&gt;"Disetujui",AA266&lt;&gt;"Perlu Perbaikan"),"Hasil review tidak valid",IF(AND(Y266="Dikirim",OR(X266="",Z266="")),"Isi bukti dan waktu kirim",IF(AND(AA266="Disetujui",OR(Y266&lt;&gt;"Dikirim",AB266="",AC266="")),"Lengkapi pemeriksaan",IF(AND(AA266="Perlu Perbaikan",OR(AD266="",AB266="",AC266="")),"Isi pemeriksa dan catatan perbaikan","OK")))))))))))))))),"")</f>
        <v/>
      </c>
    </row>
    <row r="267" spans="1:38" ht="24.95" customHeight="1">
      <c r="A267" s="8"/>
      <c r="B267" s="6"/>
      <c r="C267" s="15" t="str">
        <f>IF(COUNTIFS(Master_PIC!$A$8:$A$73,$B267)=1,IF(VLOOKUP($B267,Master_PIC!$A$8:$G$73,2,FALSE)="","",VLOOKUP($B267,Master_PIC!$A$8:$G$73,2,FALSE)),"")</f>
        <v/>
      </c>
      <c r="D267" s="15" t="str">
        <f>IF(COUNTIFS(Master_PIC!$A$8:$A$73,$B267)=1,IF(VLOOKUP($B267,Master_PIC!$A$8:$G$73,4,FALSE)="","",VLOOKUP($B267,Master_PIC!$A$8:$G$73,4,FALSE)),"")</f>
        <v/>
      </c>
      <c r="E267" s="15" t="str">
        <f>IF(COUNTIFS(Master_PIC!$A$8:$A$73,$B267)=1,IF(VLOOKUP($B267,Master_PIC!$A$8:$G$73,5,FALSE)="","",VLOOKUP($B267,Master_PIC!$A$8:$G$73,5,FALSE)),"")</f>
        <v/>
      </c>
      <c r="F267" s="15" t="str">
        <f>IF(COUNTIFS(Master_PIC!$A$8:$A$73,$B267)=1,IF(VLOOKUP($B267,Master_PIC!$A$8:$G$73,6,FALSE)="","",VLOOKUP($B267,Master_PIC!$A$8:$G$73,6,FALSE)),"")</f>
        <v/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8"/>
      <c r="X267" s="5"/>
      <c r="Y267" s="5"/>
      <c r="Z267" s="9"/>
      <c r="AA267" s="5"/>
      <c r="AB267" s="5"/>
      <c r="AC267" s="9"/>
      <c r="AD267" s="5"/>
      <c r="AE267" s="7" t="str">
        <f t="shared" si="28"/>
        <v/>
      </c>
      <c r="AF267" s="7" t="str">
        <f t="shared" si="29"/>
        <v/>
      </c>
      <c r="AG267" s="7" t="str">
        <f t="shared" si="30"/>
        <v/>
      </c>
      <c r="AH267" s="7" t="str">
        <f t="shared" si="31"/>
        <v/>
      </c>
      <c r="AI267" s="7" t="str">
        <f t="shared" si="32"/>
        <v/>
      </c>
      <c r="AJ267" s="7" t="str">
        <f t="shared" si="33"/>
        <v/>
      </c>
      <c r="AK267" s="10" t="str">
        <f t="shared" si="34"/>
        <v/>
      </c>
      <c r="AL267" s="15" t="str">
        <f>IF(OR($A267&lt;&gt;"",$B267&lt;&gt;""),IF(OR($A267="",$B267=""),"Isi tanggal dan ID PIC",IF(NOT(ISNUMBER($A267)),"Tanggal harus berupa tanggal Excel",IF(COUNTIFS(Master_PIC!$A$8:$A$73,$B267)&lt;&gt;1,"ID PIC tidak unik/terdaftar",IF(VLOOKUP($B267,Master_PIC!$A$8:$G$73,3,FALSE)&lt;&gt;"ASM","Jabatan tidak sesuai sheet",IF(OR($C267="",$D267="",$E267="",$F267=""),"Lengkapi master PIC",IF(COUNTIFS($A$8:$A$507,$A267,$B$8:$B$507,$B267)&gt;1,"Laporan ganda",IF(COUNTIFS(G267:O267,"Tidak Berlaku")&gt;0,"N/A hanya untuk kegiatan bersyarat",IF(SUM(AF267,AG267,AH267,AI267,AJ267)&lt;&gt;13,"Status kegiatan tidak valid",IF(AJ267&gt;0,"Lengkapi status kegiatan",IF(AND(AI267&gt;0,T267=""),"Isi alasan Tidak Berlaku",IF(AND(SUM(AG267,AH267)&gt;0,OR(T267="",U267="",V267="",W267="")),"Isi kendala dan tindak lanjut",IF(AND(Y267&lt;&gt;"Draft",Y267&lt;&gt;"Dikirim"),"Isi status laporan yang valid",IF(AND(AA267&lt;&gt;"",AA267&lt;&gt;"Belum Diperiksa",AA267&lt;&gt;"Disetujui",AA267&lt;&gt;"Perlu Perbaikan"),"Hasil review tidak valid",IF(AND(Y267="Dikirim",OR(X267="",Z267="")),"Isi bukti dan waktu kirim",IF(AND(AA267="Disetujui",OR(Y267&lt;&gt;"Dikirim",AB267="",AC267="")),"Lengkapi pemeriksaan",IF(AND(AA267="Perlu Perbaikan",OR(AD267="",AB267="",AC267="")),"Isi pemeriksa dan catatan perbaikan","OK")))))))))))))))),"")</f>
        <v/>
      </c>
    </row>
    <row r="268" spans="1:38" ht="24.95" customHeight="1">
      <c r="A268" s="8"/>
      <c r="B268" s="6"/>
      <c r="C268" s="15" t="str">
        <f>IF(COUNTIFS(Master_PIC!$A$8:$A$73,$B268)=1,IF(VLOOKUP($B268,Master_PIC!$A$8:$G$73,2,FALSE)="","",VLOOKUP($B268,Master_PIC!$A$8:$G$73,2,FALSE)),"")</f>
        <v/>
      </c>
      <c r="D268" s="15" t="str">
        <f>IF(COUNTIFS(Master_PIC!$A$8:$A$73,$B268)=1,IF(VLOOKUP($B268,Master_PIC!$A$8:$G$73,4,FALSE)="","",VLOOKUP($B268,Master_PIC!$A$8:$G$73,4,FALSE)),"")</f>
        <v/>
      </c>
      <c r="E268" s="15" t="str">
        <f>IF(COUNTIFS(Master_PIC!$A$8:$A$73,$B268)=1,IF(VLOOKUP($B268,Master_PIC!$A$8:$G$73,5,FALSE)="","",VLOOKUP($B268,Master_PIC!$A$8:$G$73,5,FALSE)),"")</f>
        <v/>
      </c>
      <c r="F268" s="15" t="str">
        <f>IF(COUNTIFS(Master_PIC!$A$8:$A$73,$B268)=1,IF(VLOOKUP($B268,Master_PIC!$A$8:$G$73,6,FALSE)="","",VLOOKUP($B268,Master_PIC!$A$8:$G$73,6,FALSE)),"")</f>
        <v/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8"/>
      <c r="X268" s="5"/>
      <c r="Y268" s="5"/>
      <c r="Z268" s="9"/>
      <c r="AA268" s="5"/>
      <c r="AB268" s="5"/>
      <c r="AC268" s="9"/>
      <c r="AD268" s="5"/>
      <c r="AE268" s="7" t="str">
        <f t="shared" si="28"/>
        <v/>
      </c>
      <c r="AF268" s="7" t="str">
        <f t="shared" si="29"/>
        <v/>
      </c>
      <c r="AG268" s="7" t="str">
        <f t="shared" si="30"/>
        <v/>
      </c>
      <c r="AH268" s="7" t="str">
        <f t="shared" si="31"/>
        <v/>
      </c>
      <c r="AI268" s="7" t="str">
        <f t="shared" si="32"/>
        <v/>
      </c>
      <c r="AJ268" s="7" t="str">
        <f t="shared" si="33"/>
        <v/>
      </c>
      <c r="AK268" s="10" t="str">
        <f t="shared" si="34"/>
        <v/>
      </c>
      <c r="AL268" s="15" t="str">
        <f>IF(OR($A268&lt;&gt;"",$B268&lt;&gt;""),IF(OR($A268="",$B268=""),"Isi tanggal dan ID PIC",IF(NOT(ISNUMBER($A268)),"Tanggal harus berupa tanggal Excel",IF(COUNTIFS(Master_PIC!$A$8:$A$73,$B268)&lt;&gt;1,"ID PIC tidak unik/terdaftar",IF(VLOOKUP($B268,Master_PIC!$A$8:$G$73,3,FALSE)&lt;&gt;"ASM","Jabatan tidak sesuai sheet",IF(OR($C268="",$D268="",$E268="",$F268=""),"Lengkapi master PIC",IF(COUNTIFS($A$8:$A$507,$A268,$B$8:$B$507,$B268)&gt;1,"Laporan ganda",IF(COUNTIFS(G268:O268,"Tidak Berlaku")&gt;0,"N/A hanya untuk kegiatan bersyarat",IF(SUM(AF268,AG268,AH268,AI268,AJ268)&lt;&gt;13,"Status kegiatan tidak valid",IF(AJ268&gt;0,"Lengkapi status kegiatan",IF(AND(AI268&gt;0,T268=""),"Isi alasan Tidak Berlaku",IF(AND(SUM(AG268,AH268)&gt;0,OR(T268="",U268="",V268="",W268="")),"Isi kendala dan tindak lanjut",IF(AND(Y268&lt;&gt;"Draft",Y268&lt;&gt;"Dikirim"),"Isi status laporan yang valid",IF(AND(AA268&lt;&gt;"",AA268&lt;&gt;"Belum Diperiksa",AA268&lt;&gt;"Disetujui",AA268&lt;&gt;"Perlu Perbaikan"),"Hasil review tidak valid",IF(AND(Y268="Dikirim",OR(X268="",Z268="")),"Isi bukti dan waktu kirim",IF(AND(AA268="Disetujui",OR(Y268&lt;&gt;"Dikirim",AB268="",AC268="")),"Lengkapi pemeriksaan",IF(AND(AA268="Perlu Perbaikan",OR(AD268="",AB268="",AC268="")),"Isi pemeriksa dan catatan perbaikan","OK")))))))))))))))),"")</f>
        <v/>
      </c>
    </row>
    <row r="269" spans="1:38" ht="24.95" customHeight="1">
      <c r="A269" s="8"/>
      <c r="B269" s="6"/>
      <c r="C269" s="15" t="str">
        <f>IF(COUNTIFS(Master_PIC!$A$8:$A$73,$B269)=1,IF(VLOOKUP($B269,Master_PIC!$A$8:$G$73,2,FALSE)="","",VLOOKUP($B269,Master_PIC!$A$8:$G$73,2,FALSE)),"")</f>
        <v/>
      </c>
      <c r="D269" s="15" t="str">
        <f>IF(COUNTIFS(Master_PIC!$A$8:$A$73,$B269)=1,IF(VLOOKUP($B269,Master_PIC!$A$8:$G$73,4,FALSE)="","",VLOOKUP($B269,Master_PIC!$A$8:$G$73,4,FALSE)),"")</f>
        <v/>
      </c>
      <c r="E269" s="15" t="str">
        <f>IF(COUNTIFS(Master_PIC!$A$8:$A$73,$B269)=1,IF(VLOOKUP($B269,Master_PIC!$A$8:$G$73,5,FALSE)="","",VLOOKUP($B269,Master_PIC!$A$8:$G$73,5,FALSE)),"")</f>
        <v/>
      </c>
      <c r="F269" s="15" t="str">
        <f>IF(COUNTIFS(Master_PIC!$A$8:$A$73,$B269)=1,IF(VLOOKUP($B269,Master_PIC!$A$8:$G$73,6,FALSE)="","",VLOOKUP($B269,Master_PIC!$A$8:$G$73,6,FALSE)),"")</f>
        <v/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8"/>
      <c r="X269" s="5"/>
      <c r="Y269" s="5"/>
      <c r="Z269" s="9"/>
      <c r="AA269" s="5"/>
      <c r="AB269" s="5"/>
      <c r="AC269" s="9"/>
      <c r="AD269" s="5"/>
      <c r="AE269" s="7" t="str">
        <f t="shared" si="28"/>
        <v/>
      </c>
      <c r="AF269" s="7" t="str">
        <f t="shared" si="29"/>
        <v/>
      </c>
      <c r="AG269" s="7" t="str">
        <f t="shared" si="30"/>
        <v/>
      </c>
      <c r="AH269" s="7" t="str">
        <f t="shared" si="31"/>
        <v/>
      </c>
      <c r="AI269" s="7" t="str">
        <f t="shared" si="32"/>
        <v/>
      </c>
      <c r="AJ269" s="7" t="str">
        <f t="shared" si="33"/>
        <v/>
      </c>
      <c r="AK269" s="10" t="str">
        <f t="shared" si="34"/>
        <v/>
      </c>
      <c r="AL269" s="15" t="str">
        <f>IF(OR($A269&lt;&gt;"",$B269&lt;&gt;""),IF(OR($A269="",$B269=""),"Isi tanggal dan ID PIC",IF(NOT(ISNUMBER($A269)),"Tanggal harus berupa tanggal Excel",IF(COUNTIFS(Master_PIC!$A$8:$A$73,$B269)&lt;&gt;1,"ID PIC tidak unik/terdaftar",IF(VLOOKUP($B269,Master_PIC!$A$8:$G$73,3,FALSE)&lt;&gt;"ASM","Jabatan tidak sesuai sheet",IF(OR($C269="",$D269="",$E269="",$F269=""),"Lengkapi master PIC",IF(COUNTIFS($A$8:$A$507,$A269,$B$8:$B$507,$B269)&gt;1,"Laporan ganda",IF(COUNTIFS(G269:O269,"Tidak Berlaku")&gt;0,"N/A hanya untuk kegiatan bersyarat",IF(SUM(AF269,AG269,AH269,AI269,AJ269)&lt;&gt;13,"Status kegiatan tidak valid",IF(AJ269&gt;0,"Lengkapi status kegiatan",IF(AND(AI269&gt;0,T269=""),"Isi alasan Tidak Berlaku",IF(AND(SUM(AG269,AH269)&gt;0,OR(T269="",U269="",V269="",W269="")),"Isi kendala dan tindak lanjut",IF(AND(Y269&lt;&gt;"Draft",Y269&lt;&gt;"Dikirim"),"Isi status laporan yang valid",IF(AND(AA269&lt;&gt;"",AA269&lt;&gt;"Belum Diperiksa",AA269&lt;&gt;"Disetujui",AA269&lt;&gt;"Perlu Perbaikan"),"Hasil review tidak valid",IF(AND(Y269="Dikirim",OR(X269="",Z269="")),"Isi bukti dan waktu kirim",IF(AND(AA269="Disetujui",OR(Y269&lt;&gt;"Dikirim",AB269="",AC269="")),"Lengkapi pemeriksaan",IF(AND(AA269="Perlu Perbaikan",OR(AD269="",AB269="",AC269="")),"Isi pemeriksa dan catatan perbaikan","OK")))))))))))))))),"")</f>
        <v/>
      </c>
    </row>
    <row r="270" spans="1:38" ht="24.95" customHeight="1">
      <c r="A270" s="8"/>
      <c r="B270" s="6"/>
      <c r="C270" s="15" t="str">
        <f>IF(COUNTIFS(Master_PIC!$A$8:$A$73,$B270)=1,IF(VLOOKUP($B270,Master_PIC!$A$8:$G$73,2,FALSE)="","",VLOOKUP($B270,Master_PIC!$A$8:$G$73,2,FALSE)),"")</f>
        <v/>
      </c>
      <c r="D270" s="15" t="str">
        <f>IF(COUNTIFS(Master_PIC!$A$8:$A$73,$B270)=1,IF(VLOOKUP($B270,Master_PIC!$A$8:$G$73,4,FALSE)="","",VLOOKUP($B270,Master_PIC!$A$8:$G$73,4,FALSE)),"")</f>
        <v/>
      </c>
      <c r="E270" s="15" t="str">
        <f>IF(COUNTIFS(Master_PIC!$A$8:$A$73,$B270)=1,IF(VLOOKUP($B270,Master_PIC!$A$8:$G$73,5,FALSE)="","",VLOOKUP($B270,Master_PIC!$A$8:$G$73,5,FALSE)),"")</f>
        <v/>
      </c>
      <c r="F270" s="15" t="str">
        <f>IF(COUNTIFS(Master_PIC!$A$8:$A$73,$B270)=1,IF(VLOOKUP($B270,Master_PIC!$A$8:$G$73,6,FALSE)="","",VLOOKUP($B270,Master_PIC!$A$8:$G$73,6,FALSE)),"")</f>
        <v/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8"/>
      <c r="X270" s="5"/>
      <c r="Y270" s="5"/>
      <c r="Z270" s="9"/>
      <c r="AA270" s="5"/>
      <c r="AB270" s="5"/>
      <c r="AC270" s="9"/>
      <c r="AD270" s="5"/>
      <c r="AE270" s="7" t="str">
        <f t="shared" si="28"/>
        <v/>
      </c>
      <c r="AF270" s="7" t="str">
        <f t="shared" si="29"/>
        <v/>
      </c>
      <c r="AG270" s="7" t="str">
        <f t="shared" si="30"/>
        <v/>
      </c>
      <c r="AH270" s="7" t="str">
        <f t="shared" si="31"/>
        <v/>
      </c>
      <c r="AI270" s="7" t="str">
        <f t="shared" si="32"/>
        <v/>
      </c>
      <c r="AJ270" s="7" t="str">
        <f t="shared" si="33"/>
        <v/>
      </c>
      <c r="AK270" s="10" t="str">
        <f t="shared" si="34"/>
        <v/>
      </c>
      <c r="AL270" s="15" t="str">
        <f>IF(OR($A270&lt;&gt;"",$B270&lt;&gt;""),IF(OR($A270="",$B270=""),"Isi tanggal dan ID PIC",IF(NOT(ISNUMBER($A270)),"Tanggal harus berupa tanggal Excel",IF(COUNTIFS(Master_PIC!$A$8:$A$73,$B270)&lt;&gt;1,"ID PIC tidak unik/terdaftar",IF(VLOOKUP($B270,Master_PIC!$A$8:$G$73,3,FALSE)&lt;&gt;"ASM","Jabatan tidak sesuai sheet",IF(OR($C270="",$D270="",$E270="",$F270=""),"Lengkapi master PIC",IF(COUNTIFS($A$8:$A$507,$A270,$B$8:$B$507,$B270)&gt;1,"Laporan ganda",IF(COUNTIFS(G270:O270,"Tidak Berlaku")&gt;0,"N/A hanya untuk kegiatan bersyarat",IF(SUM(AF270,AG270,AH270,AI270,AJ270)&lt;&gt;13,"Status kegiatan tidak valid",IF(AJ270&gt;0,"Lengkapi status kegiatan",IF(AND(AI270&gt;0,T270=""),"Isi alasan Tidak Berlaku",IF(AND(SUM(AG270,AH270)&gt;0,OR(T270="",U270="",V270="",W270="")),"Isi kendala dan tindak lanjut",IF(AND(Y270&lt;&gt;"Draft",Y270&lt;&gt;"Dikirim"),"Isi status laporan yang valid",IF(AND(AA270&lt;&gt;"",AA270&lt;&gt;"Belum Diperiksa",AA270&lt;&gt;"Disetujui",AA270&lt;&gt;"Perlu Perbaikan"),"Hasil review tidak valid",IF(AND(Y270="Dikirim",OR(X270="",Z270="")),"Isi bukti dan waktu kirim",IF(AND(AA270="Disetujui",OR(Y270&lt;&gt;"Dikirim",AB270="",AC270="")),"Lengkapi pemeriksaan",IF(AND(AA270="Perlu Perbaikan",OR(AD270="",AB270="",AC270="")),"Isi pemeriksa dan catatan perbaikan","OK")))))))))))))))),"")</f>
        <v/>
      </c>
    </row>
    <row r="271" spans="1:38" ht="24.95" customHeight="1">
      <c r="A271" s="8"/>
      <c r="B271" s="6"/>
      <c r="C271" s="15" t="str">
        <f>IF(COUNTIFS(Master_PIC!$A$8:$A$73,$B271)=1,IF(VLOOKUP($B271,Master_PIC!$A$8:$G$73,2,FALSE)="","",VLOOKUP($B271,Master_PIC!$A$8:$G$73,2,FALSE)),"")</f>
        <v/>
      </c>
      <c r="D271" s="15" t="str">
        <f>IF(COUNTIFS(Master_PIC!$A$8:$A$73,$B271)=1,IF(VLOOKUP($B271,Master_PIC!$A$8:$G$73,4,FALSE)="","",VLOOKUP($B271,Master_PIC!$A$8:$G$73,4,FALSE)),"")</f>
        <v/>
      </c>
      <c r="E271" s="15" t="str">
        <f>IF(COUNTIFS(Master_PIC!$A$8:$A$73,$B271)=1,IF(VLOOKUP($B271,Master_PIC!$A$8:$G$73,5,FALSE)="","",VLOOKUP($B271,Master_PIC!$A$8:$G$73,5,FALSE)),"")</f>
        <v/>
      </c>
      <c r="F271" s="15" t="str">
        <f>IF(COUNTIFS(Master_PIC!$A$8:$A$73,$B271)=1,IF(VLOOKUP($B271,Master_PIC!$A$8:$G$73,6,FALSE)="","",VLOOKUP($B271,Master_PIC!$A$8:$G$73,6,FALSE)),"")</f>
        <v/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9"/>
      <c r="AA271" s="5"/>
      <c r="AB271" s="5"/>
      <c r="AC271" s="9"/>
      <c r="AD271" s="5"/>
      <c r="AE271" s="7" t="str">
        <f t="shared" si="28"/>
        <v/>
      </c>
      <c r="AF271" s="7" t="str">
        <f t="shared" si="29"/>
        <v/>
      </c>
      <c r="AG271" s="7" t="str">
        <f t="shared" si="30"/>
        <v/>
      </c>
      <c r="AH271" s="7" t="str">
        <f t="shared" si="31"/>
        <v/>
      </c>
      <c r="AI271" s="7" t="str">
        <f t="shared" si="32"/>
        <v/>
      </c>
      <c r="AJ271" s="7" t="str">
        <f t="shared" si="33"/>
        <v/>
      </c>
      <c r="AK271" s="10" t="str">
        <f t="shared" si="34"/>
        <v/>
      </c>
      <c r="AL271" s="15" t="str">
        <f>IF(OR($A271&lt;&gt;"",$B271&lt;&gt;""),IF(OR($A271="",$B271=""),"Isi tanggal dan ID PIC",IF(NOT(ISNUMBER($A271)),"Tanggal harus berupa tanggal Excel",IF(COUNTIFS(Master_PIC!$A$8:$A$73,$B271)&lt;&gt;1,"ID PIC tidak unik/terdaftar",IF(VLOOKUP($B271,Master_PIC!$A$8:$G$73,3,FALSE)&lt;&gt;"ASM","Jabatan tidak sesuai sheet",IF(OR($C271="",$D271="",$E271="",$F271=""),"Lengkapi master PIC",IF(COUNTIFS($A$8:$A$507,$A271,$B$8:$B$507,$B271)&gt;1,"Laporan ganda",IF(COUNTIFS(G271:O271,"Tidak Berlaku")&gt;0,"N/A hanya untuk kegiatan bersyarat",IF(SUM(AF271,AG271,AH271,AI271,AJ271)&lt;&gt;13,"Status kegiatan tidak valid",IF(AJ271&gt;0,"Lengkapi status kegiatan",IF(AND(AI271&gt;0,T271=""),"Isi alasan Tidak Berlaku",IF(AND(SUM(AG271,AH271)&gt;0,OR(T271="",U271="",V271="",W271="")),"Isi kendala dan tindak lanjut",IF(AND(Y271&lt;&gt;"Draft",Y271&lt;&gt;"Dikirim"),"Isi status laporan yang valid",IF(AND(AA271&lt;&gt;"",AA271&lt;&gt;"Belum Diperiksa",AA271&lt;&gt;"Disetujui",AA271&lt;&gt;"Perlu Perbaikan"),"Hasil review tidak valid",IF(AND(Y271="Dikirim",OR(X271="",Z271="")),"Isi bukti dan waktu kirim",IF(AND(AA271="Disetujui",OR(Y271&lt;&gt;"Dikirim",AB271="",AC271="")),"Lengkapi pemeriksaan",IF(AND(AA271="Perlu Perbaikan",OR(AD271="",AB271="",AC271="")),"Isi pemeriksa dan catatan perbaikan","OK")))))))))))))))),"")</f>
        <v/>
      </c>
    </row>
    <row r="272" spans="1:38" ht="24.95" customHeight="1">
      <c r="A272" s="8"/>
      <c r="B272" s="6"/>
      <c r="C272" s="15" t="str">
        <f>IF(COUNTIFS(Master_PIC!$A$8:$A$73,$B272)=1,IF(VLOOKUP($B272,Master_PIC!$A$8:$G$73,2,FALSE)="","",VLOOKUP($B272,Master_PIC!$A$8:$G$73,2,FALSE)),"")</f>
        <v/>
      </c>
      <c r="D272" s="15" t="str">
        <f>IF(COUNTIFS(Master_PIC!$A$8:$A$73,$B272)=1,IF(VLOOKUP($B272,Master_PIC!$A$8:$G$73,4,FALSE)="","",VLOOKUP($B272,Master_PIC!$A$8:$G$73,4,FALSE)),"")</f>
        <v/>
      </c>
      <c r="E272" s="15" t="str">
        <f>IF(COUNTIFS(Master_PIC!$A$8:$A$73,$B272)=1,IF(VLOOKUP($B272,Master_PIC!$A$8:$G$73,5,FALSE)="","",VLOOKUP($B272,Master_PIC!$A$8:$G$73,5,FALSE)),"")</f>
        <v/>
      </c>
      <c r="F272" s="15" t="str">
        <f>IF(COUNTIFS(Master_PIC!$A$8:$A$73,$B272)=1,IF(VLOOKUP($B272,Master_PIC!$A$8:$G$73,6,FALSE)="","",VLOOKUP($B272,Master_PIC!$A$8:$G$73,6,FALSE)),"")</f>
        <v/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9"/>
      <c r="AA272" s="5"/>
      <c r="AB272" s="5"/>
      <c r="AC272" s="9"/>
      <c r="AD272" s="5"/>
      <c r="AE272" s="7" t="str">
        <f t="shared" si="28"/>
        <v/>
      </c>
      <c r="AF272" s="7" t="str">
        <f t="shared" si="29"/>
        <v/>
      </c>
      <c r="AG272" s="7" t="str">
        <f t="shared" si="30"/>
        <v/>
      </c>
      <c r="AH272" s="7" t="str">
        <f t="shared" si="31"/>
        <v/>
      </c>
      <c r="AI272" s="7" t="str">
        <f t="shared" si="32"/>
        <v/>
      </c>
      <c r="AJ272" s="7" t="str">
        <f t="shared" si="33"/>
        <v/>
      </c>
      <c r="AK272" s="10" t="str">
        <f t="shared" si="34"/>
        <v/>
      </c>
      <c r="AL272" s="15" t="str">
        <f>IF(OR($A272&lt;&gt;"",$B272&lt;&gt;""),IF(OR($A272="",$B272=""),"Isi tanggal dan ID PIC",IF(NOT(ISNUMBER($A272)),"Tanggal harus berupa tanggal Excel",IF(COUNTIFS(Master_PIC!$A$8:$A$73,$B272)&lt;&gt;1,"ID PIC tidak unik/terdaftar",IF(VLOOKUP($B272,Master_PIC!$A$8:$G$73,3,FALSE)&lt;&gt;"ASM","Jabatan tidak sesuai sheet",IF(OR($C272="",$D272="",$E272="",$F272=""),"Lengkapi master PIC",IF(COUNTIFS($A$8:$A$507,$A272,$B$8:$B$507,$B272)&gt;1,"Laporan ganda",IF(COUNTIFS(G272:O272,"Tidak Berlaku")&gt;0,"N/A hanya untuk kegiatan bersyarat",IF(SUM(AF272,AG272,AH272,AI272,AJ272)&lt;&gt;13,"Status kegiatan tidak valid",IF(AJ272&gt;0,"Lengkapi status kegiatan",IF(AND(AI272&gt;0,T272=""),"Isi alasan Tidak Berlaku",IF(AND(SUM(AG272,AH272)&gt;0,OR(T272="",U272="",V272="",W272="")),"Isi kendala dan tindak lanjut",IF(AND(Y272&lt;&gt;"Draft",Y272&lt;&gt;"Dikirim"),"Isi status laporan yang valid",IF(AND(AA272&lt;&gt;"",AA272&lt;&gt;"Belum Diperiksa",AA272&lt;&gt;"Disetujui",AA272&lt;&gt;"Perlu Perbaikan"),"Hasil review tidak valid",IF(AND(Y272="Dikirim",OR(X272="",Z272="")),"Isi bukti dan waktu kirim",IF(AND(AA272="Disetujui",OR(Y272&lt;&gt;"Dikirim",AB272="",AC272="")),"Lengkapi pemeriksaan",IF(AND(AA272="Perlu Perbaikan",OR(AD272="",AB272="",AC272="")),"Isi pemeriksa dan catatan perbaikan","OK")))))))))))))))),"")</f>
        <v/>
      </c>
    </row>
    <row r="273" spans="1:38" ht="24.95" customHeight="1">
      <c r="A273" s="8"/>
      <c r="B273" s="6"/>
      <c r="C273" s="15" t="str">
        <f>IF(COUNTIFS(Master_PIC!$A$8:$A$73,$B273)=1,IF(VLOOKUP($B273,Master_PIC!$A$8:$G$73,2,FALSE)="","",VLOOKUP($B273,Master_PIC!$A$8:$G$73,2,FALSE)),"")</f>
        <v/>
      </c>
      <c r="D273" s="15" t="str">
        <f>IF(COUNTIFS(Master_PIC!$A$8:$A$73,$B273)=1,IF(VLOOKUP($B273,Master_PIC!$A$8:$G$73,4,FALSE)="","",VLOOKUP($B273,Master_PIC!$A$8:$G$73,4,FALSE)),"")</f>
        <v/>
      </c>
      <c r="E273" s="15" t="str">
        <f>IF(COUNTIFS(Master_PIC!$A$8:$A$73,$B273)=1,IF(VLOOKUP($B273,Master_PIC!$A$8:$G$73,5,FALSE)="","",VLOOKUP($B273,Master_PIC!$A$8:$G$73,5,FALSE)),"")</f>
        <v/>
      </c>
      <c r="F273" s="15" t="str">
        <f>IF(COUNTIFS(Master_PIC!$A$8:$A$73,$B273)=1,IF(VLOOKUP($B273,Master_PIC!$A$8:$G$73,6,FALSE)="","",VLOOKUP($B273,Master_PIC!$A$8:$G$73,6,FALSE)),"")</f>
        <v/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8"/>
      <c r="X273" s="5"/>
      <c r="Y273" s="5"/>
      <c r="Z273" s="9"/>
      <c r="AA273" s="5"/>
      <c r="AB273" s="5"/>
      <c r="AC273" s="9"/>
      <c r="AD273" s="5"/>
      <c r="AE273" s="7" t="str">
        <f t="shared" si="28"/>
        <v/>
      </c>
      <c r="AF273" s="7" t="str">
        <f t="shared" si="29"/>
        <v/>
      </c>
      <c r="AG273" s="7" t="str">
        <f t="shared" si="30"/>
        <v/>
      </c>
      <c r="AH273" s="7" t="str">
        <f t="shared" si="31"/>
        <v/>
      </c>
      <c r="AI273" s="7" t="str">
        <f t="shared" si="32"/>
        <v/>
      </c>
      <c r="AJ273" s="7" t="str">
        <f t="shared" si="33"/>
        <v/>
      </c>
      <c r="AK273" s="10" t="str">
        <f t="shared" si="34"/>
        <v/>
      </c>
      <c r="AL273" s="15" t="str">
        <f>IF(OR($A273&lt;&gt;"",$B273&lt;&gt;""),IF(OR($A273="",$B273=""),"Isi tanggal dan ID PIC",IF(NOT(ISNUMBER($A273)),"Tanggal harus berupa tanggal Excel",IF(COUNTIFS(Master_PIC!$A$8:$A$73,$B273)&lt;&gt;1,"ID PIC tidak unik/terdaftar",IF(VLOOKUP($B273,Master_PIC!$A$8:$G$73,3,FALSE)&lt;&gt;"ASM","Jabatan tidak sesuai sheet",IF(OR($C273="",$D273="",$E273="",$F273=""),"Lengkapi master PIC",IF(COUNTIFS($A$8:$A$507,$A273,$B$8:$B$507,$B273)&gt;1,"Laporan ganda",IF(COUNTIFS(G273:O273,"Tidak Berlaku")&gt;0,"N/A hanya untuk kegiatan bersyarat",IF(SUM(AF273,AG273,AH273,AI273,AJ273)&lt;&gt;13,"Status kegiatan tidak valid",IF(AJ273&gt;0,"Lengkapi status kegiatan",IF(AND(AI273&gt;0,T273=""),"Isi alasan Tidak Berlaku",IF(AND(SUM(AG273,AH273)&gt;0,OR(T273="",U273="",V273="",W273="")),"Isi kendala dan tindak lanjut",IF(AND(Y273&lt;&gt;"Draft",Y273&lt;&gt;"Dikirim"),"Isi status laporan yang valid",IF(AND(AA273&lt;&gt;"",AA273&lt;&gt;"Belum Diperiksa",AA273&lt;&gt;"Disetujui",AA273&lt;&gt;"Perlu Perbaikan"),"Hasil review tidak valid",IF(AND(Y273="Dikirim",OR(X273="",Z273="")),"Isi bukti dan waktu kirim",IF(AND(AA273="Disetujui",OR(Y273&lt;&gt;"Dikirim",AB273="",AC273="")),"Lengkapi pemeriksaan",IF(AND(AA273="Perlu Perbaikan",OR(AD273="",AB273="",AC273="")),"Isi pemeriksa dan catatan perbaikan","OK")))))))))))))))),"")</f>
        <v/>
      </c>
    </row>
    <row r="274" spans="1:38" ht="24.95" customHeight="1">
      <c r="A274" s="8"/>
      <c r="B274" s="6"/>
      <c r="C274" s="15" t="str">
        <f>IF(COUNTIFS(Master_PIC!$A$8:$A$73,$B274)=1,IF(VLOOKUP($B274,Master_PIC!$A$8:$G$73,2,FALSE)="","",VLOOKUP($B274,Master_PIC!$A$8:$G$73,2,FALSE)),"")</f>
        <v/>
      </c>
      <c r="D274" s="15" t="str">
        <f>IF(COUNTIFS(Master_PIC!$A$8:$A$73,$B274)=1,IF(VLOOKUP($B274,Master_PIC!$A$8:$G$73,4,FALSE)="","",VLOOKUP($B274,Master_PIC!$A$8:$G$73,4,FALSE)),"")</f>
        <v/>
      </c>
      <c r="E274" s="15" t="str">
        <f>IF(COUNTIFS(Master_PIC!$A$8:$A$73,$B274)=1,IF(VLOOKUP($B274,Master_PIC!$A$8:$G$73,5,FALSE)="","",VLOOKUP($B274,Master_PIC!$A$8:$G$73,5,FALSE)),"")</f>
        <v/>
      </c>
      <c r="F274" s="15" t="str">
        <f>IF(COUNTIFS(Master_PIC!$A$8:$A$73,$B274)=1,IF(VLOOKUP($B274,Master_PIC!$A$8:$G$73,6,FALSE)="","",VLOOKUP($B274,Master_PIC!$A$8:$G$73,6,FALSE)),"")</f>
        <v/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8"/>
      <c r="X274" s="5"/>
      <c r="Y274" s="5"/>
      <c r="Z274" s="9"/>
      <c r="AA274" s="5"/>
      <c r="AB274" s="5"/>
      <c r="AC274" s="9"/>
      <c r="AD274" s="5"/>
      <c r="AE274" s="7" t="str">
        <f t="shared" si="28"/>
        <v/>
      </c>
      <c r="AF274" s="7" t="str">
        <f t="shared" si="29"/>
        <v/>
      </c>
      <c r="AG274" s="7" t="str">
        <f t="shared" si="30"/>
        <v/>
      </c>
      <c r="AH274" s="7" t="str">
        <f t="shared" si="31"/>
        <v/>
      </c>
      <c r="AI274" s="7" t="str">
        <f t="shared" si="32"/>
        <v/>
      </c>
      <c r="AJ274" s="7" t="str">
        <f t="shared" si="33"/>
        <v/>
      </c>
      <c r="AK274" s="10" t="str">
        <f t="shared" si="34"/>
        <v/>
      </c>
      <c r="AL274" s="15" t="str">
        <f>IF(OR($A274&lt;&gt;"",$B274&lt;&gt;""),IF(OR($A274="",$B274=""),"Isi tanggal dan ID PIC",IF(NOT(ISNUMBER($A274)),"Tanggal harus berupa tanggal Excel",IF(COUNTIFS(Master_PIC!$A$8:$A$73,$B274)&lt;&gt;1,"ID PIC tidak unik/terdaftar",IF(VLOOKUP($B274,Master_PIC!$A$8:$G$73,3,FALSE)&lt;&gt;"ASM","Jabatan tidak sesuai sheet",IF(OR($C274="",$D274="",$E274="",$F274=""),"Lengkapi master PIC",IF(COUNTIFS($A$8:$A$507,$A274,$B$8:$B$507,$B274)&gt;1,"Laporan ganda",IF(COUNTIFS(G274:O274,"Tidak Berlaku")&gt;0,"N/A hanya untuk kegiatan bersyarat",IF(SUM(AF274,AG274,AH274,AI274,AJ274)&lt;&gt;13,"Status kegiatan tidak valid",IF(AJ274&gt;0,"Lengkapi status kegiatan",IF(AND(AI274&gt;0,T274=""),"Isi alasan Tidak Berlaku",IF(AND(SUM(AG274,AH274)&gt;0,OR(T274="",U274="",V274="",W274="")),"Isi kendala dan tindak lanjut",IF(AND(Y274&lt;&gt;"Draft",Y274&lt;&gt;"Dikirim"),"Isi status laporan yang valid",IF(AND(AA274&lt;&gt;"",AA274&lt;&gt;"Belum Diperiksa",AA274&lt;&gt;"Disetujui",AA274&lt;&gt;"Perlu Perbaikan"),"Hasil review tidak valid",IF(AND(Y274="Dikirim",OR(X274="",Z274="")),"Isi bukti dan waktu kirim",IF(AND(AA274="Disetujui",OR(Y274&lt;&gt;"Dikirim",AB274="",AC274="")),"Lengkapi pemeriksaan",IF(AND(AA274="Perlu Perbaikan",OR(AD274="",AB274="",AC274="")),"Isi pemeriksa dan catatan perbaikan","OK")))))))))))))))),"")</f>
        <v/>
      </c>
    </row>
    <row r="275" spans="1:38" ht="24.95" customHeight="1">
      <c r="A275" s="8"/>
      <c r="B275" s="6"/>
      <c r="C275" s="15" t="str">
        <f>IF(COUNTIFS(Master_PIC!$A$8:$A$73,$B275)=1,IF(VLOOKUP($B275,Master_PIC!$A$8:$G$73,2,FALSE)="","",VLOOKUP($B275,Master_PIC!$A$8:$G$73,2,FALSE)),"")</f>
        <v/>
      </c>
      <c r="D275" s="15" t="str">
        <f>IF(COUNTIFS(Master_PIC!$A$8:$A$73,$B275)=1,IF(VLOOKUP($B275,Master_PIC!$A$8:$G$73,4,FALSE)="","",VLOOKUP($B275,Master_PIC!$A$8:$G$73,4,FALSE)),"")</f>
        <v/>
      </c>
      <c r="E275" s="15" t="str">
        <f>IF(COUNTIFS(Master_PIC!$A$8:$A$73,$B275)=1,IF(VLOOKUP($B275,Master_PIC!$A$8:$G$73,5,FALSE)="","",VLOOKUP($B275,Master_PIC!$A$8:$G$73,5,FALSE)),"")</f>
        <v/>
      </c>
      <c r="F275" s="15" t="str">
        <f>IF(COUNTIFS(Master_PIC!$A$8:$A$73,$B275)=1,IF(VLOOKUP($B275,Master_PIC!$A$8:$G$73,6,FALSE)="","",VLOOKUP($B275,Master_PIC!$A$8:$G$73,6,FALSE)),"")</f>
        <v/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8"/>
      <c r="X275" s="5"/>
      <c r="Y275" s="5"/>
      <c r="Z275" s="9"/>
      <c r="AA275" s="5"/>
      <c r="AB275" s="5"/>
      <c r="AC275" s="9"/>
      <c r="AD275" s="5"/>
      <c r="AE275" s="7" t="str">
        <f t="shared" si="28"/>
        <v/>
      </c>
      <c r="AF275" s="7" t="str">
        <f t="shared" si="29"/>
        <v/>
      </c>
      <c r="AG275" s="7" t="str">
        <f t="shared" si="30"/>
        <v/>
      </c>
      <c r="AH275" s="7" t="str">
        <f t="shared" si="31"/>
        <v/>
      </c>
      <c r="AI275" s="7" t="str">
        <f t="shared" si="32"/>
        <v/>
      </c>
      <c r="AJ275" s="7" t="str">
        <f t="shared" si="33"/>
        <v/>
      </c>
      <c r="AK275" s="10" t="str">
        <f t="shared" si="34"/>
        <v/>
      </c>
      <c r="AL275" s="15" t="str">
        <f>IF(OR($A275&lt;&gt;"",$B275&lt;&gt;""),IF(OR($A275="",$B275=""),"Isi tanggal dan ID PIC",IF(NOT(ISNUMBER($A275)),"Tanggal harus berupa tanggal Excel",IF(COUNTIFS(Master_PIC!$A$8:$A$73,$B275)&lt;&gt;1,"ID PIC tidak unik/terdaftar",IF(VLOOKUP($B275,Master_PIC!$A$8:$G$73,3,FALSE)&lt;&gt;"ASM","Jabatan tidak sesuai sheet",IF(OR($C275="",$D275="",$E275="",$F275=""),"Lengkapi master PIC",IF(COUNTIFS($A$8:$A$507,$A275,$B$8:$B$507,$B275)&gt;1,"Laporan ganda",IF(COUNTIFS(G275:O275,"Tidak Berlaku")&gt;0,"N/A hanya untuk kegiatan bersyarat",IF(SUM(AF275,AG275,AH275,AI275,AJ275)&lt;&gt;13,"Status kegiatan tidak valid",IF(AJ275&gt;0,"Lengkapi status kegiatan",IF(AND(AI275&gt;0,T275=""),"Isi alasan Tidak Berlaku",IF(AND(SUM(AG275,AH275)&gt;0,OR(T275="",U275="",V275="",W275="")),"Isi kendala dan tindak lanjut",IF(AND(Y275&lt;&gt;"Draft",Y275&lt;&gt;"Dikirim"),"Isi status laporan yang valid",IF(AND(AA275&lt;&gt;"",AA275&lt;&gt;"Belum Diperiksa",AA275&lt;&gt;"Disetujui",AA275&lt;&gt;"Perlu Perbaikan"),"Hasil review tidak valid",IF(AND(Y275="Dikirim",OR(X275="",Z275="")),"Isi bukti dan waktu kirim",IF(AND(AA275="Disetujui",OR(Y275&lt;&gt;"Dikirim",AB275="",AC275="")),"Lengkapi pemeriksaan",IF(AND(AA275="Perlu Perbaikan",OR(AD275="",AB275="",AC275="")),"Isi pemeriksa dan catatan perbaikan","OK")))))))))))))))),"")</f>
        <v/>
      </c>
    </row>
    <row r="276" spans="1:38" ht="24.95" customHeight="1">
      <c r="A276" s="8"/>
      <c r="B276" s="6"/>
      <c r="C276" s="15" t="str">
        <f>IF(COUNTIFS(Master_PIC!$A$8:$A$73,$B276)=1,IF(VLOOKUP($B276,Master_PIC!$A$8:$G$73,2,FALSE)="","",VLOOKUP($B276,Master_PIC!$A$8:$G$73,2,FALSE)),"")</f>
        <v/>
      </c>
      <c r="D276" s="15" t="str">
        <f>IF(COUNTIFS(Master_PIC!$A$8:$A$73,$B276)=1,IF(VLOOKUP($B276,Master_PIC!$A$8:$G$73,4,FALSE)="","",VLOOKUP($B276,Master_PIC!$A$8:$G$73,4,FALSE)),"")</f>
        <v/>
      </c>
      <c r="E276" s="15" t="str">
        <f>IF(COUNTIFS(Master_PIC!$A$8:$A$73,$B276)=1,IF(VLOOKUP($B276,Master_PIC!$A$8:$G$73,5,FALSE)="","",VLOOKUP($B276,Master_PIC!$A$8:$G$73,5,FALSE)),"")</f>
        <v/>
      </c>
      <c r="F276" s="15" t="str">
        <f>IF(COUNTIFS(Master_PIC!$A$8:$A$73,$B276)=1,IF(VLOOKUP($B276,Master_PIC!$A$8:$G$73,6,FALSE)="","",VLOOKUP($B276,Master_PIC!$A$8:$G$73,6,FALSE)),"")</f>
        <v/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8"/>
      <c r="X276" s="5"/>
      <c r="Y276" s="5"/>
      <c r="Z276" s="9"/>
      <c r="AA276" s="5"/>
      <c r="AB276" s="5"/>
      <c r="AC276" s="9"/>
      <c r="AD276" s="5"/>
      <c r="AE276" s="7" t="str">
        <f t="shared" si="28"/>
        <v/>
      </c>
      <c r="AF276" s="7" t="str">
        <f t="shared" si="29"/>
        <v/>
      </c>
      <c r="AG276" s="7" t="str">
        <f t="shared" si="30"/>
        <v/>
      </c>
      <c r="AH276" s="7" t="str">
        <f t="shared" si="31"/>
        <v/>
      </c>
      <c r="AI276" s="7" t="str">
        <f t="shared" si="32"/>
        <v/>
      </c>
      <c r="AJ276" s="7" t="str">
        <f t="shared" si="33"/>
        <v/>
      </c>
      <c r="AK276" s="10" t="str">
        <f t="shared" si="34"/>
        <v/>
      </c>
      <c r="AL276" s="15" t="str">
        <f>IF(OR($A276&lt;&gt;"",$B276&lt;&gt;""),IF(OR($A276="",$B276=""),"Isi tanggal dan ID PIC",IF(NOT(ISNUMBER($A276)),"Tanggal harus berupa tanggal Excel",IF(COUNTIFS(Master_PIC!$A$8:$A$73,$B276)&lt;&gt;1,"ID PIC tidak unik/terdaftar",IF(VLOOKUP($B276,Master_PIC!$A$8:$G$73,3,FALSE)&lt;&gt;"ASM","Jabatan tidak sesuai sheet",IF(OR($C276="",$D276="",$E276="",$F276=""),"Lengkapi master PIC",IF(COUNTIFS($A$8:$A$507,$A276,$B$8:$B$507,$B276)&gt;1,"Laporan ganda",IF(COUNTIFS(G276:O276,"Tidak Berlaku")&gt;0,"N/A hanya untuk kegiatan bersyarat",IF(SUM(AF276,AG276,AH276,AI276,AJ276)&lt;&gt;13,"Status kegiatan tidak valid",IF(AJ276&gt;0,"Lengkapi status kegiatan",IF(AND(AI276&gt;0,T276=""),"Isi alasan Tidak Berlaku",IF(AND(SUM(AG276,AH276)&gt;0,OR(T276="",U276="",V276="",W276="")),"Isi kendala dan tindak lanjut",IF(AND(Y276&lt;&gt;"Draft",Y276&lt;&gt;"Dikirim"),"Isi status laporan yang valid",IF(AND(AA276&lt;&gt;"",AA276&lt;&gt;"Belum Diperiksa",AA276&lt;&gt;"Disetujui",AA276&lt;&gt;"Perlu Perbaikan"),"Hasil review tidak valid",IF(AND(Y276="Dikirim",OR(X276="",Z276="")),"Isi bukti dan waktu kirim",IF(AND(AA276="Disetujui",OR(Y276&lt;&gt;"Dikirim",AB276="",AC276="")),"Lengkapi pemeriksaan",IF(AND(AA276="Perlu Perbaikan",OR(AD276="",AB276="",AC276="")),"Isi pemeriksa dan catatan perbaikan","OK")))))))))))))))),"")</f>
        <v/>
      </c>
    </row>
    <row r="277" spans="1:38" ht="24.95" customHeight="1">
      <c r="A277" s="8"/>
      <c r="B277" s="6"/>
      <c r="C277" s="15" t="str">
        <f>IF(COUNTIFS(Master_PIC!$A$8:$A$73,$B277)=1,IF(VLOOKUP($B277,Master_PIC!$A$8:$G$73,2,FALSE)="","",VLOOKUP($B277,Master_PIC!$A$8:$G$73,2,FALSE)),"")</f>
        <v/>
      </c>
      <c r="D277" s="15" t="str">
        <f>IF(COUNTIFS(Master_PIC!$A$8:$A$73,$B277)=1,IF(VLOOKUP($B277,Master_PIC!$A$8:$G$73,4,FALSE)="","",VLOOKUP($B277,Master_PIC!$A$8:$G$73,4,FALSE)),"")</f>
        <v/>
      </c>
      <c r="E277" s="15" t="str">
        <f>IF(COUNTIFS(Master_PIC!$A$8:$A$73,$B277)=1,IF(VLOOKUP($B277,Master_PIC!$A$8:$G$73,5,FALSE)="","",VLOOKUP($B277,Master_PIC!$A$8:$G$73,5,FALSE)),"")</f>
        <v/>
      </c>
      <c r="F277" s="15" t="str">
        <f>IF(COUNTIFS(Master_PIC!$A$8:$A$73,$B277)=1,IF(VLOOKUP($B277,Master_PIC!$A$8:$G$73,6,FALSE)="","",VLOOKUP($B277,Master_PIC!$A$8:$G$73,6,FALSE)),"")</f>
        <v/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8"/>
      <c r="X277" s="5"/>
      <c r="Y277" s="5"/>
      <c r="Z277" s="9"/>
      <c r="AA277" s="5"/>
      <c r="AB277" s="5"/>
      <c r="AC277" s="9"/>
      <c r="AD277" s="5"/>
      <c r="AE277" s="7" t="str">
        <f t="shared" si="28"/>
        <v/>
      </c>
      <c r="AF277" s="7" t="str">
        <f t="shared" si="29"/>
        <v/>
      </c>
      <c r="AG277" s="7" t="str">
        <f t="shared" si="30"/>
        <v/>
      </c>
      <c r="AH277" s="7" t="str">
        <f t="shared" si="31"/>
        <v/>
      </c>
      <c r="AI277" s="7" t="str">
        <f t="shared" si="32"/>
        <v/>
      </c>
      <c r="AJ277" s="7" t="str">
        <f t="shared" si="33"/>
        <v/>
      </c>
      <c r="AK277" s="10" t="str">
        <f t="shared" si="34"/>
        <v/>
      </c>
      <c r="AL277" s="15" t="str">
        <f>IF(OR($A277&lt;&gt;"",$B277&lt;&gt;""),IF(OR($A277="",$B277=""),"Isi tanggal dan ID PIC",IF(NOT(ISNUMBER($A277)),"Tanggal harus berupa tanggal Excel",IF(COUNTIFS(Master_PIC!$A$8:$A$73,$B277)&lt;&gt;1,"ID PIC tidak unik/terdaftar",IF(VLOOKUP($B277,Master_PIC!$A$8:$G$73,3,FALSE)&lt;&gt;"ASM","Jabatan tidak sesuai sheet",IF(OR($C277="",$D277="",$E277="",$F277=""),"Lengkapi master PIC",IF(COUNTIFS($A$8:$A$507,$A277,$B$8:$B$507,$B277)&gt;1,"Laporan ganda",IF(COUNTIFS(G277:O277,"Tidak Berlaku")&gt;0,"N/A hanya untuk kegiatan bersyarat",IF(SUM(AF277,AG277,AH277,AI277,AJ277)&lt;&gt;13,"Status kegiatan tidak valid",IF(AJ277&gt;0,"Lengkapi status kegiatan",IF(AND(AI277&gt;0,T277=""),"Isi alasan Tidak Berlaku",IF(AND(SUM(AG277,AH277)&gt;0,OR(T277="",U277="",V277="",W277="")),"Isi kendala dan tindak lanjut",IF(AND(Y277&lt;&gt;"Draft",Y277&lt;&gt;"Dikirim"),"Isi status laporan yang valid",IF(AND(AA277&lt;&gt;"",AA277&lt;&gt;"Belum Diperiksa",AA277&lt;&gt;"Disetujui",AA277&lt;&gt;"Perlu Perbaikan"),"Hasil review tidak valid",IF(AND(Y277="Dikirim",OR(X277="",Z277="")),"Isi bukti dan waktu kirim",IF(AND(AA277="Disetujui",OR(Y277&lt;&gt;"Dikirim",AB277="",AC277="")),"Lengkapi pemeriksaan",IF(AND(AA277="Perlu Perbaikan",OR(AD277="",AB277="",AC277="")),"Isi pemeriksa dan catatan perbaikan","OK")))))))))))))))),"")</f>
        <v/>
      </c>
    </row>
    <row r="278" spans="1:38" ht="24.95" customHeight="1">
      <c r="A278" s="8"/>
      <c r="B278" s="6"/>
      <c r="C278" s="15" t="str">
        <f>IF(COUNTIFS(Master_PIC!$A$8:$A$73,$B278)=1,IF(VLOOKUP($B278,Master_PIC!$A$8:$G$73,2,FALSE)="","",VLOOKUP($B278,Master_PIC!$A$8:$G$73,2,FALSE)),"")</f>
        <v/>
      </c>
      <c r="D278" s="15" t="str">
        <f>IF(COUNTIFS(Master_PIC!$A$8:$A$73,$B278)=1,IF(VLOOKUP($B278,Master_PIC!$A$8:$G$73,4,FALSE)="","",VLOOKUP($B278,Master_PIC!$A$8:$G$73,4,FALSE)),"")</f>
        <v/>
      </c>
      <c r="E278" s="15" t="str">
        <f>IF(COUNTIFS(Master_PIC!$A$8:$A$73,$B278)=1,IF(VLOOKUP($B278,Master_PIC!$A$8:$G$73,5,FALSE)="","",VLOOKUP($B278,Master_PIC!$A$8:$G$73,5,FALSE)),"")</f>
        <v/>
      </c>
      <c r="F278" s="15" t="str">
        <f>IF(COUNTIFS(Master_PIC!$A$8:$A$73,$B278)=1,IF(VLOOKUP($B278,Master_PIC!$A$8:$G$73,6,FALSE)="","",VLOOKUP($B278,Master_PIC!$A$8:$G$73,6,FALSE)),"")</f>
        <v/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8"/>
      <c r="X278" s="5"/>
      <c r="Y278" s="5"/>
      <c r="Z278" s="9"/>
      <c r="AA278" s="5"/>
      <c r="AB278" s="5"/>
      <c r="AC278" s="9"/>
      <c r="AD278" s="5"/>
      <c r="AE278" s="7" t="str">
        <f t="shared" si="28"/>
        <v/>
      </c>
      <c r="AF278" s="7" t="str">
        <f t="shared" si="29"/>
        <v/>
      </c>
      <c r="AG278" s="7" t="str">
        <f t="shared" si="30"/>
        <v/>
      </c>
      <c r="AH278" s="7" t="str">
        <f t="shared" si="31"/>
        <v/>
      </c>
      <c r="AI278" s="7" t="str">
        <f t="shared" si="32"/>
        <v/>
      </c>
      <c r="AJ278" s="7" t="str">
        <f t="shared" si="33"/>
        <v/>
      </c>
      <c r="AK278" s="10" t="str">
        <f t="shared" si="34"/>
        <v/>
      </c>
      <c r="AL278" s="15" t="str">
        <f>IF(OR($A278&lt;&gt;"",$B278&lt;&gt;""),IF(OR($A278="",$B278=""),"Isi tanggal dan ID PIC",IF(NOT(ISNUMBER($A278)),"Tanggal harus berupa tanggal Excel",IF(COUNTIFS(Master_PIC!$A$8:$A$73,$B278)&lt;&gt;1,"ID PIC tidak unik/terdaftar",IF(VLOOKUP($B278,Master_PIC!$A$8:$G$73,3,FALSE)&lt;&gt;"ASM","Jabatan tidak sesuai sheet",IF(OR($C278="",$D278="",$E278="",$F278=""),"Lengkapi master PIC",IF(COUNTIFS($A$8:$A$507,$A278,$B$8:$B$507,$B278)&gt;1,"Laporan ganda",IF(COUNTIFS(G278:O278,"Tidak Berlaku")&gt;0,"N/A hanya untuk kegiatan bersyarat",IF(SUM(AF278,AG278,AH278,AI278,AJ278)&lt;&gt;13,"Status kegiatan tidak valid",IF(AJ278&gt;0,"Lengkapi status kegiatan",IF(AND(AI278&gt;0,T278=""),"Isi alasan Tidak Berlaku",IF(AND(SUM(AG278,AH278)&gt;0,OR(T278="",U278="",V278="",W278="")),"Isi kendala dan tindak lanjut",IF(AND(Y278&lt;&gt;"Draft",Y278&lt;&gt;"Dikirim"),"Isi status laporan yang valid",IF(AND(AA278&lt;&gt;"",AA278&lt;&gt;"Belum Diperiksa",AA278&lt;&gt;"Disetujui",AA278&lt;&gt;"Perlu Perbaikan"),"Hasil review tidak valid",IF(AND(Y278="Dikirim",OR(X278="",Z278="")),"Isi bukti dan waktu kirim",IF(AND(AA278="Disetujui",OR(Y278&lt;&gt;"Dikirim",AB278="",AC278="")),"Lengkapi pemeriksaan",IF(AND(AA278="Perlu Perbaikan",OR(AD278="",AB278="",AC278="")),"Isi pemeriksa dan catatan perbaikan","OK")))))))))))))))),"")</f>
        <v/>
      </c>
    </row>
    <row r="279" spans="1:38" ht="24.95" customHeight="1">
      <c r="A279" s="8"/>
      <c r="B279" s="6"/>
      <c r="C279" s="15" t="str">
        <f>IF(COUNTIFS(Master_PIC!$A$8:$A$73,$B279)=1,IF(VLOOKUP($B279,Master_PIC!$A$8:$G$73,2,FALSE)="","",VLOOKUP($B279,Master_PIC!$A$8:$G$73,2,FALSE)),"")</f>
        <v/>
      </c>
      <c r="D279" s="15" t="str">
        <f>IF(COUNTIFS(Master_PIC!$A$8:$A$73,$B279)=1,IF(VLOOKUP($B279,Master_PIC!$A$8:$G$73,4,FALSE)="","",VLOOKUP($B279,Master_PIC!$A$8:$G$73,4,FALSE)),"")</f>
        <v/>
      </c>
      <c r="E279" s="15" t="str">
        <f>IF(COUNTIFS(Master_PIC!$A$8:$A$73,$B279)=1,IF(VLOOKUP($B279,Master_PIC!$A$8:$G$73,5,FALSE)="","",VLOOKUP($B279,Master_PIC!$A$8:$G$73,5,FALSE)),"")</f>
        <v/>
      </c>
      <c r="F279" s="15" t="str">
        <f>IF(COUNTIFS(Master_PIC!$A$8:$A$73,$B279)=1,IF(VLOOKUP($B279,Master_PIC!$A$8:$G$73,6,FALSE)="","",VLOOKUP($B279,Master_PIC!$A$8:$G$73,6,FALSE)),"")</f>
        <v/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8"/>
      <c r="X279" s="5"/>
      <c r="Y279" s="5"/>
      <c r="Z279" s="9"/>
      <c r="AA279" s="5"/>
      <c r="AB279" s="5"/>
      <c r="AC279" s="9"/>
      <c r="AD279" s="5"/>
      <c r="AE279" s="7" t="str">
        <f t="shared" si="28"/>
        <v/>
      </c>
      <c r="AF279" s="7" t="str">
        <f t="shared" si="29"/>
        <v/>
      </c>
      <c r="AG279" s="7" t="str">
        <f t="shared" si="30"/>
        <v/>
      </c>
      <c r="AH279" s="7" t="str">
        <f t="shared" si="31"/>
        <v/>
      </c>
      <c r="AI279" s="7" t="str">
        <f t="shared" si="32"/>
        <v/>
      </c>
      <c r="AJ279" s="7" t="str">
        <f t="shared" si="33"/>
        <v/>
      </c>
      <c r="AK279" s="10" t="str">
        <f t="shared" si="34"/>
        <v/>
      </c>
      <c r="AL279" s="15" t="str">
        <f>IF(OR($A279&lt;&gt;"",$B279&lt;&gt;""),IF(OR($A279="",$B279=""),"Isi tanggal dan ID PIC",IF(NOT(ISNUMBER($A279)),"Tanggal harus berupa tanggal Excel",IF(COUNTIFS(Master_PIC!$A$8:$A$73,$B279)&lt;&gt;1,"ID PIC tidak unik/terdaftar",IF(VLOOKUP($B279,Master_PIC!$A$8:$G$73,3,FALSE)&lt;&gt;"ASM","Jabatan tidak sesuai sheet",IF(OR($C279="",$D279="",$E279="",$F279=""),"Lengkapi master PIC",IF(COUNTIFS($A$8:$A$507,$A279,$B$8:$B$507,$B279)&gt;1,"Laporan ganda",IF(COUNTIFS(G279:O279,"Tidak Berlaku")&gt;0,"N/A hanya untuk kegiatan bersyarat",IF(SUM(AF279,AG279,AH279,AI279,AJ279)&lt;&gt;13,"Status kegiatan tidak valid",IF(AJ279&gt;0,"Lengkapi status kegiatan",IF(AND(AI279&gt;0,T279=""),"Isi alasan Tidak Berlaku",IF(AND(SUM(AG279,AH279)&gt;0,OR(T279="",U279="",V279="",W279="")),"Isi kendala dan tindak lanjut",IF(AND(Y279&lt;&gt;"Draft",Y279&lt;&gt;"Dikirim"),"Isi status laporan yang valid",IF(AND(AA279&lt;&gt;"",AA279&lt;&gt;"Belum Diperiksa",AA279&lt;&gt;"Disetujui",AA279&lt;&gt;"Perlu Perbaikan"),"Hasil review tidak valid",IF(AND(Y279="Dikirim",OR(X279="",Z279="")),"Isi bukti dan waktu kirim",IF(AND(AA279="Disetujui",OR(Y279&lt;&gt;"Dikirim",AB279="",AC279="")),"Lengkapi pemeriksaan",IF(AND(AA279="Perlu Perbaikan",OR(AD279="",AB279="",AC279="")),"Isi pemeriksa dan catatan perbaikan","OK")))))))))))))))),"")</f>
        <v/>
      </c>
    </row>
    <row r="280" spans="1:38" ht="24.95" customHeight="1">
      <c r="A280" s="8"/>
      <c r="B280" s="6"/>
      <c r="C280" s="15" t="str">
        <f>IF(COUNTIFS(Master_PIC!$A$8:$A$73,$B280)=1,IF(VLOOKUP($B280,Master_PIC!$A$8:$G$73,2,FALSE)="","",VLOOKUP($B280,Master_PIC!$A$8:$G$73,2,FALSE)),"")</f>
        <v/>
      </c>
      <c r="D280" s="15" t="str">
        <f>IF(COUNTIFS(Master_PIC!$A$8:$A$73,$B280)=1,IF(VLOOKUP($B280,Master_PIC!$A$8:$G$73,4,FALSE)="","",VLOOKUP($B280,Master_PIC!$A$8:$G$73,4,FALSE)),"")</f>
        <v/>
      </c>
      <c r="E280" s="15" t="str">
        <f>IF(COUNTIFS(Master_PIC!$A$8:$A$73,$B280)=1,IF(VLOOKUP($B280,Master_PIC!$A$8:$G$73,5,FALSE)="","",VLOOKUP($B280,Master_PIC!$A$8:$G$73,5,FALSE)),"")</f>
        <v/>
      </c>
      <c r="F280" s="15" t="str">
        <f>IF(COUNTIFS(Master_PIC!$A$8:$A$73,$B280)=1,IF(VLOOKUP($B280,Master_PIC!$A$8:$G$73,6,FALSE)="","",VLOOKUP($B280,Master_PIC!$A$8:$G$73,6,FALSE)),"")</f>
        <v/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8"/>
      <c r="X280" s="5"/>
      <c r="Y280" s="5"/>
      <c r="Z280" s="9"/>
      <c r="AA280" s="5"/>
      <c r="AB280" s="5"/>
      <c r="AC280" s="9"/>
      <c r="AD280" s="5"/>
      <c r="AE280" s="7" t="str">
        <f t="shared" si="28"/>
        <v/>
      </c>
      <c r="AF280" s="7" t="str">
        <f t="shared" si="29"/>
        <v/>
      </c>
      <c r="AG280" s="7" t="str">
        <f t="shared" si="30"/>
        <v/>
      </c>
      <c r="AH280" s="7" t="str">
        <f t="shared" si="31"/>
        <v/>
      </c>
      <c r="AI280" s="7" t="str">
        <f t="shared" si="32"/>
        <v/>
      </c>
      <c r="AJ280" s="7" t="str">
        <f t="shared" si="33"/>
        <v/>
      </c>
      <c r="AK280" s="10" t="str">
        <f t="shared" si="34"/>
        <v/>
      </c>
      <c r="AL280" s="15" t="str">
        <f>IF(OR($A280&lt;&gt;"",$B280&lt;&gt;""),IF(OR($A280="",$B280=""),"Isi tanggal dan ID PIC",IF(NOT(ISNUMBER($A280)),"Tanggal harus berupa tanggal Excel",IF(COUNTIFS(Master_PIC!$A$8:$A$73,$B280)&lt;&gt;1,"ID PIC tidak unik/terdaftar",IF(VLOOKUP($B280,Master_PIC!$A$8:$G$73,3,FALSE)&lt;&gt;"ASM","Jabatan tidak sesuai sheet",IF(OR($C280="",$D280="",$E280="",$F280=""),"Lengkapi master PIC",IF(COUNTIFS($A$8:$A$507,$A280,$B$8:$B$507,$B280)&gt;1,"Laporan ganda",IF(COUNTIFS(G280:O280,"Tidak Berlaku")&gt;0,"N/A hanya untuk kegiatan bersyarat",IF(SUM(AF280,AG280,AH280,AI280,AJ280)&lt;&gt;13,"Status kegiatan tidak valid",IF(AJ280&gt;0,"Lengkapi status kegiatan",IF(AND(AI280&gt;0,T280=""),"Isi alasan Tidak Berlaku",IF(AND(SUM(AG280,AH280)&gt;0,OR(T280="",U280="",V280="",W280="")),"Isi kendala dan tindak lanjut",IF(AND(Y280&lt;&gt;"Draft",Y280&lt;&gt;"Dikirim"),"Isi status laporan yang valid",IF(AND(AA280&lt;&gt;"",AA280&lt;&gt;"Belum Diperiksa",AA280&lt;&gt;"Disetujui",AA280&lt;&gt;"Perlu Perbaikan"),"Hasil review tidak valid",IF(AND(Y280="Dikirim",OR(X280="",Z280="")),"Isi bukti dan waktu kirim",IF(AND(AA280="Disetujui",OR(Y280&lt;&gt;"Dikirim",AB280="",AC280="")),"Lengkapi pemeriksaan",IF(AND(AA280="Perlu Perbaikan",OR(AD280="",AB280="",AC280="")),"Isi pemeriksa dan catatan perbaikan","OK")))))))))))))))),"")</f>
        <v/>
      </c>
    </row>
    <row r="281" spans="1:38" ht="24.95" customHeight="1">
      <c r="A281" s="8"/>
      <c r="B281" s="6"/>
      <c r="C281" s="15" t="str">
        <f>IF(COUNTIFS(Master_PIC!$A$8:$A$73,$B281)=1,IF(VLOOKUP($B281,Master_PIC!$A$8:$G$73,2,FALSE)="","",VLOOKUP($B281,Master_PIC!$A$8:$G$73,2,FALSE)),"")</f>
        <v/>
      </c>
      <c r="D281" s="15" t="str">
        <f>IF(COUNTIFS(Master_PIC!$A$8:$A$73,$B281)=1,IF(VLOOKUP($B281,Master_PIC!$A$8:$G$73,4,FALSE)="","",VLOOKUP($B281,Master_PIC!$A$8:$G$73,4,FALSE)),"")</f>
        <v/>
      </c>
      <c r="E281" s="15" t="str">
        <f>IF(COUNTIFS(Master_PIC!$A$8:$A$73,$B281)=1,IF(VLOOKUP($B281,Master_PIC!$A$8:$G$73,5,FALSE)="","",VLOOKUP($B281,Master_PIC!$A$8:$G$73,5,FALSE)),"")</f>
        <v/>
      </c>
      <c r="F281" s="15" t="str">
        <f>IF(COUNTIFS(Master_PIC!$A$8:$A$73,$B281)=1,IF(VLOOKUP($B281,Master_PIC!$A$8:$G$73,6,FALSE)="","",VLOOKUP($B281,Master_PIC!$A$8:$G$73,6,FALSE)),"")</f>
        <v/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8"/>
      <c r="X281" s="5"/>
      <c r="Y281" s="5"/>
      <c r="Z281" s="9"/>
      <c r="AA281" s="5"/>
      <c r="AB281" s="5"/>
      <c r="AC281" s="9"/>
      <c r="AD281" s="5"/>
      <c r="AE281" s="7" t="str">
        <f t="shared" si="28"/>
        <v/>
      </c>
      <c r="AF281" s="7" t="str">
        <f t="shared" si="29"/>
        <v/>
      </c>
      <c r="AG281" s="7" t="str">
        <f t="shared" si="30"/>
        <v/>
      </c>
      <c r="AH281" s="7" t="str">
        <f t="shared" si="31"/>
        <v/>
      </c>
      <c r="AI281" s="7" t="str">
        <f t="shared" si="32"/>
        <v/>
      </c>
      <c r="AJ281" s="7" t="str">
        <f t="shared" si="33"/>
        <v/>
      </c>
      <c r="AK281" s="10" t="str">
        <f t="shared" si="34"/>
        <v/>
      </c>
      <c r="AL281" s="15" t="str">
        <f>IF(OR($A281&lt;&gt;"",$B281&lt;&gt;""),IF(OR($A281="",$B281=""),"Isi tanggal dan ID PIC",IF(NOT(ISNUMBER($A281)),"Tanggal harus berupa tanggal Excel",IF(COUNTIFS(Master_PIC!$A$8:$A$73,$B281)&lt;&gt;1,"ID PIC tidak unik/terdaftar",IF(VLOOKUP($B281,Master_PIC!$A$8:$G$73,3,FALSE)&lt;&gt;"ASM","Jabatan tidak sesuai sheet",IF(OR($C281="",$D281="",$E281="",$F281=""),"Lengkapi master PIC",IF(COUNTIFS($A$8:$A$507,$A281,$B$8:$B$507,$B281)&gt;1,"Laporan ganda",IF(COUNTIFS(G281:O281,"Tidak Berlaku")&gt;0,"N/A hanya untuk kegiatan bersyarat",IF(SUM(AF281,AG281,AH281,AI281,AJ281)&lt;&gt;13,"Status kegiatan tidak valid",IF(AJ281&gt;0,"Lengkapi status kegiatan",IF(AND(AI281&gt;0,T281=""),"Isi alasan Tidak Berlaku",IF(AND(SUM(AG281,AH281)&gt;0,OR(T281="",U281="",V281="",W281="")),"Isi kendala dan tindak lanjut",IF(AND(Y281&lt;&gt;"Draft",Y281&lt;&gt;"Dikirim"),"Isi status laporan yang valid",IF(AND(AA281&lt;&gt;"",AA281&lt;&gt;"Belum Diperiksa",AA281&lt;&gt;"Disetujui",AA281&lt;&gt;"Perlu Perbaikan"),"Hasil review tidak valid",IF(AND(Y281="Dikirim",OR(X281="",Z281="")),"Isi bukti dan waktu kirim",IF(AND(AA281="Disetujui",OR(Y281&lt;&gt;"Dikirim",AB281="",AC281="")),"Lengkapi pemeriksaan",IF(AND(AA281="Perlu Perbaikan",OR(AD281="",AB281="",AC281="")),"Isi pemeriksa dan catatan perbaikan","OK")))))))))))))))),"")</f>
        <v/>
      </c>
    </row>
    <row r="282" spans="1:38" ht="24.95" customHeight="1">
      <c r="A282" s="8"/>
      <c r="B282" s="6"/>
      <c r="C282" s="15" t="str">
        <f>IF(COUNTIFS(Master_PIC!$A$8:$A$73,$B282)=1,IF(VLOOKUP($B282,Master_PIC!$A$8:$G$73,2,FALSE)="","",VLOOKUP($B282,Master_PIC!$A$8:$G$73,2,FALSE)),"")</f>
        <v/>
      </c>
      <c r="D282" s="15" t="str">
        <f>IF(COUNTIFS(Master_PIC!$A$8:$A$73,$B282)=1,IF(VLOOKUP($B282,Master_PIC!$A$8:$G$73,4,FALSE)="","",VLOOKUP($B282,Master_PIC!$A$8:$G$73,4,FALSE)),"")</f>
        <v/>
      </c>
      <c r="E282" s="15" t="str">
        <f>IF(COUNTIFS(Master_PIC!$A$8:$A$73,$B282)=1,IF(VLOOKUP($B282,Master_PIC!$A$8:$G$73,5,FALSE)="","",VLOOKUP($B282,Master_PIC!$A$8:$G$73,5,FALSE)),"")</f>
        <v/>
      </c>
      <c r="F282" s="15" t="str">
        <f>IF(COUNTIFS(Master_PIC!$A$8:$A$73,$B282)=1,IF(VLOOKUP($B282,Master_PIC!$A$8:$G$73,6,FALSE)="","",VLOOKUP($B282,Master_PIC!$A$8:$G$73,6,FALSE)),"")</f>
        <v/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8"/>
      <c r="X282" s="5"/>
      <c r="Y282" s="5"/>
      <c r="Z282" s="9"/>
      <c r="AA282" s="5"/>
      <c r="AB282" s="5"/>
      <c r="AC282" s="9"/>
      <c r="AD282" s="5"/>
      <c r="AE282" s="7" t="str">
        <f t="shared" si="28"/>
        <v/>
      </c>
      <c r="AF282" s="7" t="str">
        <f t="shared" si="29"/>
        <v/>
      </c>
      <c r="AG282" s="7" t="str">
        <f t="shared" si="30"/>
        <v/>
      </c>
      <c r="AH282" s="7" t="str">
        <f t="shared" si="31"/>
        <v/>
      </c>
      <c r="AI282" s="7" t="str">
        <f t="shared" si="32"/>
        <v/>
      </c>
      <c r="AJ282" s="7" t="str">
        <f t="shared" si="33"/>
        <v/>
      </c>
      <c r="AK282" s="10" t="str">
        <f t="shared" si="34"/>
        <v/>
      </c>
      <c r="AL282" s="15" t="str">
        <f>IF(OR($A282&lt;&gt;"",$B282&lt;&gt;""),IF(OR($A282="",$B282=""),"Isi tanggal dan ID PIC",IF(NOT(ISNUMBER($A282)),"Tanggal harus berupa tanggal Excel",IF(COUNTIFS(Master_PIC!$A$8:$A$73,$B282)&lt;&gt;1,"ID PIC tidak unik/terdaftar",IF(VLOOKUP($B282,Master_PIC!$A$8:$G$73,3,FALSE)&lt;&gt;"ASM","Jabatan tidak sesuai sheet",IF(OR($C282="",$D282="",$E282="",$F282=""),"Lengkapi master PIC",IF(COUNTIFS($A$8:$A$507,$A282,$B$8:$B$507,$B282)&gt;1,"Laporan ganda",IF(COUNTIFS(G282:O282,"Tidak Berlaku")&gt;0,"N/A hanya untuk kegiatan bersyarat",IF(SUM(AF282,AG282,AH282,AI282,AJ282)&lt;&gt;13,"Status kegiatan tidak valid",IF(AJ282&gt;0,"Lengkapi status kegiatan",IF(AND(AI282&gt;0,T282=""),"Isi alasan Tidak Berlaku",IF(AND(SUM(AG282,AH282)&gt;0,OR(T282="",U282="",V282="",W282="")),"Isi kendala dan tindak lanjut",IF(AND(Y282&lt;&gt;"Draft",Y282&lt;&gt;"Dikirim"),"Isi status laporan yang valid",IF(AND(AA282&lt;&gt;"",AA282&lt;&gt;"Belum Diperiksa",AA282&lt;&gt;"Disetujui",AA282&lt;&gt;"Perlu Perbaikan"),"Hasil review tidak valid",IF(AND(Y282="Dikirim",OR(X282="",Z282="")),"Isi bukti dan waktu kirim",IF(AND(AA282="Disetujui",OR(Y282&lt;&gt;"Dikirim",AB282="",AC282="")),"Lengkapi pemeriksaan",IF(AND(AA282="Perlu Perbaikan",OR(AD282="",AB282="",AC282="")),"Isi pemeriksa dan catatan perbaikan","OK")))))))))))))))),"")</f>
        <v/>
      </c>
    </row>
    <row r="283" spans="1:38" ht="24.95" customHeight="1">
      <c r="A283" s="8"/>
      <c r="B283" s="6"/>
      <c r="C283" s="15" t="str">
        <f>IF(COUNTIFS(Master_PIC!$A$8:$A$73,$B283)=1,IF(VLOOKUP($B283,Master_PIC!$A$8:$G$73,2,FALSE)="","",VLOOKUP($B283,Master_PIC!$A$8:$G$73,2,FALSE)),"")</f>
        <v/>
      </c>
      <c r="D283" s="15" t="str">
        <f>IF(COUNTIFS(Master_PIC!$A$8:$A$73,$B283)=1,IF(VLOOKUP($B283,Master_PIC!$A$8:$G$73,4,FALSE)="","",VLOOKUP($B283,Master_PIC!$A$8:$G$73,4,FALSE)),"")</f>
        <v/>
      </c>
      <c r="E283" s="15" t="str">
        <f>IF(COUNTIFS(Master_PIC!$A$8:$A$73,$B283)=1,IF(VLOOKUP($B283,Master_PIC!$A$8:$G$73,5,FALSE)="","",VLOOKUP($B283,Master_PIC!$A$8:$G$73,5,FALSE)),"")</f>
        <v/>
      </c>
      <c r="F283" s="15" t="str">
        <f>IF(COUNTIFS(Master_PIC!$A$8:$A$73,$B283)=1,IF(VLOOKUP($B283,Master_PIC!$A$8:$G$73,6,FALSE)="","",VLOOKUP($B283,Master_PIC!$A$8:$G$73,6,FALSE)),"")</f>
        <v/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8"/>
      <c r="X283" s="5"/>
      <c r="Y283" s="5"/>
      <c r="Z283" s="9"/>
      <c r="AA283" s="5"/>
      <c r="AB283" s="5"/>
      <c r="AC283" s="9"/>
      <c r="AD283" s="5"/>
      <c r="AE283" s="7" t="str">
        <f t="shared" si="28"/>
        <v/>
      </c>
      <c r="AF283" s="7" t="str">
        <f t="shared" si="29"/>
        <v/>
      </c>
      <c r="AG283" s="7" t="str">
        <f t="shared" si="30"/>
        <v/>
      </c>
      <c r="AH283" s="7" t="str">
        <f t="shared" si="31"/>
        <v/>
      </c>
      <c r="AI283" s="7" t="str">
        <f t="shared" si="32"/>
        <v/>
      </c>
      <c r="AJ283" s="7" t="str">
        <f t="shared" si="33"/>
        <v/>
      </c>
      <c r="AK283" s="10" t="str">
        <f t="shared" si="34"/>
        <v/>
      </c>
      <c r="AL283" s="15" t="str">
        <f>IF(OR($A283&lt;&gt;"",$B283&lt;&gt;""),IF(OR($A283="",$B283=""),"Isi tanggal dan ID PIC",IF(NOT(ISNUMBER($A283)),"Tanggal harus berupa tanggal Excel",IF(COUNTIFS(Master_PIC!$A$8:$A$73,$B283)&lt;&gt;1,"ID PIC tidak unik/terdaftar",IF(VLOOKUP($B283,Master_PIC!$A$8:$G$73,3,FALSE)&lt;&gt;"ASM","Jabatan tidak sesuai sheet",IF(OR($C283="",$D283="",$E283="",$F283=""),"Lengkapi master PIC",IF(COUNTIFS($A$8:$A$507,$A283,$B$8:$B$507,$B283)&gt;1,"Laporan ganda",IF(COUNTIFS(G283:O283,"Tidak Berlaku")&gt;0,"N/A hanya untuk kegiatan bersyarat",IF(SUM(AF283,AG283,AH283,AI283,AJ283)&lt;&gt;13,"Status kegiatan tidak valid",IF(AJ283&gt;0,"Lengkapi status kegiatan",IF(AND(AI283&gt;0,T283=""),"Isi alasan Tidak Berlaku",IF(AND(SUM(AG283,AH283)&gt;0,OR(T283="",U283="",V283="",W283="")),"Isi kendala dan tindak lanjut",IF(AND(Y283&lt;&gt;"Draft",Y283&lt;&gt;"Dikirim"),"Isi status laporan yang valid",IF(AND(AA283&lt;&gt;"",AA283&lt;&gt;"Belum Diperiksa",AA283&lt;&gt;"Disetujui",AA283&lt;&gt;"Perlu Perbaikan"),"Hasil review tidak valid",IF(AND(Y283="Dikirim",OR(X283="",Z283="")),"Isi bukti dan waktu kirim",IF(AND(AA283="Disetujui",OR(Y283&lt;&gt;"Dikirim",AB283="",AC283="")),"Lengkapi pemeriksaan",IF(AND(AA283="Perlu Perbaikan",OR(AD283="",AB283="",AC283="")),"Isi pemeriksa dan catatan perbaikan","OK")))))))))))))))),"")</f>
        <v/>
      </c>
    </row>
    <row r="284" spans="1:38" ht="24.95" customHeight="1">
      <c r="A284" s="8"/>
      <c r="B284" s="6"/>
      <c r="C284" s="15" t="str">
        <f>IF(COUNTIFS(Master_PIC!$A$8:$A$73,$B284)=1,IF(VLOOKUP($B284,Master_PIC!$A$8:$G$73,2,FALSE)="","",VLOOKUP($B284,Master_PIC!$A$8:$G$73,2,FALSE)),"")</f>
        <v/>
      </c>
      <c r="D284" s="15" t="str">
        <f>IF(COUNTIFS(Master_PIC!$A$8:$A$73,$B284)=1,IF(VLOOKUP($B284,Master_PIC!$A$8:$G$73,4,FALSE)="","",VLOOKUP($B284,Master_PIC!$A$8:$G$73,4,FALSE)),"")</f>
        <v/>
      </c>
      <c r="E284" s="15" t="str">
        <f>IF(COUNTIFS(Master_PIC!$A$8:$A$73,$B284)=1,IF(VLOOKUP($B284,Master_PIC!$A$8:$G$73,5,FALSE)="","",VLOOKUP($B284,Master_PIC!$A$8:$G$73,5,FALSE)),"")</f>
        <v/>
      </c>
      <c r="F284" s="15" t="str">
        <f>IF(COUNTIFS(Master_PIC!$A$8:$A$73,$B284)=1,IF(VLOOKUP($B284,Master_PIC!$A$8:$G$73,6,FALSE)="","",VLOOKUP($B284,Master_PIC!$A$8:$G$73,6,FALSE)),"")</f>
        <v/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8"/>
      <c r="X284" s="5"/>
      <c r="Y284" s="5"/>
      <c r="Z284" s="9"/>
      <c r="AA284" s="5"/>
      <c r="AB284" s="5"/>
      <c r="AC284" s="9"/>
      <c r="AD284" s="5"/>
      <c r="AE284" s="7" t="str">
        <f t="shared" si="28"/>
        <v/>
      </c>
      <c r="AF284" s="7" t="str">
        <f t="shared" si="29"/>
        <v/>
      </c>
      <c r="AG284" s="7" t="str">
        <f t="shared" si="30"/>
        <v/>
      </c>
      <c r="AH284" s="7" t="str">
        <f t="shared" si="31"/>
        <v/>
      </c>
      <c r="AI284" s="7" t="str">
        <f t="shared" si="32"/>
        <v/>
      </c>
      <c r="AJ284" s="7" t="str">
        <f t="shared" si="33"/>
        <v/>
      </c>
      <c r="AK284" s="10" t="str">
        <f t="shared" si="34"/>
        <v/>
      </c>
      <c r="AL284" s="15" t="str">
        <f>IF(OR($A284&lt;&gt;"",$B284&lt;&gt;""),IF(OR($A284="",$B284=""),"Isi tanggal dan ID PIC",IF(NOT(ISNUMBER($A284)),"Tanggal harus berupa tanggal Excel",IF(COUNTIFS(Master_PIC!$A$8:$A$73,$B284)&lt;&gt;1,"ID PIC tidak unik/terdaftar",IF(VLOOKUP($B284,Master_PIC!$A$8:$G$73,3,FALSE)&lt;&gt;"ASM","Jabatan tidak sesuai sheet",IF(OR($C284="",$D284="",$E284="",$F284=""),"Lengkapi master PIC",IF(COUNTIFS($A$8:$A$507,$A284,$B$8:$B$507,$B284)&gt;1,"Laporan ganda",IF(COUNTIFS(G284:O284,"Tidak Berlaku")&gt;0,"N/A hanya untuk kegiatan bersyarat",IF(SUM(AF284,AG284,AH284,AI284,AJ284)&lt;&gt;13,"Status kegiatan tidak valid",IF(AJ284&gt;0,"Lengkapi status kegiatan",IF(AND(AI284&gt;0,T284=""),"Isi alasan Tidak Berlaku",IF(AND(SUM(AG284,AH284)&gt;0,OR(T284="",U284="",V284="",W284="")),"Isi kendala dan tindak lanjut",IF(AND(Y284&lt;&gt;"Draft",Y284&lt;&gt;"Dikirim"),"Isi status laporan yang valid",IF(AND(AA284&lt;&gt;"",AA284&lt;&gt;"Belum Diperiksa",AA284&lt;&gt;"Disetujui",AA284&lt;&gt;"Perlu Perbaikan"),"Hasil review tidak valid",IF(AND(Y284="Dikirim",OR(X284="",Z284="")),"Isi bukti dan waktu kirim",IF(AND(AA284="Disetujui",OR(Y284&lt;&gt;"Dikirim",AB284="",AC284="")),"Lengkapi pemeriksaan",IF(AND(AA284="Perlu Perbaikan",OR(AD284="",AB284="",AC284="")),"Isi pemeriksa dan catatan perbaikan","OK")))))))))))))))),"")</f>
        <v/>
      </c>
    </row>
    <row r="285" spans="1:38" ht="24.95" customHeight="1">
      <c r="A285" s="8"/>
      <c r="B285" s="6"/>
      <c r="C285" s="15" t="str">
        <f>IF(COUNTIFS(Master_PIC!$A$8:$A$73,$B285)=1,IF(VLOOKUP($B285,Master_PIC!$A$8:$G$73,2,FALSE)="","",VLOOKUP($B285,Master_PIC!$A$8:$G$73,2,FALSE)),"")</f>
        <v/>
      </c>
      <c r="D285" s="15" t="str">
        <f>IF(COUNTIFS(Master_PIC!$A$8:$A$73,$B285)=1,IF(VLOOKUP($B285,Master_PIC!$A$8:$G$73,4,FALSE)="","",VLOOKUP($B285,Master_PIC!$A$8:$G$73,4,FALSE)),"")</f>
        <v/>
      </c>
      <c r="E285" s="15" t="str">
        <f>IF(COUNTIFS(Master_PIC!$A$8:$A$73,$B285)=1,IF(VLOOKUP($B285,Master_PIC!$A$8:$G$73,5,FALSE)="","",VLOOKUP($B285,Master_PIC!$A$8:$G$73,5,FALSE)),"")</f>
        <v/>
      </c>
      <c r="F285" s="15" t="str">
        <f>IF(COUNTIFS(Master_PIC!$A$8:$A$73,$B285)=1,IF(VLOOKUP($B285,Master_PIC!$A$8:$G$73,6,FALSE)="","",VLOOKUP($B285,Master_PIC!$A$8:$G$73,6,FALSE)),"")</f>
        <v/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8"/>
      <c r="X285" s="5"/>
      <c r="Y285" s="5"/>
      <c r="Z285" s="9"/>
      <c r="AA285" s="5"/>
      <c r="AB285" s="5"/>
      <c r="AC285" s="9"/>
      <c r="AD285" s="5"/>
      <c r="AE285" s="7" t="str">
        <f t="shared" si="28"/>
        <v/>
      </c>
      <c r="AF285" s="7" t="str">
        <f t="shared" si="29"/>
        <v/>
      </c>
      <c r="AG285" s="7" t="str">
        <f t="shared" si="30"/>
        <v/>
      </c>
      <c r="AH285" s="7" t="str">
        <f t="shared" si="31"/>
        <v/>
      </c>
      <c r="AI285" s="7" t="str">
        <f t="shared" si="32"/>
        <v/>
      </c>
      <c r="AJ285" s="7" t="str">
        <f t="shared" si="33"/>
        <v/>
      </c>
      <c r="AK285" s="10" t="str">
        <f t="shared" si="34"/>
        <v/>
      </c>
      <c r="AL285" s="15" t="str">
        <f>IF(OR($A285&lt;&gt;"",$B285&lt;&gt;""),IF(OR($A285="",$B285=""),"Isi tanggal dan ID PIC",IF(NOT(ISNUMBER($A285)),"Tanggal harus berupa tanggal Excel",IF(COUNTIFS(Master_PIC!$A$8:$A$73,$B285)&lt;&gt;1,"ID PIC tidak unik/terdaftar",IF(VLOOKUP($B285,Master_PIC!$A$8:$G$73,3,FALSE)&lt;&gt;"ASM","Jabatan tidak sesuai sheet",IF(OR($C285="",$D285="",$E285="",$F285=""),"Lengkapi master PIC",IF(COUNTIFS($A$8:$A$507,$A285,$B$8:$B$507,$B285)&gt;1,"Laporan ganda",IF(COUNTIFS(G285:O285,"Tidak Berlaku")&gt;0,"N/A hanya untuk kegiatan bersyarat",IF(SUM(AF285,AG285,AH285,AI285,AJ285)&lt;&gt;13,"Status kegiatan tidak valid",IF(AJ285&gt;0,"Lengkapi status kegiatan",IF(AND(AI285&gt;0,T285=""),"Isi alasan Tidak Berlaku",IF(AND(SUM(AG285,AH285)&gt;0,OR(T285="",U285="",V285="",W285="")),"Isi kendala dan tindak lanjut",IF(AND(Y285&lt;&gt;"Draft",Y285&lt;&gt;"Dikirim"),"Isi status laporan yang valid",IF(AND(AA285&lt;&gt;"",AA285&lt;&gt;"Belum Diperiksa",AA285&lt;&gt;"Disetujui",AA285&lt;&gt;"Perlu Perbaikan"),"Hasil review tidak valid",IF(AND(Y285="Dikirim",OR(X285="",Z285="")),"Isi bukti dan waktu kirim",IF(AND(AA285="Disetujui",OR(Y285&lt;&gt;"Dikirim",AB285="",AC285="")),"Lengkapi pemeriksaan",IF(AND(AA285="Perlu Perbaikan",OR(AD285="",AB285="",AC285="")),"Isi pemeriksa dan catatan perbaikan","OK")))))))))))))))),"")</f>
        <v/>
      </c>
    </row>
    <row r="286" spans="1:38" ht="24.95" customHeight="1">
      <c r="A286" s="8"/>
      <c r="B286" s="6"/>
      <c r="C286" s="15" t="str">
        <f>IF(COUNTIFS(Master_PIC!$A$8:$A$73,$B286)=1,IF(VLOOKUP($B286,Master_PIC!$A$8:$G$73,2,FALSE)="","",VLOOKUP($B286,Master_PIC!$A$8:$G$73,2,FALSE)),"")</f>
        <v/>
      </c>
      <c r="D286" s="15" t="str">
        <f>IF(COUNTIFS(Master_PIC!$A$8:$A$73,$B286)=1,IF(VLOOKUP($B286,Master_PIC!$A$8:$G$73,4,FALSE)="","",VLOOKUP($B286,Master_PIC!$A$8:$G$73,4,FALSE)),"")</f>
        <v/>
      </c>
      <c r="E286" s="15" t="str">
        <f>IF(COUNTIFS(Master_PIC!$A$8:$A$73,$B286)=1,IF(VLOOKUP($B286,Master_PIC!$A$8:$G$73,5,FALSE)="","",VLOOKUP($B286,Master_PIC!$A$8:$G$73,5,FALSE)),"")</f>
        <v/>
      </c>
      <c r="F286" s="15" t="str">
        <f>IF(COUNTIFS(Master_PIC!$A$8:$A$73,$B286)=1,IF(VLOOKUP($B286,Master_PIC!$A$8:$G$73,6,FALSE)="","",VLOOKUP($B286,Master_PIC!$A$8:$G$73,6,FALSE)),"")</f>
        <v/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9"/>
      <c r="AA286" s="5"/>
      <c r="AB286" s="5"/>
      <c r="AC286" s="9"/>
      <c r="AD286" s="5"/>
      <c r="AE286" s="7" t="str">
        <f t="shared" si="28"/>
        <v/>
      </c>
      <c r="AF286" s="7" t="str">
        <f t="shared" si="29"/>
        <v/>
      </c>
      <c r="AG286" s="7" t="str">
        <f t="shared" si="30"/>
        <v/>
      </c>
      <c r="AH286" s="7" t="str">
        <f t="shared" si="31"/>
        <v/>
      </c>
      <c r="AI286" s="7" t="str">
        <f t="shared" si="32"/>
        <v/>
      </c>
      <c r="AJ286" s="7" t="str">
        <f t="shared" si="33"/>
        <v/>
      </c>
      <c r="AK286" s="10" t="str">
        <f t="shared" si="34"/>
        <v/>
      </c>
      <c r="AL286" s="15" t="str">
        <f>IF(OR($A286&lt;&gt;"",$B286&lt;&gt;""),IF(OR($A286="",$B286=""),"Isi tanggal dan ID PIC",IF(NOT(ISNUMBER($A286)),"Tanggal harus berupa tanggal Excel",IF(COUNTIFS(Master_PIC!$A$8:$A$73,$B286)&lt;&gt;1,"ID PIC tidak unik/terdaftar",IF(VLOOKUP($B286,Master_PIC!$A$8:$G$73,3,FALSE)&lt;&gt;"ASM","Jabatan tidak sesuai sheet",IF(OR($C286="",$D286="",$E286="",$F286=""),"Lengkapi master PIC",IF(COUNTIFS($A$8:$A$507,$A286,$B$8:$B$507,$B286)&gt;1,"Laporan ganda",IF(COUNTIFS(G286:O286,"Tidak Berlaku")&gt;0,"N/A hanya untuk kegiatan bersyarat",IF(SUM(AF286,AG286,AH286,AI286,AJ286)&lt;&gt;13,"Status kegiatan tidak valid",IF(AJ286&gt;0,"Lengkapi status kegiatan",IF(AND(AI286&gt;0,T286=""),"Isi alasan Tidak Berlaku",IF(AND(SUM(AG286,AH286)&gt;0,OR(T286="",U286="",V286="",W286="")),"Isi kendala dan tindak lanjut",IF(AND(Y286&lt;&gt;"Draft",Y286&lt;&gt;"Dikirim"),"Isi status laporan yang valid",IF(AND(AA286&lt;&gt;"",AA286&lt;&gt;"Belum Diperiksa",AA286&lt;&gt;"Disetujui",AA286&lt;&gt;"Perlu Perbaikan"),"Hasil review tidak valid",IF(AND(Y286="Dikirim",OR(X286="",Z286="")),"Isi bukti dan waktu kirim",IF(AND(AA286="Disetujui",OR(Y286&lt;&gt;"Dikirim",AB286="",AC286="")),"Lengkapi pemeriksaan",IF(AND(AA286="Perlu Perbaikan",OR(AD286="",AB286="",AC286="")),"Isi pemeriksa dan catatan perbaikan","OK")))))))))))))))),"")</f>
        <v/>
      </c>
    </row>
    <row r="287" spans="1:38" ht="24.95" customHeight="1">
      <c r="A287" s="8"/>
      <c r="B287" s="6"/>
      <c r="C287" s="15" t="str">
        <f>IF(COUNTIFS(Master_PIC!$A$8:$A$73,$B287)=1,IF(VLOOKUP($B287,Master_PIC!$A$8:$G$73,2,FALSE)="","",VLOOKUP($B287,Master_PIC!$A$8:$G$73,2,FALSE)),"")</f>
        <v/>
      </c>
      <c r="D287" s="15" t="str">
        <f>IF(COUNTIFS(Master_PIC!$A$8:$A$73,$B287)=1,IF(VLOOKUP($B287,Master_PIC!$A$8:$G$73,4,FALSE)="","",VLOOKUP($B287,Master_PIC!$A$8:$G$73,4,FALSE)),"")</f>
        <v/>
      </c>
      <c r="E287" s="15" t="str">
        <f>IF(COUNTIFS(Master_PIC!$A$8:$A$73,$B287)=1,IF(VLOOKUP($B287,Master_PIC!$A$8:$G$73,5,FALSE)="","",VLOOKUP($B287,Master_PIC!$A$8:$G$73,5,FALSE)),"")</f>
        <v/>
      </c>
      <c r="F287" s="15" t="str">
        <f>IF(COUNTIFS(Master_PIC!$A$8:$A$73,$B287)=1,IF(VLOOKUP($B287,Master_PIC!$A$8:$G$73,6,FALSE)="","",VLOOKUP($B287,Master_PIC!$A$8:$G$73,6,FALSE)),"")</f>
        <v/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8"/>
      <c r="X287" s="5"/>
      <c r="Y287" s="5"/>
      <c r="Z287" s="9"/>
      <c r="AA287" s="5"/>
      <c r="AB287" s="5"/>
      <c r="AC287" s="9"/>
      <c r="AD287" s="5"/>
      <c r="AE287" s="7" t="str">
        <f t="shared" si="28"/>
        <v/>
      </c>
      <c r="AF287" s="7" t="str">
        <f t="shared" si="29"/>
        <v/>
      </c>
      <c r="AG287" s="7" t="str">
        <f t="shared" si="30"/>
        <v/>
      </c>
      <c r="AH287" s="7" t="str">
        <f t="shared" si="31"/>
        <v/>
      </c>
      <c r="AI287" s="7" t="str">
        <f t="shared" si="32"/>
        <v/>
      </c>
      <c r="AJ287" s="7" t="str">
        <f t="shared" si="33"/>
        <v/>
      </c>
      <c r="AK287" s="10" t="str">
        <f t="shared" si="34"/>
        <v/>
      </c>
      <c r="AL287" s="15" t="str">
        <f>IF(OR($A287&lt;&gt;"",$B287&lt;&gt;""),IF(OR($A287="",$B287=""),"Isi tanggal dan ID PIC",IF(NOT(ISNUMBER($A287)),"Tanggal harus berupa tanggal Excel",IF(COUNTIFS(Master_PIC!$A$8:$A$73,$B287)&lt;&gt;1,"ID PIC tidak unik/terdaftar",IF(VLOOKUP($B287,Master_PIC!$A$8:$G$73,3,FALSE)&lt;&gt;"ASM","Jabatan tidak sesuai sheet",IF(OR($C287="",$D287="",$E287="",$F287=""),"Lengkapi master PIC",IF(COUNTIFS($A$8:$A$507,$A287,$B$8:$B$507,$B287)&gt;1,"Laporan ganda",IF(COUNTIFS(G287:O287,"Tidak Berlaku")&gt;0,"N/A hanya untuk kegiatan bersyarat",IF(SUM(AF287,AG287,AH287,AI287,AJ287)&lt;&gt;13,"Status kegiatan tidak valid",IF(AJ287&gt;0,"Lengkapi status kegiatan",IF(AND(AI287&gt;0,T287=""),"Isi alasan Tidak Berlaku",IF(AND(SUM(AG287,AH287)&gt;0,OR(T287="",U287="",V287="",W287="")),"Isi kendala dan tindak lanjut",IF(AND(Y287&lt;&gt;"Draft",Y287&lt;&gt;"Dikirim"),"Isi status laporan yang valid",IF(AND(AA287&lt;&gt;"",AA287&lt;&gt;"Belum Diperiksa",AA287&lt;&gt;"Disetujui",AA287&lt;&gt;"Perlu Perbaikan"),"Hasil review tidak valid",IF(AND(Y287="Dikirim",OR(X287="",Z287="")),"Isi bukti dan waktu kirim",IF(AND(AA287="Disetujui",OR(Y287&lt;&gt;"Dikirim",AB287="",AC287="")),"Lengkapi pemeriksaan",IF(AND(AA287="Perlu Perbaikan",OR(AD287="",AB287="",AC287="")),"Isi pemeriksa dan catatan perbaikan","OK")))))))))))))))),"")</f>
        <v/>
      </c>
    </row>
    <row r="288" spans="1:38" ht="24.95" customHeight="1">
      <c r="A288" s="8"/>
      <c r="B288" s="6"/>
      <c r="C288" s="15" t="str">
        <f>IF(COUNTIFS(Master_PIC!$A$8:$A$73,$B288)=1,IF(VLOOKUP($B288,Master_PIC!$A$8:$G$73,2,FALSE)="","",VLOOKUP($B288,Master_PIC!$A$8:$G$73,2,FALSE)),"")</f>
        <v/>
      </c>
      <c r="D288" s="15" t="str">
        <f>IF(COUNTIFS(Master_PIC!$A$8:$A$73,$B288)=1,IF(VLOOKUP($B288,Master_PIC!$A$8:$G$73,4,FALSE)="","",VLOOKUP($B288,Master_PIC!$A$8:$G$73,4,FALSE)),"")</f>
        <v/>
      </c>
      <c r="E288" s="15" t="str">
        <f>IF(COUNTIFS(Master_PIC!$A$8:$A$73,$B288)=1,IF(VLOOKUP($B288,Master_PIC!$A$8:$G$73,5,FALSE)="","",VLOOKUP($B288,Master_PIC!$A$8:$G$73,5,FALSE)),"")</f>
        <v/>
      </c>
      <c r="F288" s="15" t="str">
        <f>IF(COUNTIFS(Master_PIC!$A$8:$A$73,$B288)=1,IF(VLOOKUP($B288,Master_PIC!$A$8:$G$73,6,FALSE)="","",VLOOKUP($B288,Master_PIC!$A$8:$G$73,6,FALSE)),"")</f>
        <v/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8"/>
      <c r="X288" s="5"/>
      <c r="Y288" s="5"/>
      <c r="Z288" s="9"/>
      <c r="AA288" s="5"/>
      <c r="AB288" s="5"/>
      <c r="AC288" s="9"/>
      <c r="AD288" s="5"/>
      <c r="AE288" s="7" t="str">
        <f t="shared" si="28"/>
        <v/>
      </c>
      <c r="AF288" s="7" t="str">
        <f t="shared" si="29"/>
        <v/>
      </c>
      <c r="AG288" s="7" t="str">
        <f t="shared" si="30"/>
        <v/>
      </c>
      <c r="AH288" s="7" t="str">
        <f t="shared" si="31"/>
        <v/>
      </c>
      <c r="AI288" s="7" t="str">
        <f t="shared" si="32"/>
        <v/>
      </c>
      <c r="AJ288" s="7" t="str">
        <f t="shared" si="33"/>
        <v/>
      </c>
      <c r="AK288" s="10" t="str">
        <f t="shared" si="34"/>
        <v/>
      </c>
      <c r="AL288" s="15" t="str">
        <f>IF(OR($A288&lt;&gt;"",$B288&lt;&gt;""),IF(OR($A288="",$B288=""),"Isi tanggal dan ID PIC",IF(NOT(ISNUMBER($A288)),"Tanggal harus berupa tanggal Excel",IF(COUNTIFS(Master_PIC!$A$8:$A$73,$B288)&lt;&gt;1,"ID PIC tidak unik/terdaftar",IF(VLOOKUP($B288,Master_PIC!$A$8:$G$73,3,FALSE)&lt;&gt;"ASM","Jabatan tidak sesuai sheet",IF(OR($C288="",$D288="",$E288="",$F288=""),"Lengkapi master PIC",IF(COUNTIFS($A$8:$A$507,$A288,$B$8:$B$507,$B288)&gt;1,"Laporan ganda",IF(COUNTIFS(G288:O288,"Tidak Berlaku")&gt;0,"N/A hanya untuk kegiatan bersyarat",IF(SUM(AF288,AG288,AH288,AI288,AJ288)&lt;&gt;13,"Status kegiatan tidak valid",IF(AJ288&gt;0,"Lengkapi status kegiatan",IF(AND(AI288&gt;0,T288=""),"Isi alasan Tidak Berlaku",IF(AND(SUM(AG288,AH288)&gt;0,OR(T288="",U288="",V288="",W288="")),"Isi kendala dan tindak lanjut",IF(AND(Y288&lt;&gt;"Draft",Y288&lt;&gt;"Dikirim"),"Isi status laporan yang valid",IF(AND(AA288&lt;&gt;"",AA288&lt;&gt;"Belum Diperiksa",AA288&lt;&gt;"Disetujui",AA288&lt;&gt;"Perlu Perbaikan"),"Hasil review tidak valid",IF(AND(Y288="Dikirim",OR(X288="",Z288="")),"Isi bukti dan waktu kirim",IF(AND(AA288="Disetujui",OR(Y288&lt;&gt;"Dikirim",AB288="",AC288="")),"Lengkapi pemeriksaan",IF(AND(AA288="Perlu Perbaikan",OR(AD288="",AB288="",AC288="")),"Isi pemeriksa dan catatan perbaikan","OK")))))))))))))))),"")</f>
        <v/>
      </c>
    </row>
    <row r="289" spans="1:38" ht="24.95" customHeight="1">
      <c r="A289" s="8"/>
      <c r="B289" s="6"/>
      <c r="C289" s="15" t="str">
        <f>IF(COUNTIFS(Master_PIC!$A$8:$A$73,$B289)=1,IF(VLOOKUP($B289,Master_PIC!$A$8:$G$73,2,FALSE)="","",VLOOKUP($B289,Master_PIC!$A$8:$G$73,2,FALSE)),"")</f>
        <v/>
      </c>
      <c r="D289" s="15" t="str">
        <f>IF(COUNTIFS(Master_PIC!$A$8:$A$73,$B289)=1,IF(VLOOKUP($B289,Master_PIC!$A$8:$G$73,4,FALSE)="","",VLOOKUP($B289,Master_PIC!$A$8:$G$73,4,FALSE)),"")</f>
        <v/>
      </c>
      <c r="E289" s="15" t="str">
        <f>IF(COUNTIFS(Master_PIC!$A$8:$A$73,$B289)=1,IF(VLOOKUP($B289,Master_PIC!$A$8:$G$73,5,FALSE)="","",VLOOKUP($B289,Master_PIC!$A$8:$G$73,5,FALSE)),"")</f>
        <v/>
      </c>
      <c r="F289" s="15" t="str">
        <f>IF(COUNTIFS(Master_PIC!$A$8:$A$73,$B289)=1,IF(VLOOKUP($B289,Master_PIC!$A$8:$G$73,6,FALSE)="","",VLOOKUP($B289,Master_PIC!$A$8:$G$73,6,FALSE)),"")</f>
        <v/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8"/>
      <c r="X289" s="5"/>
      <c r="Y289" s="5"/>
      <c r="Z289" s="9"/>
      <c r="AA289" s="5"/>
      <c r="AB289" s="5"/>
      <c r="AC289" s="9"/>
      <c r="AD289" s="5"/>
      <c r="AE289" s="7" t="str">
        <f t="shared" si="28"/>
        <v/>
      </c>
      <c r="AF289" s="7" t="str">
        <f t="shared" si="29"/>
        <v/>
      </c>
      <c r="AG289" s="7" t="str">
        <f t="shared" si="30"/>
        <v/>
      </c>
      <c r="AH289" s="7" t="str">
        <f t="shared" si="31"/>
        <v/>
      </c>
      <c r="AI289" s="7" t="str">
        <f t="shared" si="32"/>
        <v/>
      </c>
      <c r="AJ289" s="7" t="str">
        <f t="shared" si="33"/>
        <v/>
      </c>
      <c r="AK289" s="10" t="str">
        <f t="shared" si="34"/>
        <v/>
      </c>
      <c r="AL289" s="15" t="str">
        <f>IF(OR($A289&lt;&gt;"",$B289&lt;&gt;""),IF(OR($A289="",$B289=""),"Isi tanggal dan ID PIC",IF(NOT(ISNUMBER($A289)),"Tanggal harus berupa tanggal Excel",IF(COUNTIFS(Master_PIC!$A$8:$A$73,$B289)&lt;&gt;1,"ID PIC tidak unik/terdaftar",IF(VLOOKUP($B289,Master_PIC!$A$8:$G$73,3,FALSE)&lt;&gt;"ASM","Jabatan tidak sesuai sheet",IF(OR($C289="",$D289="",$E289="",$F289=""),"Lengkapi master PIC",IF(COUNTIFS($A$8:$A$507,$A289,$B$8:$B$507,$B289)&gt;1,"Laporan ganda",IF(COUNTIFS(G289:O289,"Tidak Berlaku")&gt;0,"N/A hanya untuk kegiatan bersyarat",IF(SUM(AF289,AG289,AH289,AI289,AJ289)&lt;&gt;13,"Status kegiatan tidak valid",IF(AJ289&gt;0,"Lengkapi status kegiatan",IF(AND(AI289&gt;0,T289=""),"Isi alasan Tidak Berlaku",IF(AND(SUM(AG289,AH289)&gt;0,OR(T289="",U289="",V289="",W289="")),"Isi kendala dan tindak lanjut",IF(AND(Y289&lt;&gt;"Draft",Y289&lt;&gt;"Dikirim"),"Isi status laporan yang valid",IF(AND(AA289&lt;&gt;"",AA289&lt;&gt;"Belum Diperiksa",AA289&lt;&gt;"Disetujui",AA289&lt;&gt;"Perlu Perbaikan"),"Hasil review tidak valid",IF(AND(Y289="Dikirim",OR(X289="",Z289="")),"Isi bukti dan waktu kirim",IF(AND(AA289="Disetujui",OR(Y289&lt;&gt;"Dikirim",AB289="",AC289="")),"Lengkapi pemeriksaan",IF(AND(AA289="Perlu Perbaikan",OR(AD289="",AB289="",AC289="")),"Isi pemeriksa dan catatan perbaikan","OK")))))))))))))))),"")</f>
        <v/>
      </c>
    </row>
    <row r="290" spans="1:38" ht="24.95" customHeight="1">
      <c r="A290" s="8"/>
      <c r="B290" s="6"/>
      <c r="C290" s="15" t="str">
        <f>IF(COUNTIFS(Master_PIC!$A$8:$A$73,$B290)=1,IF(VLOOKUP($B290,Master_PIC!$A$8:$G$73,2,FALSE)="","",VLOOKUP($B290,Master_PIC!$A$8:$G$73,2,FALSE)),"")</f>
        <v/>
      </c>
      <c r="D290" s="15" t="str">
        <f>IF(COUNTIFS(Master_PIC!$A$8:$A$73,$B290)=1,IF(VLOOKUP($B290,Master_PIC!$A$8:$G$73,4,FALSE)="","",VLOOKUP($B290,Master_PIC!$A$8:$G$73,4,FALSE)),"")</f>
        <v/>
      </c>
      <c r="E290" s="15" t="str">
        <f>IF(COUNTIFS(Master_PIC!$A$8:$A$73,$B290)=1,IF(VLOOKUP($B290,Master_PIC!$A$8:$G$73,5,FALSE)="","",VLOOKUP($B290,Master_PIC!$A$8:$G$73,5,FALSE)),"")</f>
        <v/>
      </c>
      <c r="F290" s="15" t="str">
        <f>IF(COUNTIFS(Master_PIC!$A$8:$A$73,$B290)=1,IF(VLOOKUP($B290,Master_PIC!$A$8:$G$73,6,FALSE)="","",VLOOKUP($B290,Master_PIC!$A$8:$G$73,6,FALSE)),"")</f>
        <v/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8"/>
      <c r="X290" s="5"/>
      <c r="Y290" s="5"/>
      <c r="Z290" s="9"/>
      <c r="AA290" s="5"/>
      <c r="AB290" s="5"/>
      <c r="AC290" s="9"/>
      <c r="AD290" s="5"/>
      <c r="AE290" s="7" t="str">
        <f t="shared" si="28"/>
        <v/>
      </c>
      <c r="AF290" s="7" t="str">
        <f t="shared" si="29"/>
        <v/>
      </c>
      <c r="AG290" s="7" t="str">
        <f t="shared" si="30"/>
        <v/>
      </c>
      <c r="AH290" s="7" t="str">
        <f t="shared" si="31"/>
        <v/>
      </c>
      <c r="AI290" s="7" t="str">
        <f t="shared" si="32"/>
        <v/>
      </c>
      <c r="AJ290" s="7" t="str">
        <f t="shared" si="33"/>
        <v/>
      </c>
      <c r="AK290" s="10" t="str">
        <f t="shared" si="34"/>
        <v/>
      </c>
      <c r="AL290" s="15" t="str">
        <f>IF(OR($A290&lt;&gt;"",$B290&lt;&gt;""),IF(OR($A290="",$B290=""),"Isi tanggal dan ID PIC",IF(NOT(ISNUMBER($A290)),"Tanggal harus berupa tanggal Excel",IF(COUNTIFS(Master_PIC!$A$8:$A$73,$B290)&lt;&gt;1,"ID PIC tidak unik/terdaftar",IF(VLOOKUP($B290,Master_PIC!$A$8:$G$73,3,FALSE)&lt;&gt;"ASM","Jabatan tidak sesuai sheet",IF(OR($C290="",$D290="",$E290="",$F290=""),"Lengkapi master PIC",IF(COUNTIFS($A$8:$A$507,$A290,$B$8:$B$507,$B290)&gt;1,"Laporan ganda",IF(COUNTIFS(G290:O290,"Tidak Berlaku")&gt;0,"N/A hanya untuk kegiatan bersyarat",IF(SUM(AF290,AG290,AH290,AI290,AJ290)&lt;&gt;13,"Status kegiatan tidak valid",IF(AJ290&gt;0,"Lengkapi status kegiatan",IF(AND(AI290&gt;0,T290=""),"Isi alasan Tidak Berlaku",IF(AND(SUM(AG290,AH290)&gt;0,OR(T290="",U290="",V290="",W290="")),"Isi kendala dan tindak lanjut",IF(AND(Y290&lt;&gt;"Draft",Y290&lt;&gt;"Dikirim"),"Isi status laporan yang valid",IF(AND(AA290&lt;&gt;"",AA290&lt;&gt;"Belum Diperiksa",AA290&lt;&gt;"Disetujui",AA290&lt;&gt;"Perlu Perbaikan"),"Hasil review tidak valid",IF(AND(Y290="Dikirim",OR(X290="",Z290="")),"Isi bukti dan waktu kirim",IF(AND(AA290="Disetujui",OR(Y290&lt;&gt;"Dikirim",AB290="",AC290="")),"Lengkapi pemeriksaan",IF(AND(AA290="Perlu Perbaikan",OR(AD290="",AB290="",AC290="")),"Isi pemeriksa dan catatan perbaikan","OK")))))))))))))))),"")</f>
        <v/>
      </c>
    </row>
    <row r="291" spans="1:38" ht="24.95" customHeight="1">
      <c r="A291" s="8"/>
      <c r="B291" s="6"/>
      <c r="C291" s="15" t="str">
        <f>IF(COUNTIFS(Master_PIC!$A$8:$A$73,$B291)=1,IF(VLOOKUP($B291,Master_PIC!$A$8:$G$73,2,FALSE)="","",VLOOKUP($B291,Master_PIC!$A$8:$G$73,2,FALSE)),"")</f>
        <v/>
      </c>
      <c r="D291" s="15" t="str">
        <f>IF(COUNTIFS(Master_PIC!$A$8:$A$73,$B291)=1,IF(VLOOKUP($B291,Master_PIC!$A$8:$G$73,4,FALSE)="","",VLOOKUP($B291,Master_PIC!$A$8:$G$73,4,FALSE)),"")</f>
        <v/>
      </c>
      <c r="E291" s="15" t="str">
        <f>IF(COUNTIFS(Master_PIC!$A$8:$A$73,$B291)=1,IF(VLOOKUP($B291,Master_PIC!$A$8:$G$73,5,FALSE)="","",VLOOKUP($B291,Master_PIC!$A$8:$G$73,5,FALSE)),"")</f>
        <v/>
      </c>
      <c r="F291" s="15" t="str">
        <f>IF(COUNTIFS(Master_PIC!$A$8:$A$73,$B291)=1,IF(VLOOKUP($B291,Master_PIC!$A$8:$G$73,6,FALSE)="","",VLOOKUP($B291,Master_PIC!$A$8:$G$73,6,FALSE)),"")</f>
        <v/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8"/>
      <c r="X291" s="5"/>
      <c r="Y291" s="5"/>
      <c r="Z291" s="9"/>
      <c r="AA291" s="5"/>
      <c r="AB291" s="5"/>
      <c r="AC291" s="9"/>
      <c r="AD291" s="5"/>
      <c r="AE291" s="7" t="str">
        <f t="shared" si="28"/>
        <v/>
      </c>
      <c r="AF291" s="7" t="str">
        <f t="shared" si="29"/>
        <v/>
      </c>
      <c r="AG291" s="7" t="str">
        <f t="shared" si="30"/>
        <v/>
      </c>
      <c r="AH291" s="7" t="str">
        <f t="shared" si="31"/>
        <v/>
      </c>
      <c r="AI291" s="7" t="str">
        <f t="shared" si="32"/>
        <v/>
      </c>
      <c r="AJ291" s="7" t="str">
        <f t="shared" si="33"/>
        <v/>
      </c>
      <c r="AK291" s="10" t="str">
        <f t="shared" si="34"/>
        <v/>
      </c>
      <c r="AL291" s="15" t="str">
        <f>IF(OR($A291&lt;&gt;"",$B291&lt;&gt;""),IF(OR($A291="",$B291=""),"Isi tanggal dan ID PIC",IF(NOT(ISNUMBER($A291)),"Tanggal harus berupa tanggal Excel",IF(COUNTIFS(Master_PIC!$A$8:$A$73,$B291)&lt;&gt;1,"ID PIC tidak unik/terdaftar",IF(VLOOKUP($B291,Master_PIC!$A$8:$G$73,3,FALSE)&lt;&gt;"ASM","Jabatan tidak sesuai sheet",IF(OR($C291="",$D291="",$E291="",$F291=""),"Lengkapi master PIC",IF(COUNTIFS($A$8:$A$507,$A291,$B$8:$B$507,$B291)&gt;1,"Laporan ganda",IF(COUNTIFS(G291:O291,"Tidak Berlaku")&gt;0,"N/A hanya untuk kegiatan bersyarat",IF(SUM(AF291,AG291,AH291,AI291,AJ291)&lt;&gt;13,"Status kegiatan tidak valid",IF(AJ291&gt;0,"Lengkapi status kegiatan",IF(AND(AI291&gt;0,T291=""),"Isi alasan Tidak Berlaku",IF(AND(SUM(AG291,AH291)&gt;0,OR(T291="",U291="",V291="",W291="")),"Isi kendala dan tindak lanjut",IF(AND(Y291&lt;&gt;"Draft",Y291&lt;&gt;"Dikirim"),"Isi status laporan yang valid",IF(AND(AA291&lt;&gt;"",AA291&lt;&gt;"Belum Diperiksa",AA291&lt;&gt;"Disetujui",AA291&lt;&gt;"Perlu Perbaikan"),"Hasil review tidak valid",IF(AND(Y291="Dikirim",OR(X291="",Z291="")),"Isi bukti dan waktu kirim",IF(AND(AA291="Disetujui",OR(Y291&lt;&gt;"Dikirim",AB291="",AC291="")),"Lengkapi pemeriksaan",IF(AND(AA291="Perlu Perbaikan",OR(AD291="",AB291="",AC291="")),"Isi pemeriksa dan catatan perbaikan","OK")))))))))))))))),"")</f>
        <v/>
      </c>
    </row>
    <row r="292" spans="1:38" ht="24.95" customHeight="1">
      <c r="A292" s="8"/>
      <c r="B292" s="6"/>
      <c r="C292" s="15" t="str">
        <f>IF(COUNTIFS(Master_PIC!$A$8:$A$73,$B292)=1,IF(VLOOKUP($B292,Master_PIC!$A$8:$G$73,2,FALSE)="","",VLOOKUP($B292,Master_PIC!$A$8:$G$73,2,FALSE)),"")</f>
        <v/>
      </c>
      <c r="D292" s="15" t="str">
        <f>IF(COUNTIFS(Master_PIC!$A$8:$A$73,$B292)=1,IF(VLOOKUP($B292,Master_PIC!$A$8:$G$73,4,FALSE)="","",VLOOKUP($B292,Master_PIC!$A$8:$G$73,4,FALSE)),"")</f>
        <v/>
      </c>
      <c r="E292" s="15" t="str">
        <f>IF(COUNTIFS(Master_PIC!$A$8:$A$73,$B292)=1,IF(VLOOKUP($B292,Master_PIC!$A$8:$G$73,5,FALSE)="","",VLOOKUP($B292,Master_PIC!$A$8:$G$73,5,FALSE)),"")</f>
        <v/>
      </c>
      <c r="F292" s="15" t="str">
        <f>IF(COUNTIFS(Master_PIC!$A$8:$A$73,$B292)=1,IF(VLOOKUP($B292,Master_PIC!$A$8:$G$73,6,FALSE)="","",VLOOKUP($B292,Master_PIC!$A$8:$G$73,6,FALSE)),"")</f>
        <v/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8"/>
      <c r="X292" s="5"/>
      <c r="Y292" s="5"/>
      <c r="Z292" s="9"/>
      <c r="AA292" s="5"/>
      <c r="AB292" s="5"/>
      <c r="AC292" s="9"/>
      <c r="AD292" s="5"/>
      <c r="AE292" s="7" t="str">
        <f t="shared" si="28"/>
        <v/>
      </c>
      <c r="AF292" s="7" t="str">
        <f t="shared" si="29"/>
        <v/>
      </c>
      <c r="AG292" s="7" t="str">
        <f t="shared" si="30"/>
        <v/>
      </c>
      <c r="AH292" s="7" t="str">
        <f t="shared" si="31"/>
        <v/>
      </c>
      <c r="AI292" s="7" t="str">
        <f t="shared" si="32"/>
        <v/>
      </c>
      <c r="AJ292" s="7" t="str">
        <f t="shared" si="33"/>
        <v/>
      </c>
      <c r="AK292" s="10" t="str">
        <f t="shared" si="34"/>
        <v/>
      </c>
      <c r="AL292" s="15" t="str">
        <f>IF(OR($A292&lt;&gt;"",$B292&lt;&gt;""),IF(OR($A292="",$B292=""),"Isi tanggal dan ID PIC",IF(NOT(ISNUMBER($A292)),"Tanggal harus berupa tanggal Excel",IF(COUNTIFS(Master_PIC!$A$8:$A$73,$B292)&lt;&gt;1,"ID PIC tidak unik/terdaftar",IF(VLOOKUP($B292,Master_PIC!$A$8:$G$73,3,FALSE)&lt;&gt;"ASM","Jabatan tidak sesuai sheet",IF(OR($C292="",$D292="",$E292="",$F292=""),"Lengkapi master PIC",IF(COUNTIFS($A$8:$A$507,$A292,$B$8:$B$507,$B292)&gt;1,"Laporan ganda",IF(COUNTIFS(G292:O292,"Tidak Berlaku")&gt;0,"N/A hanya untuk kegiatan bersyarat",IF(SUM(AF292,AG292,AH292,AI292,AJ292)&lt;&gt;13,"Status kegiatan tidak valid",IF(AJ292&gt;0,"Lengkapi status kegiatan",IF(AND(AI292&gt;0,T292=""),"Isi alasan Tidak Berlaku",IF(AND(SUM(AG292,AH292)&gt;0,OR(T292="",U292="",V292="",W292="")),"Isi kendala dan tindak lanjut",IF(AND(Y292&lt;&gt;"Draft",Y292&lt;&gt;"Dikirim"),"Isi status laporan yang valid",IF(AND(AA292&lt;&gt;"",AA292&lt;&gt;"Belum Diperiksa",AA292&lt;&gt;"Disetujui",AA292&lt;&gt;"Perlu Perbaikan"),"Hasil review tidak valid",IF(AND(Y292="Dikirim",OR(X292="",Z292="")),"Isi bukti dan waktu kirim",IF(AND(AA292="Disetujui",OR(Y292&lt;&gt;"Dikirim",AB292="",AC292="")),"Lengkapi pemeriksaan",IF(AND(AA292="Perlu Perbaikan",OR(AD292="",AB292="",AC292="")),"Isi pemeriksa dan catatan perbaikan","OK")))))))))))))))),"")</f>
        <v/>
      </c>
    </row>
    <row r="293" spans="1:38" ht="24.95" customHeight="1">
      <c r="A293" s="8"/>
      <c r="B293" s="6"/>
      <c r="C293" s="15" t="str">
        <f>IF(COUNTIFS(Master_PIC!$A$8:$A$73,$B293)=1,IF(VLOOKUP($B293,Master_PIC!$A$8:$G$73,2,FALSE)="","",VLOOKUP($B293,Master_PIC!$A$8:$G$73,2,FALSE)),"")</f>
        <v/>
      </c>
      <c r="D293" s="15" t="str">
        <f>IF(COUNTIFS(Master_PIC!$A$8:$A$73,$B293)=1,IF(VLOOKUP($B293,Master_PIC!$A$8:$G$73,4,FALSE)="","",VLOOKUP($B293,Master_PIC!$A$8:$G$73,4,FALSE)),"")</f>
        <v/>
      </c>
      <c r="E293" s="15" t="str">
        <f>IF(COUNTIFS(Master_PIC!$A$8:$A$73,$B293)=1,IF(VLOOKUP($B293,Master_PIC!$A$8:$G$73,5,FALSE)="","",VLOOKUP($B293,Master_PIC!$A$8:$G$73,5,FALSE)),"")</f>
        <v/>
      </c>
      <c r="F293" s="15" t="str">
        <f>IF(COUNTIFS(Master_PIC!$A$8:$A$73,$B293)=1,IF(VLOOKUP($B293,Master_PIC!$A$8:$G$73,6,FALSE)="","",VLOOKUP($B293,Master_PIC!$A$8:$G$73,6,FALSE)),"")</f>
        <v/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9"/>
      <c r="AA293" s="5"/>
      <c r="AB293" s="5"/>
      <c r="AC293" s="9"/>
      <c r="AD293" s="5"/>
      <c r="AE293" s="7" t="str">
        <f t="shared" si="28"/>
        <v/>
      </c>
      <c r="AF293" s="7" t="str">
        <f t="shared" si="29"/>
        <v/>
      </c>
      <c r="AG293" s="7" t="str">
        <f t="shared" si="30"/>
        <v/>
      </c>
      <c r="AH293" s="7" t="str">
        <f t="shared" si="31"/>
        <v/>
      </c>
      <c r="AI293" s="7" t="str">
        <f t="shared" si="32"/>
        <v/>
      </c>
      <c r="AJ293" s="7" t="str">
        <f t="shared" si="33"/>
        <v/>
      </c>
      <c r="AK293" s="10" t="str">
        <f t="shared" si="34"/>
        <v/>
      </c>
      <c r="AL293" s="15" t="str">
        <f>IF(OR($A293&lt;&gt;"",$B293&lt;&gt;""),IF(OR($A293="",$B293=""),"Isi tanggal dan ID PIC",IF(NOT(ISNUMBER($A293)),"Tanggal harus berupa tanggal Excel",IF(COUNTIFS(Master_PIC!$A$8:$A$73,$B293)&lt;&gt;1,"ID PIC tidak unik/terdaftar",IF(VLOOKUP($B293,Master_PIC!$A$8:$G$73,3,FALSE)&lt;&gt;"ASM","Jabatan tidak sesuai sheet",IF(OR($C293="",$D293="",$E293="",$F293=""),"Lengkapi master PIC",IF(COUNTIFS($A$8:$A$507,$A293,$B$8:$B$507,$B293)&gt;1,"Laporan ganda",IF(COUNTIFS(G293:O293,"Tidak Berlaku")&gt;0,"N/A hanya untuk kegiatan bersyarat",IF(SUM(AF293,AG293,AH293,AI293,AJ293)&lt;&gt;13,"Status kegiatan tidak valid",IF(AJ293&gt;0,"Lengkapi status kegiatan",IF(AND(AI293&gt;0,T293=""),"Isi alasan Tidak Berlaku",IF(AND(SUM(AG293,AH293)&gt;0,OR(T293="",U293="",V293="",W293="")),"Isi kendala dan tindak lanjut",IF(AND(Y293&lt;&gt;"Draft",Y293&lt;&gt;"Dikirim"),"Isi status laporan yang valid",IF(AND(AA293&lt;&gt;"",AA293&lt;&gt;"Belum Diperiksa",AA293&lt;&gt;"Disetujui",AA293&lt;&gt;"Perlu Perbaikan"),"Hasil review tidak valid",IF(AND(Y293="Dikirim",OR(X293="",Z293="")),"Isi bukti dan waktu kirim",IF(AND(AA293="Disetujui",OR(Y293&lt;&gt;"Dikirim",AB293="",AC293="")),"Lengkapi pemeriksaan",IF(AND(AA293="Perlu Perbaikan",OR(AD293="",AB293="",AC293="")),"Isi pemeriksa dan catatan perbaikan","OK")))))))))))))))),"")</f>
        <v/>
      </c>
    </row>
    <row r="294" spans="1:38" ht="24.95" customHeight="1">
      <c r="A294" s="8"/>
      <c r="B294" s="6"/>
      <c r="C294" s="15" t="str">
        <f>IF(COUNTIFS(Master_PIC!$A$8:$A$73,$B294)=1,IF(VLOOKUP($B294,Master_PIC!$A$8:$G$73,2,FALSE)="","",VLOOKUP($B294,Master_PIC!$A$8:$G$73,2,FALSE)),"")</f>
        <v/>
      </c>
      <c r="D294" s="15" t="str">
        <f>IF(COUNTIFS(Master_PIC!$A$8:$A$73,$B294)=1,IF(VLOOKUP($B294,Master_PIC!$A$8:$G$73,4,FALSE)="","",VLOOKUP($B294,Master_PIC!$A$8:$G$73,4,FALSE)),"")</f>
        <v/>
      </c>
      <c r="E294" s="15" t="str">
        <f>IF(COUNTIFS(Master_PIC!$A$8:$A$73,$B294)=1,IF(VLOOKUP($B294,Master_PIC!$A$8:$G$73,5,FALSE)="","",VLOOKUP($B294,Master_PIC!$A$8:$G$73,5,FALSE)),"")</f>
        <v/>
      </c>
      <c r="F294" s="15" t="str">
        <f>IF(COUNTIFS(Master_PIC!$A$8:$A$73,$B294)=1,IF(VLOOKUP($B294,Master_PIC!$A$8:$G$73,6,FALSE)="","",VLOOKUP($B294,Master_PIC!$A$8:$G$73,6,FALSE)),"")</f>
        <v/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8"/>
      <c r="X294" s="5"/>
      <c r="Y294" s="5"/>
      <c r="Z294" s="9"/>
      <c r="AA294" s="5"/>
      <c r="AB294" s="5"/>
      <c r="AC294" s="9"/>
      <c r="AD294" s="5"/>
      <c r="AE294" s="7" t="str">
        <f t="shared" si="28"/>
        <v/>
      </c>
      <c r="AF294" s="7" t="str">
        <f t="shared" si="29"/>
        <v/>
      </c>
      <c r="AG294" s="7" t="str">
        <f t="shared" si="30"/>
        <v/>
      </c>
      <c r="AH294" s="7" t="str">
        <f t="shared" si="31"/>
        <v/>
      </c>
      <c r="AI294" s="7" t="str">
        <f t="shared" si="32"/>
        <v/>
      </c>
      <c r="AJ294" s="7" t="str">
        <f t="shared" si="33"/>
        <v/>
      </c>
      <c r="AK294" s="10" t="str">
        <f t="shared" si="34"/>
        <v/>
      </c>
      <c r="AL294" s="15" t="str">
        <f>IF(OR($A294&lt;&gt;"",$B294&lt;&gt;""),IF(OR($A294="",$B294=""),"Isi tanggal dan ID PIC",IF(NOT(ISNUMBER($A294)),"Tanggal harus berupa tanggal Excel",IF(COUNTIFS(Master_PIC!$A$8:$A$73,$B294)&lt;&gt;1,"ID PIC tidak unik/terdaftar",IF(VLOOKUP($B294,Master_PIC!$A$8:$G$73,3,FALSE)&lt;&gt;"ASM","Jabatan tidak sesuai sheet",IF(OR($C294="",$D294="",$E294="",$F294=""),"Lengkapi master PIC",IF(COUNTIFS($A$8:$A$507,$A294,$B$8:$B$507,$B294)&gt;1,"Laporan ganda",IF(COUNTIFS(G294:O294,"Tidak Berlaku")&gt;0,"N/A hanya untuk kegiatan bersyarat",IF(SUM(AF294,AG294,AH294,AI294,AJ294)&lt;&gt;13,"Status kegiatan tidak valid",IF(AJ294&gt;0,"Lengkapi status kegiatan",IF(AND(AI294&gt;0,T294=""),"Isi alasan Tidak Berlaku",IF(AND(SUM(AG294,AH294)&gt;0,OR(T294="",U294="",V294="",W294="")),"Isi kendala dan tindak lanjut",IF(AND(Y294&lt;&gt;"Draft",Y294&lt;&gt;"Dikirim"),"Isi status laporan yang valid",IF(AND(AA294&lt;&gt;"",AA294&lt;&gt;"Belum Diperiksa",AA294&lt;&gt;"Disetujui",AA294&lt;&gt;"Perlu Perbaikan"),"Hasil review tidak valid",IF(AND(Y294="Dikirim",OR(X294="",Z294="")),"Isi bukti dan waktu kirim",IF(AND(AA294="Disetujui",OR(Y294&lt;&gt;"Dikirim",AB294="",AC294="")),"Lengkapi pemeriksaan",IF(AND(AA294="Perlu Perbaikan",OR(AD294="",AB294="",AC294="")),"Isi pemeriksa dan catatan perbaikan","OK")))))))))))))))),"")</f>
        <v/>
      </c>
    </row>
    <row r="295" spans="1:38" ht="24.95" customHeight="1">
      <c r="A295" s="8"/>
      <c r="B295" s="6"/>
      <c r="C295" s="15" t="str">
        <f>IF(COUNTIFS(Master_PIC!$A$8:$A$73,$B295)=1,IF(VLOOKUP($B295,Master_PIC!$A$8:$G$73,2,FALSE)="","",VLOOKUP($B295,Master_PIC!$A$8:$G$73,2,FALSE)),"")</f>
        <v/>
      </c>
      <c r="D295" s="15" t="str">
        <f>IF(COUNTIFS(Master_PIC!$A$8:$A$73,$B295)=1,IF(VLOOKUP($B295,Master_PIC!$A$8:$G$73,4,FALSE)="","",VLOOKUP($B295,Master_PIC!$A$8:$G$73,4,FALSE)),"")</f>
        <v/>
      </c>
      <c r="E295" s="15" t="str">
        <f>IF(COUNTIFS(Master_PIC!$A$8:$A$73,$B295)=1,IF(VLOOKUP($B295,Master_PIC!$A$8:$G$73,5,FALSE)="","",VLOOKUP($B295,Master_PIC!$A$8:$G$73,5,FALSE)),"")</f>
        <v/>
      </c>
      <c r="F295" s="15" t="str">
        <f>IF(COUNTIFS(Master_PIC!$A$8:$A$73,$B295)=1,IF(VLOOKUP($B295,Master_PIC!$A$8:$G$73,6,FALSE)="","",VLOOKUP($B295,Master_PIC!$A$8:$G$73,6,FALSE)),"")</f>
        <v/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8"/>
      <c r="X295" s="5"/>
      <c r="Y295" s="5"/>
      <c r="Z295" s="9"/>
      <c r="AA295" s="5"/>
      <c r="AB295" s="5"/>
      <c r="AC295" s="9"/>
      <c r="AD295" s="5"/>
      <c r="AE295" s="7" t="str">
        <f t="shared" si="28"/>
        <v/>
      </c>
      <c r="AF295" s="7" t="str">
        <f t="shared" si="29"/>
        <v/>
      </c>
      <c r="AG295" s="7" t="str">
        <f t="shared" si="30"/>
        <v/>
      </c>
      <c r="AH295" s="7" t="str">
        <f t="shared" si="31"/>
        <v/>
      </c>
      <c r="AI295" s="7" t="str">
        <f t="shared" si="32"/>
        <v/>
      </c>
      <c r="AJ295" s="7" t="str">
        <f t="shared" si="33"/>
        <v/>
      </c>
      <c r="AK295" s="10" t="str">
        <f t="shared" si="34"/>
        <v/>
      </c>
      <c r="AL295" s="15" t="str">
        <f>IF(OR($A295&lt;&gt;"",$B295&lt;&gt;""),IF(OR($A295="",$B295=""),"Isi tanggal dan ID PIC",IF(NOT(ISNUMBER($A295)),"Tanggal harus berupa tanggal Excel",IF(COUNTIFS(Master_PIC!$A$8:$A$73,$B295)&lt;&gt;1,"ID PIC tidak unik/terdaftar",IF(VLOOKUP($B295,Master_PIC!$A$8:$G$73,3,FALSE)&lt;&gt;"ASM","Jabatan tidak sesuai sheet",IF(OR($C295="",$D295="",$E295="",$F295=""),"Lengkapi master PIC",IF(COUNTIFS($A$8:$A$507,$A295,$B$8:$B$507,$B295)&gt;1,"Laporan ganda",IF(COUNTIFS(G295:O295,"Tidak Berlaku")&gt;0,"N/A hanya untuk kegiatan bersyarat",IF(SUM(AF295,AG295,AH295,AI295,AJ295)&lt;&gt;13,"Status kegiatan tidak valid",IF(AJ295&gt;0,"Lengkapi status kegiatan",IF(AND(AI295&gt;0,T295=""),"Isi alasan Tidak Berlaku",IF(AND(SUM(AG295,AH295)&gt;0,OR(T295="",U295="",V295="",W295="")),"Isi kendala dan tindak lanjut",IF(AND(Y295&lt;&gt;"Draft",Y295&lt;&gt;"Dikirim"),"Isi status laporan yang valid",IF(AND(AA295&lt;&gt;"",AA295&lt;&gt;"Belum Diperiksa",AA295&lt;&gt;"Disetujui",AA295&lt;&gt;"Perlu Perbaikan"),"Hasil review tidak valid",IF(AND(Y295="Dikirim",OR(X295="",Z295="")),"Isi bukti dan waktu kirim",IF(AND(AA295="Disetujui",OR(Y295&lt;&gt;"Dikirim",AB295="",AC295="")),"Lengkapi pemeriksaan",IF(AND(AA295="Perlu Perbaikan",OR(AD295="",AB295="",AC295="")),"Isi pemeriksa dan catatan perbaikan","OK")))))))))))))))),"")</f>
        <v/>
      </c>
    </row>
    <row r="296" spans="1:38" ht="24.95" customHeight="1">
      <c r="A296" s="8"/>
      <c r="B296" s="6"/>
      <c r="C296" s="15" t="str">
        <f>IF(COUNTIFS(Master_PIC!$A$8:$A$73,$B296)=1,IF(VLOOKUP($B296,Master_PIC!$A$8:$G$73,2,FALSE)="","",VLOOKUP($B296,Master_PIC!$A$8:$G$73,2,FALSE)),"")</f>
        <v/>
      </c>
      <c r="D296" s="15" t="str">
        <f>IF(COUNTIFS(Master_PIC!$A$8:$A$73,$B296)=1,IF(VLOOKUP($B296,Master_PIC!$A$8:$G$73,4,FALSE)="","",VLOOKUP($B296,Master_PIC!$A$8:$G$73,4,FALSE)),"")</f>
        <v/>
      </c>
      <c r="E296" s="15" t="str">
        <f>IF(COUNTIFS(Master_PIC!$A$8:$A$73,$B296)=1,IF(VLOOKUP($B296,Master_PIC!$A$8:$G$73,5,FALSE)="","",VLOOKUP($B296,Master_PIC!$A$8:$G$73,5,FALSE)),"")</f>
        <v/>
      </c>
      <c r="F296" s="15" t="str">
        <f>IF(COUNTIFS(Master_PIC!$A$8:$A$73,$B296)=1,IF(VLOOKUP($B296,Master_PIC!$A$8:$G$73,6,FALSE)="","",VLOOKUP($B296,Master_PIC!$A$8:$G$73,6,FALSE)),"")</f>
        <v/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8"/>
      <c r="X296" s="5"/>
      <c r="Y296" s="5"/>
      <c r="Z296" s="9"/>
      <c r="AA296" s="5"/>
      <c r="AB296" s="5"/>
      <c r="AC296" s="9"/>
      <c r="AD296" s="5"/>
      <c r="AE296" s="7" t="str">
        <f t="shared" si="28"/>
        <v/>
      </c>
      <c r="AF296" s="7" t="str">
        <f t="shared" si="29"/>
        <v/>
      </c>
      <c r="AG296" s="7" t="str">
        <f t="shared" si="30"/>
        <v/>
      </c>
      <c r="AH296" s="7" t="str">
        <f t="shared" si="31"/>
        <v/>
      </c>
      <c r="AI296" s="7" t="str">
        <f t="shared" si="32"/>
        <v/>
      </c>
      <c r="AJ296" s="7" t="str">
        <f t="shared" si="33"/>
        <v/>
      </c>
      <c r="AK296" s="10" t="str">
        <f t="shared" si="34"/>
        <v/>
      </c>
      <c r="AL296" s="15" t="str">
        <f>IF(OR($A296&lt;&gt;"",$B296&lt;&gt;""),IF(OR($A296="",$B296=""),"Isi tanggal dan ID PIC",IF(NOT(ISNUMBER($A296)),"Tanggal harus berupa tanggal Excel",IF(COUNTIFS(Master_PIC!$A$8:$A$73,$B296)&lt;&gt;1,"ID PIC tidak unik/terdaftar",IF(VLOOKUP($B296,Master_PIC!$A$8:$G$73,3,FALSE)&lt;&gt;"ASM","Jabatan tidak sesuai sheet",IF(OR($C296="",$D296="",$E296="",$F296=""),"Lengkapi master PIC",IF(COUNTIFS($A$8:$A$507,$A296,$B$8:$B$507,$B296)&gt;1,"Laporan ganda",IF(COUNTIFS(G296:O296,"Tidak Berlaku")&gt;0,"N/A hanya untuk kegiatan bersyarat",IF(SUM(AF296,AG296,AH296,AI296,AJ296)&lt;&gt;13,"Status kegiatan tidak valid",IF(AJ296&gt;0,"Lengkapi status kegiatan",IF(AND(AI296&gt;0,T296=""),"Isi alasan Tidak Berlaku",IF(AND(SUM(AG296,AH296)&gt;0,OR(T296="",U296="",V296="",W296="")),"Isi kendala dan tindak lanjut",IF(AND(Y296&lt;&gt;"Draft",Y296&lt;&gt;"Dikirim"),"Isi status laporan yang valid",IF(AND(AA296&lt;&gt;"",AA296&lt;&gt;"Belum Diperiksa",AA296&lt;&gt;"Disetujui",AA296&lt;&gt;"Perlu Perbaikan"),"Hasil review tidak valid",IF(AND(Y296="Dikirim",OR(X296="",Z296="")),"Isi bukti dan waktu kirim",IF(AND(AA296="Disetujui",OR(Y296&lt;&gt;"Dikirim",AB296="",AC296="")),"Lengkapi pemeriksaan",IF(AND(AA296="Perlu Perbaikan",OR(AD296="",AB296="",AC296="")),"Isi pemeriksa dan catatan perbaikan","OK")))))))))))))))),"")</f>
        <v/>
      </c>
    </row>
    <row r="297" spans="1:38" ht="24.95" customHeight="1">
      <c r="A297" s="8"/>
      <c r="B297" s="6"/>
      <c r="C297" s="15" t="str">
        <f>IF(COUNTIFS(Master_PIC!$A$8:$A$73,$B297)=1,IF(VLOOKUP($B297,Master_PIC!$A$8:$G$73,2,FALSE)="","",VLOOKUP($B297,Master_PIC!$A$8:$G$73,2,FALSE)),"")</f>
        <v/>
      </c>
      <c r="D297" s="15" t="str">
        <f>IF(COUNTIFS(Master_PIC!$A$8:$A$73,$B297)=1,IF(VLOOKUP($B297,Master_PIC!$A$8:$G$73,4,FALSE)="","",VLOOKUP($B297,Master_PIC!$A$8:$G$73,4,FALSE)),"")</f>
        <v/>
      </c>
      <c r="E297" s="15" t="str">
        <f>IF(COUNTIFS(Master_PIC!$A$8:$A$73,$B297)=1,IF(VLOOKUP($B297,Master_PIC!$A$8:$G$73,5,FALSE)="","",VLOOKUP($B297,Master_PIC!$A$8:$G$73,5,FALSE)),"")</f>
        <v/>
      </c>
      <c r="F297" s="15" t="str">
        <f>IF(COUNTIFS(Master_PIC!$A$8:$A$73,$B297)=1,IF(VLOOKUP($B297,Master_PIC!$A$8:$G$73,6,FALSE)="","",VLOOKUP($B297,Master_PIC!$A$8:$G$73,6,FALSE)),"")</f>
        <v/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8"/>
      <c r="X297" s="5"/>
      <c r="Y297" s="5"/>
      <c r="Z297" s="9"/>
      <c r="AA297" s="5"/>
      <c r="AB297" s="5"/>
      <c r="AC297" s="9"/>
      <c r="AD297" s="5"/>
      <c r="AE297" s="7" t="str">
        <f t="shared" si="28"/>
        <v/>
      </c>
      <c r="AF297" s="7" t="str">
        <f t="shared" si="29"/>
        <v/>
      </c>
      <c r="AG297" s="7" t="str">
        <f t="shared" si="30"/>
        <v/>
      </c>
      <c r="AH297" s="7" t="str">
        <f t="shared" si="31"/>
        <v/>
      </c>
      <c r="AI297" s="7" t="str">
        <f t="shared" si="32"/>
        <v/>
      </c>
      <c r="AJ297" s="7" t="str">
        <f t="shared" si="33"/>
        <v/>
      </c>
      <c r="AK297" s="10" t="str">
        <f t="shared" si="34"/>
        <v/>
      </c>
      <c r="AL297" s="15" t="str">
        <f>IF(OR($A297&lt;&gt;"",$B297&lt;&gt;""),IF(OR($A297="",$B297=""),"Isi tanggal dan ID PIC",IF(NOT(ISNUMBER($A297)),"Tanggal harus berupa tanggal Excel",IF(COUNTIFS(Master_PIC!$A$8:$A$73,$B297)&lt;&gt;1,"ID PIC tidak unik/terdaftar",IF(VLOOKUP($B297,Master_PIC!$A$8:$G$73,3,FALSE)&lt;&gt;"ASM","Jabatan tidak sesuai sheet",IF(OR($C297="",$D297="",$E297="",$F297=""),"Lengkapi master PIC",IF(COUNTIFS($A$8:$A$507,$A297,$B$8:$B$507,$B297)&gt;1,"Laporan ganda",IF(COUNTIFS(G297:O297,"Tidak Berlaku")&gt;0,"N/A hanya untuk kegiatan bersyarat",IF(SUM(AF297,AG297,AH297,AI297,AJ297)&lt;&gt;13,"Status kegiatan tidak valid",IF(AJ297&gt;0,"Lengkapi status kegiatan",IF(AND(AI297&gt;0,T297=""),"Isi alasan Tidak Berlaku",IF(AND(SUM(AG297,AH297)&gt;0,OR(T297="",U297="",V297="",W297="")),"Isi kendala dan tindak lanjut",IF(AND(Y297&lt;&gt;"Draft",Y297&lt;&gt;"Dikirim"),"Isi status laporan yang valid",IF(AND(AA297&lt;&gt;"",AA297&lt;&gt;"Belum Diperiksa",AA297&lt;&gt;"Disetujui",AA297&lt;&gt;"Perlu Perbaikan"),"Hasil review tidak valid",IF(AND(Y297="Dikirim",OR(X297="",Z297="")),"Isi bukti dan waktu kirim",IF(AND(AA297="Disetujui",OR(Y297&lt;&gt;"Dikirim",AB297="",AC297="")),"Lengkapi pemeriksaan",IF(AND(AA297="Perlu Perbaikan",OR(AD297="",AB297="",AC297="")),"Isi pemeriksa dan catatan perbaikan","OK")))))))))))))))),"")</f>
        <v/>
      </c>
    </row>
    <row r="298" spans="1:38" ht="24.95" customHeight="1">
      <c r="A298" s="8"/>
      <c r="B298" s="6"/>
      <c r="C298" s="15" t="str">
        <f>IF(COUNTIFS(Master_PIC!$A$8:$A$73,$B298)=1,IF(VLOOKUP($B298,Master_PIC!$A$8:$G$73,2,FALSE)="","",VLOOKUP($B298,Master_PIC!$A$8:$G$73,2,FALSE)),"")</f>
        <v/>
      </c>
      <c r="D298" s="15" t="str">
        <f>IF(COUNTIFS(Master_PIC!$A$8:$A$73,$B298)=1,IF(VLOOKUP($B298,Master_PIC!$A$8:$G$73,4,FALSE)="","",VLOOKUP($B298,Master_PIC!$A$8:$G$73,4,FALSE)),"")</f>
        <v/>
      </c>
      <c r="E298" s="15" t="str">
        <f>IF(COUNTIFS(Master_PIC!$A$8:$A$73,$B298)=1,IF(VLOOKUP($B298,Master_PIC!$A$8:$G$73,5,FALSE)="","",VLOOKUP($B298,Master_PIC!$A$8:$G$73,5,FALSE)),"")</f>
        <v/>
      </c>
      <c r="F298" s="15" t="str">
        <f>IF(COUNTIFS(Master_PIC!$A$8:$A$73,$B298)=1,IF(VLOOKUP($B298,Master_PIC!$A$8:$G$73,6,FALSE)="","",VLOOKUP($B298,Master_PIC!$A$8:$G$73,6,FALSE)),"")</f>
        <v/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8"/>
      <c r="X298" s="5"/>
      <c r="Y298" s="5"/>
      <c r="Z298" s="9"/>
      <c r="AA298" s="5"/>
      <c r="AB298" s="5"/>
      <c r="AC298" s="9"/>
      <c r="AD298" s="5"/>
      <c r="AE298" s="7" t="str">
        <f t="shared" si="28"/>
        <v/>
      </c>
      <c r="AF298" s="7" t="str">
        <f t="shared" si="29"/>
        <v/>
      </c>
      <c r="AG298" s="7" t="str">
        <f t="shared" si="30"/>
        <v/>
      </c>
      <c r="AH298" s="7" t="str">
        <f t="shared" si="31"/>
        <v/>
      </c>
      <c r="AI298" s="7" t="str">
        <f t="shared" si="32"/>
        <v/>
      </c>
      <c r="AJ298" s="7" t="str">
        <f t="shared" si="33"/>
        <v/>
      </c>
      <c r="AK298" s="10" t="str">
        <f t="shared" si="34"/>
        <v/>
      </c>
      <c r="AL298" s="15" t="str">
        <f>IF(OR($A298&lt;&gt;"",$B298&lt;&gt;""),IF(OR($A298="",$B298=""),"Isi tanggal dan ID PIC",IF(NOT(ISNUMBER($A298)),"Tanggal harus berupa tanggal Excel",IF(COUNTIFS(Master_PIC!$A$8:$A$73,$B298)&lt;&gt;1,"ID PIC tidak unik/terdaftar",IF(VLOOKUP($B298,Master_PIC!$A$8:$G$73,3,FALSE)&lt;&gt;"ASM","Jabatan tidak sesuai sheet",IF(OR($C298="",$D298="",$E298="",$F298=""),"Lengkapi master PIC",IF(COUNTIFS($A$8:$A$507,$A298,$B$8:$B$507,$B298)&gt;1,"Laporan ganda",IF(COUNTIFS(G298:O298,"Tidak Berlaku")&gt;0,"N/A hanya untuk kegiatan bersyarat",IF(SUM(AF298,AG298,AH298,AI298,AJ298)&lt;&gt;13,"Status kegiatan tidak valid",IF(AJ298&gt;0,"Lengkapi status kegiatan",IF(AND(AI298&gt;0,T298=""),"Isi alasan Tidak Berlaku",IF(AND(SUM(AG298,AH298)&gt;0,OR(T298="",U298="",V298="",W298="")),"Isi kendala dan tindak lanjut",IF(AND(Y298&lt;&gt;"Draft",Y298&lt;&gt;"Dikirim"),"Isi status laporan yang valid",IF(AND(AA298&lt;&gt;"",AA298&lt;&gt;"Belum Diperiksa",AA298&lt;&gt;"Disetujui",AA298&lt;&gt;"Perlu Perbaikan"),"Hasil review tidak valid",IF(AND(Y298="Dikirim",OR(X298="",Z298="")),"Isi bukti dan waktu kirim",IF(AND(AA298="Disetujui",OR(Y298&lt;&gt;"Dikirim",AB298="",AC298="")),"Lengkapi pemeriksaan",IF(AND(AA298="Perlu Perbaikan",OR(AD298="",AB298="",AC298="")),"Isi pemeriksa dan catatan perbaikan","OK")))))))))))))))),"")</f>
        <v/>
      </c>
    </row>
    <row r="299" spans="1:38" ht="24.95" customHeight="1">
      <c r="A299" s="8"/>
      <c r="B299" s="6"/>
      <c r="C299" s="15" t="str">
        <f>IF(COUNTIFS(Master_PIC!$A$8:$A$73,$B299)=1,IF(VLOOKUP($B299,Master_PIC!$A$8:$G$73,2,FALSE)="","",VLOOKUP($B299,Master_PIC!$A$8:$G$73,2,FALSE)),"")</f>
        <v/>
      </c>
      <c r="D299" s="15" t="str">
        <f>IF(COUNTIFS(Master_PIC!$A$8:$A$73,$B299)=1,IF(VLOOKUP($B299,Master_PIC!$A$8:$G$73,4,FALSE)="","",VLOOKUP($B299,Master_PIC!$A$8:$G$73,4,FALSE)),"")</f>
        <v/>
      </c>
      <c r="E299" s="15" t="str">
        <f>IF(COUNTIFS(Master_PIC!$A$8:$A$73,$B299)=1,IF(VLOOKUP($B299,Master_PIC!$A$8:$G$73,5,FALSE)="","",VLOOKUP($B299,Master_PIC!$A$8:$G$73,5,FALSE)),"")</f>
        <v/>
      </c>
      <c r="F299" s="15" t="str">
        <f>IF(COUNTIFS(Master_PIC!$A$8:$A$73,$B299)=1,IF(VLOOKUP($B299,Master_PIC!$A$8:$G$73,6,FALSE)="","",VLOOKUP($B299,Master_PIC!$A$8:$G$73,6,FALSE)),"")</f>
        <v/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8"/>
      <c r="X299" s="5"/>
      <c r="Y299" s="5"/>
      <c r="Z299" s="9"/>
      <c r="AA299" s="5"/>
      <c r="AB299" s="5"/>
      <c r="AC299" s="9"/>
      <c r="AD299" s="5"/>
      <c r="AE299" s="7" t="str">
        <f t="shared" si="28"/>
        <v/>
      </c>
      <c r="AF299" s="7" t="str">
        <f t="shared" si="29"/>
        <v/>
      </c>
      <c r="AG299" s="7" t="str">
        <f t="shared" si="30"/>
        <v/>
      </c>
      <c r="AH299" s="7" t="str">
        <f t="shared" si="31"/>
        <v/>
      </c>
      <c r="AI299" s="7" t="str">
        <f t="shared" si="32"/>
        <v/>
      </c>
      <c r="AJ299" s="7" t="str">
        <f t="shared" si="33"/>
        <v/>
      </c>
      <c r="AK299" s="10" t="str">
        <f t="shared" si="34"/>
        <v/>
      </c>
      <c r="AL299" s="15" t="str">
        <f>IF(OR($A299&lt;&gt;"",$B299&lt;&gt;""),IF(OR($A299="",$B299=""),"Isi tanggal dan ID PIC",IF(NOT(ISNUMBER($A299)),"Tanggal harus berupa tanggal Excel",IF(COUNTIFS(Master_PIC!$A$8:$A$73,$B299)&lt;&gt;1,"ID PIC tidak unik/terdaftar",IF(VLOOKUP($B299,Master_PIC!$A$8:$G$73,3,FALSE)&lt;&gt;"ASM","Jabatan tidak sesuai sheet",IF(OR($C299="",$D299="",$E299="",$F299=""),"Lengkapi master PIC",IF(COUNTIFS($A$8:$A$507,$A299,$B$8:$B$507,$B299)&gt;1,"Laporan ganda",IF(COUNTIFS(G299:O299,"Tidak Berlaku")&gt;0,"N/A hanya untuk kegiatan bersyarat",IF(SUM(AF299,AG299,AH299,AI299,AJ299)&lt;&gt;13,"Status kegiatan tidak valid",IF(AJ299&gt;0,"Lengkapi status kegiatan",IF(AND(AI299&gt;0,T299=""),"Isi alasan Tidak Berlaku",IF(AND(SUM(AG299,AH299)&gt;0,OR(T299="",U299="",V299="",W299="")),"Isi kendala dan tindak lanjut",IF(AND(Y299&lt;&gt;"Draft",Y299&lt;&gt;"Dikirim"),"Isi status laporan yang valid",IF(AND(AA299&lt;&gt;"",AA299&lt;&gt;"Belum Diperiksa",AA299&lt;&gt;"Disetujui",AA299&lt;&gt;"Perlu Perbaikan"),"Hasil review tidak valid",IF(AND(Y299="Dikirim",OR(X299="",Z299="")),"Isi bukti dan waktu kirim",IF(AND(AA299="Disetujui",OR(Y299&lt;&gt;"Dikirim",AB299="",AC299="")),"Lengkapi pemeriksaan",IF(AND(AA299="Perlu Perbaikan",OR(AD299="",AB299="",AC299="")),"Isi pemeriksa dan catatan perbaikan","OK")))))))))))))))),"")</f>
        <v/>
      </c>
    </row>
    <row r="300" spans="1:38" ht="24.95" customHeight="1">
      <c r="A300" s="8"/>
      <c r="B300" s="6"/>
      <c r="C300" s="15" t="str">
        <f>IF(COUNTIFS(Master_PIC!$A$8:$A$73,$B300)=1,IF(VLOOKUP($B300,Master_PIC!$A$8:$G$73,2,FALSE)="","",VLOOKUP($B300,Master_PIC!$A$8:$G$73,2,FALSE)),"")</f>
        <v/>
      </c>
      <c r="D300" s="15" t="str">
        <f>IF(COUNTIFS(Master_PIC!$A$8:$A$73,$B300)=1,IF(VLOOKUP($B300,Master_PIC!$A$8:$G$73,4,FALSE)="","",VLOOKUP($B300,Master_PIC!$A$8:$G$73,4,FALSE)),"")</f>
        <v/>
      </c>
      <c r="E300" s="15" t="str">
        <f>IF(COUNTIFS(Master_PIC!$A$8:$A$73,$B300)=1,IF(VLOOKUP($B300,Master_PIC!$A$8:$G$73,5,FALSE)="","",VLOOKUP($B300,Master_PIC!$A$8:$G$73,5,FALSE)),"")</f>
        <v/>
      </c>
      <c r="F300" s="15" t="str">
        <f>IF(COUNTIFS(Master_PIC!$A$8:$A$73,$B300)=1,IF(VLOOKUP($B300,Master_PIC!$A$8:$G$73,6,FALSE)="","",VLOOKUP($B300,Master_PIC!$A$8:$G$73,6,FALSE)),"")</f>
        <v/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9"/>
      <c r="AA300" s="5"/>
      <c r="AB300" s="5"/>
      <c r="AC300" s="9"/>
      <c r="AD300" s="5"/>
      <c r="AE300" s="7" t="str">
        <f t="shared" si="28"/>
        <v/>
      </c>
      <c r="AF300" s="7" t="str">
        <f t="shared" si="29"/>
        <v/>
      </c>
      <c r="AG300" s="7" t="str">
        <f t="shared" si="30"/>
        <v/>
      </c>
      <c r="AH300" s="7" t="str">
        <f t="shared" si="31"/>
        <v/>
      </c>
      <c r="AI300" s="7" t="str">
        <f t="shared" si="32"/>
        <v/>
      </c>
      <c r="AJ300" s="7" t="str">
        <f t="shared" si="33"/>
        <v/>
      </c>
      <c r="AK300" s="10" t="str">
        <f t="shared" si="34"/>
        <v/>
      </c>
      <c r="AL300" s="15" t="str">
        <f>IF(OR($A300&lt;&gt;"",$B300&lt;&gt;""),IF(OR($A300="",$B300=""),"Isi tanggal dan ID PIC",IF(NOT(ISNUMBER($A300)),"Tanggal harus berupa tanggal Excel",IF(COUNTIFS(Master_PIC!$A$8:$A$73,$B300)&lt;&gt;1,"ID PIC tidak unik/terdaftar",IF(VLOOKUP($B300,Master_PIC!$A$8:$G$73,3,FALSE)&lt;&gt;"ASM","Jabatan tidak sesuai sheet",IF(OR($C300="",$D300="",$E300="",$F300=""),"Lengkapi master PIC",IF(COUNTIFS($A$8:$A$507,$A300,$B$8:$B$507,$B300)&gt;1,"Laporan ganda",IF(COUNTIFS(G300:O300,"Tidak Berlaku")&gt;0,"N/A hanya untuk kegiatan bersyarat",IF(SUM(AF300,AG300,AH300,AI300,AJ300)&lt;&gt;13,"Status kegiatan tidak valid",IF(AJ300&gt;0,"Lengkapi status kegiatan",IF(AND(AI300&gt;0,T300=""),"Isi alasan Tidak Berlaku",IF(AND(SUM(AG300,AH300)&gt;0,OR(T300="",U300="",V300="",W300="")),"Isi kendala dan tindak lanjut",IF(AND(Y300&lt;&gt;"Draft",Y300&lt;&gt;"Dikirim"),"Isi status laporan yang valid",IF(AND(AA300&lt;&gt;"",AA300&lt;&gt;"Belum Diperiksa",AA300&lt;&gt;"Disetujui",AA300&lt;&gt;"Perlu Perbaikan"),"Hasil review tidak valid",IF(AND(Y300="Dikirim",OR(X300="",Z300="")),"Isi bukti dan waktu kirim",IF(AND(AA300="Disetujui",OR(Y300&lt;&gt;"Dikirim",AB300="",AC300="")),"Lengkapi pemeriksaan",IF(AND(AA300="Perlu Perbaikan",OR(AD300="",AB300="",AC300="")),"Isi pemeriksa dan catatan perbaikan","OK")))))))))))))))),"")</f>
        <v/>
      </c>
    </row>
    <row r="301" spans="1:38" ht="24.95" customHeight="1">
      <c r="A301" s="8"/>
      <c r="B301" s="6"/>
      <c r="C301" s="15" t="str">
        <f>IF(COUNTIFS(Master_PIC!$A$8:$A$73,$B301)=1,IF(VLOOKUP($B301,Master_PIC!$A$8:$G$73,2,FALSE)="","",VLOOKUP($B301,Master_PIC!$A$8:$G$73,2,FALSE)),"")</f>
        <v/>
      </c>
      <c r="D301" s="15" t="str">
        <f>IF(COUNTIFS(Master_PIC!$A$8:$A$73,$B301)=1,IF(VLOOKUP($B301,Master_PIC!$A$8:$G$73,4,FALSE)="","",VLOOKUP($B301,Master_PIC!$A$8:$G$73,4,FALSE)),"")</f>
        <v/>
      </c>
      <c r="E301" s="15" t="str">
        <f>IF(COUNTIFS(Master_PIC!$A$8:$A$73,$B301)=1,IF(VLOOKUP($B301,Master_PIC!$A$8:$G$73,5,FALSE)="","",VLOOKUP($B301,Master_PIC!$A$8:$G$73,5,FALSE)),"")</f>
        <v/>
      </c>
      <c r="F301" s="15" t="str">
        <f>IF(COUNTIFS(Master_PIC!$A$8:$A$73,$B301)=1,IF(VLOOKUP($B301,Master_PIC!$A$8:$G$73,6,FALSE)="","",VLOOKUP($B301,Master_PIC!$A$8:$G$73,6,FALSE)),"")</f>
        <v/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8"/>
      <c r="X301" s="5"/>
      <c r="Y301" s="5"/>
      <c r="Z301" s="9"/>
      <c r="AA301" s="5"/>
      <c r="AB301" s="5"/>
      <c r="AC301" s="9"/>
      <c r="AD301" s="5"/>
      <c r="AE301" s="7" t="str">
        <f t="shared" si="28"/>
        <v/>
      </c>
      <c r="AF301" s="7" t="str">
        <f t="shared" si="29"/>
        <v/>
      </c>
      <c r="AG301" s="7" t="str">
        <f t="shared" si="30"/>
        <v/>
      </c>
      <c r="AH301" s="7" t="str">
        <f t="shared" si="31"/>
        <v/>
      </c>
      <c r="AI301" s="7" t="str">
        <f t="shared" si="32"/>
        <v/>
      </c>
      <c r="AJ301" s="7" t="str">
        <f t="shared" si="33"/>
        <v/>
      </c>
      <c r="AK301" s="10" t="str">
        <f t="shared" si="34"/>
        <v/>
      </c>
      <c r="AL301" s="15" t="str">
        <f>IF(OR($A301&lt;&gt;"",$B301&lt;&gt;""),IF(OR($A301="",$B301=""),"Isi tanggal dan ID PIC",IF(NOT(ISNUMBER($A301)),"Tanggal harus berupa tanggal Excel",IF(COUNTIFS(Master_PIC!$A$8:$A$73,$B301)&lt;&gt;1,"ID PIC tidak unik/terdaftar",IF(VLOOKUP($B301,Master_PIC!$A$8:$G$73,3,FALSE)&lt;&gt;"ASM","Jabatan tidak sesuai sheet",IF(OR($C301="",$D301="",$E301="",$F301=""),"Lengkapi master PIC",IF(COUNTIFS($A$8:$A$507,$A301,$B$8:$B$507,$B301)&gt;1,"Laporan ganda",IF(COUNTIFS(G301:O301,"Tidak Berlaku")&gt;0,"N/A hanya untuk kegiatan bersyarat",IF(SUM(AF301,AG301,AH301,AI301,AJ301)&lt;&gt;13,"Status kegiatan tidak valid",IF(AJ301&gt;0,"Lengkapi status kegiatan",IF(AND(AI301&gt;0,T301=""),"Isi alasan Tidak Berlaku",IF(AND(SUM(AG301,AH301)&gt;0,OR(T301="",U301="",V301="",W301="")),"Isi kendala dan tindak lanjut",IF(AND(Y301&lt;&gt;"Draft",Y301&lt;&gt;"Dikirim"),"Isi status laporan yang valid",IF(AND(AA301&lt;&gt;"",AA301&lt;&gt;"Belum Diperiksa",AA301&lt;&gt;"Disetujui",AA301&lt;&gt;"Perlu Perbaikan"),"Hasil review tidak valid",IF(AND(Y301="Dikirim",OR(X301="",Z301="")),"Isi bukti dan waktu kirim",IF(AND(AA301="Disetujui",OR(Y301&lt;&gt;"Dikirim",AB301="",AC301="")),"Lengkapi pemeriksaan",IF(AND(AA301="Perlu Perbaikan",OR(AD301="",AB301="",AC301="")),"Isi pemeriksa dan catatan perbaikan","OK")))))))))))))))),"")</f>
        <v/>
      </c>
    </row>
    <row r="302" spans="1:38" ht="24.95" customHeight="1">
      <c r="A302" s="8"/>
      <c r="B302" s="6"/>
      <c r="C302" s="15" t="str">
        <f>IF(COUNTIFS(Master_PIC!$A$8:$A$73,$B302)=1,IF(VLOOKUP($B302,Master_PIC!$A$8:$G$73,2,FALSE)="","",VLOOKUP($B302,Master_PIC!$A$8:$G$73,2,FALSE)),"")</f>
        <v/>
      </c>
      <c r="D302" s="15" t="str">
        <f>IF(COUNTIFS(Master_PIC!$A$8:$A$73,$B302)=1,IF(VLOOKUP($B302,Master_PIC!$A$8:$G$73,4,FALSE)="","",VLOOKUP($B302,Master_PIC!$A$8:$G$73,4,FALSE)),"")</f>
        <v/>
      </c>
      <c r="E302" s="15" t="str">
        <f>IF(COUNTIFS(Master_PIC!$A$8:$A$73,$B302)=1,IF(VLOOKUP($B302,Master_PIC!$A$8:$G$73,5,FALSE)="","",VLOOKUP($B302,Master_PIC!$A$8:$G$73,5,FALSE)),"")</f>
        <v/>
      </c>
      <c r="F302" s="15" t="str">
        <f>IF(COUNTIFS(Master_PIC!$A$8:$A$73,$B302)=1,IF(VLOOKUP($B302,Master_PIC!$A$8:$G$73,6,FALSE)="","",VLOOKUP($B302,Master_PIC!$A$8:$G$73,6,FALSE)),"")</f>
        <v/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8"/>
      <c r="X302" s="5"/>
      <c r="Y302" s="5"/>
      <c r="Z302" s="9"/>
      <c r="AA302" s="5"/>
      <c r="AB302" s="5"/>
      <c r="AC302" s="9"/>
      <c r="AD302" s="5"/>
      <c r="AE302" s="7" t="str">
        <f t="shared" si="28"/>
        <v/>
      </c>
      <c r="AF302" s="7" t="str">
        <f t="shared" si="29"/>
        <v/>
      </c>
      <c r="AG302" s="7" t="str">
        <f t="shared" si="30"/>
        <v/>
      </c>
      <c r="AH302" s="7" t="str">
        <f t="shared" si="31"/>
        <v/>
      </c>
      <c r="AI302" s="7" t="str">
        <f t="shared" si="32"/>
        <v/>
      </c>
      <c r="AJ302" s="7" t="str">
        <f t="shared" si="33"/>
        <v/>
      </c>
      <c r="AK302" s="10" t="str">
        <f t="shared" si="34"/>
        <v/>
      </c>
      <c r="AL302" s="15" t="str">
        <f>IF(OR($A302&lt;&gt;"",$B302&lt;&gt;""),IF(OR($A302="",$B302=""),"Isi tanggal dan ID PIC",IF(NOT(ISNUMBER($A302)),"Tanggal harus berupa tanggal Excel",IF(COUNTIFS(Master_PIC!$A$8:$A$73,$B302)&lt;&gt;1,"ID PIC tidak unik/terdaftar",IF(VLOOKUP($B302,Master_PIC!$A$8:$G$73,3,FALSE)&lt;&gt;"ASM","Jabatan tidak sesuai sheet",IF(OR($C302="",$D302="",$E302="",$F302=""),"Lengkapi master PIC",IF(COUNTIFS($A$8:$A$507,$A302,$B$8:$B$507,$B302)&gt;1,"Laporan ganda",IF(COUNTIFS(G302:O302,"Tidak Berlaku")&gt;0,"N/A hanya untuk kegiatan bersyarat",IF(SUM(AF302,AG302,AH302,AI302,AJ302)&lt;&gt;13,"Status kegiatan tidak valid",IF(AJ302&gt;0,"Lengkapi status kegiatan",IF(AND(AI302&gt;0,T302=""),"Isi alasan Tidak Berlaku",IF(AND(SUM(AG302,AH302)&gt;0,OR(T302="",U302="",V302="",W302="")),"Isi kendala dan tindak lanjut",IF(AND(Y302&lt;&gt;"Draft",Y302&lt;&gt;"Dikirim"),"Isi status laporan yang valid",IF(AND(AA302&lt;&gt;"",AA302&lt;&gt;"Belum Diperiksa",AA302&lt;&gt;"Disetujui",AA302&lt;&gt;"Perlu Perbaikan"),"Hasil review tidak valid",IF(AND(Y302="Dikirim",OR(X302="",Z302="")),"Isi bukti dan waktu kirim",IF(AND(AA302="Disetujui",OR(Y302&lt;&gt;"Dikirim",AB302="",AC302="")),"Lengkapi pemeriksaan",IF(AND(AA302="Perlu Perbaikan",OR(AD302="",AB302="",AC302="")),"Isi pemeriksa dan catatan perbaikan","OK")))))))))))))))),"")</f>
        <v/>
      </c>
    </row>
    <row r="303" spans="1:38" ht="24.95" customHeight="1">
      <c r="A303" s="8"/>
      <c r="B303" s="6"/>
      <c r="C303" s="15" t="str">
        <f>IF(COUNTIFS(Master_PIC!$A$8:$A$73,$B303)=1,IF(VLOOKUP($B303,Master_PIC!$A$8:$G$73,2,FALSE)="","",VLOOKUP($B303,Master_PIC!$A$8:$G$73,2,FALSE)),"")</f>
        <v/>
      </c>
      <c r="D303" s="15" t="str">
        <f>IF(COUNTIFS(Master_PIC!$A$8:$A$73,$B303)=1,IF(VLOOKUP($B303,Master_PIC!$A$8:$G$73,4,FALSE)="","",VLOOKUP($B303,Master_PIC!$A$8:$G$73,4,FALSE)),"")</f>
        <v/>
      </c>
      <c r="E303" s="15" t="str">
        <f>IF(COUNTIFS(Master_PIC!$A$8:$A$73,$B303)=1,IF(VLOOKUP($B303,Master_PIC!$A$8:$G$73,5,FALSE)="","",VLOOKUP($B303,Master_PIC!$A$8:$G$73,5,FALSE)),"")</f>
        <v/>
      </c>
      <c r="F303" s="15" t="str">
        <f>IF(COUNTIFS(Master_PIC!$A$8:$A$73,$B303)=1,IF(VLOOKUP($B303,Master_PIC!$A$8:$G$73,6,FALSE)="","",VLOOKUP($B303,Master_PIC!$A$8:$G$73,6,FALSE)),"")</f>
        <v/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9"/>
      <c r="AA303" s="5"/>
      <c r="AB303" s="5"/>
      <c r="AC303" s="9"/>
      <c r="AD303" s="5"/>
      <c r="AE303" s="7" t="str">
        <f t="shared" si="28"/>
        <v/>
      </c>
      <c r="AF303" s="7" t="str">
        <f t="shared" si="29"/>
        <v/>
      </c>
      <c r="AG303" s="7" t="str">
        <f t="shared" si="30"/>
        <v/>
      </c>
      <c r="AH303" s="7" t="str">
        <f t="shared" si="31"/>
        <v/>
      </c>
      <c r="AI303" s="7" t="str">
        <f t="shared" si="32"/>
        <v/>
      </c>
      <c r="AJ303" s="7" t="str">
        <f t="shared" si="33"/>
        <v/>
      </c>
      <c r="AK303" s="10" t="str">
        <f t="shared" si="34"/>
        <v/>
      </c>
      <c r="AL303" s="15" t="str">
        <f>IF(OR($A303&lt;&gt;"",$B303&lt;&gt;""),IF(OR($A303="",$B303=""),"Isi tanggal dan ID PIC",IF(NOT(ISNUMBER($A303)),"Tanggal harus berupa tanggal Excel",IF(COUNTIFS(Master_PIC!$A$8:$A$73,$B303)&lt;&gt;1,"ID PIC tidak unik/terdaftar",IF(VLOOKUP($B303,Master_PIC!$A$8:$G$73,3,FALSE)&lt;&gt;"ASM","Jabatan tidak sesuai sheet",IF(OR($C303="",$D303="",$E303="",$F303=""),"Lengkapi master PIC",IF(COUNTIFS($A$8:$A$507,$A303,$B$8:$B$507,$B303)&gt;1,"Laporan ganda",IF(COUNTIFS(G303:O303,"Tidak Berlaku")&gt;0,"N/A hanya untuk kegiatan bersyarat",IF(SUM(AF303,AG303,AH303,AI303,AJ303)&lt;&gt;13,"Status kegiatan tidak valid",IF(AJ303&gt;0,"Lengkapi status kegiatan",IF(AND(AI303&gt;0,T303=""),"Isi alasan Tidak Berlaku",IF(AND(SUM(AG303,AH303)&gt;0,OR(T303="",U303="",V303="",W303="")),"Isi kendala dan tindak lanjut",IF(AND(Y303&lt;&gt;"Draft",Y303&lt;&gt;"Dikirim"),"Isi status laporan yang valid",IF(AND(AA303&lt;&gt;"",AA303&lt;&gt;"Belum Diperiksa",AA303&lt;&gt;"Disetujui",AA303&lt;&gt;"Perlu Perbaikan"),"Hasil review tidak valid",IF(AND(Y303="Dikirim",OR(X303="",Z303="")),"Isi bukti dan waktu kirim",IF(AND(AA303="Disetujui",OR(Y303&lt;&gt;"Dikirim",AB303="",AC303="")),"Lengkapi pemeriksaan",IF(AND(AA303="Perlu Perbaikan",OR(AD303="",AB303="",AC303="")),"Isi pemeriksa dan catatan perbaikan","OK")))))))))))))))),"")</f>
        <v/>
      </c>
    </row>
    <row r="304" spans="1:38" ht="24.95" customHeight="1">
      <c r="A304" s="8"/>
      <c r="B304" s="6"/>
      <c r="C304" s="15" t="str">
        <f>IF(COUNTIFS(Master_PIC!$A$8:$A$73,$B304)=1,IF(VLOOKUP($B304,Master_PIC!$A$8:$G$73,2,FALSE)="","",VLOOKUP($B304,Master_PIC!$A$8:$G$73,2,FALSE)),"")</f>
        <v/>
      </c>
      <c r="D304" s="15" t="str">
        <f>IF(COUNTIFS(Master_PIC!$A$8:$A$73,$B304)=1,IF(VLOOKUP($B304,Master_PIC!$A$8:$G$73,4,FALSE)="","",VLOOKUP($B304,Master_PIC!$A$8:$G$73,4,FALSE)),"")</f>
        <v/>
      </c>
      <c r="E304" s="15" t="str">
        <f>IF(COUNTIFS(Master_PIC!$A$8:$A$73,$B304)=1,IF(VLOOKUP($B304,Master_PIC!$A$8:$G$73,5,FALSE)="","",VLOOKUP($B304,Master_PIC!$A$8:$G$73,5,FALSE)),"")</f>
        <v/>
      </c>
      <c r="F304" s="15" t="str">
        <f>IF(COUNTIFS(Master_PIC!$A$8:$A$73,$B304)=1,IF(VLOOKUP($B304,Master_PIC!$A$8:$G$73,6,FALSE)="","",VLOOKUP($B304,Master_PIC!$A$8:$G$73,6,FALSE)),"")</f>
        <v/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8"/>
      <c r="X304" s="5"/>
      <c r="Y304" s="5"/>
      <c r="Z304" s="9"/>
      <c r="AA304" s="5"/>
      <c r="AB304" s="5"/>
      <c r="AC304" s="9"/>
      <c r="AD304" s="5"/>
      <c r="AE304" s="7" t="str">
        <f t="shared" si="28"/>
        <v/>
      </c>
      <c r="AF304" s="7" t="str">
        <f t="shared" si="29"/>
        <v/>
      </c>
      <c r="AG304" s="7" t="str">
        <f t="shared" si="30"/>
        <v/>
      </c>
      <c r="AH304" s="7" t="str">
        <f t="shared" si="31"/>
        <v/>
      </c>
      <c r="AI304" s="7" t="str">
        <f t="shared" si="32"/>
        <v/>
      </c>
      <c r="AJ304" s="7" t="str">
        <f t="shared" si="33"/>
        <v/>
      </c>
      <c r="AK304" s="10" t="str">
        <f t="shared" si="34"/>
        <v/>
      </c>
      <c r="AL304" s="15" t="str">
        <f>IF(OR($A304&lt;&gt;"",$B304&lt;&gt;""),IF(OR($A304="",$B304=""),"Isi tanggal dan ID PIC",IF(NOT(ISNUMBER($A304)),"Tanggal harus berupa tanggal Excel",IF(COUNTIFS(Master_PIC!$A$8:$A$73,$B304)&lt;&gt;1,"ID PIC tidak unik/terdaftar",IF(VLOOKUP($B304,Master_PIC!$A$8:$G$73,3,FALSE)&lt;&gt;"ASM","Jabatan tidak sesuai sheet",IF(OR($C304="",$D304="",$E304="",$F304=""),"Lengkapi master PIC",IF(COUNTIFS($A$8:$A$507,$A304,$B$8:$B$507,$B304)&gt;1,"Laporan ganda",IF(COUNTIFS(G304:O304,"Tidak Berlaku")&gt;0,"N/A hanya untuk kegiatan bersyarat",IF(SUM(AF304,AG304,AH304,AI304,AJ304)&lt;&gt;13,"Status kegiatan tidak valid",IF(AJ304&gt;0,"Lengkapi status kegiatan",IF(AND(AI304&gt;0,T304=""),"Isi alasan Tidak Berlaku",IF(AND(SUM(AG304,AH304)&gt;0,OR(T304="",U304="",V304="",W304="")),"Isi kendala dan tindak lanjut",IF(AND(Y304&lt;&gt;"Draft",Y304&lt;&gt;"Dikirim"),"Isi status laporan yang valid",IF(AND(AA304&lt;&gt;"",AA304&lt;&gt;"Belum Diperiksa",AA304&lt;&gt;"Disetujui",AA304&lt;&gt;"Perlu Perbaikan"),"Hasil review tidak valid",IF(AND(Y304="Dikirim",OR(X304="",Z304="")),"Isi bukti dan waktu kirim",IF(AND(AA304="Disetujui",OR(Y304&lt;&gt;"Dikirim",AB304="",AC304="")),"Lengkapi pemeriksaan",IF(AND(AA304="Perlu Perbaikan",OR(AD304="",AB304="",AC304="")),"Isi pemeriksa dan catatan perbaikan","OK")))))))))))))))),"")</f>
        <v/>
      </c>
    </row>
    <row r="305" spans="1:38" ht="24.95" customHeight="1">
      <c r="A305" s="8"/>
      <c r="B305" s="6"/>
      <c r="C305" s="15" t="str">
        <f>IF(COUNTIFS(Master_PIC!$A$8:$A$73,$B305)=1,IF(VLOOKUP($B305,Master_PIC!$A$8:$G$73,2,FALSE)="","",VLOOKUP($B305,Master_PIC!$A$8:$G$73,2,FALSE)),"")</f>
        <v/>
      </c>
      <c r="D305" s="15" t="str">
        <f>IF(COUNTIFS(Master_PIC!$A$8:$A$73,$B305)=1,IF(VLOOKUP($B305,Master_PIC!$A$8:$G$73,4,FALSE)="","",VLOOKUP($B305,Master_PIC!$A$8:$G$73,4,FALSE)),"")</f>
        <v/>
      </c>
      <c r="E305" s="15" t="str">
        <f>IF(COUNTIFS(Master_PIC!$A$8:$A$73,$B305)=1,IF(VLOOKUP($B305,Master_PIC!$A$8:$G$73,5,FALSE)="","",VLOOKUP($B305,Master_PIC!$A$8:$G$73,5,FALSE)),"")</f>
        <v/>
      </c>
      <c r="F305" s="15" t="str">
        <f>IF(COUNTIFS(Master_PIC!$A$8:$A$73,$B305)=1,IF(VLOOKUP($B305,Master_PIC!$A$8:$G$73,6,FALSE)="","",VLOOKUP($B305,Master_PIC!$A$8:$G$73,6,FALSE)),"")</f>
        <v/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8"/>
      <c r="X305" s="5"/>
      <c r="Y305" s="5"/>
      <c r="Z305" s="9"/>
      <c r="AA305" s="5"/>
      <c r="AB305" s="5"/>
      <c r="AC305" s="9"/>
      <c r="AD305" s="5"/>
      <c r="AE305" s="7" t="str">
        <f t="shared" si="28"/>
        <v/>
      </c>
      <c r="AF305" s="7" t="str">
        <f t="shared" si="29"/>
        <v/>
      </c>
      <c r="AG305" s="7" t="str">
        <f t="shared" si="30"/>
        <v/>
      </c>
      <c r="AH305" s="7" t="str">
        <f t="shared" si="31"/>
        <v/>
      </c>
      <c r="AI305" s="7" t="str">
        <f t="shared" si="32"/>
        <v/>
      </c>
      <c r="AJ305" s="7" t="str">
        <f t="shared" si="33"/>
        <v/>
      </c>
      <c r="AK305" s="10" t="str">
        <f t="shared" si="34"/>
        <v/>
      </c>
      <c r="AL305" s="15" t="str">
        <f>IF(OR($A305&lt;&gt;"",$B305&lt;&gt;""),IF(OR($A305="",$B305=""),"Isi tanggal dan ID PIC",IF(NOT(ISNUMBER($A305)),"Tanggal harus berupa tanggal Excel",IF(COUNTIFS(Master_PIC!$A$8:$A$73,$B305)&lt;&gt;1,"ID PIC tidak unik/terdaftar",IF(VLOOKUP($B305,Master_PIC!$A$8:$G$73,3,FALSE)&lt;&gt;"ASM","Jabatan tidak sesuai sheet",IF(OR($C305="",$D305="",$E305="",$F305=""),"Lengkapi master PIC",IF(COUNTIFS($A$8:$A$507,$A305,$B$8:$B$507,$B305)&gt;1,"Laporan ganda",IF(COUNTIFS(G305:O305,"Tidak Berlaku")&gt;0,"N/A hanya untuk kegiatan bersyarat",IF(SUM(AF305,AG305,AH305,AI305,AJ305)&lt;&gt;13,"Status kegiatan tidak valid",IF(AJ305&gt;0,"Lengkapi status kegiatan",IF(AND(AI305&gt;0,T305=""),"Isi alasan Tidak Berlaku",IF(AND(SUM(AG305,AH305)&gt;0,OR(T305="",U305="",V305="",W305="")),"Isi kendala dan tindak lanjut",IF(AND(Y305&lt;&gt;"Draft",Y305&lt;&gt;"Dikirim"),"Isi status laporan yang valid",IF(AND(AA305&lt;&gt;"",AA305&lt;&gt;"Belum Diperiksa",AA305&lt;&gt;"Disetujui",AA305&lt;&gt;"Perlu Perbaikan"),"Hasil review tidak valid",IF(AND(Y305="Dikirim",OR(X305="",Z305="")),"Isi bukti dan waktu kirim",IF(AND(AA305="Disetujui",OR(Y305&lt;&gt;"Dikirim",AB305="",AC305="")),"Lengkapi pemeriksaan",IF(AND(AA305="Perlu Perbaikan",OR(AD305="",AB305="",AC305="")),"Isi pemeriksa dan catatan perbaikan","OK")))))))))))))))),"")</f>
        <v/>
      </c>
    </row>
    <row r="306" spans="1:38" ht="24.95" customHeight="1">
      <c r="A306" s="8"/>
      <c r="B306" s="6"/>
      <c r="C306" s="15" t="str">
        <f>IF(COUNTIFS(Master_PIC!$A$8:$A$73,$B306)=1,IF(VLOOKUP($B306,Master_PIC!$A$8:$G$73,2,FALSE)="","",VLOOKUP($B306,Master_PIC!$A$8:$G$73,2,FALSE)),"")</f>
        <v/>
      </c>
      <c r="D306" s="15" t="str">
        <f>IF(COUNTIFS(Master_PIC!$A$8:$A$73,$B306)=1,IF(VLOOKUP($B306,Master_PIC!$A$8:$G$73,4,FALSE)="","",VLOOKUP($B306,Master_PIC!$A$8:$G$73,4,FALSE)),"")</f>
        <v/>
      </c>
      <c r="E306" s="15" t="str">
        <f>IF(COUNTIFS(Master_PIC!$A$8:$A$73,$B306)=1,IF(VLOOKUP($B306,Master_PIC!$A$8:$G$73,5,FALSE)="","",VLOOKUP($B306,Master_PIC!$A$8:$G$73,5,FALSE)),"")</f>
        <v/>
      </c>
      <c r="F306" s="15" t="str">
        <f>IF(COUNTIFS(Master_PIC!$A$8:$A$73,$B306)=1,IF(VLOOKUP($B306,Master_PIC!$A$8:$G$73,6,FALSE)="","",VLOOKUP($B306,Master_PIC!$A$8:$G$73,6,FALSE)),"")</f>
        <v/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8"/>
      <c r="X306" s="5"/>
      <c r="Y306" s="5"/>
      <c r="Z306" s="9"/>
      <c r="AA306" s="5"/>
      <c r="AB306" s="5"/>
      <c r="AC306" s="9"/>
      <c r="AD306" s="5"/>
      <c r="AE306" s="7" t="str">
        <f t="shared" si="28"/>
        <v/>
      </c>
      <c r="AF306" s="7" t="str">
        <f t="shared" si="29"/>
        <v/>
      </c>
      <c r="AG306" s="7" t="str">
        <f t="shared" si="30"/>
        <v/>
      </c>
      <c r="AH306" s="7" t="str">
        <f t="shared" si="31"/>
        <v/>
      </c>
      <c r="AI306" s="7" t="str">
        <f t="shared" si="32"/>
        <v/>
      </c>
      <c r="AJ306" s="7" t="str">
        <f t="shared" si="33"/>
        <v/>
      </c>
      <c r="AK306" s="10" t="str">
        <f t="shared" si="34"/>
        <v/>
      </c>
      <c r="AL306" s="15" t="str">
        <f>IF(OR($A306&lt;&gt;"",$B306&lt;&gt;""),IF(OR($A306="",$B306=""),"Isi tanggal dan ID PIC",IF(NOT(ISNUMBER($A306)),"Tanggal harus berupa tanggal Excel",IF(COUNTIFS(Master_PIC!$A$8:$A$73,$B306)&lt;&gt;1,"ID PIC tidak unik/terdaftar",IF(VLOOKUP($B306,Master_PIC!$A$8:$G$73,3,FALSE)&lt;&gt;"ASM","Jabatan tidak sesuai sheet",IF(OR($C306="",$D306="",$E306="",$F306=""),"Lengkapi master PIC",IF(COUNTIFS($A$8:$A$507,$A306,$B$8:$B$507,$B306)&gt;1,"Laporan ganda",IF(COUNTIFS(G306:O306,"Tidak Berlaku")&gt;0,"N/A hanya untuk kegiatan bersyarat",IF(SUM(AF306,AG306,AH306,AI306,AJ306)&lt;&gt;13,"Status kegiatan tidak valid",IF(AJ306&gt;0,"Lengkapi status kegiatan",IF(AND(AI306&gt;0,T306=""),"Isi alasan Tidak Berlaku",IF(AND(SUM(AG306,AH306)&gt;0,OR(T306="",U306="",V306="",W306="")),"Isi kendala dan tindak lanjut",IF(AND(Y306&lt;&gt;"Draft",Y306&lt;&gt;"Dikirim"),"Isi status laporan yang valid",IF(AND(AA306&lt;&gt;"",AA306&lt;&gt;"Belum Diperiksa",AA306&lt;&gt;"Disetujui",AA306&lt;&gt;"Perlu Perbaikan"),"Hasil review tidak valid",IF(AND(Y306="Dikirim",OR(X306="",Z306="")),"Isi bukti dan waktu kirim",IF(AND(AA306="Disetujui",OR(Y306&lt;&gt;"Dikirim",AB306="",AC306="")),"Lengkapi pemeriksaan",IF(AND(AA306="Perlu Perbaikan",OR(AD306="",AB306="",AC306="")),"Isi pemeriksa dan catatan perbaikan","OK")))))))))))))))),"")</f>
        <v/>
      </c>
    </row>
    <row r="307" spans="1:38" ht="24.95" customHeight="1">
      <c r="A307" s="8"/>
      <c r="B307" s="6"/>
      <c r="C307" s="15" t="str">
        <f>IF(COUNTIFS(Master_PIC!$A$8:$A$73,$B307)=1,IF(VLOOKUP($B307,Master_PIC!$A$8:$G$73,2,FALSE)="","",VLOOKUP($B307,Master_PIC!$A$8:$G$73,2,FALSE)),"")</f>
        <v/>
      </c>
      <c r="D307" s="15" t="str">
        <f>IF(COUNTIFS(Master_PIC!$A$8:$A$73,$B307)=1,IF(VLOOKUP($B307,Master_PIC!$A$8:$G$73,4,FALSE)="","",VLOOKUP($B307,Master_PIC!$A$8:$G$73,4,FALSE)),"")</f>
        <v/>
      </c>
      <c r="E307" s="15" t="str">
        <f>IF(COUNTIFS(Master_PIC!$A$8:$A$73,$B307)=1,IF(VLOOKUP($B307,Master_PIC!$A$8:$G$73,5,FALSE)="","",VLOOKUP($B307,Master_PIC!$A$8:$G$73,5,FALSE)),"")</f>
        <v/>
      </c>
      <c r="F307" s="15" t="str">
        <f>IF(COUNTIFS(Master_PIC!$A$8:$A$73,$B307)=1,IF(VLOOKUP($B307,Master_PIC!$A$8:$G$73,6,FALSE)="","",VLOOKUP($B307,Master_PIC!$A$8:$G$73,6,FALSE)),"")</f>
        <v/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8"/>
      <c r="X307" s="5"/>
      <c r="Y307" s="5"/>
      <c r="Z307" s="9"/>
      <c r="AA307" s="5"/>
      <c r="AB307" s="5"/>
      <c r="AC307" s="9"/>
      <c r="AD307" s="5"/>
      <c r="AE307" s="7" t="str">
        <f t="shared" si="28"/>
        <v/>
      </c>
      <c r="AF307" s="7" t="str">
        <f t="shared" si="29"/>
        <v/>
      </c>
      <c r="AG307" s="7" t="str">
        <f t="shared" si="30"/>
        <v/>
      </c>
      <c r="AH307" s="7" t="str">
        <f t="shared" si="31"/>
        <v/>
      </c>
      <c r="AI307" s="7" t="str">
        <f t="shared" si="32"/>
        <v/>
      </c>
      <c r="AJ307" s="7" t="str">
        <f t="shared" si="33"/>
        <v/>
      </c>
      <c r="AK307" s="10" t="str">
        <f t="shared" si="34"/>
        <v/>
      </c>
      <c r="AL307" s="15" t="str">
        <f>IF(OR($A307&lt;&gt;"",$B307&lt;&gt;""),IF(OR($A307="",$B307=""),"Isi tanggal dan ID PIC",IF(NOT(ISNUMBER($A307)),"Tanggal harus berupa tanggal Excel",IF(COUNTIFS(Master_PIC!$A$8:$A$73,$B307)&lt;&gt;1,"ID PIC tidak unik/terdaftar",IF(VLOOKUP($B307,Master_PIC!$A$8:$G$73,3,FALSE)&lt;&gt;"ASM","Jabatan tidak sesuai sheet",IF(OR($C307="",$D307="",$E307="",$F307=""),"Lengkapi master PIC",IF(COUNTIFS($A$8:$A$507,$A307,$B$8:$B$507,$B307)&gt;1,"Laporan ganda",IF(COUNTIFS(G307:O307,"Tidak Berlaku")&gt;0,"N/A hanya untuk kegiatan bersyarat",IF(SUM(AF307,AG307,AH307,AI307,AJ307)&lt;&gt;13,"Status kegiatan tidak valid",IF(AJ307&gt;0,"Lengkapi status kegiatan",IF(AND(AI307&gt;0,T307=""),"Isi alasan Tidak Berlaku",IF(AND(SUM(AG307,AH307)&gt;0,OR(T307="",U307="",V307="",W307="")),"Isi kendala dan tindak lanjut",IF(AND(Y307&lt;&gt;"Draft",Y307&lt;&gt;"Dikirim"),"Isi status laporan yang valid",IF(AND(AA307&lt;&gt;"",AA307&lt;&gt;"Belum Diperiksa",AA307&lt;&gt;"Disetujui",AA307&lt;&gt;"Perlu Perbaikan"),"Hasil review tidak valid",IF(AND(Y307="Dikirim",OR(X307="",Z307="")),"Isi bukti dan waktu kirim",IF(AND(AA307="Disetujui",OR(Y307&lt;&gt;"Dikirim",AB307="",AC307="")),"Lengkapi pemeriksaan",IF(AND(AA307="Perlu Perbaikan",OR(AD307="",AB307="",AC307="")),"Isi pemeriksa dan catatan perbaikan","OK")))))))))))))))),"")</f>
        <v/>
      </c>
    </row>
    <row r="308" spans="1:38" ht="24.95" customHeight="1">
      <c r="A308" s="8"/>
      <c r="B308" s="6"/>
      <c r="C308" s="15" t="str">
        <f>IF(COUNTIFS(Master_PIC!$A$8:$A$73,$B308)=1,IF(VLOOKUP($B308,Master_PIC!$A$8:$G$73,2,FALSE)="","",VLOOKUP($B308,Master_PIC!$A$8:$G$73,2,FALSE)),"")</f>
        <v/>
      </c>
      <c r="D308" s="15" t="str">
        <f>IF(COUNTIFS(Master_PIC!$A$8:$A$73,$B308)=1,IF(VLOOKUP($B308,Master_PIC!$A$8:$G$73,4,FALSE)="","",VLOOKUP($B308,Master_PIC!$A$8:$G$73,4,FALSE)),"")</f>
        <v/>
      </c>
      <c r="E308" s="15" t="str">
        <f>IF(COUNTIFS(Master_PIC!$A$8:$A$73,$B308)=1,IF(VLOOKUP($B308,Master_PIC!$A$8:$G$73,5,FALSE)="","",VLOOKUP($B308,Master_PIC!$A$8:$G$73,5,FALSE)),"")</f>
        <v/>
      </c>
      <c r="F308" s="15" t="str">
        <f>IF(COUNTIFS(Master_PIC!$A$8:$A$73,$B308)=1,IF(VLOOKUP($B308,Master_PIC!$A$8:$G$73,6,FALSE)="","",VLOOKUP($B308,Master_PIC!$A$8:$G$73,6,FALSE)),"")</f>
        <v/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8"/>
      <c r="X308" s="5"/>
      <c r="Y308" s="5"/>
      <c r="Z308" s="9"/>
      <c r="AA308" s="5"/>
      <c r="AB308" s="5"/>
      <c r="AC308" s="9"/>
      <c r="AD308" s="5"/>
      <c r="AE308" s="7" t="str">
        <f t="shared" si="28"/>
        <v/>
      </c>
      <c r="AF308" s="7" t="str">
        <f t="shared" si="29"/>
        <v/>
      </c>
      <c r="AG308" s="7" t="str">
        <f t="shared" si="30"/>
        <v/>
      </c>
      <c r="AH308" s="7" t="str">
        <f t="shared" si="31"/>
        <v/>
      </c>
      <c r="AI308" s="7" t="str">
        <f t="shared" si="32"/>
        <v/>
      </c>
      <c r="AJ308" s="7" t="str">
        <f t="shared" si="33"/>
        <v/>
      </c>
      <c r="AK308" s="10" t="str">
        <f t="shared" si="34"/>
        <v/>
      </c>
      <c r="AL308" s="15" t="str">
        <f>IF(OR($A308&lt;&gt;"",$B308&lt;&gt;""),IF(OR($A308="",$B308=""),"Isi tanggal dan ID PIC",IF(NOT(ISNUMBER($A308)),"Tanggal harus berupa tanggal Excel",IF(COUNTIFS(Master_PIC!$A$8:$A$73,$B308)&lt;&gt;1,"ID PIC tidak unik/terdaftar",IF(VLOOKUP($B308,Master_PIC!$A$8:$G$73,3,FALSE)&lt;&gt;"ASM","Jabatan tidak sesuai sheet",IF(OR($C308="",$D308="",$E308="",$F308=""),"Lengkapi master PIC",IF(COUNTIFS($A$8:$A$507,$A308,$B$8:$B$507,$B308)&gt;1,"Laporan ganda",IF(COUNTIFS(G308:O308,"Tidak Berlaku")&gt;0,"N/A hanya untuk kegiatan bersyarat",IF(SUM(AF308,AG308,AH308,AI308,AJ308)&lt;&gt;13,"Status kegiatan tidak valid",IF(AJ308&gt;0,"Lengkapi status kegiatan",IF(AND(AI308&gt;0,T308=""),"Isi alasan Tidak Berlaku",IF(AND(SUM(AG308,AH308)&gt;0,OR(T308="",U308="",V308="",W308="")),"Isi kendala dan tindak lanjut",IF(AND(Y308&lt;&gt;"Draft",Y308&lt;&gt;"Dikirim"),"Isi status laporan yang valid",IF(AND(AA308&lt;&gt;"",AA308&lt;&gt;"Belum Diperiksa",AA308&lt;&gt;"Disetujui",AA308&lt;&gt;"Perlu Perbaikan"),"Hasil review tidak valid",IF(AND(Y308="Dikirim",OR(X308="",Z308="")),"Isi bukti dan waktu kirim",IF(AND(AA308="Disetujui",OR(Y308&lt;&gt;"Dikirim",AB308="",AC308="")),"Lengkapi pemeriksaan",IF(AND(AA308="Perlu Perbaikan",OR(AD308="",AB308="",AC308="")),"Isi pemeriksa dan catatan perbaikan","OK")))))))))))))))),"")</f>
        <v/>
      </c>
    </row>
    <row r="309" spans="1:38" ht="24.95" customHeight="1">
      <c r="A309" s="8"/>
      <c r="B309" s="6"/>
      <c r="C309" s="15" t="str">
        <f>IF(COUNTIFS(Master_PIC!$A$8:$A$73,$B309)=1,IF(VLOOKUP($B309,Master_PIC!$A$8:$G$73,2,FALSE)="","",VLOOKUP($B309,Master_PIC!$A$8:$G$73,2,FALSE)),"")</f>
        <v/>
      </c>
      <c r="D309" s="15" t="str">
        <f>IF(COUNTIFS(Master_PIC!$A$8:$A$73,$B309)=1,IF(VLOOKUP($B309,Master_PIC!$A$8:$G$73,4,FALSE)="","",VLOOKUP($B309,Master_PIC!$A$8:$G$73,4,FALSE)),"")</f>
        <v/>
      </c>
      <c r="E309" s="15" t="str">
        <f>IF(COUNTIFS(Master_PIC!$A$8:$A$73,$B309)=1,IF(VLOOKUP($B309,Master_PIC!$A$8:$G$73,5,FALSE)="","",VLOOKUP($B309,Master_PIC!$A$8:$G$73,5,FALSE)),"")</f>
        <v/>
      </c>
      <c r="F309" s="15" t="str">
        <f>IF(COUNTIFS(Master_PIC!$A$8:$A$73,$B309)=1,IF(VLOOKUP($B309,Master_PIC!$A$8:$G$73,6,FALSE)="","",VLOOKUP($B309,Master_PIC!$A$8:$G$73,6,FALSE)),"")</f>
        <v/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8"/>
      <c r="X309" s="5"/>
      <c r="Y309" s="5"/>
      <c r="Z309" s="9"/>
      <c r="AA309" s="5"/>
      <c r="AB309" s="5"/>
      <c r="AC309" s="9"/>
      <c r="AD309" s="5"/>
      <c r="AE309" s="7" t="str">
        <f t="shared" si="28"/>
        <v/>
      </c>
      <c r="AF309" s="7" t="str">
        <f t="shared" si="29"/>
        <v/>
      </c>
      <c r="AG309" s="7" t="str">
        <f t="shared" si="30"/>
        <v/>
      </c>
      <c r="AH309" s="7" t="str">
        <f t="shared" si="31"/>
        <v/>
      </c>
      <c r="AI309" s="7" t="str">
        <f t="shared" si="32"/>
        <v/>
      </c>
      <c r="AJ309" s="7" t="str">
        <f t="shared" si="33"/>
        <v/>
      </c>
      <c r="AK309" s="10" t="str">
        <f t="shared" si="34"/>
        <v/>
      </c>
      <c r="AL309" s="15" t="str">
        <f>IF(OR($A309&lt;&gt;"",$B309&lt;&gt;""),IF(OR($A309="",$B309=""),"Isi tanggal dan ID PIC",IF(NOT(ISNUMBER($A309)),"Tanggal harus berupa tanggal Excel",IF(COUNTIFS(Master_PIC!$A$8:$A$73,$B309)&lt;&gt;1,"ID PIC tidak unik/terdaftar",IF(VLOOKUP($B309,Master_PIC!$A$8:$G$73,3,FALSE)&lt;&gt;"ASM","Jabatan tidak sesuai sheet",IF(OR($C309="",$D309="",$E309="",$F309=""),"Lengkapi master PIC",IF(COUNTIFS($A$8:$A$507,$A309,$B$8:$B$507,$B309)&gt;1,"Laporan ganda",IF(COUNTIFS(G309:O309,"Tidak Berlaku")&gt;0,"N/A hanya untuk kegiatan bersyarat",IF(SUM(AF309,AG309,AH309,AI309,AJ309)&lt;&gt;13,"Status kegiatan tidak valid",IF(AJ309&gt;0,"Lengkapi status kegiatan",IF(AND(AI309&gt;0,T309=""),"Isi alasan Tidak Berlaku",IF(AND(SUM(AG309,AH309)&gt;0,OR(T309="",U309="",V309="",W309="")),"Isi kendala dan tindak lanjut",IF(AND(Y309&lt;&gt;"Draft",Y309&lt;&gt;"Dikirim"),"Isi status laporan yang valid",IF(AND(AA309&lt;&gt;"",AA309&lt;&gt;"Belum Diperiksa",AA309&lt;&gt;"Disetujui",AA309&lt;&gt;"Perlu Perbaikan"),"Hasil review tidak valid",IF(AND(Y309="Dikirim",OR(X309="",Z309="")),"Isi bukti dan waktu kirim",IF(AND(AA309="Disetujui",OR(Y309&lt;&gt;"Dikirim",AB309="",AC309="")),"Lengkapi pemeriksaan",IF(AND(AA309="Perlu Perbaikan",OR(AD309="",AB309="",AC309="")),"Isi pemeriksa dan catatan perbaikan","OK")))))))))))))))),"")</f>
        <v/>
      </c>
    </row>
    <row r="310" spans="1:38" ht="24.95" customHeight="1">
      <c r="A310" s="8"/>
      <c r="B310" s="6"/>
      <c r="C310" s="15" t="str">
        <f>IF(COUNTIFS(Master_PIC!$A$8:$A$73,$B310)=1,IF(VLOOKUP($B310,Master_PIC!$A$8:$G$73,2,FALSE)="","",VLOOKUP($B310,Master_PIC!$A$8:$G$73,2,FALSE)),"")</f>
        <v/>
      </c>
      <c r="D310" s="15" t="str">
        <f>IF(COUNTIFS(Master_PIC!$A$8:$A$73,$B310)=1,IF(VLOOKUP($B310,Master_PIC!$A$8:$G$73,4,FALSE)="","",VLOOKUP($B310,Master_PIC!$A$8:$G$73,4,FALSE)),"")</f>
        <v/>
      </c>
      <c r="E310" s="15" t="str">
        <f>IF(COUNTIFS(Master_PIC!$A$8:$A$73,$B310)=1,IF(VLOOKUP($B310,Master_PIC!$A$8:$G$73,5,FALSE)="","",VLOOKUP($B310,Master_PIC!$A$8:$G$73,5,FALSE)),"")</f>
        <v/>
      </c>
      <c r="F310" s="15" t="str">
        <f>IF(COUNTIFS(Master_PIC!$A$8:$A$73,$B310)=1,IF(VLOOKUP($B310,Master_PIC!$A$8:$G$73,6,FALSE)="","",VLOOKUP($B310,Master_PIC!$A$8:$G$73,6,FALSE)),"")</f>
        <v/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8"/>
      <c r="X310" s="5"/>
      <c r="Y310" s="5"/>
      <c r="Z310" s="9"/>
      <c r="AA310" s="5"/>
      <c r="AB310" s="5"/>
      <c r="AC310" s="9"/>
      <c r="AD310" s="5"/>
      <c r="AE310" s="7" t="str">
        <f t="shared" si="28"/>
        <v/>
      </c>
      <c r="AF310" s="7" t="str">
        <f t="shared" si="29"/>
        <v/>
      </c>
      <c r="AG310" s="7" t="str">
        <f t="shared" si="30"/>
        <v/>
      </c>
      <c r="AH310" s="7" t="str">
        <f t="shared" si="31"/>
        <v/>
      </c>
      <c r="AI310" s="7" t="str">
        <f t="shared" si="32"/>
        <v/>
      </c>
      <c r="AJ310" s="7" t="str">
        <f t="shared" si="33"/>
        <v/>
      </c>
      <c r="AK310" s="10" t="str">
        <f t="shared" si="34"/>
        <v/>
      </c>
      <c r="AL310" s="15" t="str">
        <f>IF(OR($A310&lt;&gt;"",$B310&lt;&gt;""),IF(OR($A310="",$B310=""),"Isi tanggal dan ID PIC",IF(NOT(ISNUMBER($A310)),"Tanggal harus berupa tanggal Excel",IF(COUNTIFS(Master_PIC!$A$8:$A$73,$B310)&lt;&gt;1,"ID PIC tidak unik/terdaftar",IF(VLOOKUP($B310,Master_PIC!$A$8:$G$73,3,FALSE)&lt;&gt;"ASM","Jabatan tidak sesuai sheet",IF(OR($C310="",$D310="",$E310="",$F310=""),"Lengkapi master PIC",IF(COUNTIFS($A$8:$A$507,$A310,$B$8:$B$507,$B310)&gt;1,"Laporan ganda",IF(COUNTIFS(G310:O310,"Tidak Berlaku")&gt;0,"N/A hanya untuk kegiatan bersyarat",IF(SUM(AF310,AG310,AH310,AI310,AJ310)&lt;&gt;13,"Status kegiatan tidak valid",IF(AJ310&gt;0,"Lengkapi status kegiatan",IF(AND(AI310&gt;0,T310=""),"Isi alasan Tidak Berlaku",IF(AND(SUM(AG310,AH310)&gt;0,OR(T310="",U310="",V310="",W310="")),"Isi kendala dan tindak lanjut",IF(AND(Y310&lt;&gt;"Draft",Y310&lt;&gt;"Dikirim"),"Isi status laporan yang valid",IF(AND(AA310&lt;&gt;"",AA310&lt;&gt;"Belum Diperiksa",AA310&lt;&gt;"Disetujui",AA310&lt;&gt;"Perlu Perbaikan"),"Hasil review tidak valid",IF(AND(Y310="Dikirim",OR(X310="",Z310="")),"Isi bukti dan waktu kirim",IF(AND(AA310="Disetujui",OR(Y310&lt;&gt;"Dikirim",AB310="",AC310="")),"Lengkapi pemeriksaan",IF(AND(AA310="Perlu Perbaikan",OR(AD310="",AB310="",AC310="")),"Isi pemeriksa dan catatan perbaikan","OK")))))))))))))))),"")</f>
        <v/>
      </c>
    </row>
    <row r="311" spans="1:38" ht="24.95" customHeight="1">
      <c r="A311" s="8"/>
      <c r="B311" s="6"/>
      <c r="C311" s="15" t="str">
        <f>IF(COUNTIFS(Master_PIC!$A$8:$A$73,$B311)=1,IF(VLOOKUP($B311,Master_PIC!$A$8:$G$73,2,FALSE)="","",VLOOKUP($B311,Master_PIC!$A$8:$G$73,2,FALSE)),"")</f>
        <v/>
      </c>
      <c r="D311" s="15" t="str">
        <f>IF(COUNTIFS(Master_PIC!$A$8:$A$73,$B311)=1,IF(VLOOKUP($B311,Master_PIC!$A$8:$G$73,4,FALSE)="","",VLOOKUP($B311,Master_PIC!$A$8:$G$73,4,FALSE)),"")</f>
        <v/>
      </c>
      <c r="E311" s="15" t="str">
        <f>IF(COUNTIFS(Master_PIC!$A$8:$A$73,$B311)=1,IF(VLOOKUP($B311,Master_PIC!$A$8:$G$73,5,FALSE)="","",VLOOKUP($B311,Master_PIC!$A$8:$G$73,5,FALSE)),"")</f>
        <v/>
      </c>
      <c r="F311" s="15" t="str">
        <f>IF(COUNTIFS(Master_PIC!$A$8:$A$73,$B311)=1,IF(VLOOKUP($B311,Master_PIC!$A$8:$G$73,6,FALSE)="","",VLOOKUP($B311,Master_PIC!$A$8:$G$73,6,FALSE)),"")</f>
        <v/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9"/>
      <c r="AA311" s="5"/>
      <c r="AB311" s="5"/>
      <c r="AC311" s="9"/>
      <c r="AD311" s="5"/>
      <c r="AE311" s="7" t="str">
        <f t="shared" si="28"/>
        <v/>
      </c>
      <c r="AF311" s="7" t="str">
        <f t="shared" si="29"/>
        <v/>
      </c>
      <c r="AG311" s="7" t="str">
        <f t="shared" si="30"/>
        <v/>
      </c>
      <c r="AH311" s="7" t="str">
        <f t="shared" si="31"/>
        <v/>
      </c>
      <c r="AI311" s="7" t="str">
        <f t="shared" si="32"/>
        <v/>
      </c>
      <c r="AJ311" s="7" t="str">
        <f t="shared" si="33"/>
        <v/>
      </c>
      <c r="AK311" s="10" t="str">
        <f t="shared" si="34"/>
        <v/>
      </c>
      <c r="AL311" s="15" t="str">
        <f>IF(OR($A311&lt;&gt;"",$B311&lt;&gt;""),IF(OR($A311="",$B311=""),"Isi tanggal dan ID PIC",IF(NOT(ISNUMBER($A311)),"Tanggal harus berupa tanggal Excel",IF(COUNTIFS(Master_PIC!$A$8:$A$73,$B311)&lt;&gt;1,"ID PIC tidak unik/terdaftar",IF(VLOOKUP($B311,Master_PIC!$A$8:$G$73,3,FALSE)&lt;&gt;"ASM","Jabatan tidak sesuai sheet",IF(OR($C311="",$D311="",$E311="",$F311=""),"Lengkapi master PIC",IF(COUNTIFS($A$8:$A$507,$A311,$B$8:$B$507,$B311)&gt;1,"Laporan ganda",IF(COUNTIFS(G311:O311,"Tidak Berlaku")&gt;0,"N/A hanya untuk kegiatan bersyarat",IF(SUM(AF311,AG311,AH311,AI311,AJ311)&lt;&gt;13,"Status kegiatan tidak valid",IF(AJ311&gt;0,"Lengkapi status kegiatan",IF(AND(AI311&gt;0,T311=""),"Isi alasan Tidak Berlaku",IF(AND(SUM(AG311,AH311)&gt;0,OR(T311="",U311="",V311="",W311="")),"Isi kendala dan tindak lanjut",IF(AND(Y311&lt;&gt;"Draft",Y311&lt;&gt;"Dikirim"),"Isi status laporan yang valid",IF(AND(AA311&lt;&gt;"",AA311&lt;&gt;"Belum Diperiksa",AA311&lt;&gt;"Disetujui",AA311&lt;&gt;"Perlu Perbaikan"),"Hasil review tidak valid",IF(AND(Y311="Dikirim",OR(X311="",Z311="")),"Isi bukti dan waktu kirim",IF(AND(AA311="Disetujui",OR(Y311&lt;&gt;"Dikirim",AB311="",AC311="")),"Lengkapi pemeriksaan",IF(AND(AA311="Perlu Perbaikan",OR(AD311="",AB311="",AC311="")),"Isi pemeriksa dan catatan perbaikan","OK")))))))))))))))),"")</f>
        <v/>
      </c>
    </row>
    <row r="312" spans="1:38" ht="24.95" customHeight="1">
      <c r="A312" s="8"/>
      <c r="B312" s="6"/>
      <c r="C312" s="15" t="str">
        <f>IF(COUNTIFS(Master_PIC!$A$8:$A$73,$B312)=1,IF(VLOOKUP($B312,Master_PIC!$A$8:$G$73,2,FALSE)="","",VLOOKUP($B312,Master_PIC!$A$8:$G$73,2,FALSE)),"")</f>
        <v/>
      </c>
      <c r="D312" s="15" t="str">
        <f>IF(COUNTIFS(Master_PIC!$A$8:$A$73,$B312)=1,IF(VLOOKUP($B312,Master_PIC!$A$8:$G$73,4,FALSE)="","",VLOOKUP($B312,Master_PIC!$A$8:$G$73,4,FALSE)),"")</f>
        <v/>
      </c>
      <c r="E312" s="15" t="str">
        <f>IF(COUNTIFS(Master_PIC!$A$8:$A$73,$B312)=1,IF(VLOOKUP($B312,Master_PIC!$A$8:$G$73,5,FALSE)="","",VLOOKUP($B312,Master_PIC!$A$8:$G$73,5,FALSE)),"")</f>
        <v/>
      </c>
      <c r="F312" s="15" t="str">
        <f>IF(COUNTIFS(Master_PIC!$A$8:$A$73,$B312)=1,IF(VLOOKUP($B312,Master_PIC!$A$8:$G$73,6,FALSE)="","",VLOOKUP($B312,Master_PIC!$A$8:$G$73,6,FALSE)),"")</f>
        <v/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9"/>
      <c r="AA312" s="5"/>
      <c r="AB312" s="5"/>
      <c r="AC312" s="9"/>
      <c r="AD312" s="5"/>
      <c r="AE312" s="7" t="str">
        <f t="shared" si="28"/>
        <v/>
      </c>
      <c r="AF312" s="7" t="str">
        <f t="shared" si="29"/>
        <v/>
      </c>
      <c r="AG312" s="7" t="str">
        <f t="shared" si="30"/>
        <v/>
      </c>
      <c r="AH312" s="7" t="str">
        <f t="shared" si="31"/>
        <v/>
      </c>
      <c r="AI312" s="7" t="str">
        <f t="shared" si="32"/>
        <v/>
      </c>
      <c r="AJ312" s="7" t="str">
        <f t="shared" si="33"/>
        <v/>
      </c>
      <c r="AK312" s="10" t="str">
        <f t="shared" si="34"/>
        <v/>
      </c>
      <c r="AL312" s="15" t="str">
        <f>IF(OR($A312&lt;&gt;"",$B312&lt;&gt;""),IF(OR($A312="",$B312=""),"Isi tanggal dan ID PIC",IF(NOT(ISNUMBER($A312)),"Tanggal harus berupa tanggal Excel",IF(COUNTIFS(Master_PIC!$A$8:$A$73,$B312)&lt;&gt;1,"ID PIC tidak unik/terdaftar",IF(VLOOKUP($B312,Master_PIC!$A$8:$G$73,3,FALSE)&lt;&gt;"ASM","Jabatan tidak sesuai sheet",IF(OR($C312="",$D312="",$E312="",$F312=""),"Lengkapi master PIC",IF(COUNTIFS($A$8:$A$507,$A312,$B$8:$B$507,$B312)&gt;1,"Laporan ganda",IF(COUNTIFS(G312:O312,"Tidak Berlaku")&gt;0,"N/A hanya untuk kegiatan bersyarat",IF(SUM(AF312,AG312,AH312,AI312,AJ312)&lt;&gt;13,"Status kegiatan tidak valid",IF(AJ312&gt;0,"Lengkapi status kegiatan",IF(AND(AI312&gt;0,T312=""),"Isi alasan Tidak Berlaku",IF(AND(SUM(AG312,AH312)&gt;0,OR(T312="",U312="",V312="",W312="")),"Isi kendala dan tindak lanjut",IF(AND(Y312&lt;&gt;"Draft",Y312&lt;&gt;"Dikirim"),"Isi status laporan yang valid",IF(AND(AA312&lt;&gt;"",AA312&lt;&gt;"Belum Diperiksa",AA312&lt;&gt;"Disetujui",AA312&lt;&gt;"Perlu Perbaikan"),"Hasil review tidak valid",IF(AND(Y312="Dikirim",OR(X312="",Z312="")),"Isi bukti dan waktu kirim",IF(AND(AA312="Disetujui",OR(Y312&lt;&gt;"Dikirim",AB312="",AC312="")),"Lengkapi pemeriksaan",IF(AND(AA312="Perlu Perbaikan",OR(AD312="",AB312="",AC312="")),"Isi pemeriksa dan catatan perbaikan","OK")))))))))))))))),"")</f>
        <v/>
      </c>
    </row>
    <row r="313" spans="1:38" ht="24.95" customHeight="1">
      <c r="A313" s="8"/>
      <c r="B313" s="6"/>
      <c r="C313" s="15" t="str">
        <f>IF(COUNTIFS(Master_PIC!$A$8:$A$73,$B313)=1,IF(VLOOKUP($B313,Master_PIC!$A$8:$G$73,2,FALSE)="","",VLOOKUP($B313,Master_PIC!$A$8:$G$73,2,FALSE)),"")</f>
        <v/>
      </c>
      <c r="D313" s="15" t="str">
        <f>IF(COUNTIFS(Master_PIC!$A$8:$A$73,$B313)=1,IF(VLOOKUP($B313,Master_PIC!$A$8:$G$73,4,FALSE)="","",VLOOKUP($B313,Master_PIC!$A$8:$G$73,4,FALSE)),"")</f>
        <v/>
      </c>
      <c r="E313" s="15" t="str">
        <f>IF(COUNTIFS(Master_PIC!$A$8:$A$73,$B313)=1,IF(VLOOKUP($B313,Master_PIC!$A$8:$G$73,5,FALSE)="","",VLOOKUP($B313,Master_PIC!$A$8:$G$73,5,FALSE)),"")</f>
        <v/>
      </c>
      <c r="F313" s="15" t="str">
        <f>IF(COUNTIFS(Master_PIC!$A$8:$A$73,$B313)=1,IF(VLOOKUP($B313,Master_PIC!$A$8:$G$73,6,FALSE)="","",VLOOKUP($B313,Master_PIC!$A$8:$G$73,6,FALSE)),"")</f>
        <v/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8"/>
      <c r="X313" s="5"/>
      <c r="Y313" s="5"/>
      <c r="Z313" s="9"/>
      <c r="AA313" s="5"/>
      <c r="AB313" s="5"/>
      <c r="AC313" s="9"/>
      <c r="AD313" s="5"/>
      <c r="AE313" s="7" t="str">
        <f t="shared" si="28"/>
        <v/>
      </c>
      <c r="AF313" s="7" t="str">
        <f t="shared" si="29"/>
        <v/>
      </c>
      <c r="AG313" s="7" t="str">
        <f t="shared" si="30"/>
        <v/>
      </c>
      <c r="AH313" s="7" t="str">
        <f t="shared" si="31"/>
        <v/>
      </c>
      <c r="AI313" s="7" t="str">
        <f t="shared" si="32"/>
        <v/>
      </c>
      <c r="AJ313" s="7" t="str">
        <f t="shared" si="33"/>
        <v/>
      </c>
      <c r="AK313" s="10" t="str">
        <f t="shared" si="34"/>
        <v/>
      </c>
      <c r="AL313" s="15" t="str">
        <f>IF(OR($A313&lt;&gt;"",$B313&lt;&gt;""),IF(OR($A313="",$B313=""),"Isi tanggal dan ID PIC",IF(NOT(ISNUMBER($A313)),"Tanggal harus berupa tanggal Excel",IF(COUNTIFS(Master_PIC!$A$8:$A$73,$B313)&lt;&gt;1,"ID PIC tidak unik/terdaftar",IF(VLOOKUP($B313,Master_PIC!$A$8:$G$73,3,FALSE)&lt;&gt;"ASM","Jabatan tidak sesuai sheet",IF(OR($C313="",$D313="",$E313="",$F313=""),"Lengkapi master PIC",IF(COUNTIFS($A$8:$A$507,$A313,$B$8:$B$507,$B313)&gt;1,"Laporan ganda",IF(COUNTIFS(G313:O313,"Tidak Berlaku")&gt;0,"N/A hanya untuk kegiatan bersyarat",IF(SUM(AF313,AG313,AH313,AI313,AJ313)&lt;&gt;13,"Status kegiatan tidak valid",IF(AJ313&gt;0,"Lengkapi status kegiatan",IF(AND(AI313&gt;0,T313=""),"Isi alasan Tidak Berlaku",IF(AND(SUM(AG313,AH313)&gt;0,OR(T313="",U313="",V313="",W313="")),"Isi kendala dan tindak lanjut",IF(AND(Y313&lt;&gt;"Draft",Y313&lt;&gt;"Dikirim"),"Isi status laporan yang valid",IF(AND(AA313&lt;&gt;"",AA313&lt;&gt;"Belum Diperiksa",AA313&lt;&gt;"Disetujui",AA313&lt;&gt;"Perlu Perbaikan"),"Hasil review tidak valid",IF(AND(Y313="Dikirim",OR(X313="",Z313="")),"Isi bukti dan waktu kirim",IF(AND(AA313="Disetujui",OR(Y313&lt;&gt;"Dikirim",AB313="",AC313="")),"Lengkapi pemeriksaan",IF(AND(AA313="Perlu Perbaikan",OR(AD313="",AB313="",AC313="")),"Isi pemeriksa dan catatan perbaikan","OK")))))))))))))))),"")</f>
        <v/>
      </c>
    </row>
    <row r="314" spans="1:38" ht="24.95" customHeight="1">
      <c r="A314" s="8"/>
      <c r="B314" s="6"/>
      <c r="C314" s="15" t="str">
        <f>IF(COUNTIFS(Master_PIC!$A$8:$A$73,$B314)=1,IF(VLOOKUP($B314,Master_PIC!$A$8:$G$73,2,FALSE)="","",VLOOKUP($B314,Master_PIC!$A$8:$G$73,2,FALSE)),"")</f>
        <v/>
      </c>
      <c r="D314" s="15" t="str">
        <f>IF(COUNTIFS(Master_PIC!$A$8:$A$73,$B314)=1,IF(VLOOKUP($B314,Master_PIC!$A$8:$G$73,4,FALSE)="","",VLOOKUP($B314,Master_PIC!$A$8:$G$73,4,FALSE)),"")</f>
        <v/>
      </c>
      <c r="E314" s="15" t="str">
        <f>IF(COUNTIFS(Master_PIC!$A$8:$A$73,$B314)=1,IF(VLOOKUP($B314,Master_PIC!$A$8:$G$73,5,FALSE)="","",VLOOKUP($B314,Master_PIC!$A$8:$G$73,5,FALSE)),"")</f>
        <v/>
      </c>
      <c r="F314" s="15" t="str">
        <f>IF(COUNTIFS(Master_PIC!$A$8:$A$73,$B314)=1,IF(VLOOKUP($B314,Master_PIC!$A$8:$G$73,6,FALSE)="","",VLOOKUP($B314,Master_PIC!$A$8:$G$73,6,FALSE)),"")</f>
        <v/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8"/>
      <c r="X314" s="5"/>
      <c r="Y314" s="5"/>
      <c r="Z314" s="9"/>
      <c r="AA314" s="5"/>
      <c r="AB314" s="5"/>
      <c r="AC314" s="9"/>
      <c r="AD314" s="5"/>
      <c r="AE314" s="7" t="str">
        <f t="shared" si="28"/>
        <v/>
      </c>
      <c r="AF314" s="7" t="str">
        <f t="shared" si="29"/>
        <v/>
      </c>
      <c r="AG314" s="7" t="str">
        <f t="shared" si="30"/>
        <v/>
      </c>
      <c r="AH314" s="7" t="str">
        <f t="shared" si="31"/>
        <v/>
      </c>
      <c r="AI314" s="7" t="str">
        <f t="shared" si="32"/>
        <v/>
      </c>
      <c r="AJ314" s="7" t="str">
        <f t="shared" si="33"/>
        <v/>
      </c>
      <c r="AK314" s="10" t="str">
        <f t="shared" si="34"/>
        <v/>
      </c>
      <c r="AL314" s="15" t="str">
        <f>IF(OR($A314&lt;&gt;"",$B314&lt;&gt;""),IF(OR($A314="",$B314=""),"Isi tanggal dan ID PIC",IF(NOT(ISNUMBER($A314)),"Tanggal harus berupa tanggal Excel",IF(COUNTIFS(Master_PIC!$A$8:$A$73,$B314)&lt;&gt;1,"ID PIC tidak unik/terdaftar",IF(VLOOKUP($B314,Master_PIC!$A$8:$G$73,3,FALSE)&lt;&gt;"ASM","Jabatan tidak sesuai sheet",IF(OR($C314="",$D314="",$E314="",$F314=""),"Lengkapi master PIC",IF(COUNTIFS($A$8:$A$507,$A314,$B$8:$B$507,$B314)&gt;1,"Laporan ganda",IF(COUNTIFS(G314:O314,"Tidak Berlaku")&gt;0,"N/A hanya untuk kegiatan bersyarat",IF(SUM(AF314,AG314,AH314,AI314,AJ314)&lt;&gt;13,"Status kegiatan tidak valid",IF(AJ314&gt;0,"Lengkapi status kegiatan",IF(AND(AI314&gt;0,T314=""),"Isi alasan Tidak Berlaku",IF(AND(SUM(AG314,AH314)&gt;0,OR(T314="",U314="",V314="",W314="")),"Isi kendala dan tindak lanjut",IF(AND(Y314&lt;&gt;"Draft",Y314&lt;&gt;"Dikirim"),"Isi status laporan yang valid",IF(AND(AA314&lt;&gt;"",AA314&lt;&gt;"Belum Diperiksa",AA314&lt;&gt;"Disetujui",AA314&lt;&gt;"Perlu Perbaikan"),"Hasil review tidak valid",IF(AND(Y314="Dikirim",OR(X314="",Z314="")),"Isi bukti dan waktu kirim",IF(AND(AA314="Disetujui",OR(Y314&lt;&gt;"Dikirim",AB314="",AC314="")),"Lengkapi pemeriksaan",IF(AND(AA314="Perlu Perbaikan",OR(AD314="",AB314="",AC314="")),"Isi pemeriksa dan catatan perbaikan","OK")))))))))))))))),"")</f>
        <v/>
      </c>
    </row>
    <row r="315" spans="1:38" ht="24.95" customHeight="1">
      <c r="A315" s="8"/>
      <c r="B315" s="6"/>
      <c r="C315" s="15" t="str">
        <f>IF(COUNTIFS(Master_PIC!$A$8:$A$73,$B315)=1,IF(VLOOKUP($B315,Master_PIC!$A$8:$G$73,2,FALSE)="","",VLOOKUP($B315,Master_PIC!$A$8:$G$73,2,FALSE)),"")</f>
        <v/>
      </c>
      <c r="D315" s="15" t="str">
        <f>IF(COUNTIFS(Master_PIC!$A$8:$A$73,$B315)=1,IF(VLOOKUP($B315,Master_PIC!$A$8:$G$73,4,FALSE)="","",VLOOKUP($B315,Master_PIC!$A$8:$G$73,4,FALSE)),"")</f>
        <v/>
      </c>
      <c r="E315" s="15" t="str">
        <f>IF(COUNTIFS(Master_PIC!$A$8:$A$73,$B315)=1,IF(VLOOKUP($B315,Master_PIC!$A$8:$G$73,5,FALSE)="","",VLOOKUP($B315,Master_PIC!$A$8:$G$73,5,FALSE)),"")</f>
        <v/>
      </c>
      <c r="F315" s="15" t="str">
        <f>IF(COUNTIFS(Master_PIC!$A$8:$A$73,$B315)=1,IF(VLOOKUP($B315,Master_PIC!$A$8:$G$73,6,FALSE)="","",VLOOKUP($B315,Master_PIC!$A$8:$G$73,6,FALSE)),"")</f>
        <v/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8"/>
      <c r="X315" s="5"/>
      <c r="Y315" s="5"/>
      <c r="Z315" s="9"/>
      <c r="AA315" s="5"/>
      <c r="AB315" s="5"/>
      <c r="AC315" s="9"/>
      <c r="AD315" s="5"/>
      <c r="AE315" s="7" t="str">
        <f t="shared" si="28"/>
        <v/>
      </c>
      <c r="AF315" s="7" t="str">
        <f t="shared" si="29"/>
        <v/>
      </c>
      <c r="AG315" s="7" t="str">
        <f t="shared" si="30"/>
        <v/>
      </c>
      <c r="AH315" s="7" t="str">
        <f t="shared" si="31"/>
        <v/>
      </c>
      <c r="AI315" s="7" t="str">
        <f t="shared" si="32"/>
        <v/>
      </c>
      <c r="AJ315" s="7" t="str">
        <f t="shared" si="33"/>
        <v/>
      </c>
      <c r="AK315" s="10" t="str">
        <f t="shared" si="34"/>
        <v/>
      </c>
      <c r="AL315" s="15" t="str">
        <f>IF(OR($A315&lt;&gt;"",$B315&lt;&gt;""),IF(OR($A315="",$B315=""),"Isi tanggal dan ID PIC",IF(NOT(ISNUMBER($A315)),"Tanggal harus berupa tanggal Excel",IF(COUNTIFS(Master_PIC!$A$8:$A$73,$B315)&lt;&gt;1,"ID PIC tidak unik/terdaftar",IF(VLOOKUP($B315,Master_PIC!$A$8:$G$73,3,FALSE)&lt;&gt;"ASM","Jabatan tidak sesuai sheet",IF(OR($C315="",$D315="",$E315="",$F315=""),"Lengkapi master PIC",IF(COUNTIFS($A$8:$A$507,$A315,$B$8:$B$507,$B315)&gt;1,"Laporan ganda",IF(COUNTIFS(G315:O315,"Tidak Berlaku")&gt;0,"N/A hanya untuk kegiatan bersyarat",IF(SUM(AF315,AG315,AH315,AI315,AJ315)&lt;&gt;13,"Status kegiatan tidak valid",IF(AJ315&gt;0,"Lengkapi status kegiatan",IF(AND(AI315&gt;0,T315=""),"Isi alasan Tidak Berlaku",IF(AND(SUM(AG315,AH315)&gt;0,OR(T315="",U315="",V315="",W315="")),"Isi kendala dan tindak lanjut",IF(AND(Y315&lt;&gt;"Draft",Y315&lt;&gt;"Dikirim"),"Isi status laporan yang valid",IF(AND(AA315&lt;&gt;"",AA315&lt;&gt;"Belum Diperiksa",AA315&lt;&gt;"Disetujui",AA315&lt;&gt;"Perlu Perbaikan"),"Hasil review tidak valid",IF(AND(Y315="Dikirim",OR(X315="",Z315="")),"Isi bukti dan waktu kirim",IF(AND(AA315="Disetujui",OR(Y315&lt;&gt;"Dikirim",AB315="",AC315="")),"Lengkapi pemeriksaan",IF(AND(AA315="Perlu Perbaikan",OR(AD315="",AB315="",AC315="")),"Isi pemeriksa dan catatan perbaikan","OK")))))))))))))))),"")</f>
        <v/>
      </c>
    </row>
    <row r="316" spans="1:38" ht="24.95" customHeight="1">
      <c r="A316" s="8"/>
      <c r="B316" s="6"/>
      <c r="C316" s="15" t="str">
        <f>IF(COUNTIFS(Master_PIC!$A$8:$A$73,$B316)=1,IF(VLOOKUP($B316,Master_PIC!$A$8:$G$73,2,FALSE)="","",VLOOKUP($B316,Master_PIC!$A$8:$G$73,2,FALSE)),"")</f>
        <v/>
      </c>
      <c r="D316" s="15" t="str">
        <f>IF(COUNTIFS(Master_PIC!$A$8:$A$73,$B316)=1,IF(VLOOKUP($B316,Master_PIC!$A$8:$G$73,4,FALSE)="","",VLOOKUP($B316,Master_PIC!$A$8:$G$73,4,FALSE)),"")</f>
        <v/>
      </c>
      <c r="E316" s="15" t="str">
        <f>IF(COUNTIFS(Master_PIC!$A$8:$A$73,$B316)=1,IF(VLOOKUP($B316,Master_PIC!$A$8:$G$73,5,FALSE)="","",VLOOKUP($B316,Master_PIC!$A$8:$G$73,5,FALSE)),"")</f>
        <v/>
      </c>
      <c r="F316" s="15" t="str">
        <f>IF(COUNTIFS(Master_PIC!$A$8:$A$73,$B316)=1,IF(VLOOKUP($B316,Master_PIC!$A$8:$G$73,6,FALSE)="","",VLOOKUP($B316,Master_PIC!$A$8:$G$73,6,FALSE)),"")</f>
        <v/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8"/>
      <c r="X316" s="5"/>
      <c r="Y316" s="5"/>
      <c r="Z316" s="9"/>
      <c r="AA316" s="5"/>
      <c r="AB316" s="5"/>
      <c r="AC316" s="9"/>
      <c r="AD316" s="5"/>
      <c r="AE316" s="7" t="str">
        <f t="shared" si="28"/>
        <v/>
      </c>
      <c r="AF316" s="7" t="str">
        <f t="shared" si="29"/>
        <v/>
      </c>
      <c r="AG316" s="7" t="str">
        <f t="shared" si="30"/>
        <v/>
      </c>
      <c r="AH316" s="7" t="str">
        <f t="shared" si="31"/>
        <v/>
      </c>
      <c r="AI316" s="7" t="str">
        <f t="shared" si="32"/>
        <v/>
      </c>
      <c r="AJ316" s="7" t="str">
        <f t="shared" si="33"/>
        <v/>
      </c>
      <c r="AK316" s="10" t="str">
        <f t="shared" si="34"/>
        <v/>
      </c>
      <c r="AL316" s="15" t="str">
        <f>IF(OR($A316&lt;&gt;"",$B316&lt;&gt;""),IF(OR($A316="",$B316=""),"Isi tanggal dan ID PIC",IF(NOT(ISNUMBER($A316)),"Tanggal harus berupa tanggal Excel",IF(COUNTIFS(Master_PIC!$A$8:$A$73,$B316)&lt;&gt;1,"ID PIC tidak unik/terdaftar",IF(VLOOKUP($B316,Master_PIC!$A$8:$G$73,3,FALSE)&lt;&gt;"ASM","Jabatan tidak sesuai sheet",IF(OR($C316="",$D316="",$E316="",$F316=""),"Lengkapi master PIC",IF(COUNTIFS($A$8:$A$507,$A316,$B$8:$B$507,$B316)&gt;1,"Laporan ganda",IF(COUNTIFS(G316:O316,"Tidak Berlaku")&gt;0,"N/A hanya untuk kegiatan bersyarat",IF(SUM(AF316,AG316,AH316,AI316,AJ316)&lt;&gt;13,"Status kegiatan tidak valid",IF(AJ316&gt;0,"Lengkapi status kegiatan",IF(AND(AI316&gt;0,T316=""),"Isi alasan Tidak Berlaku",IF(AND(SUM(AG316,AH316)&gt;0,OR(T316="",U316="",V316="",W316="")),"Isi kendala dan tindak lanjut",IF(AND(Y316&lt;&gt;"Draft",Y316&lt;&gt;"Dikirim"),"Isi status laporan yang valid",IF(AND(AA316&lt;&gt;"",AA316&lt;&gt;"Belum Diperiksa",AA316&lt;&gt;"Disetujui",AA316&lt;&gt;"Perlu Perbaikan"),"Hasil review tidak valid",IF(AND(Y316="Dikirim",OR(X316="",Z316="")),"Isi bukti dan waktu kirim",IF(AND(AA316="Disetujui",OR(Y316&lt;&gt;"Dikirim",AB316="",AC316="")),"Lengkapi pemeriksaan",IF(AND(AA316="Perlu Perbaikan",OR(AD316="",AB316="",AC316="")),"Isi pemeriksa dan catatan perbaikan","OK")))))))))))))))),"")</f>
        <v/>
      </c>
    </row>
    <row r="317" spans="1:38" ht="24.95" customHeight="1">
      <c r="A317" s="8"/>
      <c r="B317" s="6"/>
      <c r="C317" s="15" t="str">
        <f>IF(COUNTIFS(Master_PIC!$A$8:$A$73,$B317)=1,IF(VLOOKUP($B317,Master_PIC!$A$8:$G$73,2,FALSE)="","",VLOOKUP($B317,Master_PIC!$A$8:$G$73,2,FALSE)),"")</f>
        <v/>
      </c>
      <c r="D317" s="15" t="str">
        <f>IF(COUNTIFS(Master_PIC!$A$8:$A$73,$B317)=1,IF(VLOOKUP($B317,Master_PIC!$A$8:$G$73,4,FALSE)="","",VLOOKUP($B317,Master_PIC!$A$8:$G$73,4,FALSE)),"")</f>
        <v/>
      </c>
      <c r="E317" s="15" t="str">
        <f>IF(COUNTIFS(Master_PIC!$A$8:$A$73,$B317)=1,IF(VLOOKUP($B317,Master_PIC!$A$8:$G$73,5,FALSE)="","",VLOOKUP($B317,Master_PIC!$A$8:$G$73,5,FALSE)),"")</f>
        <v/>
      </c>
      <c r="F317" s="15" t="str">
        <f>IF(COUNTIFS(Master_PIC!$A$8:$A$73,$B317)=1,IF(VLOOKUP($B317,Master_PIC!$A$8:$G$73,6,FALSE)="","",VLOOKUP($B317,Master_PIC!$A$8:$G$73,6,FALSE)),"")</f>
        <v/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8"/>
      <c r="X317" s="5"/>
      <c r="Y317" s="5"/>
      <c r="Z317" s="9"/>
      <c r="AA317" s="5"/>
      <c r="AB317" s="5"/>
      <c r="AC317" s="9"/>
      <c r="AD317" s="5"/>
      <c r="AE317" s="7" t="str">
        <f t="shared" si="28"/>
        <v/>
      </c>
      <c r="AF317" s="7" t="str">
        <f t="shared" si="29"/>
        <v/>
      </c>
      <c r="AG317" s="7" t="str">
        <f t="shared" si="30"/>
        <v/>
      </c>
      <c r="AH317" s="7" t="str">
        <f t="shared" si="31"/>
        <v/>
      </c>
      <c r="AI317" s="7" t="str">
        <f t="shared" si="32"/>
        <v/>
      </c>
      <c r="AJ317" s="7" t="str">
        <f t="shared" si="33"/>
        <v/>
      </c>
      <c r="AK317" s="10" t="str">
        <f t="shared" si="34"/>
        <v/>
      </c>
      <c r="AL317" s="15" t="str">
        <f>IF(OR($A317&lt;&gt;"",$B317&lt;&gt;""),IF(OR($A317="",$B317=""),"Isi tanggal dan ID PIC",IF(NOT(ISNUMBER($A317)),"Tanggal harus berupa tanggal Excel",IF(COUNTIFS(Master_PIC!$A$8:$A$73,$B317)&lt;&gt;1,"ID PIC tidak unik/terdaftar",IF(VLOOKUP($B317,Master_PIC!$A$8:$G$73,3,FALSE)&lt;&gt;"ASM","Jabatan tidak sesuai sheet",IF(OR($C317="",$D317="",$E317="",$F317=""),"Lengkapi master PIC",IF(COUNTIFS($A$8:$A$507,$A317,$B$8:$B$507,$B317)&gt;1,"Laporan ganda",IF(COUNTIFS(G317:O317,"Tidak Berlaku")&gt;0,"N/A hanya untuk kegiatan bersyarat",IF(SUM(AF317,AG317,AH317,AI317,AJ317)&lt;&gt;13,"Status kegiatan tidak valid",IF(AJ317&gt;0,"Lengkapi status kegiatan",IF(AND(AI317&gt;0,T317=""),"Isi alasan Tidak Berlaku",IF(AND(SUM(AG317,AH317)&gt;0,OR(T317="",U317="",V317="",W317="")),"Isi kendala dan tindak lanjut",IF(AND(Y317&lt;&gt;"Draft",Y317&lt;&gt;"Dikirim"),"Isi status laporan yang valid",IF(AND(AA317&lt;&gt;"",AA317&lt;&gt;"Belum Diperiksa",AA317&lt;&gt;"Disetujui",AA317&lt;&gt;"Perlu Perbaikan"),"Hasil review tidak valid",IF(AND(Y317="Dikirim",OR(X317="",Z317="")),"Isi bukti dan waktu kirim",IF(AND(AA317="Disetujui",OR(Y317&lt;&gt;"Dikirim",AB317="",AC317="")),"Lengkapi pemeriksaan",IF(AND(AA317="Perlu Perbaikan",OR(AD317="",AB317="",AC317="")),"Isi pemeriksa dan catatan perbaikan","OK")))))))))))))))),"")</f>
        <v/>
      </c>
    </row>
    <row r="318" spans="1:38" ht="24.95" customHeight="1">
      <c r="A318" s="8"/>
      <c r="B318" s="6"/>
      <c r="C318" s="15" t="str">
        <f>IF(COUNTIFS(Master_PIC!$A$8:$A$73,$B318)=1,IF(VLOOKUP($B318,Master_PIC!$A$8:$G$73,2,FALSE)="","",VLOOKUP($B318,Master_PIC!$A$8:$G$73,2,FALSE)),"")</f>
        <v/>
      </c>
      <c r="D318" s="15" t="str">
        <f>IF(COUNTIFS(Master_PIC!$A$8:$A$73,$B318)=1,IF(VLOOKUP($B318,Master_PIC!$A$8:$G$73,4,FALSE)="","",VLOOKUP($B318,Master_PIC!$A$8:$G$73,4,FALSE)),"")</f>
        <v/>
      </c>
      <c r="E318" s="15" t="str">
        <f>IF(COUNTIFS(Master_PIC!$A$8:$A$73,$B318)=1,IF(VLOOKUP($B318,Master_PIC!$A$8:$G$73,5,FALSE)="","",VLOOKUP($B318,Master_PIC!$A$8:$G$73,5,FALSE)),"")</f>
        <v/>
      </c>
      <c r="F318" s="15" t="str">
        <f>IF(COUNTIFS(Master_PIC!$A$8:$A$73,$B318)=1,IF(VLOOKUP($B318,Master_PIC!$A$8:$G$73,6,FALSE)="","",VLOOKUP($B318,Master_PIC!$A$8:$G$73,6,FALSE)),"")</f>
        <v/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8"/>
      <c r="X318" s="5"/>
      <c r="Y318" s="5"/>
      <c r="Z318" s="9"/>
      <c r="AA318" s="5"/>
      <c r="AB318" s="5"/>
      <c r="AC318" s="9"/>
      <c r="AD318" s="5"/>
      <c r="AE318" s="7" t="str">
        <f t="shared" si="28"/>
        <v/>
      </c>
      <c r="AF318" s="7" t="str">
        <f t="shared" si="29"/>
        <v/>
      </c>
      <c r="AG318" s="7" t="str">
        <f t="shared" si="30"/>
        <v/>
      </c>
      <c r="AH318" s="7" t="str">
        <f t="shared" si="31"/>
        <v/>
      </c>
      <c r="AI318" s="7" t="str">
        <f t="shared" si="32"/>
        <v/>
      </c>
      <c r="AJ318" s="7" t="str">
        <f t="shared" si="33"/>
        <v/>
      </c>
      <c r="AK318" s="10" t="str">
        <f t="shared" si="34"/>
        <v/>
      </c>
      <c r="AL318" s="15" t="str">
        <f>IF(OR($A318&lt;&gt;"",$B318&lt;&gt;""),IF(OR($A318="",$B318=""),"Isi tanggal dan ID PIC",IF(NOT(ISNUMBER($A318)),"Tanggal harus berupa tanggal Excel",IF(COUNTIFS(Master_PIC!$A$8:$A$73,$B318)&lt;&gt;1,"ID PIC tidak unik/terdaftar",IF(VLOOKUP($B318,Master_PIC!$A$8:$G$73,3,FALSE)&lt;&gt;"ASM","Jabatan tidak sesuai sheet",IF(OR($C318="",$D318="",$E318="",$F318=""),"Lengkapi master PIC",IF(COUNTIFS($A$8:$A$507,$A318,$B$8:$B$507,$B318)&gt;1,"Laporan ganda",IF(COUNTIFS(G318:O318,"Tidak Berlaku")&gt;0,"N/A hanya untuk kegiatan bersyarat",IF(SUM(AF318,AG318,AH318,AI318,AJ318)&lt;&gt;13,"Status kegiatan tidak valid",IF(AJ318&gt;0,"Lengkapi status kegiatan",IF(AND(AI318&gt;0,T318=""),"Isi alasan Tidak Berlaku",IF(AND(SUM(AG318,AH318)&gt;0,OR(T318="",U318="",V318="",W318="")),"Isi kendala dan tindak lanjut",IF(AND(Y318&lt;&gt;"Draft",Y318&lt;&gt;"Dikirim"),"Isi status laporan yang valid",IF(AND(AA318&lt;&gt;"",AA318&lt;&gt;"Belum Diperiksa",AA318&lt;&gt;"Disetujui",AA318&lt;&gt;"Perlu Perbaikan"),"Hasil review tidak valid",IF(AND(Y318="Dikirim",OR(X318="",Z318="")),"Isi bukti dan waktu kirim",IF(AND(AA318="Disetujui",OR(Y318&lt;&gt;"Dikirim",AB318="",AC318="")),"Lengkapi pemeriksaan",IF(AND(AA318="Perlu Perbaikan",OR(AD318="",AB318="",AC318="")),"Isi pemeriksa dan catatan perbaikan","OK")))))))))))))))),"")</f>
        <v/>
      </c>
    </row>
    <row r="319" spans="1:38" ht="24.95" customHeight="1">
      <c r="A319" s="8"/>
      <c r="B319" s="6"/>
      <c r="C319" s="15" t="str">
        <f>IF(COUNTIFS(Master_PIC!$A$8:$A$73,$B319)=1,IF(VLOOKUP($B319,Master_PIC!$A$8:$G$73,2,FALSE)="","",VLOOKUP($B319,Master_PIC!$A$8:$G$73,2,FALSE)),"")</f>
        <v/>
      </c>
      <c r="D319" s="15" t="str">
        <f>IF(COUNTIFS(Master_PIC!$A$8:$A$73,$B319)=1,IF(VLOOKUP($B319,Master_PIC!$A$8:$G$73,4,FALSE)="","",VLOOKUP($B319,Master_PIC!$A$8:$G$73,4,FALSE)),"")</f>
        <v/>
      </c>
      <c r="E319" s="15" t="str">
        <f>IF(COUNTIFS(Master_PIC!$A$8:$A$73,$B319)=1,IF(VLOOKUP($B319,Master_PIC!$A$8:$G$73,5,FALSE)="","",VLOOKUP($B319,Master_PIC!$A$8:$G$73,5,FALSE)),"")</f>
        <v/>
      </c>
      <c r="F319" s="15" t="str">
        <f>IF(COUNTIFS(Master_PIC!$A$8:$A$73,$B319)=1,IF(VLOOKUP($B319,Master_PIC!$A$8:$G$73,6,FALSE)="","",VLOOKUP($B319,Master_PIC!$A$8:$G$73,6,FALSE)),"")</f>
        <v/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8"/>
      <c r="X319" s="5"/>
      <c r="Y319" s="5"/>
      <c r="Z319" s="9"/>
      <c r="AA319" s="5"/>
      <c r="AB319" s="5"/>
      <c r="AC319" s="9"/>
      <c r="AD319" s="5"/>
      <c r="AE319" s="7" t="str">
        <f t="shared" si="28"/>
        <v/>
      </c>
      <c r="AF319" s="7" t="str">
        <f t="shared" si="29"/>
        <v/>
      </c>
      <c r="AG319" s="7" t="str">
        <f t="shared" si="30"/>
        <v/>
      </c>
      <c r="AH319" s="7" t="str">
        <f t="shared" si="31"/>
        <v/>
      </c>
      <c r="AI319" s="7" t="str">
        <f t="shared" si="32"/>
        <v/>
      </c>
      <c r="AJ319" s="7" t="str">
        <f t="shared" si="33"/>
        <v/>
      </c>
      <c r="AK319" s="10" t="str">
        <f t="shared" si="34"/>
        <v/>
      </c>
      <c r="AL319" s="15" t="str">
        <f>IF(OR($A319&lt;&gt;"",$B319&lt;&gt;""),IF(OR($A319="",$B319=""),"Isi tanggal dan ID PIC",IF(NOT(ISNUMBER($A319)),"Tanggal harus berupa tanggal Excel",IF(COUNTIFS(Master_PIC!$A$8:$A$73,$B319)&lt;&gt;1,"ID PIC tidak unik/terdaftar",IF(VLOOKUP($B319,Master_PIC!$A$8:$G$73,3,FALSE)&lt;&gt;"ASM","Jabatan tidak sesuai sheet",IF(OR($C319="",$D319="",$E319="",$F319=""),"Lengkapi master PIC",IF(COUNTIFS($A$8:$A$507,$A319,$B$8:$B$507,$B319)&gt;1,"Laporan ganda",IF(COUNTIFS(G319:O319,"Tidak Berlaku")&gt;0,"N/A hanya untuk kegiatan bersyarat",IF(SUM(AF319,AG319,AH319,AI319,AJ319)&lt;&gt;13,"Status kegiatan tidak valid",IF(AJ319&gt;0,"Lengkapi status kegiatan",IF(AND(AI319&gt;0,T319=""),"Isi alasan Tidak Berlaku",IF(AND(SUM(AG319,AH319)&gt;0,OR(T319="",U319="",V319="",W319="")),"Isi kendala dan tindak lanjut",IF(AND(Y319&lt;&gt;"Draft",Y319&lt;&gt;"Dikirim"),"Isi status laporan yang valid",IF(AND(AA319&lt;&gt;"",AA319&lt;&gt;"Belum Diperiksa",AA319&lt;&gt;"Disetujui",AA319&lt;&gt;"Perlu Perbaikan"),"Hasil review tidak valid",IF(AND(Y319="Dikirim",OR(X319="",Z319="")),"Isi bukti dan waktu kirim",IF(AND(AA319="Disetujui",OR(Y319&lt;&gt;"Dikirim",AB319="",AC319="")),"Lengkapi pemeriksaan",IF(AND(AA319="Perlu Perbaikan",OR(AD319="",AB319="",AC319="")),"Isi pemeriksa dan catatan perbaikan","OK")))))))))))))))),"")</f>
        <v/>
      </c>
    </row>
    <row r="320" spans="1:38" ht="24.95" customHeight="1">
      <c r="A320" s="8"/>
      <c r="B320" s="6"/>
      <c r="C320" s="15" t="str">
        <f>IF(COUNTIFS(Master_PIC!$A$8:$A$73,$B320)=1,IF(VLOOKUP($B320,Master_PIC!$A$8:$G$73,2,FALSE)="","",VLOOKUP($B320,Master_PIC!$A$8:$G$73,2,FALSE)),"")</f>
        <v/>
      </c>
      <c r="D320" s="15" t="str">
        <f>IF(COUNTIFS(Master_PIC!$A$8:$A$73,$B320)=1,IF(VLOOKUP($B320,Master_PIC!$A$8:$G$73,4,FALSE)="","",VLOOKUP($B320,Master_PIC!$A$8:$G$73,4,FALSE)),"")</f>
        <v/>
      </c>
      <c r="E320" s="15" t="str">
        <f>IF(COUNTIFS(Master_PIC!$A$8:$A$73,$B320)=1,IF(VLOOKUP($B320,Master_PIC!$A$8:$G$73,5,FALSE)="","",VLOOKUP($B320,Master_PIC!$A$8:$G$73,5,FALSE)),"")</f>
        <v/>
      </c>
      <c r="F320" s="15" t="str">
        <f>IF(COUNTIFS(Master_PIC!$A$8:$A$73,$B320)=1,IF(VLOOKUP($B320,Master_PIC!$A$8:$G$73,6,FALSE)="","",VLOOKUP($B320,Master_PIC!$A$8:$G$73,6,FALSE)),"")</f>
        <v/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8"/>
      <c r="X320" s="5"/>
      <c r="Y320" s="5"/>
      <c r="Z320" s="9"/>
      <c r="AA320" s="5"/>
      <c r="AB320" s="5"/>
      <c r="AC320" s="9"/>
      <c r="AD320" s="5"/>
      <c r="AE320" s="7" t="str">
        <f t="shared" si="28"/>
        <v/>
      </c>
      <c r="AF320" s="7" t="str">
        <f t="shared" si="29"/>
        <v/>
      </c>
      <c r="AG320" s="7" t="str">
        <f t="shared" si="30"/>
        <v/>
      </c>
      <c r="AH320" s="7" t="str">
        <f t="shared" si="31"/>
        <v/>
      </c>
      <c r="AI320" s="7" t="str">
        <f t="shared" si="32"/>
        <v/>
      </c>
      <c r="AJ320" s="7" t="str">
        <f t="shared" si="33"/>
        <v/>
      </c>
      <c r="AK320" s="10" t="str">
        <f t="shared" si="34"/>
        <v/>
      </c>
      <c r="AL320" s="15" t="str">
        <f>IF(OR($A320&lt;&gt;"",$B320&lt;&gt;""),IF(OR($A320="",$B320=""),"Isi tanggal dan ID PIC",IF(NOT(ISNUMBER($A320)),"Tanggal harus berupa tanggal Excel",IF(COUNTIFS(Master_PIC!$A$8:$A$73,$B320)&lt;&gt;1,"ID PIC tidak unik/terdaftar",IF(VLOOKUP($B320,Master_PIC!$A$8:$G$73,3,FALSE)&lt;&gt;"ASM","Jabatan tidak sesuai sheet",IF(OR($C320="",$D320="",$E320="",$F320=""),"Lengkapi master PIC",IF(COUNTIFS($A$8:$A$507,$A320,$B$8:$B$507,$B320)&gt;1,"Laporan ganda",IF(COUNTIFS(G320:O320,"Tidak Berlaku")&gt;0,"N/A hanya untuk kegiatan bersyarat",IF(SUM(AF320,AG320,AH320,AI320,AJ320)&lt;&gt;13,"Status kegiatan tidak valid",IF(AJ320&gt;0,"Lengkapi status kegiatan",IF(AND(AI320&gt;0,T320=""),"Isi alasan Tidak Berlaku",IF(AND(SUM(AG320,AH320)&gt;0,OR(T320="",U320="",V320="",W320="")),"Isi kendala dan tindak lanjut",IF(AND(Y320&lt;&gt;"Draft",Y320&lt;&gt;"Dikirim"),"Isi status laporan yang valid",IF(AND(AA320&lt;&gt;"",AA320&lt;&gt;"Belum Diperiksa",AA320&lt;&gt;"Disetujui",AA320&lt;&gt;"Perlu Perbaikan"),"Hasil review tidak valid",IF(AND(Y320="Dikirim",OR(X320="",Z320="")),"Isi bukti dan waktu kirim",IF(AND(AA320="Disetujui",OR(Y320&lt;&gt;"Dikirim",AB320="",AC320="")),"Lengkapi pemeriksaan",IF(AND(AA320="Perlu Perbaikan",OR(AD320="",AB320="",AC320="")),"Isi pemeriksa dan catatan perbaikan","OK")))))))))))))))),"")</f>
        <v/>
      </c>
    </row>
    <row r="321" spans="1:38" ht="24.95" customHeight="1">
      <c r="A321" s="8"/>
      <c r="B321" s="6"/>
      <c r="C321" s="15" t="str">
        <f>IF(COUNTIFS(Master_PIC!$A$8:$A$73,$B321)=1,IF(VLOOKUP($B321,Master_PIC!$A$8:$G$73,2,FALSE)="","",VLOOKUP($B321,Master_PIC!$A$8:$G$73,2,FALSE)),"")</f>
        <v/>
      </c>
      <c r="D321" s="15" t="str">
        <f>IF(COUNTIFS(Master_PIC!$A$8:$A$73,$B321)=1,IF(VLOOKUP($B321,Master_PIC!$A$8:$G$73,4,FALSE)="","",VLOOKUP($B321,Master_PIC!$A$8:$G$73,4,FALSE)),"")</f>
        <v/>
      </c>
      <c r="E321" s="15" t="str">
        <f>IF(COUNTIFS(Master_PIC!$A$8:$A$73,$B321)=1,IF(VLOOKUP($B321,Master_PIC!$A$8:$G$73,5,FALSE)="","",VLOOKUP($B321,Master_PIC!$A$8:$G$73,5,FALSE)),"")</f>
        <v/>
      </c>
      <c r="F321" s="15" t="str">
        <f>IF(COUNTIFS(Master_PIC!$A$8:$A$73,$B321)=1,IF(VLOOKUP($B321,Master_PIC!$A$8:$G$73,6,FALSE)="","",VLOOKUP($B321,Master_PIC!$A$8:$G$73,6,FALSE)),"")</f>
        <v/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8"/>
      <c r="X321" s="5"/>
      <c r="Y321" s="5"/>
      <c r="Z321" s="9"/>
      <c r="AA321" s="5"/>
      <c r="AB321" s="5"/>
      <c r="AC321" s="9"/>
      <c r="AD321" s="5"/>
      <c r="AE321" s="7" t="str">
        <f t="shared" si="28"/>
        <v/>
      </c>
      <c r="AF321" s="7" t="str">
        <f t="shared" si="29"/>
        <v/>
      </c>
      <c r="AG321" s="7" t="str">
        <f t="shared" si="30"/>
        <v/>
      </c>
      <c r="AH321" s="7" t="str">
        <f t="shared" si="31"/>
        <v/>
      </c>
      <c r="AI321" s="7" t="str">
        <f t="shared" si="32"/>
        <v/>
      </c>
      <c r="AJ321" s="7" t="str">
        <f t="shared" si="33"/>
        <v/>
      </c>
      <c r="AK321" s="10" t="str">
        <f t="shared" si="34"/>
        <v/>
      </c>
      <c r="AL321" s="15" t="str">
        <f>IF(OR($A321&lt;&gt;"",$B321&lt;&gt;""),IF(OR($A321="",$B321=""),"Isi tanggal dan ID PIC",IF(NOT(ISNUMBER($A321)),"Tanggal harus berupa tanggal Excel",IF(COUNTIFS(Master_PIC!$A$8:$A$73,$B321)&lt;&gt;1,"ID PIC tidak unik/terdaftar",IF(VLOOKUP($B321,Master_PIC!$A$8:$G$73,3,FALSE)&lt;&gt;"ASM","Jabatan tidak sesuai sheet",IF(OR($C321="",$D321="",$E321="",$F321=""),"Lengkapi master PIC",IF(COUNTIFS($A$8:$A$507,$A321,$B$8:$B$507,$B321)&gt;1,"Laporan ganda",IF(COUNTIFS(G321:O321,"Tidak Berlaku")&gt;0,"N/A hanya untuk kegiatan bersyarat",IF(SUM(AF321,AG321,AH321,AI321,AJ321)&lt;&gt;13,"Status kegiatan tidak valid",IF(AJ321&gt;0,"Lengkapi status kegiatan",IF(AND(AI321&gt;0,T321=""),"Isi alasan Tidak Berlaku",IF(AND(SUM(AG321,AH321)&gt;0,OR(T321="",U321="",V321="",W321="")),"Isi kendala dan tindak lanjut",IF(AND(Y321&lt;&gt;"Draft",Y321&lt;&gt;"Dikirim"),"Isi status laporan yang valid",IF(AND(AA321&lt;&gt;"",AA321&lt;&gt;"Belum Diperiksa",AA321&lt;&gt;"Disetujui",AA321&lt;&gt;"Perlu Perbaikan"),"Hasil review tidak valid",IF(AND(Y321="Dikirim",OR(X321="",Z321="")),"Isi bukti dan waktu kirim",IF(AND(AA321="Disetujui",OR(Y321&lt;&gt;"Dikirim",AB321="",AC321="")),"Lengkapi pemeriksaan",IF(AND(AA321="Perlu Perbaikan",OR(AD321="",AB321="",AC321="")),"Isi pemeriksa dan catatan perbaikan","OK")))))))))))))))),"")</f>
        <v/>
      </c>
    </row>
    <row r="322" spans="1:38" ht="24.95" customHeight="1">
      <c r="A322" s="8"/>
      <c r="B322" s="6"/>
      <c r="C322" s="15" t="str">
        <f>IF(COUNTIFS(Master_PIC!$A$8:$A$73,$B322)=1,IF(VLOOKUP($B322,Master_PIC!$A$8:$G$73,2,FALSE)="","",VLOOKUP($B322,Master_PIC!$A$8:$G$73,2,FALSE)),"")</f>
        <v/>
      </c>
      <c r="D322" s="15" t="str">
        <f>IF(COUNTIFS(Master_PIC!$A$8:$A$73,$B322)=1,IF(VLOOKUP($B322,Master_PIC!$A$8:$G$73,4,FALSE)="","",VLOOKUP($B322,Master_PIC!$A$8:$G$73,4,FALSE)),"")</f>
        <v/>
      </c>
      <c r="E322" s="15" t="str">
        <f>IF(COUNTIFS(Master_PIC!$A$8:$A$73,$B322)=1,IF(VLOOKUP($B322,Master_PIC!$A$8:$G$73,5,FALSE)="","",VLOOKUP($B322,Master_PIC!$A$8:$G$73,5,FALSE)),"")</f>
        <v/>
      </c>
      <c r="F322" s="15" t="str">
        <f>IF(COUNTIFS(Master_PIC!$A$8:$A$73,$B322)=1,IF(VLOOKUP($B322,Master_PIC!$A$8:$G$73,6,FALSE)="","",VLOOKUP($B322,Master_PIC!$A$8:$G$73,6,FALSE)),"")</f>
        <v/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8"/>
      <c r="X322" s="5"/>
      <c r="Y322" s="5"/>
      <c r="Z322" s="9"/>
      <c r="AA322" s="5"/>
      <c r="AB322" s="5"/>
      <c r="AC322" s="9"/>
      <c r="AD322" s="5"/>
      <c r="AE322" s="7" t="str">
        <f t="shared" si="28"/>
        <v/>
      </c>
      <c r="AF322" s="7" t="str">
        <f t="shared" si="29"/>
        <v/>
      </c>
      <c r="AG322" s="7" t="str">
        <f t="shared" si="30"/>
        <v/>
      </c>
      <c r="AH322" s="7" t="str">
        <f t="shared" si="31"/>
        <v/>
      </c>
      <c r="AI322" s="7" t="str">
        <f t="shared" si="32"/>
        <v/>
      </c>
      <c r="AJ322" s="7" t="str">
        <f t="shared" si="33"/>
        <v/>
      </c>
      <c r="AK322" s="10" t="str">
        <f t="shared" si="34"/>
        <v/>
      </c>
      <c r="AL322" s="15" t="str">
        <f>IF(OR($A322&lt;&gt;"",$B322&lt;&gt;""),IF(OR($A322="",$B322=""),"Isi tanggal dan ID PIC",IF(NOT(ISNUMBER($A322)),"Tanggal harus berupa tanggal Excel",IF(COUNTIFS(Master_PIC!$A$8:$A$73,$B322)&lt;&gt;1,"ID PIC tidak unik/terdaftar",IF(VLOOKUP($B322,Master_PIC!$A$8:$G$73,3,FALSE)&lt;&gt;"ASM","Jabatan tidak sesuai sheet",IF(OR($C322="",$D322="",$E322="",$F322=""),"Lengkapi master PIC",IF(COUNTIFS($A$8:$A$507,$A322,$B$8:$B$507,$B322)&gt;1,"Laporan ganda",IF(COUNTIFS(G322:O322,"Tidak Berlaku")&gt;0,"N/A hanya untuk kegiatan bersyarat",IF(SUM(AF322,AG322,AH322,AI322,AJ322)&lt;&gt;13,"Status kegiatan tidak valid",IF(AJ322&gt;0,"Lengkapi status kegiatan",IF(AND(AI322&gt;0,T322=""),"Isi alasan Tidak Berlaku",IF(AND(SUM(AG322,AH322)&gt;0,OR(T322="",U322="",V322="",W322="")),"Isi kendala dan tindak lanjut",IF(AND(Y322&lt;&gt;"Draft",Y322&lt;&gt;"Dikirim"),"Isi status laporan yang valid",IF(AND(AA322&lt;&gt;"",AA322&lt;&gt;"Belum Diperiksa",AA322&lt;&gt;"Disetujui",AA322&lt;&gt;"Perlu Perbaikan"),"Hasil review tidak valid",IF(AND(Y322="Dikirim",OR(X322="",Z322="")),"Isi bukti dan waktu kirim",IF(AND(AA322="Disetujui",OR(Y322&lt;&gt;"Dikirim",AB322="",AC322="")),"Lengkapi pemeriksaan",IF(AND(AA322="Perlu Perbaikan",OR(AD322="",AB322="",AC322="")),"Isi pemeriksa dan catatan perbaikan","OK")))))))))))))))),"")</f>
        <v/>
      </c>
    </row>
    <row r="323" spans="1:38" ht="24.95" customHeight="1">
      <c r="A323" s="8"/>
      <c r="B323" s="6"/>
      <c r="C323" s="15" t="str">
        <f>IF(COUNTIFS(Master_PIC!$A$8:$A$73,$B323)=1,IF(VLOOKUP($B323,Master_PIC!$A$8:$G$73,2,FALSE)="","",VLOOKUP($B323,Master_PIC!$A$8:$G$73,2,FALSE)),"")</f>
        <v/>
      </c>
      <c r="D323" s="15" t="str">
        <f>IF(COUNTIFS(Master_PIC!$A$8:$A$73,$B323)=1,IF(VLOOKUP($B323,Master_PIC!$A$8:$G$73,4,FALSE)="","",VLOOKUP($B323,Master_PIC!$A$8:$G$73,4,FALSE)),"")</f>
        <v/>
      </c>
      <c r="E323" s="15" t="str">
        <f>IF(COUNTIFS(Master_PIC!$A$8:$A$73,$B323)=1,IF(VLOOKUP($B323,Master_PIC!$A$8:$G$73,5,FALSE)="","",VLOOKUP($B323,Master_PIC!$A$8:$G$73,5,FALSE)),"")</f>
        <v/>
      </c>
      <c r="F323" s="15" t="str">
        <f>IF(COUNTIFS(Master_PIC!$A$8:$A$73,$B323)=1,IF(VLOOKUP($B323,Master_PIC!$A$8:$G$73,6,FALSE)="","",VLOOKUP($B323,Master_PIC!$A$8:$G$73,6,FALSE)),"")</f>
        <v/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8"/>
      <c r="X323" s="5"/>
      <c r="Y323" s="5"/>
      <c r="Z323" s="9"/>
      <c r="AA323" s="5"/>
      <c r="AB323" s="5"/>
      <c r="AC323" s="9"/>
      <c r="AD323" s="5"/>
      <c r="AE323" s="7" t="str">
        <f t="shared" si="28"/>
        <v/>
      </c>
      <c r="AF323" s="7" t="str">
        <f t="shared" si="29"/>
        <v/>
      </c>
      <c r="AG323" s="7" t="str">
        <f t="shared" si="30"/>
        <v/>
      </c>
      <c r="AH323" s="7" t="str">
        <f t="shared" si="31"/>
        <v/>
      </c>
      <c r="AI323" s="7" t="str">
        <f t="shared" si="32"/>
        <v/>
      </c>
      <c r="AJ323" s="7" t="str">
        <f t="shared" si="33"/>
        <v/>
      </c>
      <c r="AK323" s="10" t="str">
        <f t="shared" si="34"/>
        <v/>
      </c>
      <c r="AL323" s="15" t="str">
        <f>IF(OR($A323&lt;&gt;"",$B323&lt;&gt;""),IF(OR($A323="",$B323=""),"Isi tanggal dan ID PIC",IF(NOT(ISNUMBER($A323)),"Tanggal harus berupa tanggal Excel",IF(COUNTIFS(Master_PIC!$A$8:$A$73,$B323)&lt;&gt;1,"ID PIC tidak unik/terdaftar",IF(VLOOKUP($B323,Master_PIC!$A$8:$G$73,3,FALSE)&lt;&gt;"ASM","Jabatan tidak sesuai sheet",IF(OR($C323="",$D323="",$E323="",$F323=""),"Lengkapi master PIC",IF(COUNTIFS($A$8:$A$507,$A323,$B$8:$B$507,$B323)&gt;1,"Laporan ganda",IF(COUNTIFS(G323:O323,"Tidak Berlaku")&gt;0,"N/A hanya untuk kegiatan bersyarat",IF(SUM(AF323,AG323,AH323,AI323,AJ323)&lt;&gt;13,"Status kegiatan tidak valid",IF(AJ323&gt;0,"Lengkapi status kegiatan",IF(AND(AI323&gt;0,T323=""),"Isi alasan Tidak Berlaku",IF(AND(SUM(AG323,AH323)&gt;0,OR(T323="",U323="",V323="",W323="")),"Isi kendala dan tindak lanjut",IF(AND(Y323&lt;&gt;"Draft",Y323&lt;&gt;"Dikirim"),"Isi status laporan yang valid",IF(AND(AA323&lt;&gt;"",AA323&lt;&gt;"Belum Diperiksa",AA323&lt;&gt;"Disetujui",AA323&lt;&gt;"Perlu Perbaikan"),"Hasil review tidak valid",IF(AND(Y323="Dikirim",OR(X323="",Z323="")),"Isi bukti dan waktu kirim",IF(AND(AA323="Disetujui",OR(Y323&lt;&gt;"Dikirim",AB323="",AC323="")),"Lengkapi pemeriksaan",IF(AND(AA323="Perlu Perbaikan",OR(AD323="",AB323="",AC323="")),"Isi pemeriksa dan catatan perbaikan","OK")))))))))))))))),"")</f>
        <v/>
      </c>
    </row>
    <row r="324" spans="1:38" ht="24.95" customHeight="1">
      <c r="A324" s="8"/>
      <c r="B324" s="6"/>
      <c r="C324" s="15" t="str">
        <f>IF(COUNTIFS(Master_PIC!$A$8:$A$73,$B324)=1,IF(VLOOKUP($B324,Master_PIC!$A$8:$G$73,2,FALSE)="","",VLOOKUP($B324,Master_PIC!$A$8:$G$73,2,FALSE)),"")</f>
        <v/>
      </c>
      <c r="D324" s="15" t="str">
        <f>IF(COUNTIFS(Master_PIC!$A$8:$A$73,$B324)=1,IF(VLOOKUP($B324,Master_PIC!$A$8:$G$73,4,FALSE)="","",VLOOKUP($B324,Master_PIC!$A$8:$G$73,4,FALSE)),"")</f>
        <v/>
      </c>
      <c r="E324" s="15" t="str">
        <f>IF(COUNTIFS(Master_PIC!$A$8:$A$73,$B324)=1,IF(VLOOKUP($B324,Master_PIC!$A$8:$G$73,5,FALSE)="","",VLOOKUP($B324,Master_PIC!$A$8:$G$73,5,FALSE)),"")</f>
        <v/>
      </c>
      <c r="F324" s="15" t="str">
        <f>IF(COUNTIFS(Master_PIC!$A$8:$A$73,$B324)=1,IF(VLOOKUP($B324,Master_PIC!$A$8:$G$73,6,FALSE)="","",VLOOKUP($B324,Master_PIC!$A$8:$G$73,6,FALSE)),"")</f>
        <v/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8"/>
      <c r="X324" s="5"/>
      <c r="Y324" s="5"/>
      <c r="Z324" s="9"/>
      <c r="AA324" s="5"/>
      <c r="AB324" s="5"/>
      <c r="AC324" s="9"/>
      <c r="AD324" s="5"/>
      <c r="AE324" s="7" t="str">
        <f t="shared" si="28"/>
        <v/>
      </c>
      <c r="AF324" s="7" t="str">
        <f t="shared" si="29"/>
        <v/>
      </c>
      <c r="AG324" s="7" t="str">
        <f t="shared" si="30"/>
        <v/>
      </c>
      <c r="AH324" s="7" t="str">
        <f t="shared" si="31"/>
        <v/>
      </c>
      <c r="AI324" s="7" t="str">
        <f t="shared" si="32"/>
        <v/>
      </c>
      <c r="AJ324" s="7" t="str">
        <f t="shared" si="33"/>
        <v/>
      </c>
      <c r="AK324" s="10" t="str">
        <f t="shared" si="34"/>
        <v/>
      </c>
      <c r="AL324" s="15" t="str">
        <f>IF(OR($A324&lt;&gt;"",$B324&lt;&gt;""),IF(OR($A324="",$B324=""),"Isi tanggal dan ID PIC",IF(NOT(ISNUMBER($A324)),"Tanggal harus berupa tanggal Excel",IF(COUNTIFS(Master_PIC!$A$8:$A$73,$B324)&lt;&gt;1,"ID PIC tidak unik/terdaftar",IF(VLOOKUP($B324,Master_PIC!$A$8:$G$73,3,FALSE)&lt;&gt;"ASM","Jabatan tidak sesuai sheet",IF(OR($C324="",$D324="",$E324="",$F324=""),"Lengkapi master PIC",IF(COUNTIFS($A$8:$A$507,$A324,$B$8:$B$507,$B324)&gt;1,"Laporan ganda",IF(COUNTIFS(G324:O324,"Tidak Berlaku")&gt;0,"N/A hanya untuk kegiatan bersyarat",IF(SUM(AF324,AG324,AH324,AI324,AJ324)&lt;&gt;13,"Status kegiatan tidak valid",IF(AJ324&gt;0,"Lengkapi status kegiatan",IF(AND(AI324&gt;0,T324=""),"Isi alasan Tidak Berlaku",IF(AND(SUM(AG324,AH324)&gt;0,OR(T324="",U324="",V324="",W324="")),"Isi kendala dan tindak lanjut",IF(AND(Y324&lt;&gt;"Draft",Y324&lt;&gt;"Dikirim"),"Isi status laporan yang valid",IF(AND(AA324&lt;&gt;"",AA324&lt;&gt;"Belum Diperiksa",AA324&lt;&gt;"Disetujui",AA324&lt;&gt;"Perlu Perbaikan"),"Hasil review tidak valid",IF(AND(Y324="Dikirim",OR(X324="",Z324="")),"Isi bukti dan waktu kirim",IF(AND(AA324="Disetujui",OR(Y324&lt;&gt;"Dikirim",AB324="",AC324="")),"Lengkapi pemeriksaan",IF(AND(AA324="Perlu Perbaikan",OR(AD324="",AB324="",AC324="")),"Isi pemeriksa dan catatan perbaikan","OK")))))))))))))))),"")</f>
        <v/>
      </c>
    </row>
    <row r="325" spans="1:38" ht="24.95" customHeight="1">
      <c r="A325" s="8"/>
      <c r="B325" s="6"/>
      <c r="C325" s="15" t="str">
        <f>IF(COUNTIFS(Master_PIC!$A$8:$A$73,$B325)=1,IF(VLOOKUP($B325,Master_PIC!$A$8:$G$73,2,FALSE)="","",VLOOKUP($B325,Master_PIC!$A$8:$G$73,2,FALSE)),"")</f>
        <v/>
      </c>
      <c r="D325" s="15" t="str">
        <f>IF(COUNTIFS(Master_PIC!$A$8:$A$73,$B325)=1,IF(VLOOKUP($B325,Master_PIC!$A$8:$G$73,4,FALSE)="","",VLOOKUP($B325,Master_PIC!$A$8:$G$73,4,FALSE)),"")</f>
        <v/>
      </c>
      <c r="E325" s="15" t="str">
        <f>IF(COUNTIFS(Master_PIC!$A$8:$A$73,$B325)=1,IF(VLOOKUP($B325,Master_PIC!$A$8:$G$73,5,FALSE)="","",VLOOKUP($B325,Master_PIC!$A$8:$G$73,5,FALSE)),"")</f>
        <v/>
      </c>
      <c r="F325" s="15" t="str">
        <f>IF(COUNTIFS(Master_PIC!$A$8:$A$73,$B325)=1,IF(VLOOKUP($B325,Master_PIC!$A$8:$G$73,6,FALSE)="","",VLOOKUP($B325,Master_PIC!$A$8:$G$73,6,FALSE)),"")</f>
        <v/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8"/>
      <c r="X325" s="5"/>
      <c r="Y325" s="5"/>
      <c r="Z325" s="9"/>
      <c r="AA325" s="5"/>
      <c r="AB325" s="5"/>
      <c r="AC325" s="9"/>
      <c r="AD325" s="5"/>
      <c r="AE325" s="7" t="str">
        <f t="shared" si="28"/>
        <v/>
      </c>
      <c r="AF325" s="7" t="str">
        <f t="shared" si="29"/>
        <v/>
      </c>
      <c r="AG325" s="7" t="str">
        <f t="shared" si="30"/>
        <v/>
      </c>
      <c r="AH325" s="7" t="str">
        <f t="shared" si="31"/>
        <v/>
      </c>
      <c r="AI325" s="7" t="str">
        <f t="shared" si="32"/>
        <v/>
      </c>
      <c r="AJ325" s="7" t="str">
        <f t="shared" si="33"/>
        <v/>
      </c>
      <c r="AK325" s="10" t="str">
        <f t="shared" si="34"/>
        <v/>
      </c>
      <c r="AL325" s="15" t="str">
        <f>IF(OR($A325&lt;&gt;"",$B325&lt;&gt;""),IF(OR($A325="",$B325=""),"Isi tanggal dan ID PIC",IF(NOT(ISNUMBER($A325)),"Tanggal harus berupa tanggal Excel",IF(COUNTIFS(Master_PIC!$A$8:$A$73,$B325)&lt;&gt;1,"ID PIC tidak unik/terdaftar",IF(VLOOKUP($B325,Master_PIC!$A$8:$G$73,3,FALSE)&lt;&gt;"ASM","Jabatan tidak sesuai sheet",IF(OR($C325="",$D325="",$E325="",$F325=""),"Lengkapi master PIC",IF(COUNTIFS($A$8:$A$507,$A325,$B$8:$B$507,$B325)&gt;1,"Laporan ganda",IF(COUNTIFS(G325:O325,"Tidak Berlaku")&gt;0,"N/A hanya untuk kegiatan bersyarat",IF(SUM(AF325,AG325,AH325,AI325,AJ325)&lt;&gt;13,"Status kegiatan tidak valid",IF(AJ325&gt;0,"Lengkapi status kegiatan",IF(AND(AI325&gt;0,T325=""),"Isi alasan Tidak Berlaku",IF(AND(SUM(AG325,AH325)&gt;0,OR(T325="",U325="",V325="",W325="")),"Isi kendala dan tindak lanjut",IF(AND(Y325&lt;&gt;"Draft",Y325&lt;&gt;"Dikirim"),"Isi status laporan yang valid",IF(AND(AA325&lt;&gt;"",AA325&lt;&gt;"Belum Diperiksa",AA325&lt;&gt;"Disetujui",AA325&lt;&gt;"Perlu Perbaikan"),"Hasil review tidak valid",IF(AND(Y325="Dikirim",OR(X325="",Z325="")),"Isi bukti dan waktu kirim",IF(AND(AA325="Disetujui",OR(Y325&lt;&gt;"Dikirim",AB325="",AC325="")),"Lengkapi pemeriksaan",IF(AND(AA325="Perlu Perbaikan",OR(AD325="",AB325="",AC325="")),"Isi pemeriksa dan catatan perbaikan","OK")))))))))))))))),"")</f>
        <v/>
      </c>
    </row>
    <row r="326" spans="1:38" ht="24.95" customHeight="1">
      <c r="A326" s="8"/>
      <c r="B326" s="6"/>
      <c r="C326" s="15" t="str">
        <f>IF(COUNTIFS(Master_PIC!$A$8:$A$73,$B326)=1,IF(VLOOKUP($B326,Master_PIC!$A$8:$G$73,2,FALSE)="","",VLOOKUP($B326,Master_PIC!$A$8:$G$73,2,FALSE)),"")</f>
        <v/>
      </c>
      <c r="D326" s="15" t="str">
        <f>IF(COUNTIFS(Master_PIC!$A$8:$A$73,$B326)=1,IF(VLOOKUP($B326,Master_PIC!$A$8:$G$73,4,FALSE)="","",VLOOKUP($B326,Master_PIC!$A$8:$G$73,4,FALSE)),"")</f>
        <v/>
      </c>
      <c r="E326" s="15" t="str">
        <f>IF(COUNTIFS(Master_PIC!$A$8:$A$73,$B326)=1,IF(VLOOKUP($B326,Master_PIC!$A$8:$G$73,5,FALSE)="","",VLOOKUP($B326,Master_PIC!$A$8:$G$73,5,FALSE)),"")</f>
        <v/>
      </c>
      <c r="F326" s="15" t="str">
        <f>IF(COUNTIFS(Master_PIC!$A$8:$A$73,$B326)=1,IF(VLOOKUP($B326,Master_PIC!$A$8:$G$73,6,FALSE)="","",VLOOKUP($B326,Master_PIC!$A$8:$G$73,6,FALSE)),"")</f>
        <v/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9"/>
      <c r="AA326" s="5"/>
      <c r="AB326" s="5"/>
      <c r="AC326" s="9"/>
      <c r="AD326" s="5"/>
      <c r="AE326" s="7" t="str">
        <f t="shared" si="28"/>
        <v/>
      </c>
      <c r="AF326" s="7" t="str">
        <f t="shared" si="29"/>
        <v/>
      </c>
      <c r="AG326" s="7" t="str">
        <f t="shared" si="30"/>
        <v/>
      </c>
      <c r="AH326" s="7" t="str">
        <f t="shared" si="31"/>
        <v/>
      </c>
      <c r="AI326" s="7" t="str">
        <f t="shared" si="32"/>
        <v/>
      </c>
      <c r="AJ326" s="7" t="str">
        <f t="shared" si="33"/>
        <v/>
      </c>
      <c r="AK326" s="10" t="str">
        <f t="shared" si="34"/>
        <v/>
      </c>
      <c r="AL326" s="15" t="str">
        <f>IF(OR($A326&lt;&gt;"",$B326&lt;&gt;""),IF(OR($A326="",$B326=""),"Isi tanggal dan ID PIC",IF(NOT(ISNUMBER($A326)),"Tanggal harus berupa tanggal Excel",IF(COUNTIFS(Master_PIC!$A$8:$A$73,$B326)&lt;&gt;1,"ID PIC tidak unik/terdaftar",IF(VLOOKUP($B326,Master_PIC!$A$8:$G$73,3,FALSE)&lt;&gt;"ASM","Jabatan tidak sesuai sheet",IF(OR($C326="",$D326="",$E326="",$F326=""),"Lengkapi master PIC",IF(COUNTIFS($A$8:$A$507,$A326,$B$8:$B$507,$B326)&gt;1,"Laporan ganda",IF(COUNTIFS(G326:O326,"Tidak Berlaku")&gt;0,"N/A hanya untuk kegiatan bersyarat",IF(SUM(AF326,AG326,AH326,AI326,AJ326)&lt;&gt;13,"Status kegiatan tidak valid",IF(AJ326&gt;0,"Lengkapi status kegiatan",IF(AND(AI326&gt;0,T326=""),"Isi alasan Tidak Berlaku",IF(AND(SUM(AG326,AH326)&gt;0,OR(T326="",U326="",V326="",W326="")),"Isi kendala dan tindak lanjut",IF(AND(Y326&lt;&gt;"Draft",Y326&lt;&gt;"Dikirim"),"Isi status laporan yang valid",IF(AND(AA326&lt;&gt;"",AA326&lt;&gt;"Belum Diperiksa",AA326&lt;&gt;"Disetujui",AA326&lt;&gt;"Perlu Perbaikan"),"Hasil review tidak valid",IF(AND(Y326="Dikirim",OR(X326="",Z326="")),"Isi bukti dan waktu kirim",IF(AND(AA326="Disetujui",OR(Y326&lt;&gt;"Dikirim",AB326="",AC326="")),"Lengkapi pemeriksaan",IF(AND(AA326="Perlu Perbaikan",OR(AD326="",AB326="",AC326="")),"Isi pemeriksa dan catatan perbaikan","OK")))))))))))))))),"")</f>
        <v/>
      </c>
    </row>
    <row r="327" spans="1:38" ht="24.95" customHeight="1">
      <c r="A327" s="8"/>
      <c r="B327" s="6"/>
      <c r="C327" s="15" t="str">
        <f>IF(COUNTIFS(Master_PIC!$A$8:$A$73,$B327)=1,IF(VLOOKUP($B327,Master_PIC!$A$8:$G$73,2,FALSE)="","",VLOOKUP($B327,Master_PIC!$A$8:$G$73,2,FALSE)),"")</f>
        <v/>
      </c>
      <c r="D327" s="15" t="str">
        <f>IF(COUNTIFS(Master_PIC!$A$8:$A$73,$B327)=1,IF(VLOOKUP($B327,Master_PIC!$A$8:$G$73,4,FALSE)="","",VLOOKUP($B327,Master_PIC!$A$8:$G$73,4,FALSE)),"")</f>
        <v/>
      </c>
      <c r="E327" s="15" t="str">
        <f>IF(COUNTIFS(Master_PIC!$A$8:$A$73,$B327)=1,IF(VLOOKUP($B327,Master_PIC!$A$8:$G$73,5,FALSE)="","",VLOOKUP($B327,Master_PIC!$A$8:$G$73,5,FALSE)),"")</f>
        <v/>
      </c>
      <c r="F327" s="15" t="str">
        <f>IF(COUNTIFS(Master_PIC!$A$8:$A$73,$B327)=1,IF(VLOOKUP($B327,Master_PIC!$A$8:$G$73,6,FALSE)="","",VLOOKUP($B327,Master_PIC!$A$8:$G$73,6,FALSE)),"")</f>
        <v/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8"/>
      <c r="X327" s="5"/>
      <c r="Y327" s="5"/>
      <c r="Z327" s="9"/>
      <c r="AA327" s="5"/>
      <c r="AB327" s="5"/>
      <c r="AC327" s="9"/>
      <c r="AD327" s="5"/>
      <c r="AE327" s="7" t="str">
        <f t="shared" si="28"/>
        <v/>
      </c>
      <c r="AF327" s="7" t="str">
        <f t="shared" si="29"/>
        <v/>
      </c>
      <c r="AG327" s="7" t="str">
        <f t="shared" si="30"/>
        <v/>
      </c>
      <c r="AH327" s="7" t="str">
        <f t="shared" si="31"/>
        <v/>
      </c>
      <c r="AI327" s="7" t="str">
        <f t="shared" si="32"/>
        <v/>
      </c>
      <c r="AJ327" s="7" t="str">
        <f t="shared" si="33"/>
        <v/>
      </c>
      <c r="AK327" s="10" t="str">
        <f t="shared" si="34"/>
        <v/>
      </c>
      <c r="AL327" s="15" t="str">
        <f>IF(OR($A327&lt;&gt;"",$B327&lt;&gt;""),IF(OR($A327="",$B327=""),"Isi tanggal dan ID PIC",IF(NOT(ISNUMBER($A327)),"Tanggal harus berupa tanggal Excel",IF(COUNTIFS(Master_PIC!$A$8:$A$73,$B327)&lt;&gt;1,"ID PIC tidak unik/terdaftar",IF(VLOOKUP($B327,Master_PIC!$A$8:$G$73,3,FALSE)&lt;&gt;"ASM","Jabatan tidak sesuai sheet",IF(OR($C327="",$D327="",$E327="",$F327=""),"Lengkapi master PIC",IF(COUNTIFS($A$8:$A$507,$A327,$B$8:$B$507,$B327)&gt;1,"Laporan ganda",IF(COUNTIFS(G327:O327,"Tidak Berlaku")&gt;0,"N/A hanya untuk kegiatan bersyarat",IF(SUM(AF327,AG327,AH327,AI327,AJ327)&lt;&gt;13,"Status kegiatan tidak valid",IF(AJ327&gt;0,"Lengkapi status kegiatan",IF(AND(AI327&gt;0,T327=""),"Isi alasan Tidak Berlaku",IF(AND(SUM(AG327,AH327)&gt;0,OR(T327="",U327="",V327="",W327="")),"Isi kendala dan tindak lanjut",IF(AND(Y327&lt;&gt;"Draft",Y327&lt;&gt;"Dikirim"),"Isi status laporan yang valid",IF(AND(AA327&lt;&gt;"",AA327&lt;&gt;"Belum Diperiksa",AA327&lt;&gt;"Disetujui",AA327&lt;&gt;"Perlu Perbaikan"),"Hasil review tidak valid",IF(AND(Y327="Dikirim",OR(X327="",Z327="")),"Isi bukti dan waktu kirim",IF(AND(AA327="Disetujui",OR(Y327&lt;&gt;"Dikirim",AB327="",AC327="")),"Lengkapi pemeriksaan",IF(AND(AA327="Perlu Perbaikan",OR(AD327="",AB327="",AC327="")),"Isi pemeriksa dan catatan perbaikan","OK")))))))))))))))),"")</f>
        <v/>
      </c>
    </row>
    <row r="328" spans="1:38" ht="24.95" customHeight="1">
      <c r="A328" s="8"/>
      <c r="B328" s="6"/>
      <c r="C328" s="15" t="str">
        <f>IF(COUNTIFS(Master_PIC!$A$8:$A$73,$B328)=1,IF(VLOOKUP($B328,Master_PIC!$A$8:$G$73,2,FALSE)="","",VLOOKUP($B328,Master_PIC!$A$8:$G$73,2,FALSE)),"")</f>
        <v/>
      </c>
      <c r="D328" s="15" t="str">
        <f>IF(COUNTIFS(Master_PIC!$A$8:$A$73,$B328)=1,IF(VLOOKUP($B328,Master_PIC!$A$8:$G$73,4,FALSE)="","",VLOOKUP($B328,Master_PIC!$A$8:$G$73,4,FALSE)),"")</f>
        <v/>
      </c>
      <c r="E328" s="15" t="str">
        <f>IF(COUNTIFS(Master_PIC!$A$8:$A$73,$B328)=1,IF(VLOOKUP($B328,Master_PIC!$A$8:$G$73,5,FALSE)="","",VLOOKUP($B328,Master_PIC!$A$8:$G$73,5,FALSE)),"")</f>
        <v/>
      </c>
      <c r="F328" s="15" t="str">
        <f>IF(COUNTIFS(Master_PIC!$A$8:$A$73,$B328)=1,IF(VLOOKUP($B328,Master_PIC!$A$8:$G$73,6,FALSE)="","",VLOOKUP($B328,Master_PIC!$A$8:$G$73,6,FALSE)),"")</f>
        <v/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8"/>
      <c r="X328" s="5"/>
      <c r="Y328" s="5"/>
      <c r="Z328" s="9"/>
      <c r="AA328" s="5"/>
      <c r="AB328" s="5"/>
      <c r="AC328" s="9"/>
      <c r="AD328" s="5"/>
      <c r="AE328" s="7" t="str">
        <f t="shared" ref="AE328:AE391" si="35">IF(OR($A328&lt;&gt;"",$B328&lt;&gt;""),13-AI328,"")</f>
        <v/>
      </c>
      <c r="AF328" s="7" t="str">
        <f t="shared" ref="AF328:AF391" si="36">IF(OR($A328&lt;&gt;"",$B328&lt;&gt;""),COUNTIFS(G328:S328,"Selesai"),"")</f>
        <v/>
      </c>
      <c r="AG328" s="7" t="str">
        <f t="shared" ref="AG328:AG391" si="37">IF(OR($A328&lt;&gt;"",$B328&lt;&gt;""),COUNTIFS(G328:S328,"Proses"),"")</f>
        <v/>
      </c>
      <c r="AH328" s="7" t="str">
        <f t="shared" ref="AH328:AH391" si="38">IF(OR($A328&lt;&gt;"",$B328&lt;&gt;""),COUNTIFS(G328:S328,"Belum"),"")</f>
        <v/>
      </c>
      <c r="AI328" s="7" t="str">
        <f t="shared" ref="AI328:AI391" si="39">IF(OR($A328&lt;&gt;"",$B328&lt;&gt;""),COUNTIFS(G328:S328,"Tidak Berlaku"),"")</f>
        <v/>
      </c>
      <c r="AJ328" s="7" t="str">
        <f t="shared" ref="AJ328:AJ391" si="40">IF(OR($A328&lt;&gt;"",$B328&lt;&gt;""),COUNTBLANK(G328:S328),"")</f>
        <v/>
      </c>
      <c r="AK328" s="10" t="str">
        <f t="shared" ref="AK328:AK391" si="41">IF(OR($A328&lt;&gt;"",$B328&lt;&gt;""),IF(AE328=0,"n.a.",AF328/AE328),"")</f>
        <v/>
      </c>
      <c r="AL328" s="15" t="str">
        <f>IF(OR($A328&lt;&gt;"",$B328&lt;&gt;""),IF(OR($A328="",$B328=""),"Isi tanggal dan ID PIC",IF(NOT(ISNUMBER($A328)),"Tanggal harus berupa tanggal Excel",IF(COUNTIFS(Master_PIC!$A$8:$A$73,$B328)&lt;&gt;1,"ID PIC tidak unik/terdaftar",IF(VLOOKUP($B328,Master_PIC!$A$8:$G$73,3,FALSE)&lt;&gt;"ASM","Jabatan tidak sesuai sheet",IF(OR($C328="",$D328="",$E328="",$F328=""),"Lengkapi master PIC",IF(COUNTIFS($A$8:$A$507,$A328,$B$8:$B$507,$B328)&gt;1,"Laporan ganda",IF(COUNTIFS(G328:O328,"Tidak Berlaku")&gt;0,"N/A hanya untuk kegiatan bersyarat",IF(SUM(AF328,AG328,AH328,AI328,AJ328)&lt;&gt;13,"Status kegiatan tidak valid",IF(AJ328&gt;0,"Lengkapi status kegiatan",IF(AND(AI328&gt;0,T328=""),"Isi alasan Tidak Berlaku",IF(AND(SUM(AG328,AH328)&gt;0,OR(T328="",U328="",V328="",W328="")),"Isi kendala dan tindak lanjut",IF(AND(Y328&lt;&gt;"Draft",Y328&lt;&gt;"Dikirim"),"Isi status laporan yang valid",IF(AND(AA328&lt;&gt;"",AA328&lt;&gt;"Belum Diperiksa",AA328&lt;&gt;"Disetujui",AA328&lt;&gt;"Perlu Perbaikan"),"Hasil review tidak valid",IF(AND(Y328="Dikirim",OR(X328="",Z328="")),"Isi bukti dan waktu kirim",IF(AND(AA328="Disetujui",OR(Y328&lt;&gt;"Dikirim",AB328="",AC328="")),"Lengkapi pemeriksaan",IF(AND(AA328="Perlu Perbaikan",OR(AD328="",AB328="",AC328="")),"Isi pemeriksa dan catatan perbaikan","OK")))))))))))))))),"")</f>
        <v/>
      </c>
    </row>
    <row r="329" spans="1:38" ht="24.95" customHeight="1">
      <c r="A329" s="8"/>
      <c r="B329" s="6"/>
      <c r="C329" s="15" t="str">
        <f>IF(COUNTIFS(Master_PIC!$A$8:$A$73,$B329)=1,IF(VLOOKUP($B329,Master_PIC!$A$8:$G$73,2,FALSE)="","",VLOOKUP($B329,Master_PIC!$A$8:$G$73,2,FALSE)),"")</f>
        <v/>
      </c>
      <c r="D329" s="15" t="str">
        <f>IF(COUNTIFS(Master_PIC!$A$8:$A$73,$B329)=1,IF(VLOOKUP($B329,Master_PIC!$A$8:$G$73,4,FALSE)="","",VLOOKUP($B329,Master_PIC!$A$8:$G$73,4,FALSE)),"")</f>
        <v/>
      </c>
      <c r="E329" s="15" t="str">
        <f>IF(COUNTIFS(Master_PIC!$A$8:$A$73,$B329)=1,IF(VLOOKUP($B329,Master_PIC!$A$8:$G$73,5,FALSE)="","",VLOOKUP($B329,Master_PIC!$A$8:$G$73,5,FALSE)),"")</f>
        <v/>
      </c>
      <c r="F329" s="15" t="str">
        <f>IF(COUNTIFS(Master_PIC!$A$8:$A$73,$B329)=1,IF(VLOOKUP($B329,Master_PIC!$A$8:$G$73,6,FALSE)="","",VLOOKUP($B329,Master_PIC!$A$8:$G$73,6,FALSE)),"")</f>
        <v/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8"/>
      <c r="X329" s="5"/>
      <c r="Y329" s="5"/>
      <c r="Z329" s="9"/>
      <c r="AA329" s="5"/>
      <c r="AB329" s="5"/>
      <c r="AC329" s="9"/>
      <c r="AD329" s="5"/>
      <c r="AE329" s="7" t="str">
        <f t="shared" si="35"/>
        <v/>
      </c>
      <c r="AF329" s="7" t="str">
        <f t="shared" si="36"/>
        <v/>
      </c>
      <c r="AG329" s="7" t="str">
        <f t="shared" si="37"/>
        <v/>
      </c>
      <c r="AH329" s="7" t="str">
        <f t="shared" si="38"/>
        <v/>
      </c>
      <c r="AI329" s="7" t="str">
        <f t="shared" si="39"/>
        <v/>
      </c>
      <c r="AJ329" s="7" t="str">
        <f t="shared" si="40"/>
        <v/>
      </c>
      <c r="AK329" s="10" t="str">
        <f t="shared" si="41"/>
        <v/>
      </c>
      <c r="AL329" s="15" t="str">
        <f>IF(OR($A329&lt;&gt;"",$B329&lt;&gt;""),IF(OR($A329="",$B329=""),"Isi tanggal dan ID PIC",IF(NOT(ISNUMBER($A329)),"Tanggal harus berupa tanggal Excel",IF(COUNTIFS(Master_PIC!$A$8:$A$73,$B329)&lt;&gt;1,"ID PIC tidak unik/terdaftar",IF(VLOOKUP($B329,Master_PIC!$A$8:$G$73,3,FALSE)&lt;&gt;"ASM","Jabatan tidak sesuai sheet",IF(OR($C329="",$D329="",$E329="",$F329=""),"Lengkapi master PIC",IF(COUNTIFS($A$8:$A$507,$A329,$B$8:$B$507,$B329)&gt;1,"Laporan ganda",IF(COUNTIFS(G329:O329,"Tidak Berlaku")&gt;0,"N/A hanya untuk kegiatan bersyarat",IF(SUM(AF329,AG329,AH329,AI329,AJ329)&lt;&gt;13,"Status kegiatan tidak valid",IF(AJ329&gt;0,"Lengkapi status kegiatan",IF(AND(AI329&gt;0,T329=""),"Isi alasan Tidak Berlaku",IF(AND(SUM(AG329,AH329)&gt;0,OR(T329="",U329="",V329="",W329="")),"Isi kendala dan tindak lanjut",IF(AND(Y329&lt;&gt;"Draft",Y329&lt;&gt;"Dikirim"),"Isi status laporan yang valid",IF(AND(AA329&lt;&gt;"",AA329&lt;&gt;"Belum Diperiksa",AA329&lt;&gt;"Disetujui",AA329&lt;&gt;"Perlu Perbaikan"),"Hasil review tidak valid",IF(AND(Y329="Dikirim",OR(X329="",Z329="")),"Isi bukti dan waktu kirim",IF(AND(AA329="Disetujui",OR(Y329&lt;&gt;"Dikirim",AB329="",AC329="")),"Lengkapi pemeriksaan",IF(AND(AA329="Perlu Perbaikan",OR(AD329="",AB329="",AC329="")),"Isi pemeriksa dan catatan perbaikan","OK")))))))))))))))),"")</f>
        <v/>
      </c>
    </row>
    <row r="330" spans="1:38" ht="24.95" customHeight="1">
      <c r="A330" s="8"/>
      <c r="B330" s="6"/>
      <c r="C330" s="15" t="str">
        <f>IF(COUNTIFS(Master_PIC!$A$8:$A$73,$B330)=1,IF(VLOOKUP($B330,Master_PIC!$A$8:$G$73,2,FALSE)="","",VLOOKUP($B330,Master_PIC!$A$8:$G$73,2,FALSE)),"")</f>
        <v/>
      </c>
      <c r="D330" s="15" t="str">
        <f>IF(COUNTIFS(Master_PIC!$A$8:$A$73,$B330)=1,IF(VLOOKUP($B330,Master_PIC!$A$8:$G$73,4,FALSE)="","",VLOOKUP($B330,Master_PIC!$A$8:$G$73,4,FALSE)),"")</f>
        <v/>
      </c>
      <c r="E330" s="15" t="str">
        <f>IF(COUNTIFS(Master_PIC!$A$8:$A$73,$B330)=1,IF(VLOOKUP($B330,Master_PIC!$A$8:$G$73,5,FALSE)="","",VLOOKUP($B330,Master_PIC!$A$8:$G$73,5,FALSE)),"")</f>
        <v/>
      </c>
      <c r="F330" s="15" t="str">
        <f>IF(COUNTIFS(Master_PIC!$A$8:$A$73,$B330)=1,IF(VLOOKUP($B330,Master_PIC!$A$8:$G$73,6,FALSE)="","",VLOOKUP($B330,Master_PIC!$A$8:$G$73,6,FALSE)),"")</f>
        <v/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8"/>
      <c r="X330" s="5"/>
      <c r="Y330" s="5"/>
      <c r="Z330" s="9"/>
      <c r="AA330" s="5"/>
      <c r="AB330" s="5"/>
      <c r="AC330" s="9"/>
      <c r="AD330" s="5"/>
      <c r="AE330" s="7" t="str">
        <f t="shared" si="35"/>
        <v/>
      </c>
      <c r="AF330" s="7" t="str">
        <f t="shared" si="36"/>
        <v/>
      </c>
      <c r="AG330" s="7" t="str">
        <f t="shared" si="37"/>
        <v/>
      </c>
      <c r="AH330" s="7" t="str">
        <f t="shared" si="38"/>
        <v/>
      </c>
      <c r="AI330" s="7" t="str">
        <f t="shared" si="39"/>
        <v/>
      </c>
      <c r="AJ330" s="7" t="str">
        <f t="shared" si="40"/>
        <v/>
      </c>
      <c r="AK330" s="10" t="str">
        <f t="shared" si="41"/>
        <v/>
      </c>
      <c r="AL330" s="15" t="str">
        <f>IF(OR($A330&lt;&gt;"",$B330&lt;&gt;""),IF(OR($A330="",$B330=""),"Isi tanggal dan ID PIC",IF(NOT(ISNUMBER($A330)),"Tanggal harus berupa tanggal Excel",IF(COUNTIFS(Master_PIC!$A$8:$A$73,$B330)&lt;&gt;1,"ID PIC tidak unik/terdaftar",IF(VLOOKUP($B330,Master_PIC!$A$8:$G$73,3,FALSE)&lt;&gt;"ASM","Jabatan tidak sesuai sheet",IF(OR($C330="",$D330="",$E330="",$F330=""),"Lengkapi master PIC",IF(COUNTIFS($A$8:$A$507,$A330,$B$8:$B$507,$B330)&gt;1,"Laporan ganda",IF(COUNTIFS(G330:O330,"Tidak Berlaku")&gt;0,"N/A hanya untuk kegiatan bersyarat",IF(SUM(AF330,AG330,AH330,AI330,AJ330)&lt;&gt;13,"Status kegiatan tidak valid",IF(AJ330&gt;0,"Lengkapi status kegiatan",IF(AND(AI330&gt;0,T330=""),"Isi alasan Tidak Berlaku",IF(AND(SUM(AG330,AH330)&gt;0,OR(T330="",U330="",V330="",W330="")),"Isi kendala dan tindak lanjut",IF(AND(Y330&lt;&gt;"Draft",Y330&lt;&gt;"Dikirim"),"Isi status laporan yang valid",IF(AND(AA330&lt;&gt;"",AA330&lt;&gt;"Belum Diperiksa",AA330&lt;&gt;"Disetujui",AA330&lt;&gt;"Perlu Perbaikan"),"Hasil review tidak valid",IF(AND(Y330="Dikirim",OR(X330="",Z330="")),"Isi bukti dan waktu kirim",IF(AND(AA330="Disetujui",OR(Y330&lt;&gt;"Dikirim",AB330="",AC330="")),"Lengkapi pemeriksaan",IF(AND(AA330="Perlu Perbaikan",OR(AD330="",AB330="",AC330="")),"Isi pemeriksa dan catatan perbaikan","OK")))))))))))))))),"")</f>
        <v/>
      </c>
    </row>
    <row r="331" spans="1:38" ht="24.95" customHeight="1">
      <c r="A331" s="8"/>
      <c r="B331" s="6"/>
      <c r="C331" s="15" t="str">
        <f>IF(COUNTIFS(Master_PIC!$A$8:$A$73,$B331)=1,IF(VLOOKUP($B331,Master_PIC!$A$8:$G$73,2,FALSE)="","",VLOOKUP($B331,Master_PIC!$A$8:$G$73,2,FALSE)),"")</f>
        <v/>
      </c>
      <c r="D331" s="15" t="str">
        <f>IF(COUNTIFS(Master_PIC!$A$8:$A$73,$B331)=1,IF(VLOOKUP($B331,Master_PIC!$A$8:$G$73,4,FALSE)="","",VLOOKUP($B331,Master_PIC!$A$8:$G$73,4,FALSE)),"")</f>
        <v/>
      </c>
      <c r="E331" s="15" t="str">
        <f>IF(COUNTIFS(Master_PIC!$A$8:$A$73,$B331)=1,IF(VLOOKUP($B331,Master_PIC!$A$8:$G$73,5,FALSE)="","",VLOOKUP($B331,Master_PIC!$A$8:$G$73,5,FALSE)),"")</f>
        <v/>
      </c>
      <c r="F331" s="15" t="str">
        <f>IF(COUNTIFS(Master_PIC!$A$8:$A$73,$B331)=1,IF(VLOOKUP($B331,Master_PIC!$A$8:$G$73,6,FALSE)="","",VLOOKUP($B331,Master_PIC!$A$8:$G$73,6,FALSE)),"")</f>
        <v/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8"/>
      <c r="X331" s="5"/>
      <c r="Y331" s="5"/>
      <c r="Z331" s="9"/>
      <c r="AA331" s="5"/>
      <c r="AB331" s="5"/>
      <c r="AC331" s="9"/>
      <c r="AD331" s="5"/>
      <c r="AE331" s="7" t="str">
        <f t="shared" si="35"/>
        <v/>
      </c>
      <c r="AF331" s="7" t="str">
        <f t="shared" si="36"/>
        <v/>
      </c>
      <c r="AG331" s="7" t="str">
        <f t="shared" si="37"/>
        <v/>
      </c>
      <c r="AH331" s="7" t="str">
        <f t="shared" si="38"/>
        <v/>
      </c>
      <c r="AI331" s="7" t="str">
        <f t="shared" si="39"/>
        <v/>
      </c>
      <c r="AJ331" s="7" t="str">
        <f t="shared" si="40"/>
        <v/>
      </c>
      <c r="AK331" s="10" t="str">
        <f t="shared" si="41"/>
        <v/>
      </c>
      <c r="AL331" s="15" t="str">
        <f>IF(OR($A331&lt;&gt;"",$B331&lt;&gt;""),IF(OR($A331="",$B331=""),"Isi tanggal dan ID PIC",IF(NOT(ISNUMBER($A331)),"Tanggal harus berupa tanggal Excel",IF(COUNTIFS(Master_PIC!$A$8:$A$73,$B331)&lt;&gt;1,"ID PIC tidak unik/terdaftar",IF(VLOOKUP($B331,Master_PIC!$A$8:$G$73,3,FALSE)&lt;&gt;"ASM","Jabatan tidak sesuai sheet",IF(OR($C331="",$D331="",$E331="",$F331=""),"Lengkapi master PIC",IF(COUNTIFS($A$8:$A$507,$A331,$B$8:$B$507,$B331)&gt;1,"Laporan ganda",IF(COUNTIFS(G331:O331,"Tidak Berlaku")&gt;0,"N/A hanya untuk kegiatan bersyarat",IF(SUM(AF331,AG331,AH331,AI331,AJ331)&lt;&gt;13,"Status kegiatan tidak valid",IF(AJ331&gt;0,"Lengkapi status kegiatan",IF(AND(AI331&gt;0,T331=""),"Isi alasan Tidak Berlaku",IF(AND(SUM(AG331,AH331)&gt;0,OR(T331="",U331="",V331="",W331="")),"Isi kendala dan tindak lanjut",IF(AND(Y331&lt;&gt;"Draft",Y331&lt;&gt;"Dikirim"),"Isi status laporan yang valid",IF(AND(AA331&lt;&gt;"",AA331&lt;&gt;"Belum Diperiksa",AA331&lt;&gt;"Disetujui",AA331&lt;&gt;"Perlu Perbaikan"),"Hasil review tidak valid",IF(AND(Y331="Dikirim",OR(X331="",Z331="")),"Isi bukti dan waktu kirim",IF(AND(AA331="Disetujui",OR(Y331&lt;&gt;"Dikirim",AB331="",AC331="")),"Lengkapi pemeriksaan",IF(AND(AA331="Perlu Perbaikan",OR(AD331="",AB331="",AC331="")),"Isi pemeriksa dan catatan perbaikan","OK")))))))))))))))),"")</f>
        <v/>
      </c>
    </row>
    <row r="332" spans="1:38" ht="24.95" customHeight="1">
      <c r="A332" s="8"/>
      <c r="B332" s="6"/>
      <c r="C332" s="15" t="str">
        <f>IF(COUNTIFS(Master_PIC!$A$8:$A$73,$B332)=1,IF(VLOOKUP($B332,Master_PIC!$A$8:$G$73,2,FALSE)="","",VLOOKUP($B332,Master_PIC!$A$8:$G$73,2,FALSE)),"")</f>
        <v/>
      </c>
      <c r="D332" s="15" t="str">
        <f>IF(COUNTIFS(Master_PIC!$A$8:$A$73,$B332)=1,IF(VLOOKUP($B332,Master_PIC!$A$8:$G$73,4,FALSE)="","",VLOOKUP($B332,Master_PIC!$A$8:$G$73,4,FALSE)),"")</f>
        <v/>
      </c>
      <c r="E332" s="15" t="str">
        <f>IF(COUNTIFS(Master_PIC!$A$8:$A$73,$B332)=1,IF(VLOOKUP($B332,Master_PIC!$A$8:$G$73,5,FALSE)="","",VLOOKUP($B332,Master_PIC!$A$8:$G$73,5,FALSE)),"")</f>
        <v/>
      </c>
      <c r="F332" s="15" t="str">
        <f>IF(COUNTIFS(Master_PIC!$A$8:$A$73,$B332)=1,IF(VLOOKUP($B332,Master_PIC!$A$8:$G$73,6,FALSE)="","",VLOOKUP($B332,Master_PIC!$A$8:$G$73,6,FALSE)),"")</f>
        <v/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8"/>
      <c r="X332" s="5"/>
      <c r="Y332" s="5"/>
      <c r="Z332" s="9"/>
      <c r="AA332" s="5"/>
      <c r="AB332" s="5"/>
      <c r="AC332" s="9"/>
      <c r="AD332" s="5"/>
      <c r="AE332" s="7" t="str">
        <f t="shared" si="35"/>
        <v/>
      </c>
      <c r="AF332" s="7" t="str">
        <f t="shared" si="36"/>
        <v/>
      </c>
      <c r="AG332" s="7" t="str">
        <f t="shared" si="37"/>
        <v/>
      </c>
      <c r="AH332" s="7" t="str">
        <f t="shared" si="38"/>
        <v/>
      </c>
      <c r="AI332" s="7" t="str">
        <f t="shared" si="39"/>
        <v/>
      </c>
      <c r="AJ332" s="7" t="str">
        <f t="shared" si="40"/>
        <v/>
      </c>
      <c r="AK332" s="10" t="str">
        <f t="shared" si="41"/>
        <v/>
      </c>
      <c r="AL332" s="15" t="str">
        <f>IF(OR($A332&lt;&gt;"",$B332&lt;&gt;""),IF(OR($A332="",$B332=""),"Isi tanggal dan ID PIC",IF(NOT(ISNUMBER($A332)),"Tanggal harus berupa tanggal Excel",IF(COUNTIFS(Master_PIC!$A$8:$A$73,$B332)&lt;&gt;1,"ID PIC tidak unik/terdaftar",IF(VLOOKUP($B332,Master_PIC!$A$8:$G$73,3,FALSE)&lt;&gt;"ASM","Jabatan tidak sesuai sheet",IF(OR($C332="",$D332="",$E332="",$F332=""),"Lengkapi master PIC",IF(COUNTIFS($A$8:$A$507,$A332,$B$8:$B$507,$B332)&gt;1,"Laporan ganda",IF(COUNTIFS(G332:O332,"Tidak Berlaku")&gt;0,"N/A hanya untuk kegiatan bersyarat",IF(SUM(AF332,AG332,AH332,AI332,AJ332)&lt;&gt;13,"Status kegiatan tidak valid",IF(AJ332&gt;0,"Lengkapi status kegiatan",IF(AND(AI332&gt;0,T332=""),"Isi alasan Tidak Berlaku",IF(AND(SUM(AG332,AH332)&gt;0,OR(T332="",U332="",V332="",W332="")),"Isi kendala dan tindak lanjut",IF(AND(Y332&lt;&gt;"Draft",Y332&lt;&gt;"Dikirim"),"Isi status laporan yang valid",IF(AND(AA332&lt;&gt;"",AA332&lt;&gt;"Belum Diperiksa",AA332&lt;&gt;"Disetujui",AA332&lt;&gt;"Perlu Perbaikan"),"Hasil review tidak valid",IF(AND(Y332="Dikirim",OR(X332="",Z332="")),"Isi bukti dan waktu kirim",IF(AND(AA332="Disetujui",OR(Y332&lt;&gt;"Dikirim",AB332="",AC332="")),"Lengkapi pemeriksaan",IF(AND(AA332="Perlu Perbaikan",OR(AD332="",AB332="",AC332="")),"Isi pemeriksa dan catatan perbaikan","OK")))))))))))))))),"")</f>
        <v/>
      </c>
    </row>
    <row r="333" spans="1:38" ht="24.95" customHeight="1">
      <c r="A333" s="8"/>
      <c r="B333" s="6"/>
      <c r="C333" s="15" t="str">
        <f>IF(COUNTIFS(Master_PIC!$A$8:$A$73,$B333)=1,IF(VLOOKUP($B333,Master_PIC!$A$8:$G$73,2,FALSE)="","",VLOOKUP($B333,Master_PIC!$A$8:$G$73,2,FALSE)),"")</f>
        <v/>
      </c>
      <c r="D333" s="15" t="str">
        <f>IF(COUNTIFS(Master_PIC!$A$8:$A$73,$B333)=1,IF(VLOOKUP($B333,Master_PIC!$A$8:$G$73,4,FALSE)="","",VLOOKUP($B333,Master_PIC!$A$8:$G$73,4,FALSE)),"")</f>
        <v/>
      </c>
      <c r="E333" s="15" t="str">
        <f>IF(COUNTIFS(Master_PIC!$A$8:$A$73,$B333)=1,IF(VLOOKUP($B333,Master_PIC!$A$8:$G$73,5,FALSE)="","",VLOOKUP($B333,Master_PIC!$A$8:$G$73,5,FALSE)),"")</f>
        <v/>
      </c>
      <c r="F333" s="15" t="str">
        <f>IF(COUNTIFS(Master_PIC!$A$8:$A$73,$B333)=1,IF(VLOOKUP($B333,Master_PIC!$A$8:$G$73,6,FALSE)="","",VLOOKUP($B333,Master_PIC!$A$8:$G$73,6,FALSE)),"")</f>
        <v/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9"/>
      <c r="AA333" s="5"/>
      <c r="AB333" s="5"/>
      <c r="AC333" s="9"/>
      <c r="AD333" s="5"/>
      <c r="AE333" s="7" t="str">
        <f t="shared" si="35"/>
        <v/>
      </c>
      <c r="AF333" s="7" t="str">
        <f t="shared" si="36"/>
        <v/>
      </c>
      <c r="AG333" s="7" t="str">
        <f t="shared" si="37"/>
        <v/>
      </c>
      <c r="AH333" s="7" t="str">
        <f t="shared" si="38"/>
        <v/>
      </c>
      <c r="AI333" s="7" t="str">
        <f t="shared" si="39"/>
        <v/>
      </c>
      <c r="AJ333" s="7" t="str">
        <f t="shared" si="40"/>
        <v/>
      </c>
      <c r="AK333" s="10" t="str">
        <f t="shared" si="41"/>
        <v/>
      </c>
      <c r="AL333" s="15" t="str">
        <f>IF(OR($A333&lt;&gt;"",$B333&lt;&gt;""),IF(OR($A333="",$B333=""),"Isi tanggal dan ID PIC",IF(NOT(ISNUMBER($A333)),"Tanggal harus berupa tanggal Excel",IF(COUNTIFS(Master_PIC!$A$8:$A$73,$B333)&lt;&gt;1,"ID PIC tidak unik/terdaftar",IF(VLOOKUP($B333,Master_PIC!$A$8:$G$73,3,FALSE)&lt;&gt;"ASM","Jabatan tidak sesuai sheet",IF(OR($C333="",$D333="",$E333="",$F333=""),"Lengkapi master PIC",IF(COUNTIFS($A$8:$A$507,$A333,$B$8:$B$507,$B333)&gt;1,"Laporan ganda",IF(COUNTIFS(G333:O333,"Tidak Berlaku")&gt;0,"N/A hanya untuk kegiatan bersyarat",IF(SUM(AF333,AG333,AH333,AI333,AJ333)&lt;&gt;13,"Status kegiatan tidak valid",IF(AJ333&gt;0,"Lengkapi status kegiatan",IF(AND(AI333&gt;0,T333=""),"Isi alasan Tidak Berlaku",IF(AND(SUM(AG333,AH333)&gt;0,OR(T333="",U333="",V333="",W333="")),"Isi kendala dan tindak lanjut",IF(AND(Y333&lt;&gt;"Draft",Y333&lt;&gt;"Dikirim"),"Isi status laporan yang valid",IF(AND(AA333&lt;&gt;"",AA333&lt;&gt;"Belum Diperiksa",AA333&lt;&gt;"Disetujui",AA333&lt;&gt;"Perlu Perbaikan"),"Hasil review tidak valid",IF(AND(Y333="Dikirim",OR(X333="",Z333="")),"Isi bukti dan waktu kirim",IF(AND(AA333="Disetujui",OR(Y333&lt;&gt;"Dikirim",AB333="",AC333="")),"Lengkapi pemeriksaan",IF(AND(AA333="Perlu Perbaikan",OR(AD333="",AB333="",AC333="")),"Isi pemeriksa dan catatan perbaikan","OK")))))))))))))))),"")</f>
        <v/>
      </c>
    </row>
    <row r="334" spans="1:38" ht="24.95" customHeight="1">
      <c r="A334" s="8"/>
      <c r="B334" s="6"/>
      <c r="C334" s="15" t="str">
        <f>IF(COUNTIFS(Master_PIC!$A$8:$A$73,$B334)=1,IF(VLOOKUP($B334,Master_PIC!$A$8:$G$73,2,FALSE)="","",VLOOKUP($B334,Master_PIC!$A$8:$G$73,2,FALSE)),"")</f>
        <v/>
      </c>
      <c r="D334" s="15" t="str">
        <f>IF(COUNTIFS(Master_PIC!$A$8:$A$73,$B334)=1,IF(VLOOKUP($B334,Master_PIC!$A$8:$G$73,4,FALSE)="","",VLOOKUP($B334,Master_PIC!$A$8:$G$73,4,FALSE)),"")</f>
        <v/>
      </c>
      <c r="E334" s="15" t="str">
        <f>IF(COUNTIFS(Master_PIC!$A$8:$A$73,$B334)=1,IF(VLOOKUP($B334,Master_PIC!$A$8:$G$73,5,FALSE)="","",VLOOKUP($B334,Master_PIC!$A$8:$G$73,5,FALSE)),"")</f>
        <v/>
      </c>
      <c r="F334" s="15" t="str">
        <f>IF(COUNTIFS(Master_PIC!$A$8:$A$73,$B334)=1,IF(VLOOKUP($B334,Master_PIC!$A$8:$G$73,6,FALSE)="","",VLOOKUP($B334,Master_PIC!$A$8:$G$73,6,FALSE)),"")</f>
        <v/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8"/>
      <c r="X334" s="5"/>
      <c r="Y334" s="5"/>
      <c r="Z334" s="9"/>
      <c r="AA334" s="5"/>
      <c r="AB334" s="5"/>
      <c r="AC334" s="9"/>
      <c r="AD334" s="5"/>
      <c r="AE334" s="7" t="str">
        <f t="shared" si="35"/>
        <v/>
      </c>
      <c r="AF334" s="7" t="str">
        <f t="shared" si="36"/>
        <v/>
      </c>
      <c r="AG334" s="7" t="str">
        <f t="shared" si="37"/>
        <v/>
      </c>
      <c r="AH334" s="7" t="str">
        <f t="shared" si="38"/>
        <v/>
      </c>
      <c r="AI334" s="7" t="str">
        <f t="shared" si="39"/>
        <v/>
      </c>
      <c r="AJ334" s="7" t="str">
        <f t="shared" si="40"/>
        <v/>
      </c>
      <c r="AK334" s="10" t="str">
        <f t="shared" si="41"/>
        <v/>
      </c>
      <c r="AL334" s="15" t="str">
        <f>IF(OR($A334&lt;&gt;"",$B334&lt;&gt;""),IF(OR($A334="",$B334=""),"Isi tanggal dan ID PIC",IF(NOT(ISNUMBER($A334)),"Tanggal harus berupa tanggal Excel",IF(COUNTIFS(Master_PIC!$A$8:$A$73,$B334)&lt;&gt;1,"ID PIC tidak unik/terdaftar",IF(VLOOKUP($B334,Master_PIC!$A$8:$G$73,3,FALSE)&lt;&gt;"ASM","Jabatan tidak sesuai sheet",IF(OR($C334="",$D334="",$E334="",$F334=""),"Lengkapi master PIC",IF(COUNTIFS($A$8:$A$507,$A334,$B$8:$B$507,$B334)&gt;1,"Laporan ganda",IF(COUNTIFS(G334:O334,"Tidak Berlaku")&gt;0,"N/A hanya untuk kegiatan bersyarat",IF(SUM(AF334,AG334,AH334,AI334,AJ334)&lt;&gt;13,"Status kegiatan tidak valid",IF(AJ334&gt;0,"Lengkapi status kegiatan",IF(AND(AI334&gt;0,T334=""),"Isi alasan Tidak Berlaku",IF(AND(SUM(AG334,AH334)&gt;0,OR(T334="",U334="",V334="",W334="")),"Isi kendala dan tindak lanjut",IF(AND(Y334&lt;&gt;"Draft",Y334&lt;&gt;"Dikirim"),"Isi status laporan yang valid",IF(AND(AA334&lt;&gt;"",AA334&lt;&gt;"Belum Diperiksa",AA334&lt;&gt;"Disetujui",AA334&lt;&gt;"Perlu Perbaikan"),"Hasil review tidak valid",IF(AND(Y334="Dikirim",OR(X334="",Z334="")),"Isi bukti dan waktu kirim",IF(AND(AA334="Disetujui",OR(Y334&lt;&gt;"Dikirim",AB334="",AC334="")),"Lengkapi pemeriksaan",IF(AND(AA334="Perlu Perbaikan",OR(AD334="",AB334="",AC334="")),"Isi pemeriksa dan catatan perbaikan","OK")))))))))))))))),"")</f>
        <v/>
      </c>
    </row>
    <row r="335" spans="1:38" ht="24.95" customHeight="1">
      <c r="A335" s="8"/>
      <c r="B335" s="6"/>
      <c r="C335" s="15" t="str">
        <f>IF(COUNTIFS(Master_PIC!$A$8:$A$73,$B335)=1,IF(VLOOKUP($B335,Master_PIC!$A$8:$G$73,2,FALSE)="","",VLOOKUP($B335,Master_PIC!$A$8:$G$73,2,FALSE)),"")</f>
        <v/>
      </c>
      <c r="D335" s="15" t="str">
        <f>IF(COUNTIFS(Master_PIC!$A$8:$A$73,$B335)=1,IF(VLOOKUP($B335,Master_PIC!$A$8:$G$73,4,FALSE)="","",VLOOKUP($B335,Master_PIC!$A$8:$G$73,4,FALSE)),"")</f>
        <v/>
      </c>
      <c r="E335" s="15" t="str">
        <f>IF(COUNTIFS(Master_PIC!$A$8:$A$73,$B335)=1,IF(VLOOKUP($B335,Master_PIC!$A$8:$G$73,5,FALSE)="","",VLOOKUP($B335,Master_PIC!$A$8:$G$73,5,FALSE)),"")</f>
        <v/>
      </c>
      <c r="F335" s="15" t="str">
        <f>IF(COUNTIFS(Master_PIC!$A$8:$A$73,$B335)=1,IF(VLOOKUP($B335,Master_PIC!$A$8:$G$73,6,FALSE)="","",VLOOKUP($B335,Master_PIC!$A$8:$G$73,6,FALSE)),"")</f>
        <v/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8"/>
      <c r="X335" s="5"/>
      <c r="Y335" s="5"/>
      <c r="Z335" s="9"/>
      <c r="AA335" s="5"/>
      <c r="AB335" s="5"/>
      <c r="AC335" s="9"/>
      <c r="AD335" s="5"/>
      <c r="AE335" s="7" t="str">
        <f t="shared" si="35"/>
        <v/>
      </c>
      <c r="AF335" s="7" t="str">
        <f t="shared" si="36"/>
        <v/>
      </c>
      <c r="AG335" s="7" t="str">
        <f t="shared" si="37"/>
        <v/>
      </c>
      <c r="AH335" s="7" t="str">
        <f t="shared" si="38"/>
        <v/>
      </c>
      <c r="AI335" s="7" t="str">
        <f t="shared" si="39"/>
        <v/>
      </c>
      <c r="AJ335" s="7" t="str">
        <f t="shared" si="40"/>
        <v/>
      </c>
      <c r="AK335" s="10" t="str">
        <f t="shared" si="41"/>
        <v/>
      </c>
      <c r="AL335" s="15" t="str">
        <f>IF(OR($A335&lt;&gt;"",$B335&lt;&gt;""),IF(OR($A335="",$B335=""),"Isi tanggal dan ID PIC",IF(NOT(ISNUMBER($A335)),"Tanggal harus berupa tanggal Excel",IF(COUNTIFS(Master_PIC!$A$8:$A$73,$B335)&lt;&gt;1,"ID PIC tidak unik/terdaftar",IF(VLOOKUP($B335,Master_PIC!$A$8:$G$73,3,FALSE)&lt;&gt;"ASM","Jabatan tidak sesuai sheet",IF(OR($C335="",$D335="",$E335="",$F335=""),"Lengkapi master PIC",IF(COUNTIFS($A$8:$A$507,$A335,$B$8:$B$507,$B335)&gt;1,"Laporan ganda",IF(COUNTIFS(G335:O335,"Tidak Berlaku")&gt;0,"N/A hanya untuk kegiatan bersyarat",IF(SUM(AF335,AG335,AH335,AI335,AJ335)&lt;&gt;13,"Status kegiatan tidak valid",IF(AJ335&gt;0,"Lengkapi status kegiatan",IF(AND(AI335&gt;0,T335=""),"Isi alasan Tidak Berlaku",IF(AND(SUM(AG335,AH335)&gt;0,OR(T335="",U335="",V335="",W335="")),"Isi kendala dan tindak lanjut",IF(AND(Y335&lt;&gt;"Draft",Y335&lt;&gt;"Dikirim"),"Isi status laporan yang valid",IF(AND(AA335&lt;&gt;"",AA335&lt;&gt;"Belum Diperiksa",AA335&lt;&gt;"Disetujui",AA335&lt;&gt;"Perlu Perbaikan"),"Hasil review tidak valid",IF(AND(Y335="Dikirim",OR(X335="",Z335="")),"Isi bukti dan waktu kirim",IF(AND(AA335="Disetujui",OR(Y335&lt;&gt;"Dikirim",AB335="",AC335="")),"Lengkapi pemeriksaan",IF(AND(AA335="Perlu Perbaikan",OR(AD335="",AB335="",AC335="")),"Isi pemeriksa dan catatan perbaikan","OK")))))))))))))))),"")</f>
        <v/>
      </c>
    </row>
    <row r="336" spans="1:38" ht="24.95" customHeight="1">
      <c r="A336" s="8"/>
      <c r="B336" s="6"/>
      <c r="C336" s="15" t="str">
        <f>IF(COUNTIFS(Master_PIC!$A$8:$A$73,$B336)=1,IF(VLOOKUP($B336,Master_PIC!$A$8:$G$73,2,FALSE)="","",VLOOKUP($B336,Master_PIC!$A$8:$G$73,2,FALSE)),"")</f>
        <v/>
      </c>
      <c r="D336" s="15" t="str">
        <f>IF(COUNTIFS(Master_PIC!$A$8:$A$73,$B336)=1,IF(VLOOKUP($B336,Master_PIC!$A$8:$G$73,4,FALSE)="","",VLOOKUP($B336,Master_PIC!$A$8:$G$73,4,FALSE)),"")</f>
        <v/>
      </c>
      <c r="E336" s="15" t="str">
        <f>IF(COUNTIFS(Master_PIC!$A$8:$A$73,$B336)=1,IF(VLOOKUP($B336,Master_PIC!$A$8:$G$73,5,FALSE)="","",VLOOKUP($B336,Master_PIC!$A$8:$G$73,5,FALSE)),"")</f>
        <v/>
      </c>
      <c r="F336" s="15" t="str">
        <f>IF(COUNTIFS(Master_PIC!$A$8:$A$73,$B336)=1,IF(VLOOKUP($B336,Master_PIC!$A$8:$G$73,6,FALSE)="","",VLOOKUP($B336,Master_PIC!$A$8:$G$73,6,FALSE)),"")</f>
        <v/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8"/>
      <c r="X336" s="5"/>
      <c r="Y336" s="5"/>
      <c r="Z336" s="9"/>
      <c r="AA336" s="5"/>
      <c r="AB336" s="5"/>
      <c r="AC336" s="9"/>
      <c r="AD336" s="5"/>
      <c r="AE336" s="7" t="str">
        <f t="shared" si="35"/>
        <v/>
      </c>
      <c r="AF336" s="7" t="str">
        <f t="shared" si="36"/>
        <v/>
      </c>
      <c r="AG336" s="7" t="str">
        <f t="shared" si="37"/>
        <v/>
      </c>
      <c r="AH336" s="7" t="str">
        <f t="shared" si="38"/>
        <v/>
      </c>
      <c r="AI336" s="7" t="str">
        <f t="shared" si="39"/>
        <v/>
      </c>
      <c r="AJ336" s="7" t="str">
        <f t="shared" si="40"/>
        <v/>
      </c>
      <c r="AK336" s="10" t="str">
        <f t="shared" si="41"/>
        <v/>
      </c>
      <c r="AL336" s="15" t="str">
        <f>IF(OR($A336&lt;&gt;"",$B336&lt;&gt;""),IF(OR($A336="",$B336=""),"Isi tanggal dan ID PIC",IF(NOT(ISNUMBER($A336)),"Tanggal harus berupa tanggal Excel",IF(COUNTIFS(Master_PIC!$A$8:$A$73,$B336)&lt;&gt;1,"ID PIC tidak unik/terdaftar",IF(VLOOKUP($B336,Master_PIC!$A$8:$G$73,3,FALSE)&lt;&gt;"ASM","Jabatan tidak sesuai sheet",IF(OR($C336="",$D336="",$E336="",$F336=""),"Lengkapi master PIC",IF(COUNTIFS($A$8:$A$507,$A336,$B$8:$B$507,$B336)&gt;1,"Laporan ganda",IF(COUNTIFS(G336:O336,"Tidak Berlaku")&gt;0,"N/A hanya untuk kegiatan bersyarat",IF(SUM(AF336,AG336,AH336,AI336,AJ336)&lt;&gt;13,"Status kegiatan tidak valid",IF(AJ336&gt;0,"Lengkapi status kegiatan",IF(AND(AI336&gt;0,T336=""),"Isi alasan Tidak Berlaku",IF(AND(SUM(AG336,AH336)&gt;0,OR(T336="",U336="",V336="",W336="")),"Isi kendala dan tindak lanjut",IF(AND(Y336&lt;&gt;"Draft",Y336&lt;&gt;"Dikirim"),"Isi status laporan yang valid",IF(AND(AA336&lt;&gt;"",AA336&lt;&gt;"Belum Diperiksa",AA336&lt;&gt;"Disetujui",AA336&lt;&gt;"Perlu Perbaikan"),"Hasil review tidak valid",IF(AND(Y336="Dikirim",OR(X336="",Z336="")),"Isi bukti dan waktu kirim",IF(AND(AA336="Disetujui",OR(Y336&lt;&gt;"Dikirim",AB336="",AC336="")),"Lengkapi pemeriksaan",IF(AND(AA336="Perlu Perbaikan",OR(AD336="",AB336="",AC336="")),"Isi pemeriksa dan catatan perbaikan","OK")))))))))))))))),"")</f>
        <v/>
      </c>
    </row>
    <row r="337" spans="1:38" ht="24.95" customHeight="1">
      <c r="A337" s="8"/>
      <c r="B337" s="6"/>
      <c r="C337" s="15" t="str">
        <f>IF(COUNTIFS(Master_PIC!$A$8:$A$73,$B337)=1,IF(VLOOKUP($B337,Master_PIC!$A$8:$G$73,2,FALSE)="","",VLOOKUP($B337,Master_PIC!$A$8:$G$73,2,FALSE)),"")</f>
        <v/>
      </c>
      <c r="D337" s="15" t="str">
        <f>IF(COUNTIFS(Master_PIC!$A$8:$A$73,$B337)=1,IF(VLOOKUP($B337,Master_PIC!$A$8:$G$73,4,FALSE)="","",VLOOKUP($B337,Master_PIC!$A$8:$G$73,4,FALSE)),"")</f>
        <v/>
      </c>
      <c r="E337" s="15" t="str">
        <f>IF(COUNTIFS(Master_PIC!$A$8:$A$73,$B337)=1,IF(VLOOKUP($B337,Master_PIC!$A$8:$G$73,5,FALSE)="","",VLOOKUP($B337,Master_PIC!$A$8:$G$73,5,FALSE)),"")</f>
        <v/>
      </c>
      <c r="F337" s="15" t="str">
        <f>IF(COUNTIFS(Master_PIC!$A$8:$A$73,$B337)=1,IF(VLOOKUP($B337,Master_PIC!$A$8:$G$73,6,FALSE)="","",VLOOKUP($B337,Master_PIC!$A$8:$G$73,6,FALSE)),"")</f>
        <v/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8"/>
      <c r="X337" s="5"/>
      <c r="Y337" s="5"/>
      <c r="Z337" s="9"/>
      <c r="AA337" s="5"/>
      <c r="AB337" s="5"/>
      <c r="AC337" s="9"/>
      <c r="AD337" s="5"/>
      <c r="AE337" s="7" t="str">
        <f t="shared" si="35"/>
        <v/>
      </c>
      <c r="AF337" s="7" t="str">
        <f t="shared" si="36"/>
        <v/>
      </c>
      <c r="AG337" s="7" t="str">
        <f t="shared" si="37"/>
        <v/>
      </c>
      <c r="AH337" s="7" t="str">
        <f t="shared" si="38"/>
        <v/>
      </c>
      <c r="AI337" s="7" t="str">
        <f t="shared" si="39"/>
        <v/>
      </c>
      <c r="AJ337" s="7" t="str">
        <f t="shared" si="40"/>
        <v/>
      </c>
      <c r="AK337" s="10" t="str">
        <f t="shared" si="41"/>
        <v/>
      </c>
      <c r="AL337" s="15" t="str">
        <f>IF(OR($A337&lt;&gt;"",$B337&lt;&gt;""),IF(OR($A337="",$B337=""),"Isi tanggal dan ID PIC",IF(NOT(ISNUMBER($A337)),"Tanggal harus berupa tanggal Excel",IF(COUNTIFS(Master_PIC!$A$8:$A$73,$B337)&lt;&gt;1,"ID PIC tidak unik/terdaftar",IF(VLOOKUP($B337,Master_PIC!$A$8:$G$73,3,FALSE)&lt;&gt;"ASM","Jabatan tidak sesuai sheet",IF(OR($C337="",$D337="",$E337="",$F337=""),"Lengkapi master PIC",IF(COUNTIFS($A$8:$A$507,$A337,$B$8:$B$507,$B337)&gt;1,"Laporan ganda",IF(COUNTIFS(G337:O337,"Tidak Berlaku")&gt;0,"N/A hanya untuk kegiatan bersyarat",IF(SUM(AF337,AG337,AH337,AI337,AJ337)&lt;&gt;13,"Status kegiatan tidak valid",IF(AJ337&gt;0,"Lengkapi status kegiatan",IF(AND(AI337&gt;0,T337=""),"Isi alasan Tidak Berlaku",IF(AND(SUM(AG337,AH337)&gt;0,OR(T337="",U337="",V337="",W337="")),"Isi kendala dan tindak lanjut",IF(AND(Y337&lt;&gt;"Draft",Y337&lt;&gt;"Dikirim"),"Isi status laporan yang valid",IF(AND(AA337&lt;&gt;"",AA337&lt;&gt;"Belum Diperiksa",AA337&lt;&gt;"Disetujui",AA337&lt;&gt;"Perlu Perbaikan"),"Hasil review tidak valid",IF(AND(Y337="Dikirim",OR(X337="",Z337="")),"Isi bukti dan waktu kirim",IF(AND(AA337="Disetujui",OR(Y337&lt;&gt;"Dikirim",AB337="",AC337="")),"Lengkapi pemeriksaan",IF(AND(AA337="Perlu Perbaikan",OR(AD337="",AB337="",AC337="")),"Isi pemeriksa dan catatan perbaikan","OK")))))))))))))))),"")</f>
        <v/>
      </c>
    </row>
    <row r="338" spans="1:38" ht="24.95" customHeight="1">
      <c r="A338" s="8"/>
      <c r="B338" s="6"/>
      <c r="C338" s="15" t="str">
        <f>IF(COUNTIFS(Master_PIC!$A$8:$A$73,$B338)=1,IF(VLOOKUP($B338,Master_PIC!$A$8:$G$73,2,FALSE)="","",VLOOKUP($B338,Master_PIC!$A$8:$G$73,2,FALSE)),"")</f>
        <v/>
      </c>
      <c r="D338" s="15" t="str">
        <f>IF(COUNTIFS(Master_PIC!$A$8:$A$73,$B338)=1,IF(VLOOKUP($B338,Master_PIC!$A$8:$G$73,4,FALSE)="","",VLOOKUP($B338,Master_PIC!$A$8:$G$73,4,FALSE)),"")</f>
        <v/>
      </c>
      <c r="E338" s="15" t="str">
        <f>IF(COUNTIFS(Master_PIC!$A$8:$A$73,$B338)=1,IF(VLOOKUP($B338,Master_PIC!$A$8:$G$73,5,FALSE)="","",VLOOKUP($B338,Master_PIC!$A$8:$G$73,5,FALSE)),"")</f>
        <v/>
      </c>
      <c r="F338" s="15" t="str">
        <f>IF(COUNTIFS(Master_PIC!$A$8:$A$73,$B338)=1,IF(VLOOKUP($B338,Master_PIC!$A$8:$G$73,6,FALSE)="","",VLOOKUP($B338,Master_PIC!$A$8:$G$73,6,FALSE)),"")</f>
        <v/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8"/>
      <c r="X338" s="5"/>
      <c r="Y338" s="5"/>
      <c r="Z338" s="9"/>
      <c r="AA338" s="5"/>
      <c r="AB338" s="5"/>
      <c r="AC338" s="9"/>
      <c r="AD338" s="5"/>
      <c r="AE338" s="7" t="str">
        <f t="shared" si="35"/>
        <v/>
      </c>
      <c r="AF338" s="7" t="str">
        <f t="shared" si="36"/>
        <v/>
      </c>
      <c r="AG338" s="7" t="str">
        <f t="shared" si="37"/>
        <v/>
      </c>
      <c r="AH338" s="7" t="str">
        <f t="shared" si="38"/>
        <v/>
      </c>
      <c r="AI338" s="7" t="str">
        <f t="shared" si="39"/>
        <v/>
      </c>
      <c r="AJ338" s="7" t="str">
        <f t="shared" si="40"/>
        <v/>
      </c>
      <c r="AK338" s="10" t="str">
        <f t="shared" si="41"/>
        <v/>
      </c>
      <c r="AL338" s="15" t="str">
        <f>IF(OR($A338&lt;&gt;"",$B338&lt;&gt;""),IF(OR($A338="",$B338=""),"Isi tanggal dan ID PIC",IF(NOT(ISNUMBER($A338)),"Tanggal harus berupa tanggal Excel",IF(COUNTIFS(Master_PIC!$A$8:$A$73,$B338)&lt;&gt;1,"ID PIC tidak unik/terdaftar",IF(VLOOKUP($B338,Master_PIC!$A$8:$G$73,3,FALSE)&lt;&gt;"ASM","Jabatan tidak sesuai sheet",IF(OR($C338="",$D338="",$E338="",$F338=""),"Lengkapi master PIC",IF(COUNTIFS($A$8:$A$507,$A338,$B$8:$B$507,$B338)&gt;1,"Laporan ganda",IF(COUNTIFS(G338:O338,"Tidak Berlaku")&gt;0,"N/A hanya untuk kegiatan bersyarat",IF(SUM(AF338,AG338,AH338,AI338,AJ338)&lt;&gt;13,"Status kegiatan tidak valid",IF(AJ338&gt;0,"Lengkapi status kegiatan",IF(AND(AI338&gt;0,T338=""),"Isi alasan Tidak Berlaku",IF(AND(SUM(AG338,AH338)&gt;0,OR(T338="",U338="",V338="",W338="")),"Isi kendala dan tindak lanjut",IF(AND(Y338&lt;&gt;"Draft",Y338&lt;&gt;"Dikirim"),"Isi status laporan yang valid",IF(AND(AA338&lt;&gt;"",AA338&lt;&gt;"Belum Diperiksa",AA338&lt;&gt;"Disetujui",AA338&lt;&gt;"Perlu Perbaikan"),"Hasil review tidak valid",IF(AND(Y338="Dikirim",OR(X338="",Z338="")),"Isi bukti dan waktu kirim",IF(AND(AA338="Disetujui",OR(Y338&lt;&gt;"Dikirim",AB338="",AC338="")),"Lengkapi pemeriksaan",IF(AND(AA338="Perlu Perbaikan",OR(AD338="",AB338="",AC338="")),"Isi pemeriksa dan catatan perbaikan","OK")))))))))))))))),"")</f>
        <v/>
      </c>
    </row>
    <row r="339" spans="1:38" ht="24.95" customHeight="1">
      <c r="A339" s="8"/>
      <c r="B339" s="6"/>
      <c r="C339" s="15" t="str">
        <f>IF(COUNTIFS(Master_PIC!$A$8:$A$73,$B339)=1,IF(VLOOKUP($B339,Master_PIC!$A$8:$G$73,2,FALSE)="","",VLOOKUP($B339,Master_PIC!$A$8:$G$73,2,FALSE)),"")</f>
        <v/>
      </c>
      <c r="D339" s="15" t="str">
        <f>IF(COUNTIFS(Master_PIC!$A$8:$A$73,$B339)=1,IF(VLOOKUP($B339,Master_PIC!$A$8:$G$73,4,FALSE)="","",VLOOKUP($B339,Master_PIC!$A$8:$G$73,4,FALSE)),"")</f>
        <v/>
      </c>
      <c r="E339" s="15" t="str">
        <f>IF(COUNTIFS(Master_PIC!$A$8:$A$73,$B339)=1,IF(VLOOKUP($B339,Master_PIC!$A$8:$G$73,5,FALSE)="","",VLOOKUP($B339,Master_PIC!$A$8:$G$73,5,FALSE)),"")</f>
        <v/>
      </c>
      <c r="F339" s="15" t="str">
        <f>IF(COUNTIFS(Master_PIC!$A$8:$A$73,$B339)=1,IF(VLOOKUP($B339,Master_PIC!$A$8:$G$73,6,FALSE)="","",VLOOKUP($B339,Master_PIC!$A$8:$G$73,6,FALSE)),"")</f>
        <v/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8"/>
      <c r="X339" s="5"/>
      <c r="Y339" s="5"/>
      <c r="Z339" s="9"/>
      <c r="AA339" s="5"/>
      <c r="AB339" s="5"/>
      <c r="AC339" s="9"/>
      <c r="AD339" s="5"/>
      <c r="AE339" s="7" t="str">
        <f t="shared" si="35"/>
        <v/>
      </c>
      <c r="AF339" s="7" t="str">
        <f t="shared" si="36"/>
        <v/>
      </c>
      <c r="AG339" s="7" t="str">
        <f t="shared" si="37"/>
        <v/>
      </c>
      <c r="AH339" s="7" t="str">
        <f t="shared" si="38"/>
        <v/>
      </c>
      <c r="AI339" s="7" t="str">
        <f t="shared" si="39"/>
        <v/>
      </c>
      <c r="AJ339" s="7" t="str">
        <f t="shared" si="40"/>
        <v/>
      </c>
      <c r="AK339" s="10" t="str">
        <f t="shared" si="41"/>
        <v/>
      </c>
      <c r="AL339" s="15" t="str">
        <f>IF(OR($A339&lt;&gt;"",$B339&lt;&gt;""),IF(OR($A339="",$B339=""),"Isi tanggal dan ID PIC",IF(NOT(ISNUMBER($A339)),"Tanggal harus berupa tanggal Excel",IF(COUNTIFS(Master_PIC!$A$8:$A$73,$B339)&lt;&gt;1,"ID PIC tidak unik/terdaftar",IF(VLOOKUP($B339,Master_PIC!$A$8:$G$73,3,FALSE)&lt;&gt;"ASM","Jabatan tidak sesuai sheet",IF(OR($C339="",$D339="",$E339="",$F339=""),"Lengkapi master PIC",IF(COUNTIFS($A$8:$A$507,$A339,$B$8:$B$507,$B339)&gt;1,"Laporan ganda",IF(COUNTIFS(G339:O339,"Tidak Berlaku")&gt;0,"N/A hanya untuk kegiatan bersyarat",IF(SUM(AF339,AG339,AH339,AI339,AJ339)&lt;&gt;13,"Status kegiatan tidak valid",IF(AJ339&gt;0,"Lengkapi status kegiatan",IF(AND(AI339&gt;0,T339=""),"Isi alasan Tidak Berlaku",IF(AND(SUM(AG339,AH339)&gt;0,OR(T339="",U339="",V339="",W339="")),"Isi kendala dan tindak lanjut",IF(AND(Y339&lt;&gt;"Draft",Y339&lt;&gt;"Dikirim"),"Isi status laporan yang valid",IF(AND(AA339&lt;&gt;"",AA339&lt;&gt;"Belum Diperiksa",AA339&lt;&gt;"Disetujui",AA339&lt;&gt;"Perlu Perbaikan"),"Hasil review tidak valid",IF(AND(Y339="Dikirim",OR(X339="",Z339="")),"Isi bukti dan waktu kirim",IF(AND(AA339="Disetujui",OR(Y339&lt;&gt;"Dikirim",AB339="",AC339="")),"Lengkapi pemeriksaan",IF(AND(AA339="Perlu Perbaikan",OR(AD339="",AB339="",AC339="")),"Isi pemeriksa dan catatan perbaikan","OK")))))))))))))))),"")</f>
        <v/>
      </c>
    </row>
    <row r="340" spans="1:38" ht="24.95" customHeight="1">
      <c r="A340" s="8"/>
      <c r="B340" s="6"/>
      <c r="C340" s="15" t="str">
        <f>IF(COUNTIFS(Master_PIC!$A$8:$A$73,$B340)=1,IF(VLOOKUP($B340,Master_PIC!$A$8:$G$73,2,FALSE)="","",VLOOKUP($B340,Master_PIC!$A$8:$G$73,2,FALSE)),"")</f>
        <v/>
      </c>
      <c r="D340" s="15" t="str">
        <f>IF(COUNTIFS(Master_PIC!$A$8:$A$73,$B340)=1,IF(VLOOKUP($B340,Master_PIC!$A$8:$G$73,4,FALSE)="","",VLOOKUP($B340,Master_PIC!$A$8:$G$73,4,FALSE)),"")</f>
        <v/>
      </c>
      <c r="E340" s="15" t="str">
        <f>IF(COUNTIFS(Master_PIC!$A$8:$A$73,$B340)=1,IF(VLOOKUP($B340,Master_PIC!$A$8:$G$73,5,FALSE)="","",VLOOKUP($B340,Master_PIC!$A$8:$G$73,5,FALSE)),"")</f>
        <v/>
      </c>
      <c r="F340" s="15" t="str">
        <f>IF(COUNTIFS(Master_PIC!$A$8:$A$73,$B340)=1,IF(VLOOKUP($B340,Master_PIC!$A$8:$G$73,6,FALSE)="","",VLOOKUP($B340,Master_PIC!$A$8:$G$73,6,FALSE)),"")</f>
        <v/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8"/>
      <c r="X340" s="5"/>
      <c r="Y340" s="5"/>
      <c r="Z340" s="9"/>
      <c r="AA340" s="5"/>
      <c r="AB340" s="5"/>
      <c r="AC340" s="9"/>
      <c r="AD340" s="5"/>
      <c r="AE340" s="7" t="str">
        <f t="shared" si="35"/>
        <v/>
      </c>
      <c r="AF340" s="7" t="str">
        <f t="shared" si="36"/>
        <v/>
      </c>
      <c r="AG340" s="7" t="str">
        <f t="shared" si="37"/>
        <v/>
      </c>
      <c r="AH340" s="7" t="str">
        <f t="shared" si="38"/>
        <v/>
      </c>
      <c r="AI340" s="7" t="str">
        <f t="shared" si="39"/>
        <v/>
      </c>
      <c r="AJ340" s="7" t="str">
        <f t="shared" si="40"/>
        <v/>
      </c>
      <c r="AK340" s="10" t="str">
        <f t="shared" si="41"/>
        <v/>
      </c>
      <c r="AL340" s="15" t="str">
        <f>IF(OR($A340&lt;&gt;"",$B340&lt;&gt;""),IF(OR($A340="",$B340=""),"Isi tanggal dan ID PIC",IF(NOT(ISNUMBER($A340)),"Tanggal harus berupa tanggal Excel",IF(COUNTIFS(Master_PIC!$A$8:$A$73,$B340)&lt;&gt;1,"ID PIC tidak unik/terdaftar",IF(VLOOKUP($B340,Master_PIC!$A$8:$G$73,3,FALSE)&lt;&gt;"ASM","Jabatan tidak sesuai sheet",IF(OR($C340="",$D340="",$E340="",$F340=""),"Lengkapi master PIC",IF(COUNTIFS($A$8:$A$507,$A340,$B$8:$B$507,$B340)&gt;1,"Laporan ganda",IF(COUNTIFS(G340:O340,"Tidak Berlaku")&gt;0,"N/A hanya untuk kegiatan bersyarat",IF(SUM(AF340,AG340,AH340,AI340,AJ340)&lt;&gt;13,"Status kegiatan tidak valid",IF(AJ340&gt;0,"Lengkapi status kegiatan",IF(AND(AI340&gt;0,T340=""),"Isi alasan Tidak Berlaku",IF(AND(SUM(AG340,AH340)&gt;0,OR(T340="",U340="",V340="",W340="")),"Isi kendala dan tindak lanjut",IF(AND(Y340&lt;&gt;"Draft",Y340&lt;&gt;"Dikirim"),"Isi status laporan yang valid",IF(AND(AA340&lt;&gt;"",AA340&lt;&gt;"Belum Diperiksa",AA340&lt;&gt;"Disetujui",AA340&lt;&gt;"Perlu Perbaikan"),"Hasil review tidak valid",IF(AND(Y340="Dikirim",OR(X340="",Z340="")),"Isi bukti dan waktu kirim",IF(AND(AA340="Disetujui",OR(Y340&lt;&gt;"Dikirim",AB340="",AC340="")),"Lengkapi pemeriksaan",IF(AND(AA340="Perlu Perbaikan",OR(AD340="",AB340="",AC340="")),"Isi pemeriksa dan catatan perbaikan","OK")))))))))))))))),"")</f>
        <v/>
      </c>
    </row>
    <row r="341" spans="1:38" ht="24.95" customHeight="1">
      <c r="A341" s="8"/>
      <c r="B341" s="6"/>
      <c r="C341" s="15" t="str">
        <f>IF(COUNTIFS(Master_PIC!$A$8:$A$73,$B341)=1,IF(VLOOKUP($B341,Master_PIC!$A$8:$G$73,2,FALSE)="","",VLOOKUP($B341,Master_PIC!$A$8:$G$73,2,FALSE)),"")</f>
        <v/>
      </c>
      <c r="D341" s="15" t="str">
        <f>IF(COUNTIFS(Master_PIC!$A$8:$A$73,$B341)=1,IF(VLOOKUP($B341,Master_PIC!$A$8:$G$73,4,FALSE)="","",VLOOKUP($B341,Master_PIC!$A$8:$G$73,4,FALSE)),"")</f>
        <v/>
      </c>
      <c r="E341" s="15" t="str">
        <f>IF(COUNTIFS(Master_PIC!$A$8:$A$73,$B341)=1,IF(VLOOKUP($B341,Master_PIC!$A$8:$G$73,5,FALSE)="","",VLOOKUP($B341,Master_PIC!$A$8:$G$73,5,FALSE)),"")</f>
        <v/>
      </c>
      <c r="F341" s="15" t="str">
        <f>IF(COUNTIFS(Master_PIC!$A$8:$A$73,$B341)=1,IF(VLOOKUP($B341,Master_PIC!$A$8:$G$73,6,FALSE)="","",VLOOKUP($B341,Master_PIC!$A$8:$G$73,6,FALSE)),"")</f>
        <v/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8"/>
      <c r="X341" s="5"/>
      <c r="Y341" s="5"/>
      <c r="Z341" s="9"/>
      <c r="AA341" s="5"/>
      <c r="AB341" s="5"/>
      <c r="AC341" s="9"/>
      <c r="AD341" s="5"/>
      <c r="AE341" s="7" t="str">
        <f t="shared" si="35"/>
        <v/>
      </c>
      <c r="AF341" s="7" t="str">
        <f t="shared" si="36"/>
        <v/>
      </c>
      <c r="AG341" s="7" t="str">
        <f t="shared" si="37"/>
        <v/>
      </c>
      <c r="AH341" s="7" t="str">
        <f t="shared" si="38"/>
        <v/>
      </c>
      <c r="AI341" s="7" t="str">
        <f t="shared" si="39"/>
        <v/>
      </c>
      <c r="AJ341" s="7" t="str">
        <f t="shared" si="40"/>
        <v/>
      </c>
      <c r="AK341" s="10" t="str">
        <f t="shared" si="41"/>
        <v/>
      </c>
      <c r="AL341" s="15" t="str">
        <f>IF(OR($A341&lt;&gt;"",$B341&lt;&gt;""),IF(OR($A341="",$B341=""),"Isi tanggal dan ID PIC",IF(NOT(ISNUMBER($A341)),"Tanggal harus berupa tanggal Excel",IF(COUNTIFS(Master_PIC!$A$8:$A$73,$B341)&lt;&gt;1,"ID PIC tidak unik/terdaftar",IF(VLOOKUP($B341,Master_PIC!$A$8:$G$73,3,FALSE)&lt;&gt;"ASM","Jabatan tidak sesuai sheet",IF(OR($C341="",$D341="",$E341="",$F341=""),"Lengkapi master PIC",IF(COUNTIFS($A$8:$A$507,$A341,$B$8:$B$507,$B341)&gt;1,"Laporan ganda",IF(COUNTIFS(G341:O341,"Tidak Berlaku")&gt;0,"N/A hanya untuk kegiatan bersyarat",IF(SUM(AF341,AG341,AH341,AI341,AJ341)&lt;&gt;13,"Status kegiatan tidak valid",IF(AJ341&gt;0,"Lengkapi status kegiatan",IF(AND(AI341&gt;0,T341=""),"Isi alasan Tidak Berlaku",IF(AND(SUM(AG341,AH341)&gt;0,OR(T341="",U341="",V341="",W341="")),"Isi kendala dan tindak lanjut",IF(AND(Y341&lt;&gt;"Draft",Y341&lt;&gt;"Dikirim"),"Isi status laporan yang valid",IF(AND(AA341&lt;&gt;"",AA341&lt;&gt;"Belum Diperiksa",AA341&lt;&gt;"Disetujui",AA341&lt;&gt;"Perlu Perbaikan"),"Hasil review tidak valid",IF(AND(Y341="Dikirim",OR(X341="",Z341="")),"Isi bukti dan waktu kirim",IF(AND(AA341="Disetujui",OR(Y341&lt;&gt;"Dikirim",AB341="",AC341="")),"Lengkapi pemeriksaan",IF(AND(AA341="Perlu Perbaikan",OR(AD341="",AB341="",AC341="")),"Isi pemeriksa dan catatan perbaikan","OK")))))))))))))))),"")</f>
        <v/>
      </c>
    </row>
    <row r="342" spans="1:38" ht="24.95" customHeight="1">
      <c r="A342" s="8"/>
      <c r="B342" s="6"/>
      <c r="C342" s="15" t="str">
        <f>IF(COUNTIFS(Master_PIC!$A$8:$A$73,$B342)=1,IF(VLOOKUP($B342,Master_PIC!$A$8:$G$73,2,FALSE)="","",VLOOKUP($B342,Master_PIC!$A$8:$G$73,2,FALSE)),"")</f>
        <v/>
      </c>
      <c r="D342" s="15" t="str">
        <f>IF(COUNTIFS(Master_PIC!$A$8:$A$73,$B342)=1,IF(VLOOKUP($B342,Master_PIC!$A$8:$G$73,4,FALSE)="","",VLOOKUP($B342,Master_PIC!$A$8:$G$73,4,FALSE)),"")</f>
        <v/>
      </c>
      <c r="E342" s="15" t="str">
        <f>IF(COUNTIFS(Master_PIC!$A$8:$A$73,$B342)=1,IF(VLOOKUP($B342,Master_PIC!$A$8:$G$73,5,FALSE)="","",VLOOKUP($B342,Master_PIC!$A$8:$G$73,5,FALSE)),"")</f>
        <v/>
      </c>
      <c r="F342" s="15" t="str">
        <f>IF(COUNTIFS(Master_PIC!$A$8:$A$73,$B342)=1,IF(VLOOKUP($B342,Master_PIC!$A$8:$G$73,6,FALSE)="","",VLOOKUP($B342,Master_PIC!$A$8:$G$73,6,FALSE)),"")</f>
        <v/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8"/>
      <c r="X342" s="5"/>
      <c r="Y342" s="5"/>
      <c r="Z342" s="9"/>
      <c r="AA342" s="5"/>
      <c r="AB342" s="5"/>
      <c r="AC342" s="9"/>
      <c r="AD342" s="5"/>
      <c r="AE342" s="7" t="str">
        <f t="shared" si="35"/>
        <v/>
      </c>
      <c r="AF342" s="7" t="str">
        <f t="shared" si="36"/>
        <v/>
      </c>
      <c r="AG342" s="7" t="str">
        <f t="shared" si="37"/>
        <v/>
      </c>
      <c r="AH342" s="7" t="str">
        <f t="shared" si="38"/>
        <v/>
      </c>
      <c r="AI342" s="7" t="str">
        <f t="shared" si="39"/>
        <v/>
      </c>
      <c r="AJ342" s="7" t="str">
        <f t="shared" si="40"/>
        <v/>
      </c>
      <c r="AK342" s="10" t="str">
        <f t="shared" si="41"/>
        <v/>
      </c>
      <c r="AL342" s="15" t="str">
        <f>IF(OR($A342&lt;&gt;"",$B342&lt;&gt;""),IF(OR($A342="",$B342=""),"Isi tanggal dan ID PIC",IF(NOT(ISNUMBER($A342)),"Tanggal harus berupa tanggal Excel",IF(COUNTIFS(Master_PIC!$A$8:$A$73,$B342)&lt;&gt;1,"ID PIC tidak unik/terdaftar",IF(VLOOKUP($B342,Master_PIC!$A$8:$G$73,3,FALSE)&lt;&gt;"ASM","Jabatan tidak sesuai sheet",IF(OR($C342="",$D342="",$E342="",$F342=""),"Lengkapi master PIC",IF(COUNTIFS($A$8:$A$507,$A342,$B$8:$B$507,$B342)&gt;1,"Laporan ganda",IF(COUNTIFS(G342:O342,"Tidak Berlaku")&gt;0,"N/A hanya untuk kegiatan bersyarat",IF(SUM(AF342,AG342,AH342,AI342,AJ342)&lt;&gt;13,"Status kegiatan tidak valid",IF(AJ342&gt;0,"Lengkapi status kegiatan",IF(AND(AI342&gt;0,T342=""),"Isi alasan Tidak Berlaku",IF(AND(SUM(AG342,AH342)&gt;0,OR(T342="",U342="",V342="",W342="")),"Isi kendala dan tindak lanjut",IF(AND(Y342&lt;&gt;"Draft",Y342&lt;&gt;"Dikirim"),"Isi status laporan yang valid",IF(AND(AA342&lt;&gt;"",AA342&lt;&gt;"Belum Diperiksa",AA342&lt;&gt;"Disetujui",AA342&lt;&gt;"Perlu Perbaikan"),"Hasil review tidak valid",IF(AND(Y342="Dikirim",OR(X342="",Z342="")),"Isi bukti dan waktu kirim",IF(AND(AA342="Disetujui",OR(Y342&lt;&gt;"Dikirim",AB342="",AC342="")),"Lengkapi pemeriksaan",IF(AND(AA342="Perlu Perbaikan",OR(AD342="",AB342="",AC342="")),"Isi pemeriksa dan catatan perbaikan","OK")))))))))))))))),"")</f>
        <v/>
      </c>
    </row>
    <row r="343" spans="1:38" ht="24.95" customHeight="1">
      <c r="A343" s="8"/>
      <c r="B343" s="6"/>
      <c r="C343" s="15" t="str">
        <f>IF(COUNTIFS(Master_PIC!$A$8:$A$73,$B343)=1,IF(VLOOKUP($B343,Master_PIC!$A$8:$G$73,2,FALSE)="","",VLOOKUP($B343,Master_PIC!$A$8:$G$73,2,FALSE)),"")</f>
        <v/>
      </c>
      <c r="D343" s="15" t="str">
        <f>IF(COUNTIFS(Master_PIC!$A$8:$A$73,$B343)=1,IF(VLOOKUP($B343,Master_PIC!$A$8:$G$73,4,FALSE)="","",VLOOKUP($B343,Master_PIC!$A$8:$G$73,4,FALSE)),"")</f>
        <v/>
      </c>
      <c r="E343" s="15" t="str">
        <f>IF(COUNTIFS(Master_PIC!$A$8:$A$73,$B343)=1,IF(VLOOKUP($B343,Master_PIC!$A$8:$G$73,5,FALSE)="","",VLOOKUP($B343,Master_PIC!$A$8:$G$73,5,FALSE)),"")</f>
        <v/>
      </c>
      <c r="F343" s="15" t="str">
        <f>IF(COUNTIFS(Master_PIC!$A$8:$A$73,$B343)=1,IF(VLOOKUP($B343,Master_PIC!$A$8:$G$73,6,FALSE)="","",VLOOKUP($B343,Master_PIC!$A$8:$G$73,6,FALSE)),"")</f>
        <v/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8"/>
      <c r="X343" s="5"/>
      <c r="Y343" s="5"/>
      <c r="Z343" s="9"/>
      <c r="AA343" s="5"/>
      <c r="AB343" s="5"/>
      <c r="AC343" s="9"/>
      <c r="AD343" s="5"/>
      <c r="AE343" s="7" t="str">
        <f t="shared" si="35"/>
        <v/>
      </c>
      <c r="AF343" s="7" t="str">
        <f t="shared" si="36"/>
        <v/>
      </c>
      <c r="AG343" s="7" t="str">
        <f t="shared" si="37"/>
        <v/>
      </c>
      <c r="AH343" s="7" t="str">
        <f t="shared" si="38"/>
        <v/>
      </c>
      <c r="AI343" s="7" t="str">
        <f t="shared" si="39"/>
        <v/>
      </c>
      <c r="AJ343" s="7" t="str">
        <f t="shared" si="40"/>
        <v/>
      </c>
      <c r="AK343" s="10" t="str">
        <f t="shared" si="41"/>
        <v/>
      </c>
      <c r="AL343" s="15" t="str">
        <f>IF(OR($A343&lt;&gt;"",$B343&lt;&gt;""),IF(OR($A343="",$B343=""),"Isi tanggal dan ID PIC",IF(NOT(ISNUMBER($A343)),"Tanggal harus berupa tanggal Excel",IF(COUNTIFS(Master_PIC!$A$8:$A$73,$B343)&lt;&gt;1,"ID PIC tidak unik/terdaftar",IF(VLOOKUP($B343,Master_PIC!$A$8:$G$73,3,FALSE)&lt;&gt;"ASM","Jabatan tidak sesuai sheet",IF(OR($C343="",$D343="",$E343="",$F343=""),"Lengkapi master PIC",IF(COUNTIFS($A$8:$A$507,$A343,$B$8:$B$507,$B343)&gt;1,"Laporan ganda",IF(COUNTIFS(G343:O343,"Tidak Berlaku")&gt;0,"N/A hanya untuk kegiatan bersyarat",IF(SUM(AF343,AG343,AH343,AI343,AJ343)&lt;&gt;13,"Status kegiatan tidak valid",IF(AJ343&gt;0,"Lengkapi status kegiatan",IF(AND(AI343&gt;0,T343=""),"Isi alasan Tidak Berlaku",IF(AND(SUM(AG343,AH343)&gt;0,OR(T343="",U343="",V343="",W343="")),"Isi kendala dan tindak lanjut",IF(AND(Y343&lt;&gt;"Draft",Y343&lt;&gt;"Dikirim"),"Isi status laporan yang valid",IF(AND(AA343&lt;&gt;"",AA343&lt;&gt;"Belum Diperiksa",AA343&lt;&gt;"Disetujui",AA343&lt;&gt;"Perlu Perbaikan"),"Hasil review tidak valid",IF(AND(Y343="Dikirim",OR(X343="",Z343="")),"Isi bukti dan waktu kirim",IF(AND(AA343="Disetujui",OR(Y343&lt;&gt;"Dikirim",AB343="",AC343="")),"Lengkapi pemeriksaan",IF(AND(AA343="Perlu Perbaikan",OR(AD343="",AB343="",AC343="")),"Isi pemeriksa dan catatan perbaikan","OK")))))))))))))))),"")</f>
        <v/>
      </c>
    </row>
    <row r="344" spans="1:38" ht="24.95" customHeight="1">
      <c r="A344" s="8"/>
      <c r="B344" s="6"/>
      <c r="C344" s="15" t="str">
        <f>IF(COUNTIFS(Master_PIC!$A$8:$A$73,$B344)=1,IF(VLOOKUP($B344,Master_PIC!$A$8:$G$73,2,FALSE)="","",VLOOKUP($B344,Master_PIC!$A$8:$G$73,2,FALSE)),"")</f>
        <v/>
      </c>
      <c r="D344" s="15" t="str">
        <f>IF(COUNTIFS(Master_PIC!$A$8:$A$73,$B344)=1,IF(VLOOKUP($B344,Master_PIC!$A$8:$G$73,4,FALSE)="","",VLOOKUP($B344,Master_PIC!$A$8:$G$73,4,FALSE)),"")</f>
        <v/>
      </c>
      <c r="E344" s="15" t="str">
        <f>IF(COUNTIFS(Master_PIC!$A$8:$A$73,$B344)=1,IF(VLOOKUP($B344,Master_PIC!$A$8:$G$73,5,FALSE)="","",VLOOKUP($B344,Master_PIC!$A$8:$G$73,5,FALSE)),"")</f>
        <v/>
      </c>
      <c r="F344" s="15" t="str">
        <f>IF(COUNTIFS(Master_PIC!$A$8:$A$73,$B344)=1,IF(VLOOKUP($B344,Master_PIC!$A$8:$G$73,6,FALSE)="","",VLOOKUP($B344,Master_PIC!$A$8:$G$73,6,FALSE)),"")</f>
        <v/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8"/>
      <c r="X344" s="5"/>
      <c r="Y344" s="5"/>
      <c r="Z344" s="9"/>
      <c r="AA344" s="5"/>
      <c r="AB344" s="5"/>
      <c r="AC344" s="9"/>
      <c r="AD344" s="5"/>
      <c r="AE344" s="7" t="str">
        <f t="shared" si="35"/>
        <v/>
      </c>
      <c r="AF344" s="7" t="str">
        <f t="shared" si="36"/>
        <v/>
      </c>
      <c r="AG344" s="7" t="str">
        <f t="shared" si="37"/>
        <v/>
      </c>
      <c r="AH344" s="7" t="str">
        <f t="shared" si="38"/>
        <v/>
      </c>
      <c r="AI344" s="7" t="str">
        <f t="shared" si="39"/>
        <v/>
      </c>
      <c r="AJ344" s="7" t="str">
        <f t="shared" si="40"/>
        <v/>
      </c>
      <c r="AK344" s="10" t="str">
        <f t="shared" si="41"/>
        <v/>
      </c>
      <c r="AL344" s="15" t="str">
        <f>IF(OR($A344&lt;&gt;"",$B344&lt;&gt;""),IF(OR($A344="",$B344=""),"Isi tanggal dan ID PIC",IF(NOT(ISNUMBER($A344)),"Tanggal harus berupa tanggal Excel",IF(COUNTIFS(Master_PIC!$A$8:$A$73,$B344)&lt;&gt;1,"ID PIC tidak unik/terdaftar",IF(VLOOKUP($B344,Master_PIC!$A$8:$G$73,3,FALSE)&lt;&gt;"ASM","Jabatan tidak sesuai sheet",IF(OR($C344="",$D344="",$E344="",$F344=""),"Lengkapi master PIC",IF(COUNTIFS($A$8:$A$507,$A344,$B$8:$B$507,$B344)&gt;1,"Laporan ganda",IF(COUNTIFS(G344:O344,"Tidak Berlaku")&gt;0,"N/A hanya untuk kegiatan bersyarat",IF(SUM(AF344,AG344,AH344,AI344,AJ344)&lt;&gt;13,"Status kegiatan tidak valid",IF(AJ344&gt;0,"Lengkapi status kegiatan",IF(AND(AI344&gt;0,T344=""),"Isi alasan Tidak Berlaku",IF(AND(SUM(AG344,AH344)&gt;0,OR(T344="",U344="",V344="",W344="")),"Isi kendala dan tindak lanjut",IF(AND(Y344&lt;&gt;"Draft",Y344&lt;&gt;"Dikirim"),"Isi status laporan yang valid",IF(AND(AA344&lt;&gt;"",AA344&lt;&gt;"Belum Diperiksa",AA344&lt;&gt;"Disetujui",AA344&lt;&gt;"Perlu Perbaikan"),"Hasil review tidak valid",IF(AND(Y344="Dikirim",OR(X344="",Z344="")),"Isi bukti dan waktu kirim",IF(AND(AA344="Disetujui",OR(Y344&lt;&gt;"Dikirim",AB344="",AC344="")),"Lengkapi pemeriksaan",IF(AND(AA344="Perlu Perbaikan",OR(AD344="",AB344="",AC344="")),"Isi pemeriksa dan catatan perbaikan","OK")))))))))))))))),"")</f>
        <v/>
      </c>
    </row>
    <row r="345" spans="1:38" ht="24.95" customHeight="1">
      <c r="A345" s="8"/>
      <c r="B345" s="6"/>
      <c r="C345" s="15" t="str">
        <f>IF(COUNTIFS(Master_PIC!$A$8:$A$73,$B345)=1,IF(VLOOKUP($B345,Master_PIC!$A$8:$G$73,2,FALSE)="","",VLOOKUP($B345,Master_PIC!$A$8:$G$73,2,FALSE)),"")</f>
        <v/>
      </c>
      <c r="D345" s="15" t="str">
        <f>IF(COUNTIFS(Master_PIC!$A$8:$A$73,$B345)=1,IF(VLOOKUP($B345,Master_PIC!$A$8:$G$73,4,FALSE)="","",VLOOKUP($B345,Master_PIC!$A$8:$G$73,4,FALSE)),"")</f>
        <v/>
      </c>
      <c r="E345" s="15" t="str">
        <f>IF(COUNTIFS(Master_PIC!$A$8:$A$73,$B345)=1,IF(VLOOKUP($B345,Master_PIC!$A$8:$G$73,5,FALSE)="","",VLOOKUP($B345,Master_PIC!$A$8:$G$73,5,FALSE)),"")</f>
        <v/>
      </c>
      <c r="F345" s="15" t="str">
        <f>IF(COUNTIFS(Master_PIC!$A$8:$A$73,$B345)=1,IF(VLOOKUP($B345,Master_PIC!$A$8:$G$73,6,FALSE)="","",VLOOKUP($B345,Master_PIC!$A$8:$G$73,6,FALSE)),"")</f>
        <v/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8"/>
      <c r="X345" s="5"/>
      <c r="Y345" s="5"/>
      <c r="Z345" s="9"/>
      <c r="AA345" s="5"/>
      <c r="AB345" s="5"/>
      <c r="AC345" s="9"/>
      <c r="AD345" s="5"/>
      <c r="AE345" s="7" t="str">
        <f t="shared" si="35"/>
        <v/>
      </c>
      <c r="AF345" s="7" t="str">
        <f t="shared" si="36"/>
        <v/>
      </c>
      <c r="AG345" s="7" t="str">
        <f t="shared" si="37"/>
        <v/>
      </c>
      <c r="AH345" s="7" t="str">
        <f t="shared" si="38"/>
        <v/>
      </c>
      <c r="AI345" s="7" t="str">
        <f t="shared" si="39"/>
        <v/>
      </c>
      <c r="AJ345" s="7" t="str">
        <f t="shared" si="40"/>
        <v/>
      </c>
      <c r="AK345" s="10" t="str">
        <f t="shared" si="41"/>
        <v/>
      </c>
      <c r="AL345" s="15" t="str">
        <f>IF(OR($A345&lt;&gt;"",$B345&lt;&gt;""),IF(OR($A345="",$B345=""),"Isi tanggal dan ID PIC",IF(NOT(ISNUMBER($A345)),"Tanggal harus berupa tanggal Excel",IF(COUNTIFS(Master_PIC!$A$8:$A$73,$B345)&lt;&gt;1,"ID PIC tidak unik/terdaftar",IF(VLOOKUP($B345,Master_PIC!$A$8:$G$73,3,FALSE)&lt;&gt;"ASM","Jabatan tidak sesuai sheet",IF(OR($C345="",$D345="",$E345="",$F345=""),"Lengkapi master PIC",IF(COUNTIFS($A$8:$A$507,$A345,$B$8:$B$507,$B345)&gt;1,"Laporan ganda",IF(COUNTIFS(G345:O345,"Tidak Berlaku")&gt;0,"N/A hanya untuk kegiatan bersyarat",IF(SUM(AF345,AG345,AH345,AI345,AJ345)&lt;&gt;13,"Status kegiatan tidak valid",IF(AJ345&gt;0,"Lengkapi status kegiatan",IF(AND(AI345&gt;0,T345=""),"Isi alasan Tidak Berlaku",IF(AND(SUM(AG345,AH345)&gt;0,OR(T345="",U345="",V345="",W345="")),"Isi kendala dan tindak lanjut",IF(AND(Y345&lt;&gt;"Draft",Y345&lt;&gt;"Dikirim"),"Isi status laporan yang valid",IF(AND(AA345&lt;&gt;"",AA345&lt;&gt;"Belum Diperiksa",AA345&lt;&gt;"Disetujui",AA345&lt;&gt;"Perlu Perbaikan"),"Hasil review tidak valid",IF(AND(Y345="Dikirim",OR(X345="",Z345="")),"Isi bukti dan waktu kirim",IF(AND(AA345="Disetujui",OR(Y345&lt;&gt;"Dikirim",AB345="",AC345="")),"Lengkapi pemeriksaan",IF(AND(AA345="Perlu Perbaikan",OR(AD345="",AB345="",AC345="")),"Isi pemeriksa dan catatan perbaikan","OK")))))))))))))))),"")</f>
        <v/>
      </c>
    </row>
    <row r="346" spans="1:38" ht="24.95" customHeight="1">
      <c r="A346" s="8"/>
      <c r="B346" s="6"/>
      <c r="C346" s="15" t="str">
        <f>IF(COUNTIFS(Master_PIC!$A$8:$A$73,$B346)=1,IF(VLOOKUP($B346,Master_PIC!$A$8:$G$73,2,FALSE)="","",VLOOKUP($B346,Master_PIC!$A$8:$G$73,2,FALSE)),"")</f>
        <v/>
      </c>
      <c r="D346" s="15" t="str">
        <f>IF(COUNTIFS(Master_PIC!$A$8:$A$73,$B346)=1,IF(VLOOKUP($B346,Master_PIC!$A$8:$G$73,4,FALSE)="","",VLOOKUP($B346,Master_PIC!$A$8:$G$73,4,FALSE)),"")</f>
        <v/>
      </c>
      <c r="E346" s="15" t="str">
        <f>IF(COUNTIFS(Master_PIC!$A$8:$A$73,$B346)=1,IF(VLOOKUP($B346,Master_PIC!$A$8:$G$73,5,FALSE)="","",VLOOKUP($B346,Master_PIC!$A$8:$G$73,5,FALSE)),"")</f>
        <v/>
      </c>
      <c r="F346" s="15" t="str">
        <f>IF(COUNTIFS(Master_PIC!$A$8:$A$73,$B346)=1,IF(VLOOKUP($B346,Master_PIC!$A$8:$G$73,6,FALSE)="","",VLOOKUP($B346,Master_PIC!$A$8:$G$73,6,FALSE)),"")</f>
        <v/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8"/>
      <c r="X346" s="5"/>
      <c r="Y346" s="5"/>
      <c r="Z346" s="9"/>
      <c r="AA346" s="5"/>
      <c r="AB346" s="5"/>
      <c r="AC346" s="9"/>
      <c r="AD346" s="5"/>
      <c r="AE346" s="7" t="str">
        <f t="shared" si="35"/>
        <v/>
      </c>
      <c r="AF346" s="7" t="str">
        <f t="shared" si="36"/>
        <v/>
      </c>
      <c r="AG346" s="7" t="str">
        <f t="shared" si="37"/>
        <v/>
      </c>
      <c r="AH346" s="7" t="str">
        <f t="shared" si="38"/>
        <v/>
      </c>
      <c r="AI346" s="7" t="str">
        <f t="shared" si="39"/>
        <v/>
      </c>
      <c r="AJ346" s="7" t="str">
        <f t="shared" si="40"/>
        <v/>
      </c>
      <c r="AK346" s="10" t="str">
        <f t="shared" si="41"/>
        <v/>
      </c>
      <c r="AL346" s="15" t="str">
        <f>IF(OR($A346&lt;&gt;"",$B346&lt;&gt;""),IF(OR($A346="",$B346=""),"Isi tanggal dan ID PIC",IF(NOT(ISNUMBER($A346)),"Tanggal harus berupa tanggal Excel",IF(COUNTIFS(Master_PIC!$A$8:$A$73,$B346)&lt;&gt;1,"ID PIC tidak unik/terdaftar",IF(VLOOKUP($B346,Master_PIC!$A$8:$G$73,3,FALSE)&lt;&gt;"ASM","Jabatan tidak sesuai sheet",IF(OR($C346="",$D346="",$E346="",$F346=""),"Lengkapi master PIC",IF(COUNTIFS($A$8:$A$507,$A346,$B$8:$B$507,$B346)&gt;1,"Laporan ganda",IF(COUNTIFS(G346:O346,"Tidak Berlaku")&gt;0,"N/A hanya untuk kegiatan bersyarat",IF(SUM(AF346,AG346,AH346,AI346,AJ346)&lt;&gt;13,"Status kegiatan tidak valid",IF(AJ346&gt;0,"Lengkapi status kegiatan",IF(AND(AI346&gt;0,T346=""),"Isi alasan Tidak Berlaku",IF(AND(SUM(AG346,AH346)&gt;0,OR(T346="",U346="",V346="",W346="")),"Isi kendala dan tindak lanjut",IF(AND(Y346&lt;&gt;"Draft",Y346&lt;&gt;"Dikirim"),"Isi status laporan yang valid",IF(AND(AA346&lt;&gt;"",AA346&lt;&gt;"Belum Diperiksa",AA346&lt;&gt;"Disetujui",AA346&lt;&gt;"Perlu Perbaikan"),"Hasil review tidak valid",IF(AND(Y346="Dikirim",OR(X346="",Z346="")),"Isi bukti dan waktu kirim",IF(AND(AA346="Disetujui",OR(Y346&lt;&gt;"Dikirim",AB346="",AC346="")),"Lengkapi pemeriksaan",IF(AND(AA346="Perlu Perbaikan",OR(AD346="",AB346="",AC346="")),"Isi pemeriksa dan catatan perbaikan","OK")))))))))))))))),"")</f>
        <v/>
      </c>
    </row>
    <row r="347" spans="1:38" ht="24.95" customHeight="1">
      <c r="A347" s="8"/>
      <c r="B347" s="6"/>
      <c r="C347" s="15" t="str">
        <f>IF(COUNTIFS(Master_PIC!$A$8:$A$73,$B347)=1,IF(VLOOKUP($B347,Master_PIC!$A$8:$G$73,2,FALSE)="","",VLOOKUP($B347,Master_PIC!$A$8:$G$73,2,FALSE)),"")</f>
        <v/>
      </c>
      <c r="D347" s="15" t="str">
        <f>IF(COUNTIFS(Master_PIC!$A$8:$A$73,$B347)=1,IF(VLOOKUP($B347,Master_PIC!$A$8:$G$73,4,FALSE)="","",VLOOKUP($B347,Master_PIC!$A$8:$G$73,4,FALSE)),"")</f>
        <v/>
      </c>
      <c r="E347" s="15" t="str">
        <f>IF(COUNTIFS(Master_PIC!$A$8:$A$73,$B347)=1,IF(VLOOKUP($B347,Master_PIC!$A$8:$G$73,5,FALSE)="","",VLOOKUP($B347,Master_PIC!$A$8:$G$73,5,FALSE)),"")</f>
        <v/>
      </c>
      <c r="F347" s="15" t="str">
        <f>IF(COUNTIFS(Master_PIC!$A$8:$A$73,$B347)=1,IF(VLOOKUP($B347,Master_PIC!$A$8:$G$73,6,FALSE)="","",VLOOKUP($B347,Master_PIC!$A$8:$G$73,6,FALSE)),"")</f>
        <v/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8"/>
      <c r="X347" s="5"/>
      <c r="Y347" s="5"/>
      <c r="Z347" s="9"/>
      <c r="AA347" s="5"/>
      <c r="AB347" s="5"/>
      <c r="AC347" s="9"/>
      <c r="AD347" s="5"/>
      <c r="AE347" s="7" t="str">
        <f t="shared" si="35"/>
        <v/>
      </c>
      <c r="AF347" s="7" t="str">
        <f t="shared" si="36"/>
        <v/>
      </c>
      <c r="AG347" s="7" t="str">
        <f t="shared" si="37"/>
        <v/>
      </c>
      <c r="AH347" s="7" t="str">
        <f t="shared" si="38"/>
        <v/>
      </c>
      <c r="AI347" s="7" t="str">
        <f t="shared" si="39"/>
        <v/>
      </c>
      <c r="AJ347" s="7" t="str">
        <f t="shared" si="40"/>
        <v/>
      </c>
      <c r="AK347" s="10" t="str">
        <f t="shared" si="41"/>
        <v/>
      </c>
      <c r="AL347" s="15" t="str">
        <f>IF(OR($A347&lt;&gt;"",$B347&lt;&gt;""),IF(OR($A347="",$B347=""),"Isi tanggal dan ID PIC",IF(NOT(ISNUMBER($A347)),"Tanggal harus berupa tanggal Excel",IF(COUNTIFS(Master_PIC!$A$8:$A$73,$B347)&lt;&gt;1,"ID PIC tidak unik/terdaftar",IF(VLOOKUP($B347,Master_PIC!$A$8:$G$73,3,FALSE)&lt;&gt;"ASM","Jabatan tidak sesuai sheet",IF(OR($C347="",$D347="",$E347="",$F347=""),"Lengkapi master PIC",IF(COUNTIFS($A$8:$A$507,$A347,$B$8:$B$507,$B347)&gt;1,"Laporan ganda",IF(COUNTIFS(G347:O347,"Tidak Berlaku")&gt;0,"N/A hanya untuk kegiatan bersyarat",IF(SUM(AF347,AG347,AH347,AI347,AJ347)&lt;&gt;13,"Status kegiatan tidak valid",IF(AJ347&gt;0,"Lengkapi status kegiatan",IF(AND(AI347&gt;0,T347=""),"Isi alasan Tidak Berlaku",IF(AND(SUM(AG347,AH347)&gt;0,OR(T347="",U347="",V347="",W347="")),"Isi kendala dan tindak lanjut",IF(AND(Y347&lt;&gt;"Draft",Y347&lt;&gt;"Dikirim"),"Isi status laporan yang valid",IF(AND(AA347&lt;&gt;"",AA347&lt;&gt;"Belum Diperiksa",AA347&lt;&gt;"Disetujui",AA347&lt;&gt;"Perlu Perbaikan"),"Hasil review tidak valid",IF(AND(Y347="Dikirim",OR(X347="",Z347="")),"Isi bukti dan waktu kirim",IF(AND(AA347="Disetujui",OR(Y347&lt;&gt;"Dikirim",AB347="",AC347="")),"Lengkapi pemeriksaan",IF(AND(AA347="Perlu Perbaikan",OR(AD347="",AB347="",AC347="")),"Isi pemeriksa dan catatan perbaikan","OK")))))))))))))))),"")</f>
        <v/>
      </c>
    </row>
    <row r="348" spans="1:38" ht="24.95" customHeight="1">
      <c r="A348" s="8"/>
      <c r="B348" s="6"/>
      <c r="C348" s="15" t="str">
        <f>IF(COUNTIFS(Master_PIC!$A$8:$A$73,$B348)=1,IF(VLOOKUP($B348,Master_PIC!$A$8:$G$73,2,FALSE)="","",VLOOKUP($B348,Master_PIC!$A$8:$G$73,2,FALSE)),"")</f>
        <v/>
      </c>
      <c r="D348" s="15" t="str">
        <f>IF(COUNTIFS(Master_PIC!$A$8:$A$73,$B348)=1,IF(VLOOKUP($B348,Master_PIC!$A$8:$G$73,4,FALSE)="","",VLOOKUP($B348,Master_PIC!$A$8:$G$73,4,FALSE)),"")</f>
        <v/>
      </c>
      <c r="E348" s="15" t="str">
        <f>IF(COUNTIFS(Master_PIC!$A$8:$A$73,$B348)=1,IF(VLOOKUP($B348,Master_PIC!$A$8:$G$73,5,FALSE)="","",VLOOKUP($B348,Master_PIC!$A$8:$G$73,5,FALSE)),"")</f>
        <v/>
      </c>
      <c r="F348" s="15" t="str">
        <f>IF(COUNTIFS(Master_PIC!$A$8:$A$73,$B348)=1,IF(VLOOKUP($B348,Master_PIC!$A$8:$G$73,6,FALSE)="","",VLOOKUP($B348,Master_PIC!$A$8:$G$73,6,FALSE)),"")</f>
        <v/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8"/>
      <c r="X348" s="5"/>
      <c r="Y348" s="5"/>
      <c r="Z348" s="9"/>
      <c r="AA348" s="5"/>
      <c r="AB348" s="5"/>
      <c r="AC348" s="9"/>
      <c r="AD348" s="5"/>
      <c r="AE348" s="7" t="str">
        <f t="shared" si="35"/>
        <v/>
      </c>
      <c r="AF348" s="7" t="str">
        <f t="shared" si="36"/>
        <v/>
      </c>
      <c r="AG348" s="7" t="str">
        <f t="shared" si="37"/>
        <v/>
      </c>
      <c r="AH348" s="7" t="str">
        <f t="shared" si="38"/>
        <v/>
      </c>
      <c r="AI348" s="7" t="str">
        <f t="shared" si="39"/>
        <v/>
      </c>
      <c r="AJ348" s="7" t="str">
        <f t="shared" si="40"/>
        <v/>
      </c>
      <c r="AK348" s="10" t="str">
        <f t="shared" si="41"/>
        <v/>
      </c>
      <c r="AL348" s="15" t="str">
        <f>IF(OR($A348&lt;&gt;"",$B348&lt;&gt;""),IF(OR($A348="",$B348=""),"Isi tanggal dan ID PIC",IF(NOT(ISNUMBER($A348)),"Tanggal harus berupa tanggal Excel",IF(COUNTIFS(Master_PIC!$A$8:$A$73,$B348)&lt;&gt;1,"ID PIC tidak unik/terdaftar",IF(VLOOKUP($B348,Master_PIC!$A$8:$G$73,3,FALSE)&lt;&gt;"ASM","Jabatan tidak sesuai sheet",IF(OR($C348="",$D348="",$E348="",$F348=""),"Lengkapi master PIC",IF(COUNTIFS($A$8:$A$507,$A348,$B$8:$B$507,$B348)&gt;1,"Laporan ganda",IF(COUNTIFS(G348:O348,"Tidak Berlaku")&gt;0,"N/A hanya untuk kegiatan bersyarat",IF(SUM(AF348,AG348,AH348,AI348,AJ348)&lt;&gt;13,"Status kegiatan tidak valid",IF(AJ348&gt;0,"Lengkapi status kegiatan",IF(AND(AI348&gt;0,T348=""),"Isi alasan Tidak Berlaku",IF(AND(SUM(AG348,AH348)&gt;0,OR(T348="",U348="",V348="",W348="")),"Isi kendala dan tindak lanjut",IF(AND(Y348&lt;&gt;"Draft",Y348&lt;&gt;"Dikirim"),"Isi status laporan yang valid",IF(AND(AA348&lt;&gt;"",AA348&lt;&gt;"Belum Diperiksa",AA348&lt;&gt;"Disetujui",AA348&lt;&gt;"Perlu Perbaikan"),"Hasil review tidak valid",IF(AND(Y348="Dikirim",OR(X348="",Z348="")),"Isi bukti dan waktu kirim",IF(AND(AA348="Disetujui",OR(Y348&lt;&gt;"Dikirim",AB348="",AC348="")),"Lengkapi pemeriksaan",IF(AND(AA348="Perlu Perbaikan",OR(AD348="",AB348="",AC348="")),"Isi pemeriksa dan catatan perbaikan","OK")))))))))))))))),"")</f>
        <v/>
      </c>
    </row>
    <row r="349" spans="1:38" ht="24.95" customHeight="1">
      <c r="A349" s="8"/>
      <c r="B349" s="6"/>
      <c r="C349" s="15" t="str">
        <f>IF(COUNTIFS(Master_PIC!$A$8:$A$73,$B349)=1,IF(VLOOKUP($B349,Master_PIC!$A$8:$G$73,2,FALSE)="","",VLOOKUP($B349,Master_PIC!$A$8:$G$73,2,FALSE)),"")</f>
        <v/>
      </c>
      <c r="D349" s="15" t="str">
        <f>IF(COUNTIFS(Master_PIC!$A$8:$A$73,$B349)=1,IF(VLOOKUP($B349,Master_PIC!$A$8:$G$73,4,FALSE)="","",VLOOKUP($B349,Master_PIC!$A$8:$G$73,4,FALSE)),"")</f>
        <v/>
      </c>
      <c r="E349" s="15" t="str">
        <f>IF(COUNTIFS(Master_PIC!$A$8:$A$73,$B349)=1,IF(VLOOKUP($B349,Master_PIC!$A$8:$G$73,5,FALSE)="","",VLOOKUP($B349,Master_PIC!$A$8:$G$73,5,FALSE)),"")</f>
        <v/>
      </c>
      <c r="F349" s="15" t="str">
        <f>IF(COUNTIFS(Master_PIC!$A$8:$A$73,$B349)=1,IF(VLOOKUP($B349,Master_PIC!$A$8:$G$73,6,FALSE)="","",VLOOKUP($B349,Master_PIC!$A$8:$G$73,6,FALSE)),"")</f>
        <v/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8"/>
      <c r="X349" s="5"/>
      <c r="Y349" s="5"/>
      <c r="Z349" s="9"/>
      <c r="AA349" s="5"/>
      <c r="AB349" s="5"/>
      <c r="AC349" s="9"/>
      <c r="AD349" s="5"/>
      <c r="AE349" s="7" t="str">
        <f t="shared" si="35"/>
        <v/>
      </c>
      <c r="AF349" s="7" t="str">
        <f t="shared" si="36"/>
        <v/>
      </c>
      <c r="AG349" s="7" t="str">
        <f t="shared" si="37"/>
        <v/>
      </c>
      <c r="AH349" s="7" t="str">
        <f t="shared" si="38"/>
        <v/>
      </c>
      <c r="AI349" s="7" t="str">
        <f t="shared" si="39"/>
        <v/>
      </c>
      <c r="AJ349" s="7" t="str">
        <f t="shared" si="40"/>
        <v/>
      </c>
      <c r="AK349" s="10" t="str">
        <f t="shared" si="41"/>
        <v/>
      </c>
      <c r="AL349" s="15" t="str">
        <f>IF(OR($A349&lt;&gt;"",$B349&lt;&gt;""),IF(OR($A349="",$B349=""),"Isi tanggal dan ID PIC",IF(NOT(ISNUMBER($A349)),"Tanggal harus berupa tanggal Excel",IF(COUNTIFS(Master_PIC!$A$8:$A$73,$B349)&lt;&gt;1,"ID PIC tidak unik/terdaftar",IF(VLOOKUP($B349,Master_PIC!$A$8:$G$73,3,FALSE)&lt;&gt;"ASM","Jabatan tidak sesuai sheet",IF(OR($C349="",$D349="",$E349="",$F349=""),"Lengkapi master PIC",IF(COUNTIFS($A$8:$A$507,$A349,$B$8:$B$507,$B349)&gt;1,"Laporan ganda",IF(COUNTIFS(G349:O349,"Tidak Berlaku")&gt;0,"N/A hanya untuk kegiatan bersyarat",IF(SUM(AF349,AG349,AH349,AI349,AJ349)&lt;&gt;13,"Status kegiatan tidak valid",IF(AJ349&gt;0,"Lengkapi status kegiatan",IF(AND(AI349&gt;0,T349=""),"Isi alasan Tidak Berlaku",IF(AND(SUM(AG349,AH349)&gt;0,OR(T349="",U349="",V349="",W349="")),"Isi kendala dan tindak lanjut",IF(AND(Y349&lt;&gt;"Draft",Y349&lt;&gt;"Dikirim"),"Isi status laporan yang valid",IF(AND(AA349&lt;&gt;"",AA349&lt;&gt;"Belum Diperiksa",AA349&lt;&gt;"Disetujui",AA349&lt;&gt;"Perlu Perbaikan"),"Hasil review tidak valid",IF(AND(Y349="Dikirim",OR(X349="",Z349="")),"Isi bukti dan waktu kirim",IF(AND(AA349="Disetujui",OR(Y349&lt;&gt;"Dikirim",AB349="",AC349="")),"Lengkapi pemeriksaan",IF(AND(AA349="Perlu Perbaikan",OR(AD349="",AB349="",AC349="")),"Isi pemeriksa dan catatan perbaikan","OK")))))))))))))))),"")</f>
        <v/>
      </c>
    </row>
    <row r="350" spans="1:38" ht="24.95" customHeight="1">
      <c r="A350" s="8"/>
      <c r="B350" s="6"/>
      <c r="C350" s="15" t="str">
        <f>IF(COUNTIFS(Master_PIC!$A$8:$A$73,$B350)=1,IF(VLOOKUP($B350,Master_PIC!$A$8:$G$73,2,FALSE)="","",VLOOKUP($B350,Master_PIC!$A$8:$G$73,2,FALSE)),"")</f>
        <v/>
      </c>
      <c r="D350" s="15" t="str">
        <f>IF(COUNTIFS(Master_PIC!$A$8:$A$73,$B350)=1,IF(VLOOKUP($B350,Master_PIC!$A$8:$G$73,4,FALSE)="","",VLOOKUP($B350,Master_PIC!$A$8:$G$73,4,FALSE)),"")</f>
        <v/>
      </c>
      <c r="E350" s="15" t="str">
        <f>IF(COUNTIFS(Master_PIC!$A$8:$A$73,$B350)=1,IF(VLOOKUP($B350,Master_PIC!$A$8:$G$73,5,FALSE)="","",VLOOKUP($B350,Master_PIC!$A$8:$G$73,5,FALSE)),"")</f>
        <v/>
      </c>
      <c r="F350" s="15" t="str">
        <f>IF(COUNTIFS(Master_PIC!$A$8:$A$73,$B350)=1,IF(VLOOKUP($B350,Master_PIC!$A$8:$G$73,6,FALSE)="","",VLOOKUP($B350,Master_PIC!$A$8:$G$73,6,FALSE)),"")</f>
        <v/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8"/>
      <c r="X350" s="5"/>
      <c r="Y350" s="5"/>
      <c r="Z350" s="9"/>
      <c r="AA350" s="5"/>
      <c r="AB350" s="5"/>
      <c r="AC350" s="9"/>
      <c r="AD350" s="5"/>
      <c r="AE350" s="7" t="str">
        <f t="shared" si="35"/>
        <v/>
      </c>
      <c r="AF350" s="7" t="str">
        <f t="shared" si="36"/>
        <v/>
      </c>
      <c r="AG350" s="7" t="str">
        <f t="shared" si="37"/>
        <v/>
      </c>
      <c r="AH350" s="7" t="str">
        <f t="shared" si="38"/>
        <v/>
      </c>
      <c r="AI350" s="7" t="str">
        <f t="shared" si="39"/>
        <v/>
      </c>
      <c r="AJ350" s="7" t="str">
        <f t="shared" si="40"/>
        <v/>
      </c>
      <c r="AK350" s="10" t="str">
        <f t="shared" si="41"/>
        <v/>
      </c>
      <c r="AL350" s="15" t="str">
        <f>IF(OR($A350&lt;&gt;"",$B350&lt;&gt;""),IF(OR($A350="",$B350=""),"Isi tanggal dan ID PIC",IF(NOT(ISNUMBER($A350)),"Tanggal harus berupa tanggal Excel",IF(COUNTIFS(Master_PIC!$A$8:$A$73,$B350)&lt;&gt;1,"ID PIC tidak unik/terdaftar",IF(VLOOKUP($B350,Master_PIC!$A$8:$G$73,3,FALSE)&lt;&gt;"ASM","Jabatan tidak sesuai sheet",IF(OR($C350="",$D350="",$E350="",$F350=""),"Lengkapi master PIC",IF(COUNTIFS($A$8:$A$507,$A350,$B$8:$B$507,$B350)&gt;1,"Laporan ganda",IF(COUNTIFS(G350:O350,"Tidak Berlaku")&gt;0,"N/A hanya untuk kegiatan bersyarat",IF(SUM(AF350,AG350,AH350,AI350,AJ350)&lt;&gt;13,"Status kegiatan tidak valid",IF(AJ350&gt;0,"Lengkapi status kegiatan",IF(AND(AI350&gt;0,T350=""),"Isi alasan Tidak Berlaku",IF(AND(SUM(AG350,AH350)&gt;0,OR(T350="",U350="",V350="",W350="")),"Isi kendala dan tindak lanjut",IF(AND(Y350&lt;&gt;"Draft",Y350&lt;&gt;"Dikirim"),"Isi status laporan yang valid",IF(AND(AA350&lt;&gt;"",AA350&lt;&gt;"Belum Diperiksa",AA350&lt;&gt;"Disetujui",AA350&lt;&gt;"Perlu Perbaikan"),"Hasil review tidak valid",IF(AND(Y350="Dikirim",OR(X350="",Z350="")),"Isi bukti dan waktu kirim",IF(AND(AA350="Disetujui",OR(Y350&lt;&gt;"Dikirim",AB350="",AC350="")),"Lengkapi pemeriksaan",IF(AND(AA350="Perlu Perbaikan",OR(AD350="",AB350="",AC350="")),"Isi pemeriksa dan catatan perbaikan","OK")))))))))))))))),"")</f>
        <v/>
      </c>
    </row>
    <row r="351" spans="1:38" ht="24.95" customHeight="1">
      <c r="A351" s="8"/>
      <c r="B351" s="6"/>
      <c r="C351" s="15" t="str">
        <f>IF(COUNTIFS(Master_PIC!$A$8:$A$73,$B351)=1,IF(VLOOKUP($B351,Master_PIC!$A$8:$G$73,2,FALSE)="","",VLOOKUP($B351,Master_PIC!$A$8:$G$73,2,FALSE)),"")</f>
        <v/>
      </c>
      <c r="D351" s="15" t="str">
        <f>IF(COUNTIFS(Master_PIC!$A$8:$A$73,$B351)=1,IF(VLOOKUP($B351,Master_PIC!$A$8:$G$73,4,FALSE)="","",VLOOKUP($B351,Master_PIC!$A$8:$G$73,4,FALSE)),"")</f>
        <v/>
      </c>
      <c r="E351" s="15" t="str">
        <f>IF(COUNTIFS(Master_PIC!$A$8:$A$73,$B351)=1,IF(VLOOKUP($B351,Master_PIC!$A$8:$G$73,5,FALSE)="","",VLOOKUP($B351,Master_PIC!$A$8:$G$73,5,FALSE)),"")</f>
        <v/>
      </c>
      <c r="F351" s="15" t="str">
        <f>IF(COUNTIFS(Master_PIC!$A$8:$A$73,$B351)=1,IF(VLOOKUP($B351,Master_PIC!$A$8:$G$73,6,FALSE)="","",VLOOKUP($B351,Master_PIC!$A$8:$G$73,6,FALSE)),"")</f>
        <v/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8"/>
      <c r="X351" s="5"/>
      <c r="Y351" s="5"/>
      <c r="Z351" s="9"/>
      <c r="AA351" s="5"/>
      <c r="AB351" s="5"/>
      <c r="AC351" s="9"/>
      <c r="AD351" s="5"/>
      <c r="AE351" s="7" t="str">
        <f t="shared" si="35"/>
        <v/>
      </c>
      <c r="AF351" s="7" t="str">
        <f t="shared" si="36"/>
        <v/>
      </c>
      <c r="AG351" s="7" t="str">
        <f t="shared" si="37"/>
        <v/>
      </c>
      <c r="AH351" s="7" t="str">
        <f t="shared" si="38"/>
        <v/>
      </c>
      <c r="AI351" s="7" t="str">
        <f t="shared" si="39"/>
        <v/>
      </c>
      <c r="AJ351" s="7" t="str">
        <f t="shared" si="40"/>
        <v/>
      </c>
      <c r="AK351" s="10" t="str">
        <f t="shared" si="41"/>
        <v/>
      </c>
      <c r="AL351" s="15" t="str">
        <f>IF(OR($A351&lt;&gt;"",$B351&lt;&gt;""),IF(OR($A351="",$B351=""),"Isi tanggal dan ID PIC",IF(NOT(ISNUMBER($A351)),"Tanggal harus berupa tanggal Excel",IF(COUNTIFS(Master_PIC!$A$8:$A$73,$B351)&lt;&gt;1,"ID PIC tidak unik/terdaftar",IF(VLOOKUP($B351,Master_PIC!$A$8:$G$73,3,FALSE)&lt;&gt;"ASM","Jabatan tidak sesuai sheet",IF(OR($C351="",$D351="",$E351="",$F351=""),"Lengkapi master PIC",IF(COUNTIFS($A$8:$A$507,$A351,$B$8:$B$507,$B351)&gt;1,"Laporan ganda",IF(COUNTIFS(G351:O351,"Tidak Berlaku")&gt;0,"N/A hanya untuk kegiatan bersyarat",IF(SUM(AF351,AG351,AH351,AI351,AJ351)&lt;&gt;13,"Status kegiatan tidak valid",IF(AJ351&gt;0,"Lengkapi status kegiatan",IF(AND(AI351&gt;0,T351=""),"Isi alasan Tidak Berlaku",IF(AND(SUM(AG351,AH351)&gt;0,OR(T351="",U351="",V351="",W351="")),"Isi kendala dan tindak lanjut",IF(AND(Y351&lt;&gt;"Draft",Y351&lt;&gt;"Dikirim"),"Isi status laporan yang valid",IF(AND(AA351&lt;&gt;"",AA351&lt;&gt;"Belum Diperiksa",AA351&lt;&gt;"Disetujui",AA351&lt;&gt;"Perlu Perbaikan"),"Hasil review tidak valid",IF(AND(Y351="Dikirim",OR(X351="",Z351="")),"Isi bukti dan waktu kirim",IF(AND(AA351="Disetujui",OR(Y351&lt;&gt;"Dikirim",AB351="",AC351="")),"Lengkapi pemeriksaan",IF(AND(AA351="Perlu Perbaikan",OR(AD351="",AB351="",AC351="")),"Isi pemeriksa dan catatan perbaikan","OK")))))))))))))))),"")</f>
        <v/>
      </c>
    </row>
    <row r="352" spans="1:38" ht="24.95" customHeight="1">
      <c r="A352" s="8"/>
      <c r="B352" s="6"/>
      <c r="C352" s="15" t="str">
        <f>IF(COUNTIFS(Master_PIC!$A$8:$A$73,$B352)=1,IF(VLOOKUP($B352,Master_PIC!$A$8:$G$73,2,FALSE)="","",VLOOKUP($B352,Master_PIC!$A$8:$G$73,2,FALSE)),"")</f>
        <v/>
      </c>
      <c r="D352" s="15" t="str">
        <f>IF(COUNTIFS(Master_PIC!$A$8:$A$73,$B352)=1,IF(VLOOKUP($B352,Master_PIC!$A$8:$G$73,4,FALSE)="","",VLOOKUP($B352,Master_PIC!$A$8:$G$73,4,FALSE)),"")</f>
        <v/>
      </c>
      <c r="E352" s="15" t="str">
        <f>IF(COUNTIFS(Master_PIC!$A$8:$A$73,$B352)=1,IF(VLOOKUP($B352,Master_PIC!$A$8:$G$73,5,FALSE)="","",VLOOKUP($B352,Master_PIC!$A$8:$G$73,5,FALSE)),"")</f>
        <v/>
      </c>
      <c r="F352" s="15" t="str">
        <f>IF(COUNTIFS(Master_PIC!$A$8:$A$73,$B352)=1,IF(VLOOKUP($B352,Master_PIC!$A$8:$G$73,6,FALSE)="","",VLOOKUP($B352,Master_PIC!$A$8:$G$73,6,FALSE)),"")</f>
        <v/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8"/>
      <c r="X352" s="5"/>
      <c r="Y352" s="5"/>
      <c r="Z352" s="9"/>
      <c r="AA352" s="5"/>
      <c r="AB352" s="5"/>
      <c r="AC352" s="9"/>
      <c r="AD352" s="5"/>
      <c r="AE352" s="7" t="str">
        <f t="shared" si="35"/>
        <v/>
      </c>
      <c r="AF352" s="7" t="str">
        <f t="shared" si="36"/>
        <v/>
      </c>
      <c r="AG352" s="7" t="str">
        <f t="shared" si="37"/>
        <v/>
      </c>
      <c r="AH352" s="7" t="str">
        <f t="shared" si="38"/>
        <v/>
      </c>
      <c r="AI352" s="7" t="str">
        <f t="shared" si="39"/>
        <v/>
      </c>
      <c r="AJ352" s="7" t="str">
        <f t="shared" si="40"/>
        <v/>
      </c>
      <c r="AK352" s="10" t="str">
        <f t="shared" si="41"/>
        <v/>
      </c>
      <c r="AL352" s="15" t="str">
        <f>IF(OR($A352&lt;&gt;"",$B352&lt;&gt;""),IF(OR($A352="",$B352=""),"Isi tanggal dan ID PIC",IF(NOT(ISNUMBER($A352)),"Tanggal harus berupa tanggal Excel",IF(COUNTIFS(Master_PIC!$A$8:$A$73,$B352)&lt;&gt;1,"ID PIC tidak unik/terdaftar",IF(VLOOKUP($B352,Master_PIC!$A$8:$G$73,3,FALSE)&lt;&gt;"ASM","Jabatan tidak sesuai sheet",IF(OR($C352="",$D352="",$E352="",$F352=""),"Lengkapi master PIC",IF(COUNTIFS($A$8:$A$507,$A352,$B$8:$B$507,$B352)&gt;1,"Laporan ganda",IF(COUNTIFS(G352:O352,"Tidak Berlaku")&gt;0,"N/A hanya untuk kegiatan bersyarat",IF(SUM(AF352,AG352,AH352,AI352,AJ352)&lt;&gt;13,"Status kegiatan tidak valid",IF(AJ352&gt;0,"Lengkapi status kegiatan",IF(AND(AI352&gt;0,T352=""),"Isi alasan Tidak Berlaku",IF(AND(SUM(AG352,AH352)&gt;0,OR(T352="",U352="",V352="",W352="")),"Isi kendala dan tindak lanjut",IF(AND(Y352&lt;&gt;"Draft",Y352&lt;&gt;"Dikirim"),"Isi status laporan yang valid",IF(AND(AA352&lt;&gt;"",AA352&lt;&gt;"Belum Diperiksa",AA352&lt;&gt;"Disetujui",AA352&lt;&gt;"Perlu Perbaikan"),"Hasil review tidak valid",IF(AND(Y352="Dikirim",OR(X352="",Z352="")),"Isi bukti dan waktu kirim",IF(AND(AA352="Disetujui",OR(Y352&lt;&gt;"Dikirim",AB352="",AC352="")),"Lengkapi pemeriksaan",IF(AND(AA352="Perlu Perbaikan",OR(AD352="",AB352="",AC352="")),"Isi pemeriksa dan catatan perbaikan","OK")))))))))))))))),"")</f>
        <v/>
      </c>
    </row>
    <row r="353" spans="1:38" ht="24.95" customHeight="1">
      <c r="A353" s="8"/>
      <c r="B353" s="6"/>
      <c r="C353" s="15" t="str">
        <f>IF(COUNTIFS(Master_PIC!$A$8:$A$73,$B353)=1,IF(VLOOKUP($B353,Master_PIC!$A$8:$G$73,2,FALSE)="","",VLOOKUP($B353,Master_PIC!$A$8:$G$73,2,FALSE)),"")</f>
        <v/>
      </c>
      <c r="D353" s="15" t="str">
        <f>IF(COUNTIFS(Master_PIC!$A$8:$A$73,$B353)=1,IF(VLOOKUP($B353,Master_PIC!$A$8:$G$73,4,FALSE)="","",VLOOKUP($B353,Master_PIC!$A$8:$G$73,4,FALSE)),"")</f>
        <v/>
      </c>
      <c r="E353" s="15" t="str">
        <f>IF(COUNTIFS(Master_PIC!$A$8:$A$73,$B353)=1,IF(VLOOKUP($B353,Master_PIC!$A$8:$G$73,5,FALSE)="","",VLOOKUP($B353,Master_PIC!$A$8:$G$73,5,FALSE)),"")</f>
        <v/>
      </c>
      <c r="F353" s="15" t="str">
        <f>IF(COUNTIFS(Master_PIC!$A$8:$A$73,$B353)=1,IF(VLOOKUP($B353,Master_PIC!$A$8:$G$73,6,FALSE)="","",VLOOKUP($B353,Master_PIC!$A$8:$G$73,6,FALSE)),"")</f>
        <v/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8"/>
      <c r="X353" s="5"/>
      <c r="Y353" s="5"/>
      <c r="Z353" s="9"/>
      <c r="AA353" s="5"/>
      <c r="AB353" s="5"/>
      <c r="AC353" s="9"/>
      <c r="AD353" s="5"/>
      <c r="AE353" s="7" t="str">
        <f t="shared" si="35"/>
        <v/>
      </c>
      <c r="AF353" s="7" t="str">
        <f t="shared" si="36"/>
        <v/>
      </c>
      <c r="AG353" s="7" t="str">
        <f t="shared" si="37"/>
        <v/>
      </c>
      <c r="AH353" s="7" t="str">
        <f t="shared" si="38"/>
        <v/>
      </c>
      <c r="AI353" s="7" t="str">
        <f t="shared" si="39"/>
        <v/>
      </c>
      <c r="AJ353" s="7" t="str">
        <f t="shared" si="40"/>
        <v/>
      </c>
      <c r="AK353" s="10" t="str">
        <f t="shared" si="41"/>
        <v/>
      </c>
      <c r="AL353" s="15" t="str">
        <f>IF(OR($A353&lt;&gt;"",$B353&lt;&gt;""),IF(OR($A353="",$B353=""),"Isi tanggal dan ID PIC",IF(NOT(ISNUMBER($A353)),"Tanggal harus berupa tanggal Excel",IF(COUNTIFS(Master_PIC!$A$8:$A$73,$B353)&lt;&gt;1,"ID PIC tidak unik/terdaftar",IF(VLOOKUP($B353,Master_PIC!$A$8:$G$73,3,FALSE)&lt;&gt;"ASM","Jabatan tidak sesuai sheet",IF(OR($C353="",$D353="",$E353="",$F353=""),"Lengkapi master PIC",IF(COUNTIFS($A$8:$A$507,$A353,$B$8:$B$507,$B353)&gt;1,"Laporan ganda",IF(COUNTIFS(G353:O353,"Tidak Berlaku")&gt;0,"N/A hanya untuk kegiatan bersyarat",IF(SUM(AF353,AG353,AH353,AI353,AJ353)&lt;&gt;13,"Status kegiatan tidak valid",IF(AJ353&gt;0,"Lengkapi status kegiatan",IF(AND(AI353&gt;0,T353=""),"Isi alasan Tidak Berlaku",IF(AND(SUM(AG353,AH353)&gt;0,OR(T353="",U353="",V353="",W353="")),"Isi kendala dan tindak lanjut",IF(AND(Y353&lt;&gt;"Draft",Y353&lt;&gt;"Dikirim"),"Isi status laporan yang valid",IF(AND(AA353&lt;&gt;"",AA353&lt;&gt;"Belum Diperiksa",AA353&lt;&gt;"Disetujui",AA353&lt;&gt;"Perlu Perbaikan"),"Hasil review tidak valid",IF(AND(Y353="Dikirim",OR(X353="",Z353="")),"Isi bukti dan waktu kirim",IF(AND(AA353="Disetujui",OR(Y353&lt;&gt;"Dikirim",AB353="",AC353="")),"Lengkapi pemeriksaan",IF(AND(AA353="Perlu Perbaikan",OR(AD353="",AB353="",AC353="")),"Isi pemeriksa dan catatan perbaikan","OK")))))))))))))))),"")</f>
        <v/>
      </c>
    </row>
    <row r="354" spans="1:38" ht="24.95" customHeight="1">
      <c r="A354" s="8"/>
      <c r="B354" s="6"/>
      <c r="C354" s="15" t="str">
        <f>IF(COUNTIFS(Master_PIC!$A$8:$A$73,$B354)=1,IF(VLOOKUP($B354,Master_PIC!$A$8:$G$73,2,FALSE)="","",VLOOKUP($B354,Master_PIC!$A$8:$G$73,2,FALSE)),"")</f>
        <v/>
      </c>
      <c r="D354" s="15" t="str">
        <f>IF(COUNTIFS(Master_PIC!$A$8:$A$73,$B354)=1,IF(VLOOKUP($B354,Master_PIC!$A$8:$G$73,4,FALSE)="","",VLOOKUP($B354,Master_PIC!$A$8:$G$73,4,FALSE)),"")</f>
        <v/>
      </c>
      <c r="E354" s="15" t="str">
        <f>IF(COUNTIFS(Master_PIC!$A$8:$A$73,$B354)=1,IF(VLOOKUP($B354,Master_PIC!$A$8:$G$73,5,FALSE)="","",VLOOKUP($B354,Master_PIC!$A$8:$G$73,5,FALSE)),"")</f>
        <v/>
      </c>
      <c r="F354" s="15" t="str">
        <f>IF(COUNTIFS(Master_PIC!$A$8:$A$73,$B354)=1,IF(VLOOKUP($B354,Master_PIC!$A$8:$G$73,6,FALSE)="","",VLOOKUP($B354,Master_PIC!$A$8:$G$73,6,FALSE)),"")</f>
        <v/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8"/>
      <c r="X354" s="5"/>
      <c r="Y354" s="5"/>
      <c r="Z354" s="9"/>
      <c r="AA354" s="5"/>
      <c r="AB354" s="5"/>
      <c r="AC354" s="9"/>
      <c r="AD354" s="5"/>
      <c r="AE354" s="7" t="str">
        <f t="shared" si="35"/>
        <v/>
      </c>
      <c r="AF354" s="7" t="str">
        <f t="shared" si="36"/>
        <v/>
      </c>
      <c r="AG354" s="7" t="str">
        <f t="shared" si="37"/>
        <v/>
      </c>
      <c r="AH354" s="7" t="str">
        <f t="shared" si="38"/>
        <v/>
      </c>
      <c r="AI354" s="7" t="str">
        <f t="shared" si="39"/>
        <v/>
      </c>
      <c r="AJ354" s="7" t="str">
        <f t="shared" si="40"/>
        <v/>
      </c>
      <c r="AK354" s="10" t="str">
        <f t="shared" si="41"/>
        <v/>
      </c>
      <c r="AL354" s="15" t="str">
        <f>IF(OR($A354&lt;&gt;"",$B354&lt;&gt;""),IF(OR($A354="",$B354=""),"Isi tanggal dan ID PIC",IF(NOT(ISNUMBER($A354)),"Tanggal harus berupa tanggal Excel",IF(COUNTIFS(Master_PIC!$A$8:$A$73,$B354)&lt;&gt;1,"ID PIC tidak unik/terdaftar",IF(VLOOKUP($B354,Master_PIC!$A$8:$G$73,3,FALSE)&lt;&gt;"ASM","Jabatan tidak sesuai sheet",IF(OR($C354="",$D354="",$E354="",$F354=""),"Lengkapi master PIC",IF(COUNTIFS($A$8:$A$507,$A354,$B$8:$B$507,$B354)&gt;1,"Laporan ganda",IF(COUNTIFS(G354:O354,"Tidak Berlaku")&gt;0,"N/A hanya untuk kegiatan bersyarat",IF(SUM(AF354,AG354,AH354,AI354,AJ354)&lt;&gt;13,"Status kegiatan tidak valid",IF(AJ354&gt;0,"Lengkapi status kegiatan",IF(AND(AI354&gt;0,T354=""),"Isi alasan Tidak Berlaku",IF(AND(SUM(AG354,AH354)&gt;0,OR(T354="",U354="",V354="",W354="")),"Isi kendala dan tindak lanjut",IF(AND(Y354&lt;&gt;"Draft",Y354&lt;&gt;"Dikirim"),"Isi status laporan yang valid",IF(AND(AA354&lt;&gt;"",AA354&lt;&gt;"Belum Diperiksa",AA354&lt;&gt;"Disetujui",AA354&lt;&gt;"Perlu Perbaikan"),"Hasil review tidak valid",IF(AND(Y354="Dikirim",OR(X354="",Z354="")),"Isi bukti dan waktu kirim",IF(AND(AA354="Disetujui",OR(Y354&lt;&gt;"Dikirim",AB354="",AC354="")),"Lengkapi pemeriksaan",IF(AND(AA354="Perlu Perbaikan",OR(AD354="",AB354="",AC354="")),"Isi pemeriksa dan catatan perbaikan","OK")))))))))))))))),"")</f>
        <v/>
      </c>
    </row>
    <row r="355" spans="1:38" ht="24.95" customHeight="1">
      <c r="A355" s="8"/>
      <c r="B355" s="6"/>
      <c r="C355" s="15" t="str">
        <f>IF(COUNTIFS(Master_PIC!$A$8:$A$73,$B355)=1,IF(VLOOKUP($B355,Master_PIC!$A$8:$G$73,2,FALSE)="","",VLOOKUP($B355,Master_PIC!$A$8:$G$73,2,FALSE)),"")</f>
        <v/>
      </c>
      <c r="D355" s="15" t="str">
        <f>IF(COUNTIFS(Master_PIC!$A$8:$A$73,$B355)=1,IF(VLOOKUP($B355,Master_PIC!$A$8:$G$73,4,FALSE)="","",VLOOKUP($B355,Master_PIC!$A$8:$G$73,4,FALSE)),"")</f>
        <v/>
      </c>
      <c r="E355" s="15" t="str">
        <f>IF(COUNTIFS(Master_PIC!$A$8:$A$73,$B355)=1,IF(VLOOKUP($B355,Master_PIC!$A$8:$G$73,5,FALSE)="","",VLOOKUP($B355,Master_PIC!$A$8:$G$73,5,FALSE)),"")</f>
        <v/>
      </c>
      <c r="F355" s="15" t="str">
        <f>IF(COUNTIFS(Master_PIC!$A$8:$A$73,$B355)=1,IF(VLOOKUP($B355,Master_PIC!$A$8:$G$73,6,FALSE)="","",VLOOKUP($B355,Master_PIC!$A$8:$G$73,6,FALSE)),"")</f>
        <v/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8"/>
      <c r="X355" s="5"/>
      <c r="Y355" s="5"/>
      <c r="Z355" s="9"/>
      <c r="AA355" s="5"/>
      <c r="AB355" s="5"/>
      <c r="AC355" s="9"/>
      <c r="AD355" s="5"/>
      <c r="AE355" s="7" t="str">
        <f t="shared" si="35"/>
        <v/>
      </c>
      <c r="AF355" s="7" t="str">
        <f t="shared" si="36"/>
        <v/>
      </c>
      <c r="AG355" s="7" t="str">
        <f t="shared" si="37"/>
        <v/>
      </c>
      <c r="AH355" s="7" t="str">
        <f t="shared" si="38"/>
        <v/>
      </c>
      <c r="AI355" s="7" t="str">
        <f t="shared" si="39"/>
        <v/>
      </c>
      <c r="AJ355" s="7" t="str">
        <f t="shared" si="40"/>
        <v/>
      </c>
      <c r="AK355" s="10" t="str">
        <f t="shared" si="41"/>
        <v/>
      </c>
      <c r="AL355" s="15" t="str">
        <f>IF(OR($A355&lt;&gt;"",$B355&lt;&gt;""),IF(OR($A355="",$B355=""),"Isi tanggal dan ID PIC",IF(NOT(ISNUMBER($A355)),"Tanggal harus berupa tanggal Excel",IF(COUNTIFS(Master_PIC!$A$8:$A$73,$B355)&lt;&gt;1,"ID PIC tidak unik/terdaftar",IF(VLOOKUP($B355,Master_PIC!$A$8:$G$73,3,FALSE)&lt;&gt;"ASM","Jabatan tidak sesuai sheet",IF(OR($C355="",$D355="",$E355="",$F355=""),"Lengkapi master PIC",IF(COUNTIFS($A$8:$A$507,$A355,$B$8:$B$507,$B355)&gt;1,"Laporan ganda",IF(COUNTIFS(G355:O355,"Tidak Berlaku")&gt;0,"N/A hanya untuk kegiatan bersyarat",IF(SUM(AF355,AG355,AH355,AI355,AJ355)&lt;&gt;13,"Status kegiatan tidak valid",IF(AJ355&gt;0,"Lengkapi status kegiatan",IF(AND(AI355&gt;0,T355=""),"Isi alasan Tidak Berlaku",IF(AND(SUM(AG355,AH355)&gt;0,OR(T355="",U355="",V355="",W355="")),"Isi kendala dan tindak lanjut",IF(AND(Y355&lt;&gt;"Draft",Y355&lt;&gt;"Dikirim"),"Isi status laporan yang valid",IF(AND(AA355&lt;&gt;"",AA355&lt;&gt;"Belum Diperiksa",AA355&lt;&gt;"Disetujui",AA355&lt;&gt;"Perlu Perbaikan"),"Hasil review tidak valid",IF(AND(Y355="Dikirim",OR(X355="",Z355="")),"Isi bukti dan waktu kirim",IF(AND(AA355="Disetujui",OR(Y355&lt;&gt;"Dikirim",AB355="",AC355="")),"Lengkapi pemeriksaan",IF(AND(AA355="Perlu Perbaikan",OR(AD355="",AB355="",AC355="")),"Isi pemeriksa dan catatan perbaikan","OK")))))))))))))))),"")</f>
        <v/>
      </c>
    </row>
    <row r="356" spans="1:38" ht="24.95" customHeight="1">
      <c r="A356" s="8"/>
      <c r="B356" s="6"/>
      <c r="C356" s="15" t="str">
        <f>IF(COUNTIFS(Master_PIC!$A$8:$A$73,$B356)=1,IF(VLOOKUP($B356,Master_PIC!$A$8:$G$73,2,FALSE)="","",VLOOKUP($B356,Master_PIC!$A$8:$G$73,2,FALSE)),"")</f>
        <v/>
      </c>
      <c r="D356" s="15" t="str">
        <f>IF(COUNTIFS(Master_PIC!$A$8:$A$73,$B356)=1,IF(VLOOKUP($B356,Master_PIC!$A$8:$G$73,4,FALSE)="","",VLOOKUP($B356,Master_PIC!$A$8:$G$73,4,FALSE)),"")</f>
        <v/>
      </c>
      <c r="E356" s="15" t="str">
        <f>IF(COUNTIFS(Master_PIC!$A$8:$A$73,$B356)=1,IF(VLOOKUP($B356,Master_PIC!$A$8:$G$73,5,FALSE)="","",VLOOKUP($B356,Master_PIC!$A$8:$G$73,5,FALSE)),"")</f>
        <v/>
      </c>
      <c r="F356" s="15" t="str">
        <f>IF(COUNTIFS(Master_PIC!$A$8:$A$73,$B356)=1,IF(VLOOKUP($B356,Master_PIC!$A$8:$G$73,6,FALSE)="","",VLOOKUP($B356,Master_PIC!$A$8:$G$73,6,FALSE)),"")</f>
        <v/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8"/>
      <c r="X356" s="5"/>
      <c r="Y356" s="5"/>
      <c r="Z356" s="9"/>
      <c r="AA356" s="5"/>
      <c r="AB356" s="5"/>
      <c r="AC356" s="9"/>
      <c r="AD356" s="5"/>
      <c r="AE356" s="7" t="str">
        <f t="shared" si="35"/>
        <v/>
      </c>
      <c r="AF356" s="7" t="str">
        <f t="shared" si="36"/>
        <v/>
      </c>
      <c r="AG356" s="7" t="str">
        <f t="shared" si="37"/>
        <v/>
      </c>
      <c r="AH356" s="7" t="str">
        <f t="shared" si="38"/>
        <v/>
      </c>
      <c r="AI356" s="7" t="str">
        <f t="shared" si="39"/>
        <v/>
      </c>
      <c r="AJ356" s="7" t="str">
        <f t="shared" si="40"/>
        <v/>
      </c>
      <c r="AK356" s="10" t="str">
        <f t="shared" si="41"/>
        <v/>
      </c>
      <c r="AL356" s="15" t="str">
        <f>IF(OR($A356&lt;&gt;"",$B356&lt;&gt;""),IF(OR($A356="",$B356=""),"Isi tanggal dan ID PIC",IF(NOT(ISNUMBER($A356)),"Tanggal harus berupa tanggal Excel",IF(COUNTIFS(Master_PIC!$A$8:$A$73,$B356)&lt;&gt;1,"ID PIC tidak unik/terdaftar",IF(VLOOKUP($B356,Master_PIC!$A$8:$G$73,3,FALSE)&lt;&gt;"ASM","Jabatan tidak sesuai sheet",IF(OR($C356="",$D356="",$E356="",$F356=""),"Lengkapi master PIC",IF(COUNTIFS($A$8:$A$507,$A356,$B$8:$B$507,$B356)&gt;1,"Laporan ganda",IF(COUNTIFS(G356:O356,"Tidak Berlaku")&gt;0,"N/A hanya untuk kegiatan bersyarat",IF(SUM(AF356,AG356,AH356,AI356,AJ356)&lt;&gt;13,"Status kegiatan tidak valid",IF(AJ356&gt;0,"Lengkapi status kegiatan",IF(AND(AI356&gt;0,T356=""),"Isi alasan Tidak Berlaku",IF(AND(SUM(AG356,AH356)&gt;0,OR(T356="",U356="",V356="",W356="")),"Isi kendala dan tindak lanjut",IF(AND(Y356&lt;&gt;"Draft",Y356&lt;&gt;"Dikirim"),"Isi status laporan yang valid",IF(AND(AA356&lt;&gt;"",AA356&lt;&gt;"Belum Diperiksa",AA356&lt;&gt;"Disetujui",AA356&lt;&gt;"Perlu Perbaikan"),"Hasil review tidak valid",IF(AND(Y356="Dikirim",OR(X356="",Z356="")),"Isi bukti dan waktu kirim",IF(AND(AA356="Disetujui",OR(Y356&lt;&gt;"Dikirim",AB356="",AC356="")),"Lengkapi pemeriksaan",IF(AND(AA356="Perlu Perbaikan",OR(AD356="",AB356="",AC356="")),"Isi pemeriksa dan catatan perbaikan","OK")))))))))))))))),"")</f>
        <v/>
      </c>
    </row>
    <row r="357" spans="1:38" ht="24.95" customHeight="1">
      <c r="A357" s="8"/>
      <c r="B357" s="6"/>
      <c r="C357" s="15" t="str">
        <f>IF(COUNTIFS(Master_PIC!$A$8:$A$73,$B357)=1,IF(VLOOKUP($B357,Master_PIC!$A$8:$G$73,2,FALSE)="","",VLOOKUP($B357,Master_PIC!$A$8:$G$73,2,FALSE)),"")</f>
        <v/>
      </c>
      <c r="D357" s="15" t="str">
        <f>IF(COUNTIFS(Master_PIC!$A$8:$A$73,$B357)=1,IF(VLOOKUP($B357,Master_PIC!$A$8:$G$73,4,FALSE)="","",VLOOKUP($B357,Master_PIC!$A$8:$G$73,4,FALSE)),"")</f>
        <v/>
      </c>
      <c r="E357" s="15" t="str">
        <f>IF(COUNTIFS(Master_PIC!$A$8:$A$73,$B357)=1,IF(VLOOKUP($B357,Master_PIC!$A$8:$G$73,5,FALSE)="","",VLOOKUP($B357,Master_PIC!$A$8:$G$73,5,FALSE)),"")</f>
        <v/>
      </c>
      <c r="F357" s="15" t="str">
        <f>IF(COUNTIFS(Master_PIC!$A$8:$A$73,$B357)=1,IF(VLOOKUP($B357,Master_PIC!$A$8:$G$73,6,FALSE)="","",VLOOKUP($B357,Master_PIC!$A$8:$G$73,6,FALSE)),"")</f>
        <v/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8"/>
      <c r="X357" s="5"/>
      <c r="Y357" s="5"/>
      <c r="Z357" s="9"/>
      <c r="AA357" s="5"/>
      <c r="AB357" s="5"/>
      <c r="AC357" s="9"/>
      <c r="AD357" s="5"/>
      <c r="AE357" s="7" t="str">
        <f t="shared" si="35"/>
        <v/>
      </c>
      <c r="AF357" s="7" t="str">
        <f t="shared" si="36"/>
        <v/>
      </c>
      <c r="AG357" s="7" t="str">
        <f t="shared" si="37"/>
        <v/>
      </c>
      <c r="AH357" s="7" t="str">
        <f t="shared" si="38"/>
        <v/>
      </c>
      <c r="AI357" s="7" t="str">
        <f t="shared" si="39"/>
        <v/>
      </c>
      <c r="AJ357" s="7" t="str">
        <f t="shared" si="40"/>
        <v/>
      </c>
      <c r="AK357" s="10" t="str">
        <f t="shared" si="41"/>
        <v/>
      </c>
      <c r="AL357" s="15" t="str">
        <f>IF(OR($A357&lt;&gt;"",$B357&lt;&gt;""),IF(OR($A357="",$B357=""),"Isi tanggal dan ID PIC",IF(NOT(ISNUMBER($A357)),"Tanggal harus berupa tanggal Excel",IF(COUNTIFS(Master_PIC!$A$8:$A$73,$B357)&lt;&gt;1,"ID PIC tidak unik/terdaftar",IF(VLOOKUP($B357,Master_PIC!$A$8:$G$73,3,FALSE)&lt;&gt;"ASM","Jabatan tidak sesuai sheet",IF(OR($C357="",$D357="",$E357="",$F357=""),"Lengkapi master PIC",IF(COUNTIFS($A$8:$A$507,$A357,$B$8:$B$507,$B357)&gt;1,"Laporan ganda",IF(COUNTIFS(G357:O357,"Tidak Berlaku")&gt;0,"N/A hanya untuk kegiatan bersyarat",IF(SUM(AF357,AG357,AH357,AI357,AJ357)&lt;&gt;13,"Status kegiatan tidak valid",IF(AJ357&gt;0,"Lengkapi status kegiatan",IF(AND(AI357&gt;0,T357=""),"Isi alasan Tidak Berlaku",IF(AND(SUM(AG357,AH357)&gt;0,OR(T357="",U357="",V357="",W357="")),"Isi kendala dan tindak lanjut",IF(AND(Y357&lt;&gt;"Draft",Y357&lt;&gt;"Dikirim"),"Isi status laporan yang valid",IF(AND(AA357&lt;&gt;"",AA357&lt;&gt;"Belum Diperiksa",AA357&lt;&gt;"Disetujui",AA357&lt;&gt;"Perlu Perbaikan"),"Hasil review tidak valid",IF(AND(Y357="Dikirim",OR(X357="",Z357="")),"Isi bukti dan waktu kirim",IF(AND(AA357="Disetujui",OR(Y357&lt;&gt;"Dikirim",AB357="",AC357="")),"Lengkapi pemeriksaan",IF(AND(AA357="Perlu Perbaikan",OR(AD357="",AB357="",AC357="")),"Isi pemeriksa dan catatan perbaikan","OK")))))))))))))))),"")</f>
        <v/>
      </c>
    </row>
    <row r="358" spans="1:38" ht="24.95" customHeight="1">
      <c r="A358" s="8"/>
      <c r="B358" s="6"/>
      <c r="C358" s="15" t="str">
        <f>IF(COUNTIFS(Master_PIC!$A$8:$A$73,$B358)=1,IF(VLOOKUP($B358,Master_PIC!$A$8:$G$73,2,FALSE)="","",VLOOKUP($B358,Master_PIC!$A$8:$G$73,2,FALSE)),"")</f>
        <v/>
      </c>
      <c r="D358" s="15" t="str">
        <f>IF(COUNTIFS(Master_PIC!$A$8:$A$73,$B358)=1,IF(VLOOKUP($B358,Master_PIC!$A$8:$G$73,4,FALSE)="","",VLOOKUP($B358,Master_PIC!$A$8:$G$73,4,FALSE)),"")</f>
        <v/>
      </c>
      <c r="E358" s="15" t="str">
        <f>IF(COUNTIFS(Master_PIC!$A$8:$A$73,$B358)=1,IF(VLOOKUP($B358,Master_PIC!$A$8:$G$73,5,FALSE)="","",VLOOKUP($B358,Master_PIC!$A$8:$G$73,5,FALSE)),"")</f>
        <v/>
      </c>
      <c r="F358" s="15" t="str">
        <f>IF(COUNTIFS(Master_PIC!$A$8:$A$73,$B358)=1,IF(VLOOKUP($B358,Master_PIC!$A$8:$G$73,6,FALSE)="","",VLOOKUP($B358,Master_PIC!$A$8:$G$73,6,FALSE)),"")</f>
        <v/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8"/>
      <c r="X358" s="5"/>
      <c r="Y358" s="5"/>
      <c r="Z358" s="9"/>
      <c r="AA358" s="5"/>
      <c r="AB358" s="5"/>
      <c r="AC358" s="9"/>
      <c r="AD358" s="5"/>
      <c r="AE358" s="7" t="str">
        <f t="shared" si="35"/>
        <v/>
      </c>
      <c r="AF358" s="7" t="str">
        <f t="shared" si="36"/>
        <v/>
      </c>
      <c r="AG358" s="7" t="str">
        <f t="shared" si="37"/>
        <v/>
      </c>
      <c r="AH358" s="7" t="str">
        <f t="shared" si="38"/>
        <v/>
      </c>
      <c r="AI358" s="7" t="str">
        <f t="shared" si="39"/>
        <v/>
      </c>
      <c r="AJ358" s="7" t="str">
        <f t="shared" si="40"/>
        <v/>
      </c>
      <c r="AK358" s="10" t="str">
        <f t="shared" si="41"/>
        <v/>
      </c>
      <c r="AL358" s="15" t="str">
        <f>IF(OR($A358&lt;&gt;"",$B358&lt;&gt;""),IF(OR($A358="",$B358=""),"Isi tanggal dan ID PIC",IF(NOT(ISNUMBER($A358)),"Tanggal harus berupa tanggal Excel",IF(COUNTIFS(Master_PIC!$A$8:$A$73,$B358)&lt;&gt;1,"ID PIC tidak unik/terdaftar",IF(VLOOKUP($B358,Master_PIC!$A$8:$G$73,3,FALSE)&lt;&gt;"ASM","Jabatan tidak sesuai sheet",IF(OR($C358="",$D358="",$E358="",$F358=""),"Lengkapi master PIC",IF(COUNTIFS($A$8:$A$507,$A358,$B$8:$B$507,$B358)&gt;1,"Laporan ganda",IF(COUNTIFS(G358:O358,"Tidak Berlaku")&gt;0,"N/A hanya untuk kegiatan bersyarat",IF(SUM(AF358,AG358,AH358,AI358,AJ358)&lt;&gt;13,"Status kegiatan tidak valid",IF(AJ358&gt;0,"Lengkapi status kegiatan",IF(AND(AI358&gt;0,T358=""),"Isi alasan Tidak Berlaku",IF(AND(SUM(AG358,AH358)&gt;0,OR(T358="",U358="",V358="",W358="")),"Isi kendala dan tindak lanjut",IF(AND(Y358&lt;&gt;"Draft",Y358&lt;&gt;"Dikirim"),"Isi status laporan yang valid",IF(AND(AA358&lt;&gt;"",AA358&lt;&gt;"Belum Diperiksa",AA358&lt;&gt;"Disetujui",AA358&lt;&gt;"Perlu Perbaikan"),"Hasil review tidak valid",IF(AND(Y358="Dikirim",OR(X358="",Z358="")),"Isi bukti dan waktu kirim",IF(AND(AA358="Disetujui",OR(Y358&lt;&gt;"Dikirim",AB358="",AC358="")),"Lengkapi pemeriksaan",IF(AND(AA358="Perlu Perbaikan",OR(AD358="",AB358="",AC358="")),"Isi pemeriksa dan catatan perbaikan","OK")))))))))))))))),"")</f>
        <v/>
      </c>
    </row>
    <row r="359" spans="1:38" ht="24.95" customHeight="1">
      <c r="A359" s="8"/>
      <c r="B359" s="6"/>
      <c r="C359" s="15" t="str">
        <f>IF(COUNTIFS(Master_PIC!$A$8:$A$73,$B359)=1,IF(VLOOKUP($B359,Master_PIC!$A$8:$G$73,2,FALSE)="","",VLOOKUP($B359,Master_PIC!$A$8:$G$73,2,FALSE)),"")</f>
        <v/>
      </c>
      <c r="D359" s="15" t="str">
        <f>IF(COUNTIFS(Master_PIC!$A$8:$A$73,$B359)=1,IF(VLOOKUP($B359,Master_PIC!$A$8:$G$73,4,FALSE)="","",VLOOKUP($B359,Master_PIC!$A$8:$G$73,4,FALSE)),"")</f>
        <v/>
      </c>
      <c r="E359" s="15" t="str">
        <f>IF(COUNTIFS(Master_PIC!$A$8:$A$73,$B359)=1,IF(VLOOKUP($B359,Master_PIC!$A$8:$G$73,5,FALSE)="","",VLOOKUP($B359,Master_PIC!$A$8:$G$73,5,FALSE)),"")</f>
        <v/>
      </c>
      <c r="F359" s="15" t="str">
        <f>IF(COUNTIFS(Master_PIC!$A$8:$A$73,$B359)=1,IF(VLOOKUP($B359,Master_PIC!$A$8:$G$73,6,FALSE)="","",VLOOKUP($B359,Master_PIC!$A$8:$G$73,6,FALSE)),"")</f>
        <v/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8"/>
      <c r="X359" s="5"/>
      <c r="Y359" s="5"/>
      <c r="Z359" s="9"/>
      <c r="AA359" s="5"/>
      <c r="AB359" s="5"/>
      <c r="AC359" s="9"/>
      <c r="AD359" s="5"/>
      <c r="AE359" s="7" t="str">
        <f t="shared" si="35"/>
        <v/>
      </c>
      <c r="AF359" s="7" t="str">
        <f t="shared" si="36"/>
        <v/>
      </c>
      <c r="AG359" s="7" t="str">
        <f t="shared" si="37"/>
        <v/>
      </c>
      <c r="AH359" s="7" t="str">
        <f t="shared" si="38"/>
        <v/>
      </c>
      <c r="AI359" s="7" t="str">
        <f t="shared" si="39"/>
        <v/>
      </c>
      <c r="AJ359" s="7" t="str">
        <f t="shared" si="40"/>
        <v/>
      </c>
      <c r="AK359" s="10" t="str">
        <f t="shared" si="41"/>
        <v/>
      </c>
      <c r="AL359" s="15" t="str">
        <f>IF(OR($A359&lt;&gt;"",$B359&lt;&gt;""),IF(OR($A359="",$B359=""),"Isi tanggal dan ID PIC",IF(NOT(ISNUMBER($A359)),"Tanggal harus berupa tanggal Excel",IF(COUNTIFS(Master_PIC!$A$8:$A$73,$B359)&lt;&gt;1,"ID PIC tidak unik/terdaftar",IF(VLOOKUP($B359,Master_PIC!$A$8:$G$73,3,FALSE)&lt;&gt;"ASM","Jabatan tidak sesuai sheet",IF(OR($C359="",$D359="",$E359="",$F359=""),"Lengkapi master PIC",IF(COUNTIFS($A$8:$A$507,$A359,$B$8:$B$507,$B359)&gt;1,"Laporan ganda",IF(COUNTIFS(G359:O359,"Tidak Berlaku")&gt;0,"N/A hanya untuk kegiatan bersyarat",IF(SUM(AF359,AG359,AH359,AI359,AJ359)&lt;&gt;13,"Status kegiatan tidak valid",IF(AJ359&gt;0,"Lengkapi status kegiatan",IF(AND(AI359&gt;0,T359=""),"Isi alasan Tidak Berlaku",IF(AND(SUM(AG359,AH359)&gt;0,OR(T359="",U359="",V359="",W359="")),"Isi kendala dan tindak lanjut",IF(AND(Y359&lt;&gt;"Draft",Y359&lt;&gt;"Dikirim"),"Isi status laporan yang valid",IF(AND(AA359&lt;&gt;"",AA359&lt;&gt;"Belum Diperiksa",AA359&lt;&gt;"Disetujui",AA359&lt;&gt;"Perlu Perbaikan"),"Hasil review tidak valid",IF(AND(Y359="Dikirim",OR(X359="",Z359="")),"Isi bukti dan waktu kirim",IF(AND(AA359="Disetujui",OR(Y359&lt;&gt;"Dikirim",AB359="",AC359="")),"Lengkapi pemeriksaan",IF(AND(AA359="Perlu Perbaikan",OR(AD359="",AB359="",AC359="")),"Isi pemeriksa dan catatan perbaikan","OK")))))))))))))))),"")</f>
        <v/>
      </c>
    </row>
    <row r="360" spans="1:38" ht="24.95" customHeight="1">
      <c r="A360" s="8"/>
      <c r="B360" s="6"/>
      <c r="C360" s="15" t="str">
        <f>IF(COUNTIFS(Master_PIC!$A$8:$A$73,$B360)=1,IF(VLOOKUP($B360,Master_PIC!$A$8:$G$73,2,FALSE)="","",VLOOKUP($B360,Master_PIC!$A$8:$G$73,2,FALSE)),"")</f>
        <v/>
      </c>
      <c r="D360" s="15" t="str">
        <f>IF(COUNTIFS(Master_PIC!$A$8:$A$73,$B360)=1,IF(VLOOKUP($B360,Master_PIC!$A$8:$G$73,4,FALSE)="","",VLOOKUP($B360,Master_PIC!$A$8:$G$73,4,FALSE)),"")</f>
        <v/>
      </c>
      <c r="E360" s="15" t="str">
        <f>IF(COUNTIFS(Master_PIC!$A$8:$A$73,$B360)=1,IF(VLOOKUP($B360,Master_PIC!$A$8:$G$73,5,FALSE)="","",VLOOKUP($B360,Master_PIC!$A$8:$G$73,5,FALSE)),"")</f>
        <v/>
      </c>
      <c r="F360" s="15" t="str">
        <f>IF(COUNTIFS(Master_PIC!$A$8:$A$73,$B360)=1,IF(VLOOKUP($B360,Master_PIC!$A$8:$G$73,6,FALSE)="","",VLOOKUP($B360,Master_PIC!$A$8:$G$73,6,FALSE)),"")</f>
        <v/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8"/>
      <c r="X360" s="5"/>
      <c r="Y360" s="5"/>
      <c r="Z360" s="9"/>
      <c r="AA360" s="5"/>
      <c r="AB360" s="5"/>
      <c r="AC360" s="9"/>
      <c r="AD360" s="5"/>
      <c r="AE360" s="7" t="str">
        <f t="shared" si="35"/>
        <v/>
      </c>
      <c r="AF360" s="7" t="str">
        <f t="shared" si="36"/>
        <v/>
      </c>
      <c r="AG360" s="7" t="str">
        <f t="shared" si="37"/>
        <v/>
      </c>
      <c r="AH360" s="7" t="str">
        <f t="shared" si="38"/>
        <v/>
      </c>
      <c r="AI360" s="7" t="str">
        <f t="shared" si="39"/>
        <v/>
      </c>
      <c r="AJ360" s="7" t="str">
        <f t="shared" si="40"/>
        <v/>
      </c>
      <c r="AK360" s="10" t="str">
        <f t="shared" si="41"/>
        <v/>
      </c>
      <c r="AL360" s="15" t="str">
        <f>IF(OR($A360&lt;&gt;"",$B360&lt;&gt;""),IF(OR($A360="",$B360=""),"Isi tanggal dan ID PIC",IF(NOT(ISNUMBER($A360)),"Tanggal harus berupa tanggal Excel",IF(COUNTIFS(Master_PIC!$A$8:$A$73,$B360)&lt;&gt;1,"ID PIC tidak unik/terdaftar",IF(VLOOKUP($B360,Master_PIC!$A$8:$G$73,3,FALSE)&lt;&gt;"ASM","Jabatan tidak sesuai sheet",IF(OR($C360="",$D360="",$E360="",$F360=""),"Lengkapi master PIC",IF(COUNTIFS($A$8:$A$507,$A360,$B$8:$B$507,$B360)&gt;1,"Laporan ganda",IF(COUNTIFS(G360:O360,"Tidak Berlaku")&gt;0,"N/A hanya untuk kegiatan bersyarat",IF(SUM(AF360,AG360,AH360,AI360,AJ360)&lt;&gt;13,"Status kegiatan tidak valid",IF(AJ360&gt;0,"Lengkapi status kegiatan",IF(AND(AI360&gt;0,T360=""),"Isi alasan Tidak Berlaku",IF(AND(SUM(AG360,AH360)&gt;0,OR(T360="",U360="",V360="",W360="")),"Isi kendala dan tindak lanjut",IF(AND(Y360&lt;&gt;"Draft",Y360&lt;&gt;"Dikirim"),"Isi status laporan yang valid",IF(AND(AA360&lt;&gt;"",AA360&lt;&gt;"Belum Diperiksa",AA360&lt;&gt;"Disetujui",AA360&lt;&gt;"Perlu Perbaikan"),"Hasil review tidak valid",IF(AND(Y360="Dikirim",OR(X360="",Z360="")),"Isi bukti dan waktu kirim",IF(AND(AA360="Disetujui",OR(Y360&lt;&gt;"Dikirim",AB360="",AC360="")),"Lengkapi pemeriksaan",IF(AND(AA360="Perlu Perbaikan",OR(AD360="",AB360="",AC360="")),"Isi pemeriksa dan catatan perbaikan","OK")))))))))))))))),"")</f>
        <v/>
      </c>
    </row>
    <row r="361" spans="1:38" ht="24.95" customHeight="1">
      <c r="A361" s="8"/>
      <c r="B361" s="6"/>
      <c r="C361" s="15" t="str">
        <f>IF(COUNTIFS(Master_PIC!$A$8:$A$73,$B361)=1,IF(VLOOKUP($B361,Master_PIC!$A$8:$G$73,2,FALSE)="","",VLOOKUP($B361,Master_PIC!$A$8:$G$73,2,FALSE)),"")</f>
        <v/>
      </c>
      <c r="D361" s="15" t="str">
        <f>IF(COUNTIFS(Master_PIC!$A$8:$A$73,$B361)=1,IF(VLOOKUP($B361,Master_PIC!$A$8:$G$73,4,FALSE)="","",VLOOKUP($B361,Master_PIC!$A$8:$G$73,4,FALSE)),"")</f>
        <v/>
      </c>
      <c r="E361" s="15" t="str">
        <f>IF(COUNTIFS(Master_PIC!$A$8:$A$73,$B361)=1,IF(VLOOKUP($B361,Master_PIC!$A$8:$G$73,5,FALSE)="","",VLOOKUP($B361,Master_PIC!$A$8:$G$73,5,FALSE)),"")</f>
        <v/>
      </c>
      <c r="F361" s="15" t="str">
        <f>IF(COUNTIFS(Master_PIC!$A$8:$A$73,$B361)=1,IF(VLOOKUP($B361,Master_PIC!$A$8:$G$73,6,FALSE)="","",VLOOKUP($B361,Master_PIC!$A$8:$G$73,6,FALSE)),"")</f>
        <v/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8"/>
      <c r="X361" s="5"/>
      <c r="Y361" s="5"/>
      <c r="Z361" s="9"/>
      <c r="AA361" s="5"/>
      <c r="AB361" s="5"/>
      <c r="AC361" s="9"/>
      <c r="AD361" s="5"/>
      <c r="AE361" s="7" t="str">
        <f t="shared" si="35"/>
        <v/>
      </c>
      <c r="AF361" s="7" t="str">
        <f t="shared" si="36"/>
        <v/>
      </c>
      <c r="AG361" s="7" t="str">
        <f t="shared" si="37"/>
        <v/>
      </c>
      <c r="AH361" s="7" t="str">
        <f t="shared" si="38"/>
        <v/>
      </c>
      <c r="AI361" s="7" t="str">
        <f t="shared" si="39"/>
        <v/>
      </c>
      <c r="AJ361" s="7" t="str">
        <f t="shared" si="40"/>
        <v/>
      </c>
      <c r="AK361" s="10" t="str">
        <f t="shared" si="41"/>
        <v/>
      </c>
      <c r="AL361" s="15" t="str">
        <f>IF(OR($A361&lt;&gt;"",$B361&lt;&gt;""),IF(OR($A361="",$B361=""),"Isi tanggal dan ID PIC",IF(NOT(ISNUMBER($A361)),"Tanggal harus berupa tanggal Excel",IF(COUNTIFS(Master_PIC!$A$8:$A$73,$B361)&lt;&gt;1,"ID PIC tidak unik/terdaftar",IF(VLOOKUP($B361,Master_PIC!$A$8:$G$73,3,FALSE)&lt;&gt;"ASM","Jabatan tidak sesuai sheet",IF(OR($C361="",$D361="",$E361="",$F361=""),"Lengkapi master PIC",IF(COUNTIFS($A$8:$A$507,$A361,$B$8:$B$507,$B361)&gt;1,"Laporan ganda",IF(COUNTIFS(G361:O361,"Tidak Berlaku")&gt;0,"N/A hanya untuk kegiatan bersyarat",IF(SUM(AF361,AG361,AH361,AI361,AJ361)&lt;&gt;13,"Status kegiatan tidak valid",IF(AJ361&gt;0,"Lengkapi status kegiatan",IF(AND(AI361&gt;0,T361=""),"Isi alasan Tidak Berlaku",IF(AND(SUM(AG361,AH361)&gt;0,OR(T361="",U361="",V361="",W361="")),"Isi kendala dan tindak lanjut",IF(AND(Y361&lt;&gt;"Draft",Y361&lt;&gt;"Dikirim"),"Isi status laporan yang valid",IF(AND(AA361&lt;&gt;"",AA361&lt;&gt;"Belum Diperiksa",AA361&lt;&gt;"Disetujui",AA361&lt;&gt;"Perlu Perbaikan"),"Hasil review tidak valid",IF(AND(Y361="Dikirim",OR(X361="",Z361="")),"Isi bukti dan waktu kirim",IF(AND(AA361="Disetujui",OR(Y361&lt;&gt;"Dikirim",AB361="",AC361="")),"Lengkapi pemeriksaan",IF(AND(AA361="Perlu Perbaikan",OR(AD361="",AB361="",AC361="")),"Isi pemeriksa dan catatan perbaikan","OK")))))))))))))))),"")</f>
        <v/>
      </c>
    </row>
    <row r="362" spans="1:38" ht="24.95" customHeight="1">
      <c r="A362" s="8"/>
      <c r="B362" s="6"/>
      <c r="C362" s="15" t="str">
        <f>IF(COUNTIFS(Master_PIC!$A$8:$A$73,$B362)=1,IF(VLOOKUP($B362,Master_PIC!$A$8:$G$73,2,FALSE)="","",VLOOKUP($B362,Master_PIC!$A$8:$G$73,2,FALSE)),"")</f>
        <v/>
      </c>
      <c r="D362" s="15" t="str">
        <f>IF(COUNTIFS(Master_PIC!$A$8:$A$73,$B362)=1,IF(VLOOKUP($B362,Master_PIC!$A$8:$G$73,4,FALSE)="","",VLOOKUP($B362,Master_PIC!$A$8:$G$73,4,FALSE)),"")</f>
        <v/>
      </c>
      <c r="E362" s="15" t="str">
        <f>IF(COUNTIFS(Master_PIC!$A$8:$A$73,$B362)=1,IF(VLOOKUP($B362,Master_PIC!$A$8:$G$73,5,FALSE)="","",VLOOKUP($B362,Master_PIC!$A$8:$G$73,5,FALSE)),"")</f>
        <v/>
      </c>
      <c r="F362" s="15" t="str">
        <f>IF(COUNTIFS(Master_PIC!$A$8:$A$73,$B362)=1,IF(VLOOKUP($B362,Master_PIC!$A$8:$G$73,6,FALSE)="","",VLOOKUP($B362,Master_PIC!$A$8:$G$73,6,FALSE)),"")</f>
        <v/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8"/>
      <c r="X362" s="5"/>
      <c r="Y362" s="5"/>
      <c r="Z362" s="9"/>
      <c r="AA362" s="5"/>
      <c r="AB362" s="5"/>
      <c r="AC362" s="9"/>
      <c r="AD362" s="5"/>
      <c r="AE362" s="7" t="str">
        <f t="shared" si="35"/>
        <v/>
      </c>
      <c r="AF362" s="7" t="str">
        <f t="shared" si="36"/>
        <v/>
      </c>
      <c r="AG362" s="7" t="str">
        <f t="shared" si="37"/>
        <v/>
      </c>
      <c r="AH362" s="7" t="str">
        <f t="shared" si="38"/>
        <v/>
      </c>
      <c r="AI362" s="7" t="str">
        <f t="shared" si="39"/>
        <v/>
      </c>
      <c r="AJ362" s="7" t="str">
        <f t="shared" si="40"/>
        <v/>
      </c>
      <c r="AK362" s="10" t="str">
        <f t="shared" si="41"/>
        <v/>
      </c>
      <c r="AL362" s="15" t="str">
        <f>IF(OR($A362&lt;&gt;"",$B362&lt;&gt;""),IF(OR($A362="",$B362=""),"Isi tanggal dan ID PIC",IF(NOT(ISNUMBER($A362)),"Tanggal harus berupa tanggal Excel",IF(COUNTIFS(Master_PIC!$A$8:$A$73,$B362)&lt;&gt;1,"ID PIC tidak unik/terdaftar",IF(VLOOKUP($B362,Master_PIC!$A$8:$G$73,3,FALSE)&lt;&gt;"ASM","Jabatan tidak sesuai sheet",IF(OR($C362="",$D362="",$E362="",$F362=""),"Lengkapi master PIC",IF(COUNTIFS($A$8:$A$507,$A362,$B$8:$B$507,$B362)&gt;1,"Laporan ganda",IF(COUNTIFS(G362:O362,"Tidak Berlaku")&gt;0,"N/A hanya untuk kegiatan bersyarat",IF(SUM(AF362,AG362,AH362,AI362,AJ362)&lt;&gt;13,"Status kegiatan tidak valid",IF(AJ362&gt;0,"Lengkapi status kegiatan",IF(AND(AI362&gt;0,T362=""),"Isi alasan Tidak Berlaku",IF(AND(SUM(AG362,AH362)&gt;0,OR(T362="",U362="",V362="",W362="")),"Isi kendala dan tindak lanjut",IF(AND(Y362&lt;&gt;"Draft",Y362&lt;&gt;"Dikirim"),"Isi status laporan yang valid",IF(AND(AA362&lt;&gt;"",AA362&lt;&gt;"Belum Diperiksa",AA362&lt;&gt;"Disetujui",AA362&lt;&gt;"Perlu Perbaikan"),"Hasil review tidak valid",IF(AND(Y362="Dikirim",OR(X362="",Z362="")),"Isi bukti dan waktu kirim",IF(AND(AA362="Disetujui",OR(Y362&lt;&gt;"Dikirim",AB362="",AC362="")),"Lengkapi pemeriksaan",IF(AND(AA362="Perlu Perbaikan",OR(AD362="",AB362="",AC362="")),"Isi pemeriksa dan catatan perbaikan","OK")))))))))))))))),"")</f>
        <v/>
      </c>
    </row>
    <row r="363" spans="1:38" ht="24.95" customHeight="1">
      <c r="A363" s="8"/>
      <c r="B363" s="6"/>
      <c r="C363" s="15" t="str">
        <f>IF(COUNTIFS(Master_PIC!$A$8:$A$73,$B363)=1,IF(VLOOKUP($B363,Master_PIC!$A$8:$G$73,2,FALSE)="","",VLOOKUP($B363,Master_PIC!$A$8:$G$73,2,FALSE)),"")</f>
        <v/>
      </c>
      <c r="D363" s="15" t="str">
        <f>IF(COUNTIFS(Master_PIC!$A$8:$A$73,$B363)=1,IF(VLOOKUP($B363,Master_PIC!$A$8:$G$73,4,FALSE)="","",VLOOKUP($B363,Master_PIC!$A$8:$G$73,4,FALSE)),"")</f>
        <v/>
      </c>
      <c r="E363" s="15" t="str">
        <f>IF(COUNTIFS(Master_PIC!$A$8:$A$73,$B363)=1,IF(VLOOKUP($B363,Master_PIC!$A$8:$G$73,5,FALSE)="","",VLOOKUP($B363,Master_PIC!$A$8:$G$73,5,FALSE)),"")</f>
        <v/>
      </c>
      <c r="F363" s="15" t="str">
        <f>IF(COUNTIFS(Master_PIC!$A$8:$A$73,$B363)=1,IF(VLOOKUP($B363,Master_PIC!$A$8:$G$73,6,FALSE)="","",VLOOKUP($B363,Master_PIC!$A$8:$G$73,6,FALSE)),"")</f>
        <v/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8"/>
      <c r="X363" s="5"/>
      <c r="Y363" s="5"/>
      <c r="Z363" s="9"/>
      <c r="AA363" s="5"/>
      <c r="AB363" s="5"/>
      <c r="AC363" s="9"/>
      <c r="AD363" s="5"/>
      <c r="AE363" s="7" t="str">
        <f t="shared" si="35"/>
        <v/>
      </c>
      <c r="AF363" s="7" t="str">
        <f t="shared" si="36"/>
        <v/>
      </c>
      <c r="AG363" s="7" t="str">
        <f t="shared" si="37"/>
        <v/>
      </c>
      <c r="AH363" s="7" t="str">
        <f t="shared" si="38"/>
        <v/>
      </c>
      <c r="AI363" s="7" t="str">
        <f t="shared" si="39"/>
        <v/>
      </c>
      <c r="AJ363" s="7" t="str">
        <f t="shared" si="40"/>
        <v/>
      </c>
      <c r="AK363" s="10" t="str">
        <f t="shared" si="41"/>
        <v/>
      </c>
      <c r="AL363" s="15" t="str">
        <f>IF(OR($A363&lt;&gt;"",$B363&lt;&gt;""),IF(OR($A363="",$B363=""),"Isi tanggal dan ID PIC",IF(NOT(ISNUMBER($A363)),"Tanggal harus berupa tanggal Excel",IF(COUNTIFS(Master_PIC!$A$8:$A$73,$B363)&lt;&gt;1,"ID PIC tidak unik/terdaftar",IF(VLOOKUP($B363,Master_PIC!$A$8:$G$73,3,FALSE)&lt;&gt;"ASM","Jabatan tidak sesuai sheet",IF(OR($C363="",$D363="",$E363="",$F363=""),"Lengkapi master PIC",IF(COUNTIFS($A$8:$A$507,$A363,$B$8:$B$507,$B363)&gt;1,"Laporan ganda",IF(COUNTIFS(G363:O363,"Tidak Berlaku")&gt;0,"N/A hanya untuk kegiatan bersyarat",IF(SUM(AF363,AG363,AH363,AI363,AJ363)&lt;&gt;13,"Status kegiatan tidak valid",IF(AJ363&gt;0,"Lengkapi status kegiatan",IF(AND(AI363&gt;0,T363=""),"Isi alasan Tidak Berlaku",IF(AND(SUM(AG363,AH363)&gt;0,OR(T363="",U363="",V363="",W363="")),"Isi kendala dan tindak lanjut",IF(AND(Y363&lt;&gt;"Draft",Y363&lt;&gt;"Dikirim"),"Isi status laporan yang valid",IF(AND(AA363&lt;&gt;"",AA363&lt;&gt;"Belum Diperiksa",AA363&lt;&gt;"Disetujui",AA363&lt;&gt;"Perlu Perbaikan"),"Hasil review tidak valid",IF(AND(Y363="Dikirim",OR(X363="",Z363="")),"Isi bukti dan waktu kirim",IF(AND(AA363="Disetujui",OR(Y363&lt;&gt;"Dikirim",AB363="",AC363="")),"Lengkapi pemeriksaan",IF(AND(AA363="Perlu Perbaikan",OR(AD363="",AB363="",AC363="")),"Isi pemeriksa dan catatan perbaikan","OK")))))))))))))))),"")</f>
        <v/>
      </c>
    </row>
    <row r="364" spans="1:38" ht="24.95" customHeight="1">
      <c r="A364" s="8"/>
      <c r="B364" s="6"/>
      <c r="C364" s="15" t="str">
        <f>IF(COUNTIFS(Master_PIC!$A$8:$A$73,$B364)=1,IF(VLOOKUP($B364,Master_PIC!$A$8:$G$73,2,FALSE)="","",VLOOKUP($B364,Master_PIC!$A$8:$G$73,2,FALSE)),"")</f>
        <v/>
      </c>
      <c r="D364" s="15" t="str">
        <f>IF(COUNTIFS(Master_PIC!$A$8:$A$73,$B364)=1,IF(VLOOKUP($B364,Master_PIC!$A$8:$G$73,4,FALSE)="","",VLOOKUP($B364,Master_PIC!$A$8:$G$73,4,FALSE)),"")</f>
        <v/>
      </c>
      <c r="E364" s="15" t="str">
        <f>IF(COUNTIFS(Master_PIC!$A$8:$A$73,$B364)=1,IF(VLOOKUP($B364,Master_PIC!$A$8:$G$73,5,FALSE)="","",VLOOKUP($B364,Master_PIC!$A$8:$G$73,5,FALSE)),"")</f>
        <v/>
      </c>
      <c r="F364" s="15" t="str">
        <f>IF(COUNTIFS(Master_PIC!$A$8:$A$73,$B364)=1,IF(VLOOKUP($B364,Master_PIC!$A$8:$G$73,6,FALSE)="","",VLOOKUP($B364,Master_PIC!$A$8:$G$73,6,FALSE)),"")</f>
        <v/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8"/>
      <c r="X364" s="5"/>
      <c r="Y364" s="5"/>
      <c r="Z364" s="9"/>
      <c r="AA364" s="5"/>
      <c r="AB364" s="5"/>
      <c r="AC364" s="9"/>
      <c r="AD364" s="5"/>
      <c r="AE364" s="7" t="str">
        <f t="shared" si="35"/>
        <v/>
      </c>
      <c r="AF364" s="7" t="str">
        <f t="shared" si="36"/>
        <v/>
      </c>
      <c r="AG364" s="7" t="str">
        <f t="shared" si="37"/>
        <v/>
      </c>
      <c r="AH364" s="7" t="str">
        <f t="shared" si="38"/>
        <v/>
      </c>
      <c r="AI364" s="7" t="str">
        <f t="shared" si="39"/>
        <v/>
      </c>
      <c r="AJ364" s="7" t="str">
        <f t="shared" si="40"/>
        <v/>
      </c>
      <c r="AK364" s="10" t="str">
        <f t="shared" si="41"/>
        <v/>
      </c>
      <c r="AL364" s="15" t="str">
        <f>IF(OR($A364&lt;&gt;"",$B364&lt;&gt;""),IF(OR($A364="",$B364=""),"Isi tanggal dan ID PIC",IF(NOT(ISNUMBER($A364)),"Tanggal harus berupa tanggal Excel",IF(COUNTIFS(Master_PIC!$A$8:$A$73,$B364)&lt;&gt;1,"ID PIC tidak unik/terdaftar",IF(VLOOKUP($B364,Master_PIC!$A$8:$G$73,3,FALSE)&lt;&gt;"ASM","Jabatan tidak sesuai sheet",IF(OR($C364="",$D364="",$E364="",$F364=""),"Lengkapi master PIC",IF(COUNTIFS($A$8:$A$507,$A364,$B$8:$B$507,$B364)&gt;1,"Laporan ganda",IF(COUNTIFS(G364:O364,"Tidak Berlaku")&gt;0,"N/A hanya untuk kegiatan bersyarat",IF(SUM(AF364,AG364,AH364,AI364,AJ364)&lt;&gt;13,"Status kegiatan tidak valid",IF(AJ364&gt;0,"Lengkapi status kegiatan",IF(AND(AI364&gt;0,T364=""),"Isi alasan Tidak Berlaku",IF(AND(SUM(AG364,AH364)&gt;0,OR(T364="",U364="",V364="",W364="")),"Isi kendala dan tindak lanjut",IF(AND(Y364&lt;&gt;"Draft",Y364&lt;&gt;"Dikirim"),"Isi status laporan yang valid",IF(AND(AA364&lt;&gt;"",AA364&lt;&gt;"Belum Diperiksa",AA364&lt;&gt;"Disetujui",AA364&lt;&gt;"Perlu Perbaikan"),"Hasil review tidak valid",IF(AND(Y364="Dikirim",OR(X364="",Z364="")),"Isi bukti dan waktu kirim",IF(AND(AA364="Disetujui",OR(Y364&lt;&gt;"Dikirim",AB364="",AC364="")),"Lengkapi pemeriksaan",IF(AND(AA364="Perlu Perbaikan",OR(AD364="",AB364="",AC364="")),"Isi pemeriksa dan catatan perbaikan","OK")))))))))))))))),"")</f>
        <v/>
      </c>
    </row>
    <row r="365" spans="1:38" ht="24.95" customHeight="1">
      <c r="A365" s="8"/>
      <c r="B365" s="6"/>
      <c r="C365" s="15" t="str">
        <f>IF(COUNTIFS(Master_PIC!$A$8:$A$73,$B365)=1,IF(VLOOKUP($B365,Master_PIC!$A$8:$G$73,2,FALSE)="","",VLOOKUP($B365,Master_PIC!$A$8:$G$73,2,FALSE)),"")</f>
        <v/>
      </c>
      <c r="D365" s="15" t="str">
        <f>IF(COUNTIFS(Master_PIC!$A$8:$A$73,$B365)=1,IF(VLOOKUP($B365,Master_PIC!$A$8:$G$73,4,FALSE)="","",VLOOKUP($B365,Master_PIC!$A$8:$G$73,4,FALSE)),"")</f>
        <v/>
      </c>
      <c r="E365" s="15" t="str">
        <f>IF(COUNTIFS(Master_PIC!$A$8:$A$73,$B365)=1,IF(VLOOKUP($B365,Master_PIC!$A$8:$G$73,5,FALSE)="","",VLOOKUP($B365,Master_PIC!$A$8:$G$73,5,FALSE)),"")</f>
        <v/>
      </c>
      <c r="F365" s="15" t="str">
        <f>IF(COUNTIFS(Master_PIC!$A$8:$A$73,$B365)=1,IF(VLOOKUP($B365,Master_PIC!$A$8:$G$73,6,FALSE)="","",VLOOKUP($B365,Master_PIC!$A$8:$G$73,6,FALSE)),"")</f>
        <v/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8"/>
      <c r="X365" s="5"/>
      <c r="Y365" s="5"/>
      <c r="Z365" s="9"/>
      <c r="AA365" s="5"/>
      <c r="AB365" s="5"/>
      <c r="AC365" s="9"/>
      <c r="AD365" s="5"/>
      <c r="AE365" s="7" t="str">
        <f t="shared" si="35"/>
        <v/>
      </c>
      <c r="AF365" s="7" t="str">
        <f t="shared" si="36"/>
        <v/>
      </c>
      <c r="AG365" s="7" t="str">
        <f t="shared" si="37"/>
        <v/>
      </c>
      <c r="AH365" s="7" t="str">
        <f t="shared" si="38"/>
        <v/>
      </c>
      <c r="AI365" s="7" t="str">
        <f t="shared" si="39"/>
        <v/>
      </c>
      <c r="AJ365" s="7" t="str">
        <f t="shared" si="40"/>
        <v/>
      </c>
      <c r="AK365" s="10" t="str">
        <f t="shared" si="41"/>
        <v/>
      </c>
      <c r="AL365" s="15" t="str">
        <f>IF(OR($A365&lt;&gt;"",$B365&lt;&gt;""),IF(OR($A365="",$B365=""),"Isi tanggal dan ID PIC",IF(NOT(ISNUMBER($A365)),"Tanggal harus berupa tanggal Excel",IF(COUNTIFS(Master_PIC!$A$8:$A$73,$B365)&lt;&gt;1,"ID PIC tidak unik/terdaftar",IF(VLOOKUP($B365,Master_PIC!$A$8:$G$73,3,FALSE)&lt;&gt;"ASM","Jabatan tidak sesuai sheet",IF(OR($C365="",$D365="",$E365="",$F365=""),"Lengkapi master PIC",IF(COUNTIFS($A$8:$A$507,$A365,$B$8:$B$507,$B365)&gt;1,"Laporan ganda",IF(COUNTIFS(G365:O365,"Tidak Berlaku")&gt;0,"N/A hanya untuk kegiatan bersyarat",IF(SUM(AF365,AG365,AH365,AI365,AJ365)&lt;&gt;13,"Status kegiatan tidak valid",IF(AJ365&gt;0,"Lengkapi status kegiatan",IF(AND(AI365&gt;0,T365=""),"Isi alasan Tidak Berlaku",IF(AND(SUM(AG365,AH365)&gt;0,OR(T365="",U365="",V365="",W365="")),"Isi kendala dan tindak lanjut",IF(AND(Y365&lt;&gt;"Draft",Y365&lt;&gt;"Dikirim"),"Isi status laporan yang valid",IF(AND(AA365&lt;&gt;"",AA365&lt;&gt;"Belum Diperiksa",AA365&lt;&gt;"Disetujui",AA365&lt;&gt;"Perlu Perbaikan"),"Hasil review tidak valid",IF(AND(Y365="Dikirim",OR(X365="",Z365="")),"Isi bukti dan waktu kirim",IF(AND(AA365="Disetujui",OR(Y365&lt;&gt;"Dikirim",AB365="",AC365="")),"Lengkapi pemeriksaan",IF(AND(AA365="Perlu Perbaikan",OR(AD365="",AB365="",AC365="")),"Isi pemeriksa dan catatan perbaikan","OK")))))))))))))))),"")</f>
        <v/>
      </c>
    </row>
    <row r="366" spans="1:38" ht="24.95" customHeight="1">
      <c r="A366" s="8"/>
      <c r="B366" s="6"/>
      <c r="C366" s="15" t="str">
        <f>IF(COUNTIFS(Master_PIC!$A$8:$A$73,$B366)=1,IF(VLOOKUP($B366,Master_PIC!$A$8:$G$73,2,FALSE)="","",VLOOKUP($B366,Master_PIC!$A$8:$G$73,2,FALSE)),"")</f>
        <v/>
      </c>
      <c r="D366" s="15" t="str">
        <f>IF(COUNTIFS(Master_PIC!$A$8:$A$73,$B366)=1,IF(VLOOKUP($B366,Master_PIC!$A$8:$G$73,4,FALSE)="","",VLOOKUP($B366,Master_PIC!$A$8:$G$73,4,FALSE)),"")</f>
        <v/>
      </c>
      <c r="E366" s="15" t="str">
        <f>IF(COUNTIFS(Master_PIC!$A$8:$A$73,$B366)=1,IF(VLOOKUP($B366,Master_PIC!$A$8:$G$73,5,FALSE)="","",VLOOKUP($B366,Master_PIC!$A$8:$G$73,5,FALSE)),"")</f>
        <v/>
      </c>
      <c r="F366" s="15" t="str">
        <f>IF(COUNTIFS(Master_PIC!$A$8:$A$73,$B366)=1,IF(VLOOKUP($B366,Master_PIC!$A$8:$G$73,6,FALSE)="","",VLOOKUP($B366,Master_PIC!$A$8:$G$73,6,FALSE)),"")</f>
        <v/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8"/>
      <c r="X366" s="5"/>
      <c r="Y366" s="5"/>
      <c r="Z366" s="9"/>
      <c r="AA366" s="5"/>
      <c r="AB366" s="5"/>
      <c r="AC366" s="9"/>
      <c r="AD366" s="5"/>
      <c r="AE366" s="7" t="str">
        <f t="shared" si="35"/>
        <v/>
      </c>
      <c r="AF366" s="7" t="str">
        <f t="shared" si="36"/>
        <v/>
      </c>
      <c r="AG366" s="7" t="str">
        <f t="shared" si="37"/>
        <v/>
      </c>
      <c r="AH366" s="7" t="str">
        <f t="shared" si="38"/>
        <v/>
      </c>
      <c r="AI366" s="7" t="str">
        <f t="shared" si="39"/>
        <v/>
      </c>
      <c r="AJ366" s="7" t="str">
        <f t="shared" si="40"/>
        <v/>
      </c>
      <c r="AK366" s="10" t="str">
        <f t="shared" si="41"/>
        <v/>
      </c>
      <c r="AL366" s="15" t="str">
        <f>IF(OR($A366&lt;&gt;"",$B366&lt;&gt;""),IF(OR($A366="",$B366=""),"Isi tanggal dan ID PIC",IF(NOT(ISNUMBER($A366)),"Tanggal harus berupa tanggal Excel",IF(COUNTIFS(Master_PIC!$A$8:$A$73,$B366)&lt;&gt;1,"ID PIC tidak unik/terdaftar",IF(VLOOKUP($B366,Master_PIC!$A$8:$G$73,3,FALSE)&lt;&gt;"ASM","Jabatan tidak sesuai sheet",IF(OR($C366="",$D366="",$E366="",$F366=""),"Lengkapi master PIC",IF(COUNTIFS($A$8:$A$507,$A366,$B$8:$B$507,$B366)&gt;1,"Laporan ganda",IF(COUNTIFS(G366:O366,"Tidak Berlaku")&gt;0,"N/A hanya untuk kegiatan bersyarat",IF(SUM(AF366,AG366,AH366,AI366,AJ366)&lt;&gt;13,"Status kegiatan tidak valid",IF(AJ366&gt;0,"Lengkapi status kegiatan",IF(AND(AI366&gt;0,T366=""),"Isi alasan Tidak Berlaku",IF(AND(SUM(AG366,AH366)&gt;0,OR(T366="",U366="",V366="",W366="")),"Isi kendala dan tindak lanjut",IF(AND(Y366&lt;&gt;"Draft",Y366&lt;&gt;"Dikirim"),"Isi status laporan yang valid",IF(AND(AA366&lt;&gt;"",AA366&lt;&gt;"Belum Diperiksa",AA366&lt;&gt;"Disetujui",AA366&lt;&gt;"Perlu Perbaikan"),"Hasil review tidak valid",IF(AND(Y366="Dikirim",OR(X366="",Z366="")),"Isi bukti dan waktu kirim",IF(AND(AA366="Disetujui",OR(Y366&lt;&gt;"Dikirim",AB366="",AC366="")),"Lengkapi pemeriksaan",IF(AND(AA366="Perlu Perbaikan",OR(AD366="",AB366="",AC366="")),"Isi pemeriksa dan catatan perbaikan","OK")))))))))))))))),"")</f>
        <v/>
      </c>
    </row>
    <row r="367" spans="1:38" ht="24.95" customHeight="1">
      <c r="A367" s="8"/>
      <c r="B367" s="6"/>
      <c r="C367" s="15" t="str">
        <f>IF(COUNTIFS(Master_PIC!$A$8:$A$73,$B367)=1,IF(VLOOKUP($B367,Master_PIC!$A$8:$G$73,2,FALSE)="","",VLOOKUP($B367,Master_PIC!$A$8:$G$73,2,FALSE)),"")</f>
        <v/>
      </c>
      <c r="D367" s="15" t="str">
        <f>IF(COUNTIFS(Master_PIC!$A$8:$A$73,$B367)=1,IF(VLOOKUP($B367,Master_PIC!$A$8:$G$73,4,FALSE)="","",VLOOKUP($B367,Master_PIC!$A$8:$G$73,4,FALSE)),"")</f>
        <v/>
      </c>
      <c r="E367" s="15" t="str">
        <f>IF(COUNTIFS(Master_PIC!$A$8:$A$73,$B367)=1,IF(VLOOKUP($B367,Master_PIC!$A$8:$G$73,5,FALSE)="","",VLOOKUP($B367,Master_PIC!$A$8:$G$73,5,FALSE)),"")</f>
        <v/>
      </c>
      <c r="F367" s="15" t="str">
        <f>IF(COUNTIFS(Master_PIC!$A$8:$A$73,$B367)=1,IF(VLOOKUP($B367,Master_PIC!$A$8:$G$73,6,FALSE)="","",VLOOKUP($B367,Master_PIC!$A$8:$G$73,6,FALSE)),"")</f>
        <v/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8"/>
      <c r="X367" s="5"/>
      <c r="Y367" s="5"/>
      <c r="Z367" s="9"/>
      <c r="AA367" s="5"/>
      <c r="AB367" s="5"/>
      <c r="AC367" s="9"/>
      <c r="AD367" s="5"/>
      <c r="AE367" s="7" t="str">
        <f t="shared" si="35"/>
        <v/>
      </c>
      <c r="AF367" s="7" t="str">
        <f t="shared" si="36"/>
        <v/>
      </c>
      <c r="AG367" s="7" t="str">
        <f t="shared" si="37"/>
        <v/>
      </c>
      <c r="AH367" s="7" t="str">
        <f t="shared" si="38"/>
        <v/>
      </c>
      <c r="AI367" s="7" t="str">
        <f t="shared" si="39"/>
        <v/>
      </c>
      <c r="AJ367" s="7" t="str">
        <f t="shared" si="40"/>
        <v/>
      </c>
      <c r="AK367" s="10" t="str">
        <f t="shared" si="41"/>
        <v/>
      </c>
      <c r="AL367" s="15" t="str">
        <f>IF(OR($A367&lt;&gt;"",$B367&lt;&gt;""),IF(OR($A367="",$B367=""),"Isi tanggal dan ID PIC",IF(NOT(ISNUMBER($A367)),"Tanggal harus berupa tanggal Excel",IF(COUNTIFS(Master_PIC!$A$8:$A$73,$B367)&lt;&gt;1,"ID PIC tidak unik/terdaftar",IF(VLOOKUP($B367,Master_PIC!$A$8:$G$73,3,FALSE)&lt;&gt;"ASM","Jabatan tidak sesuai sheet",IF(OR($C367="",$D367="",$E367="",$F367=""),"Lengkapi master PIC",IF(COUNTIFS($A$8:$A$507,$A367,$B$8:$B$507,$B367)&gt;1,"Laporan ganda",IF(COUNTIFS(G367:O367,"Tidak Berlaku")&gt;0,"N/A hanya untuk kegiatan bersyarat",IF(SUM(AF367,AG367,AH367,AI367,AJ367)&lt;&gt;13,"Status kegiatan tidak valid",IF(AJ367&gt;0,"Lengkapi status kegiatan",IF(AND(AI367&gt;0,T367=""),"Isi alasan Tidak Berlaku",IF(AND(SUM(AG367,AH367)&gt;0,OR(T367="",U367="",V367="",W367="")),"Isi kendala dan tindak lanjut",IF(AND(Y367&lt;&gt;"Draft",Y367&lt;&gt;"Dikirim"),"Isi status laporan yang valid",IF(AND(AA367&lt;&gt;"",AA367&lt;&gt;"Belum Diperiksa",AA367&lt;&gt;"Disetujui",AA367&lt;&gt;"Perlu Perbaikan"),"Hasil review tidak valid",IF(AND(Y367="Dikirim",OR(X367="",Z367="")),"Isi bukti dan waktu kirim",IF(AND(AA367="Disetujui",OR(Y367&lt;&gt;"Dikirim",AB367="",AC367="")),"Lengkapi pemeriksaan",IF(AND(AA367="Perlu Perbaikan",OR(AD367="",AB367="",AC367="")),"Isi pemeriksa dan catatan perbaikan","OK")))))))))))))))),"")</f>
        <v/>
      </c>
    </row>
    <row r="368" spans="1:38" ht="24.95" customHeight="1">
      <c r="A368" s="8"/>
      <c r="B368" s="6"/>
      <c r="C368" s="15" t="str">
        <f>IF(COUNTIFS(Master_PIC!$A$8:$A$73,$B368)=1,IF(VLOOKUP($B368,Master_PIC!$A$8:$G$73,2,FALSE)="","",VLOOKUP($B368,Master_PIC!$A$8:$G$73,2,FALSE)),"")</f>
        <v/>
      </c>
      <c r="D368" s="15" t="str">
        <f>IF(COUNTIFS(Master_PIC!$A$8:$A$73,$B368)=1,IF(VLOOKUP($B368,Master_PIC!$A$8:$G$73,4,FALSE)="","",VLOOKUP($B368,Master_PIC!$A$8:$G$73,4,FALSE)),"")</f>
        <v/>
      </c>
      <c r="E368" s="15" t="str">
        <f>IF(COUNTIFS(Master_PIC!$A$8:$A$73,$B368)=1,IF(VLOOKUP($B368,Master_PIC!$A$8:$G$73,5,FALSE)="","",VLOOKUP($B368,Master_PIC!$A$8:$G$73,5,FALSE)),"")</f>
        <v/>
      </c>
      <c r="F368" s="15" t="str">
        <f>IF(COUNTIFS(Master_PIC!$A$8:$A$73,$B368)=1,IF(VLOOKUP($B368,Master_PIC!$A$8:$G$73,6,FALSE)="","",VLOOKUP($B368,Master_PIC!$A$8:$G$73,6,FALSE)),"")</f>
        <v/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8"/>
      <c r="X368" s="5"/>
      <c r="Y368" s="5"/>
      <c r="Z368" s="9"/>
      <c r="AA368" s="5"/>
      <c r="AB368" s="5"/>
      <c r="AC368" s="9"/>
      <c r="AD368" s="5"/>
      <c r="AE368" s="7" t="str">
        <f t="shared" si="35"/>
        <v/>
      </c>
      <c r="AF368" s="7" t="str">
        <f t="shared" si="36"/>
        <v/>
      </c>
      <c r="AG368" s="7" t="str">
        <f t="shared" si="37"/>
        <v/>
      </c>
      <c r="AH368" s="7" t="str">
        <f t="shared" si="38"/>
        <v/>
      </c>
      <c r="AI368" s="7" t="str">
        <f t="shared" si="39"/>
        <v/>
      </c>
      <c r="AJ368" s="7" t="str">
        <f t="shared" si="40"/>
        <v/>
      </c>
      <c r="AK368" s="10" t="str">
        <f t="shared" si="41"/>
        <v/>
      </c>
      <c r="AL368" s="15" t="str">
        <f>IF(OR($A368&lt;&gt;"",$B368&lt;&gt;""),IF(OR($A368="",$B368=""),"Isi tanggal dan ID PIC",IF(NOT(ISNUMBER($A368)),"Tanggal harus berupa tanggal Excel",IF(COUNTIFS(Master_PIC!$A$8:$A$73,$B368)&lt;&gt;1,"ID PIC tidak unik/terdaftar",IF(VLOOKUP($B368,Master_PIC!$A$8:$G$73,3,FALSE)&lt;&gt;"ASM","Jabatan tidak sesuai sheet",IF(OR($C368="",$D368="",$E368="",$F368=""),"Lengkapi master PIC",IF(COUNTIFS($A$8:$A$507,$A368,$B$8:$B$507,$B368)&gt;1,"Laporan ganda",IF(COUNTIFS(G368:O368,"Tidak Berlaku")&gt;0,"N/A hanya untuk kegiatan bersyarat",IF(SUM(AF368,AG368,AH368,AI368,AJ368)&lt;&gt;13,"Status kegiatan tidak valid",IF(AJ368&gt;0,"Lengkapi status kegiatan",IF(AND(AI368&gt;0,T368=""),"Isi alasan Tidak Berlaku",IF(AND(SUM(AG368,AH368)&gt;0,OR(T368="",U368="",V368="",W368="")),"Isi kendala dan tindak lanjut",IF(AND(Y368&lt;&gt;"Draft",Y368&lt;&gt;"Dikirim"),"Isi status laporan yang valid",IF(AND(AA368&lt;&gt;"",AA368&lt;&gt;"Belum Diperiksa",AA368&lt;&gt;"Disetujui",AA368&lt;&gt;"Perlu Perbaikan"),"Hasil review tidak valid",IF(AND(Y368="Dikirim",OR(X368="",Z368="")),"Isi bukti dan waktu kirim",IF(AND(AA368="Disetujui",OR(Y368&lt;&gt;"Dikirim",AB368="",AC368="")),"Lengkapi pemeriksaan",IF(AND(AA368="Perlu Perbaikan",OR(AD368="",AB368="",AC368="")),"Isi pemeriksa dan catatan perbaikan","OK")))))))))))))))),"")</f>
        <v/>
      </c>
    </row>
    <row r="369" spans="1:38" ht="24.95" customHeight="1">
      <c r="A369" s="8"/>
      <c r="B369" s="6"/>
      <c r="C369" s="15" t="str">
        <f>IF(COUNTIFS(Master_PIC!$A$8:$A$73,$B369)=1,IF(VLOOKUP($B369,Master_PIC!$A$8:$G$73,2,FALSE)="","",VLOOKUP($B369,Master_PIC!$A$8:$G$73,2,FALSE)),"")</f>
        <v/>
      </c>
      <c r="D369" s="15" t="str">
        <f>IF(COUNTIFS(Master_PIC!$A$8:$A$73,$B369)=1,IF(VLOOKUP($B369,Master_PIC!$A$8:$G$73,4,FALSE)="","",VLOOKUP($B369,Master_PIC!$A$8:$G$73,4,FALSE)),"")</f>
        <v/>
      </c>
      <c r="E369" s="15" t="str">
        <f>IF(COUNTIFS(Master_PIC!$A$8:$A$73,$B369)=1,IF(VLOOKUP($B369,Master_PIC!$A$8:$G$73,5,FALSE)="","",VLOOKUP($B369,Master_PIC!$A$8:$G$73,5,FALSE)),"")</f>
        <v/>
      </c>
      <c r="F369" s="15" t="str">
        <f>IF(COUNTIFS(Master_PIC!$A$8:$A$73,$B369)=1,IF(VLOOKUP($B369,Master_PIC!$A$8:$G$73,6,FALSE)="","",VLOOKUP($B369,Master_PIC!$A$8:$G$73,6,FALSE)),"")</f>
        <v/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8"/>
      <c r="X369" s="5"/>
      <c r="Y369" s="5"/>
      <c r="Z369" s="9"/>
      <c r="AA369" s="5"/>
      <c r="AB369" s="5"/>
      <c r="AC369" s="9"/>
      <c r="AD369" s="5"/>
      <c r="AE369" s="7" t="str">
        <f t="shared" si="35"/>
        <v/>
      </c>
      <c r="AF369" s="7" t="str">
        <f t="shared" si="36"/>
        <v/>
      </c>
      <c r="AG369" s="7" t="str">
        <f t="shared" si="37"/>
        <v/>
      </c>
      <c r="AH369" s="7" t="str">
        <f t="shared" si="38"/>
        <v/>
      </c>
      <c r="AI369" s="7" t="str">
        <f t="shared" si="39"/>
        <v/>
      </c>
      <c r="AJ369" s="7" t="str">
        <f t="shared" si="40"/>
        <v/>
      </c>
      <c r="AK369" s="10" t="str">
        <f t="shared" si="41"/>
        <v/>
      </c>
      <c r="AL369" s="15" t="str">
        <f>IF(OR($A369&lt;&gt;"",$B369&lt;&gt;""),IF(OR($A369="",$B369=""),"Isi tanggal dan ID PIC",IF(NOT(ISNUMBER($A369)),"Tanggal harus berupa tanggal Excel",IF(COUNTIFS(Master_PIC!$A$8:$A$73,$B369)&lt;&gt;1,"ID PIC tidak unik/terdaftar",IF(VLOOKUP($B369,Master_PIC!$A$8:$G$73,3,FALSE)&lt;&gt;"ASM","Jabatan tidak sesuai sheet",IF(OR($C369="",$D369="",$E369="",$F369=""),"Lengkapi master PIC",IF(COUNTIFS($A$8:$A$507,$A369,$B$8:$B$507,$B369)&gt;1,"Laporan ganda",IF(COUNTIFS(G369:O369,"Tidak Berlaku")&gt;0,"N/A hanya untuk kegiatan bersyarat",IF(SUM(AF369,AG369,AH369,AI369,AJ369)&lt;&gt;13,"Status kegiatan tidak valid",IF(AJ369&gt;0,"Lengkapi status kegiatan",IF(AND(AI369&gt;0,T369=""),"Isi alasan Tidak Berlaku",IF(AND(SUM(AG369,AH369)&gt;0,OR(T369="",U369="",V369="",W369="")),"Isi kendala dan tindak lanjut",IF(AND(Y369&lt;&gt;"Draft",Y369&lt;&gt;"Dikirim"),"Isi status laporan yang valid",IF(AND(AA369&lt;&gt;"",AA369&lt;&gt;"Belum Diperiksa",AA369&lt;&gt;"Disetujui",AA369&lt;&gt;"Perlu Perbaikan"),"Hasil review tidak valid",IF(AND(Y369="Dikirim",OR(X369="",Z369="")),"Isi bukti dan waktu kirim",IF(AND(AA369="Disetujui",OR(Y369&lt;&gt;"Dikirim",AB369="",AC369="")),"Lengkapi pemeriksaan",IF(AND(AA369="Perlu Perbaikan",OR(AD369="",AB369="",AC369="")),"Isi pemeriksa dan catatan perbaikan","OK")))))))))))))))),"")</f>
        <v/>
      </c>
    </row>
    <row r="370" spans="1:38" ht="24.95" customHeight="1">
      <c r="A370" s="8"/>
      <c r="B370" s="6"/>
      <c r="C370" s="15" t="str">
        <f>IF(COUNTIFS(Master_PIC!$A$8:$A$73,$B370)=1,IF(VLOOKUP($B370,Master_PIC!$A$8:$G$73,2,FALSE)="","",VLOOKUP($B370,Master_PIC!$A$8:$G$73,2,FALSE)),"")</f>
        <v/>
      </c>
      <c r="D370" s="15" t="str">
        <f>IF(COUNTIFS(Master_PIC!$A$8:$A$73,$B370)=1,IF(VLOOKUP($B370,Master_PIC!$A$8:$G$73,4,FALSE)="","",VLOOKUP($B370,Master_PIC!$A$8:$G$73,4,FALSE)),"")</f>
        <v/>
      </c>
      <c r="E370" s="15" t="str">
        <f>IF(COUNTIFS(Master_PIC!$A$8:$A$73,$B370)=1,IF(VLOOKUP($B370,Master_PIC!$A$8:$G$73,5,FALSE)="","",VLOOKUP($B370,Master_PIC!$A$8:$G$73,5,FALSE)),"")</f>
        <v/>
      </c>
      <c r="F370" s="15" t="str">
        <f>IF(COUNTIFS(Master_PIC!$A$8:$A$73,$B370)=1,IF(VLOOKUP($B370,Master_PIC!$A$8:$G$73,6,FALSE)="","",VLOOKUP($B370,Master_PIC!$A$8:$G$73,6,FALSE)),"")</f>
        <v/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8"/>
      <c r="X370" s="5"/>
      <c r="Y370" s="5"/>
      <c r="Z370" s="9"/>
      <c r="AA370" s="5"/>
      <c r="AB370" s="5"/>
      <c r="AC370" s="9"/>
      <c r="AD370" s="5"/>
      <c r="AE370" s="7" t="str">
        <f t="shared" si="35"/>
        <v/>
      </c>
      <c r="AF370" s="7" t="str">
        <f t="shared" si="36"/>
        <v/>
      </c>
      <c r="AG370" s="7" t="str">
        <f t="shared" si="37"/>
        <v/>
      </c>
      <c r="AH370" s="7" t="str">
        <f t="shared" si="38"/>
        <v/>
      </c>
      <c r="AI370" s="7" t="str">
        <f t="shared" si="39"/>
        <v/>
      </c>
      <c r="AJ370" s="7" t="str">
        <f t="shared" si="40"/>
        <v/>
      </c>
      <c r="AK370" s="10" t="str">
        <f t="shared" si="41"/>
        <v/>
      </c>
      <c r="AL370" s="15" t="str">
        <f>IF(OR($A370&lt;&gt;"",$B370&lt;&gt;""),IF(OR($A370="",$B370=""),"Isi tanggal dan ID PIC",IF(NOT(ISNUMBER($A370)),"Tanggal harus berupa tanggal Excel",IF(COUNTIFS(Master_PIC!$A$8:$A$73,$B370)&lt;&gt;1,"ID PIC tidak unik/terdaftar",IF(VLOOKUP($B370,Master_PIC!$A$8:$G$73,3,FALSE)&lt;&gt;"ASM","Jabatan tidak sesuai sheet",IF(OR($C370="",$D370="",$E370="",$F370=""),"Lengkapi master PIC",IF(COUNTIFS($A$8:$A$507,$A370,$B$8:$B$507,$B370)&gt;1,"Laporan ganda",IF(COUNTIFS(G370:O370,"Tidak Berlaku")&gt;0,"N/A hanya untuk kegiatan bersyarat",IF(SUM(AF370,AG370,AH370,AI370,AJ370)&lt;&gt;13,"Status kegiatan tidak valid",IF(AJ370&gt;0,"Lengkapi status kegiatan",IF(AND(AI370&gt;0,T370=""),"Isi alasan Tidak Berlaku",IF(AND(SUM(AG370,AH370)&gt;0,OR(T370="",U370="",V370="",W370="")),"Isi kendala dan tindak lanjut",IF(AND(Y370&lt;&gt;"Draft",Y370&lt;&gt;"Dikirim"),"Isi status laporan yang valid",IF(AND(AA370&lt;&gt;"",AA370&lt;&gt;"Belum Diperiksa",AA370&lt;&gt;"Disetujui",AA370&lt;&gt;"Perlu Perbaikan"),"Hasil review tidak valid",IF(AND(Y370="Dikirim",OR(X370="",Z370="")),"Isi bukti dan waktu kirim",IF(AND(AA370="Disetujui",OR(Y370&lt;&gt;"Dikirim",AB370="",AC370="")),"Lengkapi pemeriksaan",IF(AND(AA370="Perlu Perbaikan",OR(AD370="",AB370="",AC370="")),"Isi pemeriksa dan catatan perbaikan","OK")))))))))))))))),"")</f>
        <v/>
      </c>
    </row>
    <row r="371" spans="1:38" ht="24.95" customHeight="1">
      <c r="A371" s="8"/>
      <c r="B371" s="6"/>
      <c r="C371" s="15" t="str">
        <f>IF(COUNTIFS(Master_PIC!$A$8:$A$73,$B371)=1,IF(VLOOKUP($B371,Master_PIC!$A$8:$G$73,2,FALSE)="","",VLOOKUP($B371,Master_PIC!$A$8:$G$73,2,FALSE)),"")</f>
        <v/>
      </c>
      <c r="D371" s="15" t="str">
        <f>IF(COUNTIFS(Master_PIC!$A$8:$A$73,$B371)=1,IF(VLOOKUP($B371,Master_PIC!$A$8:$G$73,4,FALSE)="","",VLOOKUP($B371,Master_PIC!$A$8:$G$73,4,FALSE)),"")</f>
        <v/>
      </c>
      <c r="E371" s="15" t="str">
        <f>IF(COUNTIFS(Master_PIC!$A$8:$A$73,$B371)=1,IF(VLOOKUP($B371,Master_PIC!$A$8:$G$73,5,FALSE)="","",VLOOKUP($B371,Master_PIC!$A$8:$G$73,5,FALSE)),"")</f>
        <v/>
      </c>
      <c r="F371" s="15" t="str">
        <f>IF(COUNTIFS(Master_PIC!$A$8:$A$73,$B371)=1,IF(VLOOKUP($B371,Master_PIC!$A$8:$G$73,6,FALSE)="","",VLOOKUP($B371,Master_PIC!$A$8:$G$73,6,FALSE)),"")</f>
        <v/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8"/>
      <c r="X371" s="5"/>
      <c r="Y371" s="5"/>
      <c r="Z371" s="9"/>
      <c r="AA371" s="5"/>
      <c r="AB371" s="5"/>
      <c r="AC371" s="9"/>
      <c r="AD371" s="5"/>
      <c r="AE371" s="7" t="str">
        <f t="shared" si="35"/>
        <v/>
      </c>
      <c r="AF371" s="7" t="str">
        <f t="shared" si="36"/>
        <v/>
      </c>
      <c r="AG371" s="7" t="str">
        <f t="shared" si="37"/>
        <v/>
      </c>
      <c r="AH371" s="7" t="str">
        <f t="shared" si="38"/>
        <v/>
      </c>
      <c r="AI371" s="7" t="str">
        <f t="shared" si="39"/>
        <v/>
      </c>
      <c r="AJ371" s="7" t="str">
        <f t="shared" si="40"/>
        <v/>
      </c>
      <c r="AK371" s="10" t="str">
        <f t="shared" si="41"/>
        <v/>
      </c>
      <c r="AL371" s="15" t="str">
        <f>IF(OR($A371&lt;&gt;"",$B371&lt;&gt;""),IF(OR($A371="",$B371=""),"Isi tanggal dan ID PIC",IF(NOT(ISNUMBER($A371)),"Tanggal harus berupa tanggal Excel",IF(COUNTIFS(Master_PIC!$A$8:$A$73,$B371)&lt;&gt;1,"ID PIC tidak unik/terdaftar",IF(VLOOKUP($B371,Master_PIC!$A$8:$G$73,3,FALSE)&lt;&gt;"ASM","Jabatan tidak sesuai sheet",IF(OR($C371="",$D371="",$E371="",$F371=""),"Lengkapi master PIC",IF(COUNTIFS($A$8:$A$507,$A371,$B$8:$B$507,$B371)&gt;1,"Laporan ganda",IF(COUNTIFS(G371:O371,"Tidak Berlaku")&gt;0,"N/A hanya untuk kegiatan bersyarat",IF(SUM(AF371,AG371,AH371,AI371,AJ371)&lt;&gt;13,"Status kegiatan tidak valid",IF(AJ371&gt;0,"Lengkapi status kegiatan",IF(AND(AI371&gt;0,T371=""),"Isi alasan Tidak Berlaku",IF(AND(SUM(AG371,AH371)&gt;0,OR(T371="",U371="",V371="",W371="")),"Isi kendala dan tindak lanjut",IF(AND(Y371&lt;&gt;"Draft",Y371&lt;&gt;"Dikirim"),"Isi status laporan yang valid",IF(AND(AA371&lt;&gt;"",AA371&lt;&gt;"Belum Diperiksa",AA371&lt;&gt;"Disetujui",AA371&lt;&gt;"Perlu Perbaikan"),"Hasil review tidak valid",IF(AND(Y371="Dikirim",OR(X371="",Z371="")),"Isi bukti dan waktu kirim",IF(AND(AA371="Disetujui",OR(Y371&lt;&gt;"Dikirim",AB371="",AC371="")),"Lengkapi pemeriksaan",IF(AND(AA371="Perlu Perbaikan",OR(AD371="",AB371="",AC371="")),"Isi pemeriksa dan catatan perbaikan","OK")))))))))))))))),"")</f>
        <v/>
      </c>
    </row>
    <row r="372" spans="1:38" ht="24.95" customHeight="1">
      <c r="A372" s="8"/>
      <c r="B372" s="6"/>
      <c r="C372" s="15" t="str">
        <f>IF(COUNTIFS(Master_PIC!$A$8:$A$73,$B372)=1,IF(VLOOKUP($B372,Master_PIC!$A$8:$G$73,2,FALSE)="","",VLOOKUP($B372,Master_PIC!$A$8:$G$73,2,FALSE)),"")</f>
        <v/>
      </c>
      <c r="D372" s="15" t="str">
        <f>IF(COUNTIFS(Master_PIC!$A$8:$A$73,$B372)=1,IF(VLOOKUP($B372,Master_PIC!$A$8:$G$73,4,FALSE)="","",VLOOKUP($B372,Master_PIC!$A$8:$G$73,4,FALSE)),"")</f>
        <v/>
      </c>
      <c r="E372" s="15" t="str">
        <f>IF(COUNTIFS(Master_PIC!$A$8:$A$73,$B372)=1,IF(VLOOKUP($B372,Master_PIC!$A$8:$G$73,5,FALSE)="","",VLOOKUP($B372,Master_PIC!$A$8:$G$73,5,FALSE)),"")</f>
        <v/>
      </c>
      <c r="F372" s="15" t="str">
        <f>IF(COUNTIFS(Master_PIC!$A$8:$A$73,$B372)=1,IF(VLOOKUP($B372,Master_PIC!$A$8:$G$73,6,FALSE)="","",VLOOKUP($B372,Master_PIC!$A$8:$G$73,6,FALSE)),"")</f>
        <v/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8"/>
      <c r="X372" s="5"/>
      <c r="Y372" s="5"/>
      <c r="Z372" s="9"/>
      <c r="AA372" s="5"/>
      <c r="AB372" s="5"/>
      <c r="AC372" s="9"/>
      <c r="AD372" s="5"/>
      <c r="AE372" s="7" t="str">
        <f t="shared" si="35"/>
        <v/>
      </c>
      <c r="AF372" s="7" t="str">
        <f t="shared" si="36"/>
        <v/>
      </c>
      <c r="AG372" s="7" t="str">
        <f t="shared" si="37"/>
        <v/>
      </c>
      <c r="AH372" s="7" t="str">
        <f t="shared" si="38"/>
        <v/>
      </c>
      <c r="AI372" s="7" t="str">
        <f t="shared" si="39"/>
        <v/>
      </c>
      <c r="AJ372" s="7" t="str">
        <f t="shared" si="40"/>
        <v/>
      </c>
      <c r="AK372" s="10" t="str">
        <f t="shared" si="41"/>
        <v/>
      </c>
      <c r="AL372" s="15" t="str">
        <f>IF(OR($A372&lt;&gt;"",$B372&lt;&gt;""),IF(OR($A372="",$B372=""),"Isi tanggal dan ID PIC",IF(NOT(ISNUMBER($A372)),"Tanggal harus berupa tanggal Excel",IF(COUNTIFS(Master_PIC!$A$8:$A$73,$B372)&lt;&gt;1,"ID PIC tidak unik/terdaftar",IF(VLOOKUP($B372,Master_PIC!$A$8:$G$73,3,FALSE)&lt;&gt;"ASM","Jabatan tidak sesuai sheet",IF(OR($C372="",$D372="",$E372="",$F372=""),"Lengkapi master PIC",IF(COUNTIFS($A$8:$A$507,$A372,$B$8:$B$507,$B372)&gt;1,"Laporan ganda",IF(COUNTIFS(G372:O372,"Tidak Berlaku")&gt;0,"N/A hanya untuk kegiatan bersyarat",IF(SUM(AF372,AG372,AH372,AI372,AJ372)&lt;&gt;13,"Status kegiatan tidak valid",IF(AJ372&gt;0,"Lengkapi status kegiatan",IF(AND(AI372&gt;0,T372=""),"Isi alasan Tidak Berlaku",IF(AND(SUM(AG372,AH372)&gt;0,OR(T372="",U372="",V372="",W372="")),"Isi kendala dan tindak lanjut",IF(AND(Y372&lt;&gt;"Draft",Y372&lt;&gt;"Dikirim"),"Isi status laporan yang valid",IF(AND(AA372&lt;&gt;"",AA372&lt;&gt;"Belum Diperiksa",AA372&lt;&gt;"Disetujui",AA372&lt;&gt;"Perlu Perbaikan"),"Hasil review tidak valid",IF(AND(Y372="Dikirim",OR(X372="",Z372="")),"Isi bukti dan waktu kirim",IF(AND(AA372="Disetujui",OR(Y372&lt;&gt;"Dikirim",AB372="",AC372="")),"Lengkapi pemeriksaan",IF(AND(AA372="Perlu Perbaikan",OR(AD372="",AB372="",AC372="")),"Isi pemeriksa dan catatan perbaikan","OK")))))))))))))))),"")</f>
        <v/>
      </c>
    </row>
    <row r="373" spans="1:38" ht="24.95" customHeight="1">
      <c r="A373" s="8"/>
      <c r="B373" s="6"/>
      <c r="C373" s="15" t="str">
        <f>IF(COUNTIFS(Master_PIC!$A$8:$A$73,$B373)=1,IF(VLOOKUP($B373,Master_PIC!$A$8:$G$73,2,FALSE)="","",VLOOKUP($B373,Master_PIC!$A$8:$G$73,2,FALSE)),"")</f>
        <v/>
      </c>
      <c r="D373" s="15" t="str">
        <f>IF(COUNTIFS(Master_PIC!$A$8:$A$73,$B373)=1,IF(VLOOKUP($B373,Master_PIC!$A$8:$G$73,4,FALSE)="","",VLOOKUP($B373,Master_PIC!$A$8:$G$73,4,FALSE)),"")</f>
        <v/>
      </c>
      <c r="E373" s="15" t="str">
        <f>IF(COUNTIFS(Master_PIC!$A$8:$A$73,$B373)=1,IF(VLOOKUP($B373,Master_PIC!$A$8:$G$73,5,FALSE)="","",VLOOKUP($B373,Master_PIC!$A$8:$G$73,5,FALSE)),"")</f>
        <v/>
      </c>
      <c r="F373" s="15" t="str">
        <f>IF(COUNTIFS(Master_PIC!$A$8:$A$73,$B373)=1,IF(VLOOKUP($B373,Master_PIC!$A$8:$G$73,6,FALSE)="","",VLOOKUP($B373,Master_PIC!$A$8:$G$73,6,FALSE)),"")</f>
        <v/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8"/>
      <c r="X373" s="5"/>
      <c r="Y373" s="5"/>
      <c r="Z373" s="9"/>
      <c r="AA373" s="5"/>
      <c r="AB373" s="5"/>
      <c r="AC373" s="9"/>
      <c r="AD373" s="5"/>
      <c r="AE373" s="7" t="str">
        <f t="shared" si="35"/>
        <v/>
      </c>
      <c r="AF373" s="7" t="str">
        <f t="shared" si="36"/>
        <v/>
      </c>
      <c r="AG373" s="7" t="str">
        <f t="shared" si="37"/>
        <v/>
      </c>
      <c r="AH373" s="7" t="str">
        <f t="shared" si="38"/>
        <v/>
      </c>
      <c r="AI373" s="7" t="str">
        <f t="shared" si="39"/>
        <v/>
      </c>
      <c r="AJ373" s="7" t="str">
        <f t="shared" si="40"/>
        <v/>
      </c>
      <c r="AK373" s="10" t="str">
        <f t="shared" si="41"/>
        <v/>
      </c>
      <c r="AL373" s="15" t="str">
        <f>IF(OR($A373&lt;&gt;"",$B373&lt;&gt;""),IF(OR($A373="",$B373=""),"Isi tanggal dan ID PIC",IF(NOT(ISNUMBER($A373)),"Tanggal harus berupa tanggal Excel",IF(COUNTIFS(Master_PIC!$A$8:$A$73,$B373)&lt;&gt;1,"ID PIC tidak unik/terdaftar",IF(VLOOKUP($B373,Master_PIC!$A$8:$G$73,3,FALSE)&lt;&gt;"ASM","Jabatan tidak sesuai sheet",IF(OR($C373="",$D373="",$E373="",$F373=""),"Lengkapi master PIC",IF(COUNTIFS($A$8:$A$507,$A373,$B$8:$B$507,$B373)&gt;1,"Laporan ganda",IF(COUNTIFS(G373:O373,"Tidak Berlaku")&gt;0,"N/A hanya untuk kegiatan bersyarat",IF(SUM(AF373,AG373,AH373,AI373,AJ373)&lt;&gt;13,"Status kegiatan tidak valid",IF(AJ373&gt;0,"Lengkapi status kegiatan",IF(AND(AI373&gt;0,T373=""),"Isi alasan Tidak Berlaku",IF(AND(SUM(AG373,AH373)&gt;0,OR(T373="",U373="",V373="",W373="")),"Isi kendala dan tindak lanjut",IF(AND(Y373&lt;&gt;"Draft",Y373&lt;&gt;"Dikirim"),"Isi status laporan yang valid",IF(AND(AA373&lt;&gt;"",AA373&lt;&gt;"Belum Diperiksa",AA373&lt;&gt;"Disetujui",AA373&lt;&gt;"Perlu Perbaikan"),"Hasil review tidak valid",IF(AND(Y373="Dikirim",OR(X373="",Z373="")),"Isi bukti dan waktu kirim",IF(AND(AA373="Disetujui",OR(Y373&lt;&gt;"Dikirim",AB373="",AC373="")),"Lengkapi pemeriksaan",IF(AND(AA373="Perlu Perbaikan",OR(AD373="",AB373="",AC373="")),"Isi pemeriksa dan catatan perbaikan","OK")))))))))))))))),"")</f>
        <v/>
      </c>
    </row>
    <row r="374" spans="1:38" ht="24.95" customHeight="1">
      <c r="A374" s="8"/>
      <c r="B374" s="6"/>
      <c r="C374" s="15" t="str">
        <f>IF(COUNTIFS(Master_PIC!$A$8:$A$73,$B374)=1,IF(VLOOKUP($B374,Master_PIC!$A$8:$G$73,2,FALSE)="","",VLOOKUP($B374,Master_PIC!$A$8:$G$73,2,FALSE)),"")</f>
        <v/>
      </c>
      <c r="D374" s="15" t="str">
        <f>IF(COUNTIFS(Master_PIC!$A$8:$A$73,$B374)=1,IF(VLOOKUP($B374,Master_PIC!$A$8:$G$73,4,FALSE)="","",VLOOKUP($B374,Master_PIC!$A$8:$G$73,4,FALSE)),"")</f>
        <v/>
      </c>
      <c r="E374" s="15" t="str">
        <f>IF(COUNTIFS(Master_PIC!$A$8:$A$73,$B374)=1,IF(VLOOKUP($B374,Master_PIC!$A$8:$G$73,5,FALSE)="","",VLOOKUP($B374,Master_PIC!$A$8:$G$73,5,FALSE)),"")</f>
        <v/>
      </c>
      <c r="F374" s="15" t="str">
        <f>IF(COUNTIFS(Master_PIC!$A$8:$A$73,$B374)=1,IF(VLOOKUP($B374,Master_PIC!$A$8:$G$73,6,FALSE)="","",VLOOKUP($B374,Master_PIC!$A$8:$G$73,6,FALSE)),"")</f>
        <v/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8"/>
      <c r="X374" s="5"/>
      <c r="Y374" s="5"/>
      <c r="Z374" s="9"/>
      <c r="AA374" s="5"/>
      <c r="AB374" s="5"/>
      <c r="AC374" s="9"/>
      <c r="AD374" s="5"/>
      <c r="AE374" s="7" t="str">
        <f t="shared" si="35"/>
        <v/>
      </c>
      <c r="AF374" s="7" t="str">
        <f t="shared" si="36"/>
        <v/>
      </c>
      <c r="AG374" s="7" t="str">
        <f t="shared" si="37"/>
        <v/>
      </c>
      <c r="AH374" s="7" t="str">
        <f t="shared" si="38"/>
        <v/>
      </c>
      <c r="AI374" s="7" t="str">
        <f t="shared" si="39"/>
        <v/>
      </c>
      <c r="AJ374" s="7" t="str">
        <f t="shared" si="40"/>
        <v/>
      </c>
      <c r="AK374" s="10" t="str">
        <f t="shared" si="41"/>
        <v/>
      </c>
      <c r="AL374" s="15" t="str">
        <f>IF(OR($A374&lt;&gt;"",$B374&lt;&gt;""),IF(OR($A374="",$B374=""),"Isi tanggal dan ID PIC",IF(NOT(ISNUMBER($A374)),"Tanggal harus berupa tanggal Excel",IF(COUNTIFS(Master_PIC!$A$8:$A$73,$B374)&lt;&gt;1,"ID PIC tidak unik/terdaftar",IF(VLOOKUP($B374,Master_PIC!$A$8:$G$73,3,FALSE)&lt;&gt;"ASM","Jabatan tidak sesuai sheet",IF(OR($C374="",$D374="",$E374="",$F374=""),"Lengkapi master PIC",IF(COUNTIFS($A$8:$A$507,$A374,$B$8:$B$507,$B374)&gt;1,"Laporan ganda",IF(COUNTIFS(G374:O374,"Tidak Berlaku")&gt;0,"N/A hanya untuk kegiatan bersyarat",IF(SUM(AF374,AG374,AH374,AI374,AJ374)&lt;&gt;13,"Status kegiatan tidak valid",IF(AJ374&gt;0,"Lengkapi status kegiatan",IF(AND(AI374&gt;0,T374=""),"Isi alasan Tidak Berlaku",IF(AND(SUM(AG374,AH374)&gt;0,OR(T374="",U374="",V374="",W374="")),"Isi kendala dan tindak lanjut",IF(AND(Y374&lt;&gt;"Draft",Y374&lt;&gt;"Dikirim"),"Isi status laporan yang valid",IF(AND(AA374&lt;&gt;"",AA374&lt;&gt;"Belum Diperiksa",AA374&lt;&gt;"Disetujui",AA374&lt;&gt;"Perlu Perbaikan"),"Hasil review tidak valid",IF(AND(Y374="Dikirim",OR(X374="",Z374="")),"Isi bukti dan waktu kirim",IF(AND(AA374="Disetujui",OR(Y374&lt;&gt;"Dikirim",AB374="",AC374="")),"Lengkapi pemeriksaan",IF(AND(AA374="Perlu Perbaikan",OR(AD374="",AB374="",AC374="")),"Isi pemeriksa dan catatan perbaikan","OK")))))))))))))))),"")</f>
        <v/>
      </c>
    </row>
    <row r="375" spans="1:38" ht="24.95" customHeight="1">
      <c r="A375" s="8"/>
      <c r="B375" s="6"/>
      <c r="C375" s="15" t="str">
        <f>IF(COUNTIFS(Master_PIC!$A$8:$A$73,$B375)=1,IF(VLOOKUP($B375,Master_PIC!$A$8:$G$73,2,FALSE)="","",VLOOKUP($B375,Master_PIC!$A$8:$G$73,2,FALSE)),"")</f>
        <v/>
      </c>
      <c r="D375" s="15" t="str">
        <f>IF(COUNTIFS(Master_PIC!$A$8:$A$73,$B375)=1,IF(VLOOKUP($B375,Master_PIC!$A$8:$G$73,4,FALSE)="","",VLOOKUP($B375,Master_PIC!$A$8:$G$73,4,FALSE)),"")</f>
        <v/>
      </c>
      <c r="E375" s="15" t="str">
        <f>IF(COUNTIFS(Master_PIC!$A$8:$A$73,$B375)=1,IF(VLOOKUP($B375,Master_PIC!$A$8:$G$73,5,FALSE)="","",VLOOKUP($B375,Master_PIC!$A$8:$G$73,5,FALSE)),"")</f>
        <v/>
      </c>
      <c r="F375" s="15" t="str">
        <f>IF(COUNTIFS(Master_PIC!$A$8:$A$73,$B375)=1,IF(VLOOKUP($B375,Master_PIC!$A$8:$G$73,6,FALSE)="","",VLOOKUP($B375,Master_PIC!$A$8:$G$73,6,FALSE)),"")</f>
        <v/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8"/>
      <c r="X375" s="5"/>
      <c r="Y375" s="5"/>
      <c r="Z375" s="9"/>
      <c r="AA375" s="5"/>
      <c r="AB375" s="5"/>
      <c r="AC375" s="9"/>
      <c r="AD375" s="5"/>
      <c r="AE375" s="7" t="str">
        <f t="shared" si="35"/>
        <v/>
      </c>
      <c r="AF375" s="7" t="str">
        <f t="shared" si="36"/>
        <v/>
      </c>
      <c r="AG375" s="7" t="str">
        <f t="shared" si="37"/>
        <v/>
      </c>
      <c r="AH375" s="7" t="str">
        <f t="shared" si="38"/>
        <v/>
      </c>
      <c r="AI375" s="7" t="str">
        <f t="shared" si="39"/>
        <v/>
      </c>
      <c r="AJ375" s="7" t="str">
        <f t="shared" si="40"/>
        <v/>
      </c>
      <c r="AK375" s="10" t="str">
        <f t="shared" si="41"/>
        <v/>
      </c>
      <c r="AL375" s="15" t="str">
        <f>IF(OR($A375&lt;&gt;"",$B375&lt;&gt;""),IF(OR($A375="",$B375=""),"Isi tanggal dan ID PIC",IF(NOT(ISNUMBER($A375)),"Tanggal harus berupa tanggal Excel",IF(COUNTIFS(Master_PIC!$A$8:$A$73,$B375)&lt;&gt;1,"ID PIC tidak unik/terdaftar",IF(VLOOKUP($B375,Master_PIC!$A$8:$G$73,3,FALSE)&lt;&gt;"ASM","Jabatan tidak sesuai sheet",IF(OR($C375="",$D375="",$E375="",$F375=""),"Lengkapi master PIC",IF(COUNTIFS($A$8:$A$507,$A375,$B$8:$B$507,$B375)&gt;1,"Laporan ganda",IF(COUNTIFS(G375:O375,"Tidak Berlaku")&gt;0,"N/A hanya untuk kegiatan bersyarat",IF(SUM(AF375,AG375,AH375,AI375,AJ375)&lt;&gt;13,"Status kegiatan tidak valid",IF(AJ375&gt;0,"Lengkapi status kegiatan",IF(AND(AI375&gt;0,T375=""),"Isi alasan Tidak Berlaku",IF(AND(SUM(AG375,AH375)&gt;0,OR(T375="",U375="",V375="",W375="")),"Isi kendala dan tindak lanjut",IF(AND(Y375&lt;&gt;"Draft",Y375&lt;&gt;"Dikirim"),"Isi status laporan yang valid",IF(AND(AA375&lt;&gt;"",AA375&lt;&gt;"Belum Diperiksa",AA375&lt;&gt;"Disetujui",AA375&lt;&gt;"Perlu Perbaikan"),"Hasil review tidak valid",IF(AND(Y375="Dikirim",OR(X375="",Z375="")),"Isi bukti dan waktu kirim",IF(AND(AA375="Disetujui",OR(Y375&lt;&gt;"Dikirim",AB375="",AC375="")),"Lengkapi pemeriksaan",IF(AND(AA375="Perlu Perbaikan",OR(AD375="",AB375="",AC375="")),"Isi pemeriksa dan catatan perbaikan","OK")))))))))))))))),"")</f>
        <v/>
      </c>
    </row>
    <row r="376" spans="1:38" ht="24.95" customHeight="1">
      <c r="A376" s="8"/>
      <c r="B376" s="6"/>
      <c r="C376" s="15" t="str">
        <f>IF(COUNTIFS(Master_PIC!$A$8:$A$73,$B376)=1,IF(VLOOKUP($B376,Master_PIC!$A$8:$G$73,2,FALSE)="","",VLOOKUP($B376,Master_PIC!$A$8:$G$73,2,FALSE)),"")</f>
        <v/>
      </c>
      <c r="D376" s="15" t="str">
        <f>IF(COUNTIFS(Master_PIC!$A$8:$A$73,$B376)=1,IF(VLOOKUP($B376,Master_PIC!$A$8:$G$73,4,FALSE)="","",VLOOKUP($B376,Master_PIC!$A$8:$G$73,4,FALSE)),"")</f>
        <v/>
      </c>
      <c r="E376" s="15" t="str">
        <f>IF(COUNTIFS(Master_PIC!$A$8:$A$73,$B376)=1,IF(VLOOKUP($B376,Master_PIC!$A$8:$G$73,5,FALSE)="","",VLOOKUP($B376,Master_PIC!$A$8:$G$73,5,FALSE)),"")</f>
        <v/>
      </c>
      <c r="F376" s="15" t="str">
        <f>IF(COUNTIFS(Master_PIC!$A$8:$A$73,$B376)=1,IF(VLOOKUP($B376,Master_PIC!$A$8:$G$73,6,FALSE)="","",VLOOKUP($B376,Master_PIC!$A$8:$G$73,6,FALSE)),"")</f>
        <v/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8"/>
      <c r="X376" s="5"/>
      <c r="Y376" s="5"/>
      <c r="Z376" s="9"/>
      <c r="AA376" s="5"/>
      <c r="AB376" s="5"/>
      <c r="AC376" s="9"/>
      <c r="AD376" s="5"/>
      <c r="AE376" s="7" t="str">
        <f t="shared" si="35"/>
        <v/>
      </c>
      <c r="AF376" s="7" t="str">
        <f t="shared" si="36"/>
        <v/>
      </c>
      <c r="AG376" s="7" t="str">
        <f t="shared" si="37"/>
        <v/>
      </c>
      <c r="AH376" s="7" t="str">
        <f t="shared" si="38"/>
        <v/>
      </c>
      <c r="AI376" s="7" t="str">
        <f t="shared" si="39"/>
        <v/>
      </c>
      <c r="AJ376" s="7" t="str">
        <f t="shared" si="40"/>
        <v/>
      </c>
      <c r="AK376" s="10" t="str">
        <f t="shared" si="41"/>
        <v/>
      </c>
      <c r="AL376" s="15" t="str">
        <f>IF(OR($A376&lt;&gt;"",$B376&lt;&gt;""),IF(OR($A376="",$B376=""),"Isi tanggal dan ID PIC",IF(NOT(ISNUMBER($A376)),"Tanggal harus berupa tanggal Excel",IF(COUNTIFS(Master_PIC!$A$8:$A$73,$B376)&lt;&gt;1,"ID PIC tidak unik/terdaftar",IF(VLOOKUP($B376,Master_PIC!$A$8:$G$73,3,FALSE)&lt;&gt;"ASM","Jabatan tidak sesuai sheet",IF(OR($C376="",$D376="",$E376="",$F376=""),"Lengkapi master PIC",IF(COUNTIFS($A$8:$A$507,$A376,$B$8:$B$507,$B376)&gt;1,"Laporan ganda",IF(COUNTIFS(G376:O376,"Tidak Berlaku")&gt;0,"N/A hanya untuk kegiatan bersyarat",IF(SUM(AF376,AG376,AH376,AI376,AJ376)&lt;&gt;13,"Status kegiatan tidak valid",IF(AJ376&gt;0,"Lengkapi status kegiatan",IF(AND(AI376&gt;0,T376=""),"Isi alasan Tidak Berlaku",IF(AND(SUM(AG376,AH376)&gt;0,OR(T376="",U376="",V376="",W376="")),"Isi kendala dan tindak lanjut",IF(AND(Y376&lt;&gt;"Draft",Y376&lt;&gt;"Dikirim"),"Isi status laporan yang valid",IF(AND(AA376&lt;&gt;"",AA376&lt;&gt;"Belum Diperiksa",AA376&lt;&gt;"Disetujui",AA376&lt;&gt;"Perlu Perbaikan"),"Hasil review tidak valid",IF(AND(Y376="Dikirim",OR(X376="",Z376="")),"Isi bukti dan waktu kirim",IF(AND(AA376="Disetujui",OR(Y376&lt;&gt;"Dikirim",AB376="",AC376="")),"Lengkapi pemeriksaan",IF(AND(AA376="Perlu Perbaikan",OR(AD376="",AB376="",AC376="")),"Isi pemeriksa dan catatan perbaikan","OK")))))))))))))))),"")</f>
        <v/>
      </c>
    </row>
    <row r="377" spans="1:38" ht="24.95" customHeight="1">
      <c r="A377" s="8"/>
      <c r="B377" s="6"/>
      <c r="C377" s="15" t="str">
        <f>IF(COUNTIFS(Master_PIC!$A$8:$A$73,$B377)=1,IF(VLOOKUP($B377,Master_PIC!$A$8:$G$73,2,FALSE)="","",VLOOKUP($B377,Master_PIC!$A$8:$G$73,2,FALSE)),"")</f>
        <v/>
      </c>
      <c r="D377" s="15" t="str">
        <f>IF(COUNTIFS(Master_PIC!$A$8:$A$73,$B377)=1,IF(VLOOKUP($B377,Master_PIC!$A$8:$G$73,4,FALSE)="","",VLOOKUP($B377,Master_PIC!$A$8:$G$73,4,FALSE)),"")</f>
        <v/>
      </c>
      <c r="E377" s="15" t="str">
        <f>IF(COUNTIFS(Master_PIC!$A$8:$A$73,$B377)=1,IF(VLOOKUP($B377,Master_PIC!$A$8:$G$73,5,FALSE)="","",VLOOKUP($B377,Master_PIC!$A$8:$G$73,5,FALSE)),"")</f>
        <v/>
      </c>
      <c r="F377" s="15" t="str">
        <f>IF(COUNTIFS(Master_PIC!$A$8:$A$73,$B377)=1,IF(VLOOKUP($B377,Master_PIC!$A$8:$G$73,6,FALSE)="","",VLOOKUP($B377,Master_PIC!$A$8:$G$73,6,FALSE)),"")</f>
        <v/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8"/>
      <c r="X377" s="5"/>
      <c r="Y377" s="5"/>
      <c r="Z377" s="9"/>
      <c r="AA377" s="5"/>
      <c r="AB377" s="5"/>
      <c r="AC377" s="9"/>
      <c r="AD377" s="5"/>
      <c r="AE377" s="7" t="str">
        <f t="shared" si="35"/>
        <v/>
      </c>
      <c r="AF377" s="7" t="str">
        <f t="shared" si="36"/>
        <v/>
      </c>
      <c r="AG377" s="7" t="str">
        <f t="shared" si="37"/>
        <v/>
      </c>
      <c r="AH377" s="7" t="str">
        <f t="shared" si="38"/>
        <v/>
      </c>
      <c r="AI377" s="7" t="str">
        <f t="shared" si="39"/>
        <v/>
      </c>
      <c r="AJ377" s="7" t="str">
        <f t="shared" si="40"/>
        <v/>
      </c>
      <c r="AK377" s="10" t="str">
        <f t="shared" si="41"/>
        <v/>
      </c>
      <c r="AL377" s="15" t="str">
        <f>IF(OR($A377&lt;&gt;"",$B377&lt;&gt;""),IF(OR($A377="",$B377=""),"Isi tanggal dan ID PIC",IF(NOT(ISNUMBER($A377)),"Tanggal harus berupa tanggal Excel",IF(COUNTIFS(Master_PIC!$A$8:$A$73,$B377)&lt;&gt;1,"ID PIC tidak unik/terdaftar",IF(VLOOKUP($B377,Master_PIC!$A$8:$G$73,3,FALSE)&lt;&gt;"ASM","Jabatan tidak sesuai sheet",IF(OR($C377="",$D377="",$E377="",$F377=""),"Lengkapi master PIC",IF(COUNTIFS($A$8:$A$507,$A377,$B$8:$B$507,$B377)&gt;1,"Laporan ganda",IF(COUNTIFS(G377:O377,"Tidak Berlaku")&gt;0,"N/A hanya untuk kegiatan bersyarat",IF(SUM(AF377,AG377,AH377,AI377,AJ377)&lt;&gt;13,"Status kegiatan tidak valid",IF(AJ377&gt;0,"Lengkapi status kegiatan",IF(AND(AI377&gt;0,T377=""),"Isi alasan Tidak Berlaku",IF(AND(SUM(AG377,AH377)&gt;0,OR(T377="",U377="",V377="",W377="")),"Isi kendala dan tindak lanjut",IF(AND(Y377&lt;&gt;"Draft",Y377&lt;&gt;"Dikirim"),"Isi status laporan yang valid",IF(AND(AA377&lt;&gt;"",AA377&lt;&gt;"Belum Diperiksa",AA377&lt;&gt;"Disetujui",AA377&lt;&gt;"Perlu Perbaikan"),"Hasil review tidak valid",IF(AND(Y377="Dikirim",OR(X377="",Z377="")),"Isi bukti dan waktu kirim",IF(AND(AA377="Disetujui",OR(Y377&lt;&gt;"Dikirim",AB377="",AC377="")),"Lengkapi pemeriksaan",IF(AND(AA377="Perlu Perbaikan",OR(AD377="",AB377="",AC377="")),"Isi pemeriksa dan catatan perbaikan","OK")))))))))))))))),"")</f>
        <v/>
      </c>
    </row>
    <row r="378" spans="1:38" ht="24.95" customHeight="1">
      <c r="A378" s="8"/>
      <c r="B378" s="6"/>
      <c r="C378" s="15" t="str">
        <f>IF(COUNTIFS(Master_PIC!$A$8:$A$73,$B378)=1,IF(VLOOKUP($B378,Master_PIC!$A$8:$G$73,2,FALSE)="","",VLOOKUP($B378,Master_PIC!$A$8:$G$73,2,FALSE)),"")</f>
        <v/>
      </c>
      <c r="D378" s="15" t="str">
        <f>IF(COUNTIFS(Master_PIC!$A$8:$A$73,$B378)=1,IF(VLOOKUP($B378,Master_PIC!$A$8:$G$73,4,FALSE)="","",VLOOKUP($B378,Master_PIC!$A$8:$G$73,4,FALSE)),"")</f>
        <v/>
      </c>
      <c r="E378" s="15" t="str">
        <f>IF(COUNTIFS(Master_PIC!$A$8:$A$73,$B378)=1,IF(VLOOKUP($B378,Master_PIC!$A$8:$G$73,5,FALSE)="","",VLOOKUP($B378,Master_PIC!$A$8:$G$73,5,FALSE)),"")</f>
        <v/>
      </c>
      <c r="F378" s="15" t="str">
        <f>IF(COUNTIFS(Master_PIC!$A$8:$A$73,$B378)=1,IF(VLOOKUP($B378,Master_PIC!$A$8:$G$73,6,FALSE)="","",VLOOKUP($B378,Master_PIC!$A$8:$G$73,6,FALSE)),"")</f>
        <v/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8"/>
      <c r="X378" s="5"/>
      <c r="Y378" s="5"/>
      <c r="Z378" s="9"/>
      <c r="AA378" s="5"/>
      <c r="AB378" s="5"/>
      <c r="AC378" s="9"/>
      <c r="AD378" s="5"/>
      <c r="AE378" s="7" t="str">
        <f t="shared" si="35"/>
        <v/>
      </c>
      <c r="AF378" s="7" t="str">
        <f t="shared" si="36"/>
        <v/>
      </c>
      <c r="AG378" s="7" t="str">
        <f t="shared" si="37"/>
        <v/>
      </c>
      <c r="AH378" s="7" t="str">
        <f t="shared" si="38"/>
        <v/>
      </c>
      <c r="AI378" s="7" t="str">
        <f t="shared" si="39"/>
        <v/>
      </c>
      <c r="AJ378" s="7" t="str">
        <f t="shared" si="40"/>
        <v/>
      </c>
      <c r="AK378" s="10" t="str">
        <f t="shared" si="41"/>
        <v/>
      </c>
      <c r="AL378" s="15" t="str">
        <f>IF(OR($A378&lt;&gt;"",$B378&lt;&gt;""),IF(OR($A378="",$B378=""),"Isi tanggal dan ID PIC",IF(NOT(ISNUMBER($A378)),"Tanggal harus berupa tanggal Excel",IF(COUNTIFS(Master_PIC!$A$8:$A$73,$B378)&lt;&gt;1,"ID PIC tidak unik/terdaftar",IF(VLOOKUP($B378,Master_PIC!$A$8:$G$73,3,FALSE)&lt;&gt;"ASM","Jabatan tidak sesuai sheet",IF(OR($C378="",$D378="",$E378="",$F378=""),"Lengkapi master PIC",IF(COUNTIFS($A$8:$A$507,$A378,$B$8:$B$507,$B378)&gt;1,"Laporan ganda",IF(COUNTIFS(G378:O378,"Tidak Berlaku")&gt;0,"N/A hanya untuk kegiatan bersyarat",IF(SUM(AF378,AG378,AH378,AI378,AJ378)&lt;&gt;13,"Status kegiatan tidak valid",IF(AJ378&gt;0,"Lengkapi status kegiatan",IF(AND(AI378&gt;0,T378=""),"Isi alasan Tidak Berlaku",IF(AND(SUM(AG378,AH378)&gt;0,OR(T378="",U378="",V378="",W378="")),"Isi kendala dan tindak lanjut",IF(AND(Y378&lt;&gt;"Draft",Y378&lt;&gt;"Dikirim"),"Isi status laporan yang valid",IF(AND(AA378&lt;&gt;"",AA378&lt;&gt;"Belum Diperiksa",AA378&lt;&gt;"Disetujui",AA378&lt;&gt;"Perlu Perbaikan"),"Hasil review tidak valid",IF(AND(Y378="Dikirim",OR(X378="",Z378="")),"Isi bukti dan waktu kirim",IF(AND(AA378="Disetujui",OR(Y378&lt;&gt;"Dikirim",AB378="",AC378="")),"Lengkapi pemeriksaan",IF(AND(AA378="Perlu Perbaikan",OR(AD378="",AB378="",AC378="")),"Isi pemeriksa dan catatan perbaikan","OK")))))))))))))))),"")</f>
        <v/>
      </c>
    </row>
    <row r="379" spans="1:38" ht="24.95" customHeight="1">
      <c r="A379" s="8"/>
      <c r="B379" s="6"/>
      <c r="C379" s="15" t="str">
        <f>IF(COUNTIFS(Master_PIC!$A$8:$A$73,$B379)=1,IF(VLOOKUP($B379,Master_PIC!$A$8:$G$73,2,FALSE)="","",VLOOKUP($B379,Master_PIC!$A$8:$G$73,2,FALSE)),"")</f>
        <v/>
      </c>
      <c r="D379" s="15" t="str">
        <f>IF(COUNTIFS(Master_PIC!$A$8:$A$73,$B379)=1,IF(VLOOKUP($B379,Master_PIC!$A$8:$G$73,4,FALSE)="","",VLOOKUP($B379,Master_PIC!$A$8:$G$73,4,FALSE)),"")</f>
        <v/>
      </c>
      <c r="E379" s="15" t="str">
        <f>IF(COUNTIFS(Master_PIC!$A$8:$A$73,$B379)=1,IF(VLOOKUP($B379,Master_PIC!$A$8:$G$73,5,FALSE)="","",VLOOKUP($B379,Master_PIC!$A$8:$G$73,5,FALSE)),"")</f>
        <v/>
      </c>
      <c r="F379" s="15" t="str">
        <f>IF(COUNTIFS(Master_PIC!$A$8:$A$73,$B379)=1,IF(VLOOKUP($B379,Master_PIC!$A$8:$G$73,6,FALSE)="","",VLOOKUP($B379,Master_PIC!$A$8:$G$73,6,FALSE)),"")</f>
        <v/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8"/>
      <c r="X379" s="5"/>
      <c r="Y379" s="5"/>
      <c r="Z379" s="9"/>
      <c r="AA379" s="5"/>
      <c r="AB379" s="5"/>
      <c r="AC379" s="9"/>
      <c r="AD379" s="5"/>
      <c r="AE379" s="7" t="str">
        <f t="shared" si="35"/>
        <v/>
      </c>
      <c r="AF379" s="7" t="str">
        <f t="shared" si="36"/>
        <v/>
      </c>
      <c r="AG379" s="7" t="str">
        <f t="shared" si="37"/>
        <v/>
      </c>
      <c r="AH379" s="7" t="str">
        <f t="shared" si="38"/>
        <v/>
      </c>
      <c r="AI379" s="7" t="str">
        <f t="shared" si="39"/>
        <v/>
      </c>
      <c r="AJ379" s="7" t="str">
        <f t="shared" si="40"/>
        <v/>
      </c>
      <c r="AK379" s="10" t="str">
        <f t="shared" si="41"/>
        <v/>
      </c>
      <c r="AL379" s="15" t="str">
        <f>IF(OR($A379&lt;&gt;"",$B379&lt;&gt;""),IF(OR($A379="",$B379=""),"Isi tanggal dan ID PIC",IF(NOT(ISNUMBER($A379)),"Tanggal harus berupa tanggal Excel",IF(COUNTIFS(Master_PIC!$A$8:$A$73,$B379)&lt;&gt;1,"ID PIC tidak unik/terdaftar",IF(VLOOKUP($B379,Master_PIC!$A$8:$G$73,3,FALSE)&lt;&gt;"ASM","Jabatan tidak sesuai sheet",IF(OR($C379="",$D379="",$E379="",$F379=""),"Lengkapi master PIC",IF(COUNTIFS($A$8:$A$507,$A379,$B$8:$B$507,$B379)&gt;1,"Laporan ganda",IF(COUNTIFS(G379:O379,"Tidak Berlaku")&gt;0,"N/A hanya untuk kegiatan bersyarat",IF(SUM(AF379,AG379,AH379,AI379,AJ379)&lt;&gt;13,"Status kegiatan tidak valid",IF(AJ379&gt;0,"Lengkapi status kegiatan",IF(AND(AI379&gt;0,T379=""),"Isi alasan Tidak Berlaku",IF(AND(SUM(AG379,AH379)&gt;0,OR(T379="",U379="",V379="",W379="")),"Isi kendala dan tindak lanjut",IF(AND(Y379&lt;&gt;"Draft",Y379&lt;&gt;"Dikirim"),"Isi status laporan yang valid",IF(AND(AA379&lt;&gt;"",AA379&lt;&gt;"Belum Diperiksa",AA379&lt;&gt;"Disetujui",AA379&lt;&gt;"Perlu Perbaikan"),"Hasil review tidak valid",IF(AND(Y379="Dikirim",OR(X379="",Z379="")),"Isi bukti dan waktu kirim",IF(AND(AA379="Disetujui",OR(Y379&lt;&gt;"Dikirim",AB379="",AC379="")),"Lengkapi pemeriksaan",IF(AND(AA379="Perlu Perbaikan",OR(AD379="",AB379="",AC379="")),"Isi pemeriksa dan catatan perbaikan","OK")))))))))))))))),"")</f>
        <v/>
      </c>
    </row>
    <row r="380" spans="1:38" ht="24.95" customHeight="1">
      <c r="A380" s="8"/>
      <c r="B380" s="6"/>
      <c r="C380" s="15" t="str">
        <f>IF(COUNTIFS(Master_PIC!$A$8:$A$73,$B380)=1,IF(VLOOKUP($B380,Master_PIC!$A$8:$G$73,2,FALSE)="","",VLOOKUP($B380,Master_PIC!$A$8:$G$73,2,FALSE)),"")</f>
        <v/>
      </c>
      <c r="D380" s="15" t="str">
        <f>IF(COUNTIFS(Master_PIC!$A$8:$A$73,$B380)=1,IF(VLOOKUP($B380,Master_PIC!$A$8:$G$73,4,FALSE)="","",VLOOKUP($B380,Master_PIC!$A$8:$G$73,4,FALSE)),"")</f>
        <v/>
      </c>
      <c r="E380" s="15" t="str">
        <f>IF(COUNTIFS(Master_PIC!$A$8:$A$73,$B380)=1,IF(VLOOKUP($B380,Master_PIC!$A$8:$G$73,5,FALSE)="","",VLOOKUP($B380,Master_PIC!$A$8:$G$73,5,FALSE)),"")</f>
        <v/>
      </c>
      <c r="F380" s="15" t="str">
        <f>IF(COUNTIFS(Master_PIC!$A$8:$A$73,$B380)=1,IF(VLOOKUP($B380,Master_PIC!$A$8:$G$73,6,FALSE)="","",VLOOKUP($B380,Master_PIC!$A$8:$G$73,6,FALSE)),"")</f>
        <v/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8"/>
      <c r="X380" s="5"/>
      <c r="Y380" s="5"/>
      <c r="Z380" s="9"/>
      <c r="AA380" s="5"/>
      <c r="AB380" s="5"/>
      <c r="AC380" s="9"/>
      <c r="AD380" s="5"/>
      <c r="AE380" s="7" t="str">
        <f t="shared" si="35"/>
        <v/>
      </c>
      <c r="AF380" s="7" t="str">
        <f t="shared" si="36"/>
        <v/>
      </c>
      <c r="AG380" s="7" t="str">
        <f t="shared" si="37"/>
        <v/>
      </c>
      <c r="AH380" s="7" t="str">
        <f t="shared" si="38"/>
        <v/>
      </c>
      <c r="AI380" s="7" t="str">
        <f t="shared" si="39"/>
        <v/>
      </c>
      <c r="AJ380" s="7" t="str">
        <f t="shared" si="40"/>
        <v/>
      </c>
      <c r="AK380" s="10" t="str">
        <f t="shared" si="41"/>
        <v/>
      </c>
      <c r="AL380" s="15" t="str">
        <f>IF(OR($A380&lt;&gt;"",$B380&lt;&gt;""),IF(OR($A380="",$B380=""),"Isi tanggal dan ID PIC",IF(NOT(ISNUMBER($A380)),"Tanggal harus berupa tanggal Excel",IF(COUNTIFS(Master_PIC!$A$8:$A$73,$B380)&lt;&gt;1,"ID PIC tidak unik/terdaftar",IF(VLOOKUP($B380,Master_PIC!$A$8:$G$73,3,FALSE)&lt;&gt;"ASM","Jabatan tidak sesuai sheet",IF(OR($C380="",$D380="",$E380="",$F380=""),"Lengkapi master PIC",IF(COUNTIFS($A$8:$A$507,$A380,$B$8:$B$507,$B380)&gt;1,"Laporan ganda",IF(COUNTIFS(G380:O380,"Tidak Berlaku")&gt;0,"N/A hanya untuk kegiatan bersyarat",IF(SUM(AF380,AG380,AH380,AI380,AJ380)&lt;&gt;13,"Status kegiatan tidak valid",IF(AJ380&gt;0,"Lengkapi status kegiatan",IF(AND(AI380&gt;0,T380=""),"Isi alasan Tidak Berlaku",IF(AND(SUM(AG380,AH380)&gt;0,OR(T380="",U380="",V380="",W380="")),"Isi kendala dan tindak lanjut",IF(AND(Y380&lt;&gt;"Draft",Y380&lt;&gt;"Dikirim"),"Isi status laporan yang valid",IF(AND(AA380&lt;&gt;"",AA380&lt;&gt;"Belum Diperiksa",AA380&lt;&gt;"Disetujui",AA380&lt;&gt;"Perlu Perbaikan"),"Hasil review tidak valid",IF(AND(Y380="Dikirim",OR(X380="",Z380="")),"Isi bukti dan waktu kirim",IF(AND(AA380="Disetujui",OR(Y380&lt;&gt;"Dikirim",AB380="",AC380="")),"Lengkapi pemeriksaan",IF(AND(AA380="Perlu Perbaikan",OR(AD380="",AB380="",AC380="")),"Isi pemeriksa dan catatan perbaikan","OK")))))))))))))))),"")</f>
        <v/>
      </c>
    </row>
    <row r="381" spans="1:38" ht="24.95" customHeight="1">
      <c r="A381" s="8"/>
      <c r="B381" s="6"/>
      <c r="C381" s="15" t="str">
        <f>IF(COUNTIFS(Master_PIC!$A$8:$A$73,$B381)=1,IF(VLOOKUP($B381,Master_PIC!$A$8:$G$73,2,FALSE)="","",VLOOKUP($B381,Master_PIC!$A$8:$G$73,2,FALSE)),"")</f>
        <v/>
      </c>
      <c r="D381" s="15" t="str">
        <f>IF(COUNTIFS(Master_PIC!$A$8:$A$73,$B381)=1,IF(VLOOKUP($B381,Master_PIC!$A$8:$G$73,4,FALSE)="","",VLOOKUP($B381,Master_PIC!$A$8:$G$73,4,FALSE)),"")</f>
        <v/>
      </c>
      <c r="E381" s="15" t="str">
        <f>IF(COUNTIFS(Master_PIC!$A$8:$A$73,$B381)=1,IF(VLOOKUP($B381,Master_PIC!$A$8:$G$73,5,FALSE)="","",VLOOKUP($B381,Master_PIC!$A$8:$G$73,5,FALSE)),"")</f>
        <v/>
      </c>
      <c r="F381" s="15" t="str">
        <f>IF(COUNTIFS(Master_PIC!$A$8:$A$73,$B381)=1,IF(VLOOKUP($B381,Master_PIC!$A$8:$G$73,6,FALSE)="","",VLOOKUP($B381,Master_PIC!$A$8:$G$73,6,FALSE)),"")</f>
        <v/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8"/>
      <c r="X381" s="5"/>
      <c r="Y381" s="5"/>
      <c r="Z381" s="9"/>
      <c r="AA381" s="5"/>
      <c r="AB381" s="5"/>
      <c r="AC381" s="9"/>
      <c r="AD381" s="5"/>
      <c r="AE381" s="7" t="str">
        <f t="shared" si="35"/>
        <v/>
      </c>
      <c r="AF381" s="7" t="str">
        <f t="shared" si="36"/>
        <v/>
      </c>
      <c r="AG381" s="7" t="str">
        <f t="shared" si="37"/>
        <v/>
      </c>
      <c r="AH381" s="7" t="str">
        <f t="shared" si="38"/>
        <v/>
      </c>
      <c r="AI381" s="7" t="str">
        <f t="shared" si="39"/>
        <v/>
      </c>
      <c r="AJ381" s="7" t="str">
        <f t="shared" si="40"/>
        <v/>
      </c>
      <c r="AK381" s="10" t="str">
        <f t="shared" si="41"/>
        <v/>
      </c>
      <c r="AL381" s="15" t="str">
        <f>IF(OR($A381&lt;&gt;"",$B381&lt;&gt;""),IF(OR($A381="",$B381=""),"Isi tanggal dan ID PIC",IF(NOT(ISNUMBER($A381)),"Tanggal harus berupa tanggal Excel",IF(COUNTIFS(Master_PIC!$A$8:$A$73,$B381)&lt;&gt;1,"ID PIC tidak unik/terdaftar",IF(VLOOKUP($B381,Master_PIC!$A$8:$G$73,3,FALSE)&lt;&gt;"ASM","Jabatan tidak sesuai sheet",IF(OR($C381="",$D381="",$E381="",$F381=""),"Lengkapi master PIC",IF(COUNTIFS($A$8:$A$507,$A381,$B$8:$B$507,$B381)&gt;1,"Laporan ganda",IF(COUNTIFS(G381:O381,"Tidak Berlaku")&gt;0,"N/A hanya untuk kegiatan bersyarat",IF(SUM(AF381,AG381,AH381,AI381,AJ381)&lt;&gt;13,"Status kegiatan tidak valid",IF(AJ381&gt;0,"Lengkapi status kegiatan",IF(AND(AI381&gt;0,T381=""),"Isi alasan Tidak Berlaku",IF(AND(SUM(AG381,AH381)&gt;0,OR(T381="",U381="",V381="",W381="")),"Isi kendala dan tindak lanjut",IF(AND(Y381&lt;&gt;"Draft",Y381&lt;&gt;"Dikirim"),"Isi status laporan yang valid",IF(AND(AA381&lt;&gt;"",AA381&lt;&gt;"Belum Diperiksa",AA381&lt;&gt;"Disetujui",AA381&lt;&gt;"Perlu Perbaikan"),"Hasil review tidak valid",IF(AND(Y381="Dikirim",OR(X381="",Z381="")),"Isi bukti dan waktu kirim",IF(AND(AA381="Disetujui",OR(Y381&lt;&gt;"Dikirim",AB381="",AC381="")),"Lengkapi pemeriksaan",IF(AND(AA381="Perlu Perbaikan",OR(AD381="",AB381="",AC381="")),"Isi pemeriksa dan catatan perbaikan","OK")))))))))))))))),"")</f>
        <v/>
      </c>
    </row>
    <row r="382" spans="1:38" ht="24.95" customHeight="1">
      <c r="A382" s="8"/>
      <c r="B382" s="6"/>
      <c r="C382" s="15" t="str">
        <f>IF(COUNTIFS(Master_PIC!$A$8:$A$73,$B382)=1,IF(VLOOKUP($B382,Master_PIC!$A$8:$G$73,2,FALSE)="","",VLOOKUP($B382,Master_PIC!$A$8:$G$73,2,FALSE)),"")</f>
        <v/>
      </c>
      <c r="D382" s="15" t="str">
        <f>IF(COUNTIFS(Master_PIC!$A$8:$A$73,$B382)=1,IF(VLOOKUP($B382,Master_PIC!$A$8:$G$73,4,FALSE)="","",VLOOKUP($B382,Master_PIC!$A$8:$G$73,4,FALSE)),"")</f>
        <v/>
      </c>
      <c r="E382" s="15" t="str">
        <f>IF(COUNTIFS(Master_PIC!$A$8:$A$73,$B382)=1,IF(VLOOKUP($B382,Master_PIC!$A$8:$G$73,5,FALSE)="","",VLOOKUP($B382,Master_PIC!$A$8:$G$73,5,FALSE)),"")</f>
        <v/>
      </c>
      <c r="F382" s="15" t="str">
        <f>IF(COUNTIFS(Master_PIC!$A$8:$A$73,$B382)=1,IF(VLOOKUP($B382,Master_PIC!$A$8:$G$73,6,FALSE)="","",VLOOKUP($B382,Master_PIC!$A$8:$G$73,6,FALSE)),"")</f>
        <v/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8"/>
      <c r="X382" s="5"/>
      <c r="Y382" s="5"/>
      <c r="Z382" s="9"/>
      <c r="AA382" s="5"/>
      <c r="AB382" s="5"/>
      <c r="AC382" s="9"/>
      <c r="AD382" s="5"/>
      <c r="AE382" s="7" t="str">
        <f t="shared" si="35"/>
        <v/>
      </c>
      <c r="AF382" s="7" t="str">
        <f t="shared" si="36"/>
        <v/>
      </c>
      <c r="AG382" s="7" t="str">
        <f t="shared" si="37"/>
        <v/>
      </c>
      <c r="AH382" s="7" t="str">
        <f t="shared" si="38"/>
        <v/>
      </c>
      <c r="AI382" s="7" t="str">
        <f t="shared" si="39"/>
        <v/>
      </c>
      <c r="AJ382" s="7" t="str">
        <f t="shared" si="40"/>
        <v/>
      </c>
      <c r="AK382" s="10" t="str">
        <f t="shared" si="41"/>
        <v/>
      </c>
      <c r="AL382" s="15" t="str">
        <f>IF(OR($A382&lt;&gt;"",$B382&lt;&gt;""),IF(OR($A382="",$B382=""),"Isi tanggal dan ID PIC",IF(NOT(ISNUMBER($A382)),"Tanggal harus berupa tanggal Excel",IF(COUNTIFS(Master_PIC!$A$8:$A$73,$B382)&lt;&gt;1,"ID PIC tidak unik/terdaftar",IF(VLOOKUP($B382,Master_PIC!$A$8:$G$73,3,FALSE)&lt;&gt;"ASM","Jabatan tidak sesuai sheet",IF(OR($C382="",$D382="",$E382="",$F382=""),"Lengkapi master PIC",IF(COUNTIFS($A$8:$A$507,$A382,$B$8:$B$507,$B382)&gt;1,"Laporan ganda",IF(COUNTIFS(G382:O382,"Tidak Berlaku")&gt;0,"N/A hanya untuk kegiatan bersyarat",IF(SUM(AF382,AG382,AH382,AI382,AJ382)&lt;&gt;13,"Status kegiatan tidak valid",IF(AJ382&gt;0,"Lengkapi status kegiatan",IF(AND(AI382&gt;0,T382=""),"Isi alasan Tidak Berlaku",IF(AND(SUM(AG382,AH382)&gt;0,OR(T382="",U382="",V382="",W382="")),"Isi kendala dan tindak lanjut",IF(AND(Y382&lt;&gt;"Draft",Y382&lt;&gt;"Dikirim"),"Isi status laporan yang valid",IF(AND(AA382&lt;&gt;"",AA382&lt;&gt;"Belum Diperiksa",AA382&lt;&gt;"Disetujui",AA382&lt;&gt;"Perlu Perbaikan"),"Hasil review tidak valid",IF(AND(Y382="Dikirim",OR(X382="",Z382="")),"Isi bukti dan waktu kirim",IF(AND(AA382="Disetujui",OR(Y382&lt;&gt;"Dikirim",AB382="",AC382="")),"Lengkapi pemeriksaan",IF(AND(AA382="Perlu Perbaikan",OR(AD382="",AB382="",AC382="")),"Isi pemeriksa dan catatan perbaikan","OK")))))))))))))))),"")</f>
        <v/>
      </c>
    </row>
    <row r="383" spans="1:38" ht="24.95" customHeight="1">
      <c r="A383" s="8"/>
      <c r="B383" s="6"/>
      <c r="C383" s="15" t="str">
        <f>IF(COUNTIFS(Master_PIC!$A$8:$A$73,$B383)=1,IF(VLOOKUP($B383,Master_PIC!$A$8:$G$73,2,FALSE)="","",VLOOKUP($B383,Master_PIC!$A$8:$G$73,2,FALSE)),"")</f>
        <v/>
      </c>
      <c r="D383" s="15" t="str">
        <f>IF(COUNTIFS(Master_PIC!$A$8:$A$73,$B383)=1,IF(VLOOKUP($B383,Master_PIC!$A$8:$G$73,4,FALSE)="","",VLOOKUP($B383,Master_PIC!$A$8:$G$73,4,FALSE)),"")</f>
        <v/>
      </c>
      <c r="E383" s="15" t="str">
        <f>IF(COUNTIFS(Master_PIC!$A$8:$A$73,$B383)=1,IF(VLOOKUP($B383,Master_PIC!$A$8:$G$73,5,FALSE)="","",VLOOKUP($B383,Master_PIC!$A$8:$G$73,5,FALSE)),"")</f>
        <v/>
      </c>
      <c r="F383" s="15" t="str">
        <f>IF(COUNTIFS(Master_PIC!$A$8:$A$73,$B383)=1,IF(VLOOKUP($B383,Master_PIC!$A$8:$G$73,6,FALSE)="","",VLOOKUP($B383,Master_PIC!$A$8:$G$73,6,FALSE)),"")</f>
        <v/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8"/>
      <c r="X383" s="5"/>
      <c r="Y383" s="5"/>
      <c r="Z383" s="9"/>
      <c r="AA383" s="5"/>
      <c r="AB383" s="5"/>
      <c r="AC383" s="9"/>
      <c r="AD383" s="5"/>
      <c r="AE383" s="7" t="str">
        <f t="shared" si="35"/>
        <v/>
      </c>
      <c r="AF383" s="7" t="str">
        <f t="shared" si="36"/>
        <v/>
      </c>
      <c r="AG383" s="7" t="str">
        <f t="shared" si="37"/>
        <v/>
      </c>
      <c r="AH383" s="7" t="str">
        <f t="shared" si="38"/>
        <v/>
      </c>
      <c r="AI383" s="7" t="str">
        <f t="shared" si="39"/>
        <v/>
      </c>
      <c r="AJ383" s="7" t="str">
        <f t="shared" si="40"/>
        <v/>
      </c>
      <c r="AK383" s="10" t="str">
        <f t="shared" si="41"/>
        <v/>
      </c>
      <c r="AL383" s="15" t="str">
        <f>IF(OR($A383&lt;&gt;"",$B383&lt;&gt;""),IF(OR($A383="",$B383=""),"Isi tanggal dan ID PIC",IF(NOT(ISNUMBER($A383)),"Tanggal harus berupa tanggal Excel",IF(COUNTIFS(Master_PIC!$A$8:$A$73,$B383)&lt;&gt;1,"ID PIC tidak unik/terdaftar",IF(VLOOKUP($B383,Master_PIC!$A$8:$G$73,3,FALSE)&lt;&gt;"ASM","Jabatan tidak sesuai sheet",IF(OR($C383="",$D383="",$E383="",$F383=""),"Lengkapi master PIC",IF(COUNTIFS($A$8:$A$507,$A383,$B$8:$B$507,$B383)&gt;1,"Laporan ganda",IF(COUNTIFS(G383:O383,"Tidak Berlaku")&gt;0,"N/A hanya untuk kegiatan bersyarat",IF(SUM(AF383,AG383,AH383,AI383,AJ383)&lt;&gt;13,"Status kegiatan tidak valid",IF(AJ383&gt;0,"Lengkapi status kegiatan",IF(AND(AI383&gt;0,T383=""),"Isi alasan Tidak Berlaku",IF(AND(SUM(AG383,AH383)&gt;0,OR(T383="",U383="",V383="",W383="")),"Isi kendala dan tindak lanjut",IF(AND(Y383&lt;&gt;"Draft",Y383&lt;&gt;"Dikirim"),"Isi status laporan yang valid",IF(AND(AA383&lt;&gt;"",AA383&lt;&gt;"Belum Diperiksa",AA383&lt;&gt;"Disetujui",AA383&lt;&gt;"Perlu Perbaikan"),"Hasil review tidak valid",IF(AND(Y383="Dikirim",OR(X383="",Z383="")),"Isi bukti dan waktu kirim",IF(AND(AA383="Disetujui",OR(Y383&lt;&gt;"Dikirim",AB383="",AC383="")),"Lengkapi pemeriksaan",IF(AND(AA383="Perlu Perbaikan",OR(AD383="",AB383="",AC383="")),"Isi pemeriksa dan catatan perbaikan","OK")))))))))))))))),"")</f>
        <v/>
      </c>
    </row>
    <row r="384" spans="1:38" ht="24.95" customHeight="1">
      <c r="A384" s="8"/>
      <c r="B384" s="6"/>
      <c r="C384" s="15" t="str">
        <f>IF(COUNTIFS(Master_PIC!$A$8:$A$73,$B384)=1,IF(VLOOKUP($B384,Master_PIC!$A$8:$G$73,2,FALSE)="","",VLOOKUP($B384,Master_PIC!$A$8:$G$73,2,FALSE)),"")</f>
        <v/>
      </c>
      <c r="D384" s="15" t="str">
        <f>IF(COUNTIFS(Master_PIC!$A$8:$A$73,$B384)=1,IF(VLOOKUP($B384,Master_PIC!$A$8:$G$73,4,FALSE)="","",VLOOKUP($B384,Master_PIC!$A$8:$G$73,4,FALSE)),"")</f>
        <v/>
      </c>
      <c r="E384" s="15" t="str">
        <f>IF(COUNTIFS(Master_PIC!$A$8:$A$73,$B384)=1,IF(VLOOKUP($B384,Master_PIC!$A$8:$G$73,5,FALSE)="","",VLOOKUP($B384,Master_PIC!$A$8:$G$73,5,FALSE)),"")</f>
        <v/>
      </c>
      <c r="F384" s="15" t="str">
        <f>IF(COUNTIFS(Master_PIC!$A$8:$A$73,$B384)=1,IF(VLOOKUP($B384,Master_PIC!$A$8:$G$73,6,FALSE)="","",VLOOKUP($B384,Master_PIC!$A$8:$G$73,6,FALSE)),"")</f>
        <v/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8"/>
      <c r="X384" s="5"/>
      <c r="Y384" s="5"/>
      <c r="Z384" s="9"/>
      <c r="AA384" s="5"/>
      <c r="AB384" s="5"/>
      <c r="AC384" s="9"/>
      <c r="AD384" s="5"/>
      <c r="AE384" s="7" t="str">
        <f t="shared" si="35"/>
        <v/>
      </c>
      <c r="AF384" s="7" t="str">
        <f t="shared" si="36"/>
        <v/>
      </c>
      <c r="AG384" s="7" t="str">
        <f t="shared" si="37"/>
        <v/>
      </c>
      <c r="AH384" s="7" t="str">
        <f t="shared" si="38"/>
        <v/>
      </c>
      <c r="AI384" s="7" t="str">
        <f t="shared" si="39"/>
        <v/>
      </c>
      <c r="AJ384" s="7" t="str">
        <f t="shared" si="40"/>
        <v/>
      </c>
      <c r="AK384" s="10" t="str">
        <f t="shared" si="41"/>
        <v/>
      </c>
      <c r="AL384" s="15" t="str">
        <f>IF(OR($A384&lt;&gt;"",$B384&lt;&gt;""),IF(OR($A384="",$B384=""),"Isi tanggal dan ID PIC",IF(NOT(ISNUMBER($A384)),"Tanggal harus berupa tanggal Excel",IF(COUNTIFS(Master_PIC!$A$8:$A$73,$B384)&lt;&gt;1,"ID PIC tidak unik/terdaftar",IF(VLOOKUP($B384,Master_PIC!$A$8:$G$73,3,FALSE)&lt;&gt;"ASM","Jabatan tidak sesuai sheet",IF(OR($C384="",$D384="",$E384="",$F384=""),"Lengkapi master PIC",IF(COUNTIFS($A$8:$A$507,$A384,$B$8:$B$507,$B384)&gt;1,"Laporan ganda",IF(COUNTIFS(G384:O384,"Tidak Berlaku")&gt;0,"N/A hanya untuk kegiatan bersyarat",IF(SUM(AF384,AG384,AH384,AI384,AJ384)&lt;&gt;13,"Status kegiatan tidak valid",IF(AJ384&gt;0,"Lengkapi status kegiatan",IF(AND(AI384&gt;0,T384=""),"Isi alasan Tidak Berlaku",IF(AND(SUM(AG384,AH384)&gt;0,OR(T384="",U384="",V384="",W384="")),"Isi kendala dan tindak lanjut",IF(AND(Y384&lt;&gt;"Draft",Y384&lt;&gt;"Dikirim"),"Isi status laporan yang valid",IF(AND(AA384&lt;&gt;"",AA384&lt;&gt;"Belum Diperiksa",AA384&lt;&gt;"Disetujui",AA384&lt;&gt;"Perlu Perbaikan"),"Hasil review tidak valid",IF(AND(Y384="Dikirim",OR(X384="",Z384="")),"Isi bukti dan waktu kirim",IF(AND(AA384="Disetujui",OR(Y384&lt;&gt;"Dikirim",AB384="",AC384="")),"Lengkapi pemeriksaan",IF(AND(AA384="Perlu Perbaikan",OR(AD384="",AB384="",AC384="")),"Isi pemeriksa dan catatan perbaikan","OK")))))))))))))))),"")</f>
        <v/>
      </c>
    </row>
    <row r="385" spans="1:38" ht="24.95" customHeight="1">
      <c r="A385" s="8"/>
      <c r="B385" s="6"/>
      <c r="C385" s="15" t="str">
        <f>IF(COUNTIFS(Master_PIC!$A$8:$A$73,$B385)=1,IF(VLOOKUP($B385,Master_PIC!$A$8:$G$73,2,FALSE)="","",VLOOKUP($B385,Master_PIC!$A$8:$G$73,2,FALSE)),"")</f>
        <v/>
      </c>
      <c r="D385" s="15" t="str">
        <f>IF(COUNTIFS(Master_PIC!$A$8:$A$73,$B385)=1,IF(VLOOKUP($B385,Master_PIC!$A$8:$G$73,4,FALSE)="","",VLOOKUP($B385,Master_PIC!$A$8:$G$73,4,FALSE)),"")</f>
        <v/>
      </c>
      <c r="E385" s="15" t="str">
        <f>IF(COUNTIFS(Master_PIC!$A$8:$A$73,$B385)=1,IF(VLOOKUP($B385,Master_PIC!$A$8:$G$73,5,FALSE)="","",VLOOKUP($B385,Master_PIC!$A$8:$G$73,5,FALSE)),"")</f>
        <v/>
      </c>
      <c r="F385" s="15" t="str">
        <f>IF(COUNTIFS(Master_PIC!$A$8:$A$73,$B385)=1,IF(VLOOKUP($B385,Master_PIC!$A$8:$G$73,6,FALSE)="","",VLOOKUP($B385,Master_PIC!$A$8:$G$73,6,FALSE)),"")</f>
        <v/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8"/>
      <c r="X385" s="5"/>
      <c r="Y385" s="5"/>
      <c r="Z385" s="9"/>
      <c r="AA385" s="5"/>
      <c r="AB385" s="5"/>
      <c r="AC385" s="9"/>
      <c r="AD385" s="5"/>
      <c r="AE385" s="7" t="str">
        <f t="shared" si="35"/>
        <v/>
      </c>
      <c r="AF385" s="7" t="str">
        <f t="shared" si="36"/>
        <v/>
      </c>
      <c r="AG385" s="7" t="str">
        <f t="shared" si="37"/>
        <v/>
      </c>
      <c r="AH385" s="7" t="str">
        <f t="shared" si="38"/>
        <v/>
      </c>
      <c r="AI385" s="7" t="str">
        <f t="shared" si="39"/>
        <v/>
      </c>
      <c r="AJ385" s="7" t="str">
        <f t="shared" si="40"/>
        <v/>
      </c>
      <c r="AK385" s="10" t="str">
        <f t="shared" si="41"/>
        <v/>
      </c>
      <c r="AL385" s="15" t="str">
        <f>IF(OR($A385&lt;&gt;"",$B385&lt;&gt;""),IF(OR($A385="",$B385=""),"Isi tanggal dan ID PIC",IF(NOT(ISNUMBER($A385)),"Tanggal harus berupa tanggal Excel",IF(COUNTIFS(Master_PIC!$A$8:$A$73,$B385)&lt;&gt;1,"ID PIC tidak unik/terdaftar",IF(VLOOKUP($B385,Master_PIC!$A$8:$G$73,3,FALSE)&lt;&gt;"ASM","Jabatan tidak sesuai sheet",IF(OR($C385="",$D385="",$E385="",$F385=""),"Lengkapi master PIC",IF(COUNTIFS($A$8:$A$507,$A385,$B$8:$B$507,$B385)&gt;1,"Laporan ganda",IF(COUNTIFS(G385:O385,"Tidak Berlaku")&gt;0,"N/A hanya untuk kegiatan bersyarat",IF(SUM(AF385,AG385,AH385,AI385,AJ385)&lt;&gt;13,"Status kegiatan tidak valid",IF(AJ385&gt;0,"Lengkapi status kegiatan",IF(AND(AI385&gt;0,T385=""),"Isi alasan Tidak Berlaku",IF(AND(SUM(AG385,AH385)&gt;0,OR(T385="",U385="",V385="",W385="")),"Isi kendala dan tindak lanjut",IF(AND(Y385&lt;&gt;"Draft",Y385&lt;&gt;"Dikirim"),"Isi status laporan yang valid",IF(AND(AA385&lt;&gt;"",AA385&lt;&gt;"Belum Diperiksa",AA385&lt;&gt;"Disetujui",AA385&lt;&gt;"Perlu Perbaikan"),"Hasil review tidak valid",IF(AND(Y385="Dikirim",OR(X385="",Z385="")),"Isi bukti dan waktu kirim",IF(AND(AA385="Disetujui",OR(Y385&lt;&gt;"Dikirim",AB385="",AC385="")),"Lengkapi pemeriksaan",IF(AND(AA385="Perlu Perbaikan",OR(AD385="",AB385="",AC385="")),"Isi pemeriksa dan catatan perbaikan","OK")))))))))))))))),"")</f>
        <v/>
      </c>
    </row>
    <row r="386" spans="1:38" ht="24.95" customHeight="1">
      <c r="A386" s="8"/>
      <c r="B386" s="6"/>
      <c r="C386" s="15" t="str">
        <f>IF(COUNTIFS(Master_PIC!$A$8:$A$73,$B386)=1,IF(VLOOKUP($B386,Master_PIC!$A$8:$G$73,2,FALSE)="","",VLOOKUP($B386,Master_PIC!$A$8:$G$73,2,FALSE)),"")</f>
        <v/>
      </c>
      <c r="D386" s="15" t="str">
        <f>IF(COUNTIFS(Master_PIC!$A$8:$A$73,$B386)=1,IF(VLOOKUP($B386,Master_PIC!$A$8:$G$73,4,FALSE)="","",VLOOKUP($B386,Master_PIC!$A$8:$G$73,4,FALSE)),"")</f>
        <v/>
      </c>
      <c r="E386" s="15" t="str">
        <f>IF(COUNTIFS(Master_PIC!$A$8:$A$73,$B386)=1,IF(VLOOKUP($B386,Master_PIC!$A$8:$G$73,5,FALSE)="","",VLOOKUP($B386,Master_PIC!$A$8:$G$73,5,FALSE)),"")</f>
        <v/>
      </c>
      <c r="F386" s="15" t="str">
        <f>IF(COUNTIFS(Master_PIC!$A$8:$A$73,$B386)=1,IF(VLOOKUP($B386,Master_PIC!$A$8:$G$73,6,FALSE)="","",VLOOKUP($B386,Master_PIC!$A$8:$G$73,6,FALSE)),"")</f>
        <v/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8"/>
      <c r="X386" s="5"/>
      <c r="Y386" s="5"/>
      <c r="Z386" s="9"/>
      <c r="AA386" s="5"/>
      <c r="AB386" s="5"/>
      <c r="AC386" s="9"/>
      <c r="AD386" s="5"/>
      <c r="AE386" s="7" t="str">
        <f t="shared" si="35"/>
        <v/>
      </c>
      <c r="AF386" s="7" t="str">
        <f t="shared" si="36"/>
        <v/>
      </c>
      <c r="AG386" s="7" t="str">
        <f t="shared" si="37"/>
        <v/>
      </c>
      <c r="AH386" s="7" t="str">
        <f t="shared" si="38"/>
        <v/>
      </c>
      <c r="AI386" s="7" t="str">
        <f t="shared" si="39"/>
        <v/>
      </c>
      <c r="AJ386" s="7" t="str">
        <f t="shared" si="40"/>
        <v/>
      </c>
      <c r="AK386" s="10" t="str">
        <f t="shared" si="41"/>
        <v/>
      </c>
      <c r="AL386" s="15" t="str">
        <f>IF(OR($A386&lt;&gt;"",$B386&lt;&gt;""),IF(OR($A386="",$B386=""),"Isi tanggal dan ID PIC",IF(NOT(ISNUMBER($A386)),"Tanggal harus berupa tanggal Excel",IF(COUNTIFS(Master_PIC!$A$8:$A$73,$B386)&lt;&gt;1,"ID PIC tidak unik/terdaftar",IF(VLOOKUP($B386,Master_PIC!$A$8:$G$73,3,FALSE)&lt;&gt;"ASM","Jabatan tidak sesuai sheet",IF(OR($C386="",$D386="",$E386="",$F386=""),"Lengkapi master PIC",IF(COUNTIFS($A$8:$A$507,$A386,$B$8:$B$507,$B386)&gt;1,"Laporan ganda",IF(COUNTIFS(G386:O386,"Tidak Berlaku")&gt;0,"N/A hanya untuk kegiatan bersyarat",IF(SUM(AF386,AG386,AH386,AI386,AJ386)&lt;&gt;13,"Status kegiatan tidak valid",IF(AJ386&gt;0,"Lengkapi status kegiatan",IF(AND(AI386&gt;0,T386=""),"Isi alasan Tidak Berlaku",IF(AND(SUM(AG386,AH386)&gt;0,OR(T386="",U386="",V386="",W386="")),"Isi kendala dan tindak lanjut",IF(AND(Y386&lt;&gt;"Draft",Y386&lt;&gt;"Dikirim"),"Isi status laporan yang valid",IF(AND(AA386&lt;&gt;"",AA386&lt;&gt;"Belum Diperiksa",AA386&lt;&gt;"Disetujui",AA386&lt;&gt;"Perlu Perbaikan"),"Hasil review tidak valid",IF(AND(Y386="Dikirim",OR(X386="",Z386="")),"Isi bukti dan waktu kirim",IF(AND(AA386="Disetujui",OR(Y386&lt;&gt;"Dikirim",AB386="",AC386="")),"Lengkapi pemeriksaan",IF(AND(AA386="Perlu Perbaikan",OR(AD386="",AB386="",AC386="")),"Isi pemeriksa dan catatan perbaikan","OK")))))))))))))))),"")</f>
        <v/>
      </c>
    </row>
    <row r="387" spans="1:38" ht="24.95" customHeight="1">
      <c r="A387" s="8"/>
      <c r="B387" s="6"/>
      <c r="C387" s="15" t="str">
        <f>IF(COUNTIFS(Master_PIC!$A$8:$A$73,$B387)=1,IF(VLOOKUP($B387,Master_PIC!$A$8:$G$73,2,FALSE)="","",VLOOKUP($B387,Master_PIC!$A$8:$G$73,2,FALSE)),"")</f>
        <v/>
      </c>
      <c r="D387" s="15" t="str">
        <f>IF(COUNTIFS(Master_PIC!$A$8:$A$73,$B387)=1,IF(VLOOKUP($B387,Master_PIC!$A$8:$G$73,4,FALSE)="","",VLOOKUP($B387,Master_PIC!$A$8:$G$73,4,FALSE)),"")</f>
        <v/>
      </c>
      <c r="E387" s="15" t="str">
        <f>IF(COUNTIFS(Master_PIC!$A$8:$A$73,$B387)=1,IF(VLOOKUP($B387,Master_PIC!$A$8:$G$73,5,FALSE)="","",VLOOKUP($B387,Master_PIC!$A$8:$G$73,5,FALSE)),"")</f>
        <v/>
      </c>
      <c r="F387" s="15" t="str">
        <f>IF(COUNTIFS(Master_PIC!$A$8:$A$73,$B387)=1,IF(VLOOKUP($B387,Master_PIC!$A$8:$G$73,6,FALSE)="","",VLOOKUP($B387,Master_PIC!$A$8:$G$73,6,FALSE)),"")</f>
        <v/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8"/>
      <c r="X387" s="5"/>
      <c r="Y387" s="5"/>
      <c r="Z387" s="9"/>
      <c r="AA387" s="5"/>
      <c r="AB387" s="5"/>
      <c r="AC387" s="9"/>
      <c r="AD387" s="5"/>
      <c r="AE387" s="7" t="str">
        <f t="shared" si="35"/>
        <v/>
      </c>
      <c r="AF387" s="7" t="str">
        <f t="shared" si="36"/>
        <v/>
      </c>
      <c r="AG387" s="7" t="str">
        <f t="shared" si="37"/>
        <v/>
      </c>
      <c r="AH387" s="7" t="str">
        <f t="shared" si="38"/>
        <v/>
      </c>
      <c r="AI387" s="7" t="str">
        <f t="shared" si="39"/>
        <v/>
      </c>
      <c r="AJ387" s="7" t="str">
        <f t="shared" si="40"/>
        <v/>
      </c>
      <c r="AK387" s="10" t="str">
        <f t="shared" si="41"/>
        <v/>
      </c>
      <c r="AL387" s="15" t="str">
        <f>IF(OR($A387&lt;&gt;"",$B387&lt;&gt;""),IF(OR($A387="",$B387=""),"Isi tanggal dan ID PIC",IF(NOT(ISNUMBER($A387)),"Tanggal harus berupa tanggal Excel",IF(COUNTIFS(Master_PIC!$A$8:$A$73,$B387)&lt;&gt;1,"ID PIC tidak unik/terdaftar",IF(VLOOKUP($B387,Master_PIC!$A$8:$G$73,3,FALSE)&lt;&gt;"ASM","Jabatan tidak sesuai sheet",IF(OR($C387="",$D387="",$E387="",$F387=""),"Lengkapi master PIC",IF(COUNTIFS($A$8:$A$507,$A387,$B$8:$B$507,$B387)&gt;1,"Laporan ganda",IF(COUNTIFS(G387:O387,"Tidak Berlaku")&gt;0,"N/A hanya untuk kegiatan bersyarat",IF(SUM(AF387,AG387,AH387,AI387,AJ387)&lt;&gt;13,"Status kegiatan tidak valid",IF(AJ387&gt;0,"Lengkapi status kegiatan",IF(AND(AI387&gt;0,T387=""),"Isi alasan Tidak Berlaku",IF(AND(SUM(AG387,AH387)&gt;0,OR(T387="",U387="",V387="",W387="")),"Isi kendala dan tindak lanjut",IF(AND(Y387&lt;&gt;"Draft",Y387&lt;&gt;"Dikirim"),"Isi status laporan yang valid",IF(AND(AA387&lt;&gt;"",AA387&lt;&gt;"Belum Diperiksa",AA387&lt;&gt;"Disetujui",AA387&lt;&gt;"Perlu Perbaikan"),"Hasil review tidak valid",IF(AND(Y387="Dikirim",OR(X387="",Z387="")),"Isi bukti dan waktu kirim",IF(AND(AA387="Disetujui",OR(Y387&lt;&gt;"Dikirim",AB387="",AC387="")),"Lengkapi pemeriksaan",IF(AND(AA387="Perlu Perbaikan",OR(AD387="",AB387="",AC387="")),"Isi pemeriksa dan catatan perbaikan","OK")))))))))))))))),"")</f>
        <v/>
      </c>
    </row>
    <row r="388" spans="1:38" ht="24.95" customHeight="1">
      <c r="A388" s="8"/>
      <c r="B388" s="6"/>
      <c r="C388" s="15" t="str">
        <f>IF(COUNTIFS(Master_PIC!$A$8:$A$73,$B388)=1,IF(VLOOKUP($B388,Master_PIC!$A$8:$G$73,2,FALSE)="","",VLOOKUP($B388,Master_PIC!$A$8:$G$73,2,FALSE)),"")</f>
        <v/>
      </c>
      <c r="D388" s="15" t="str">
        <f>IF(COUNTIFS(Master_PIC!$A$8:$A$73,$B388)=1,IF(VLOOKUP($B388,Master_PIC!$A$8:$G$73,4,FALSE)="","",VLOOKUP($B388,Master_PIC!$A$8:$G$73,4,FALSE)),"")</f>
        <v/>
      </c>
      <c r="E388" s="15" t="str">
        <f>IF(COUNTIFS(Master_PIC!$A$8:$A$73,$B388)=1,IF(VLOOKUP($B388,Master_PIC!$A$8:$G$73,5,FALSE)="","",VLOOKUP($B388,Master_PIC!$A$8:$G$73,5,FALSE)),"")</f>
        <v/>
      </c>
      <c r="F388" s="15" t="str">
        <f>IF(COUNTIFS(Master_PIC!$A$8:$A$73,$B388)=1,IF(VLOOKUP($B388,Master_PIC!$A$8:$G$73,6,FALSE)="","",VLOOKUP($B388,Master_PIC!$A$8:$G$73,6,FALSE)),"")</f>
        <v/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8"/>
      <c r="X388" s="5"/>
      <c r="Y388" s="5"/>
      <c r="Z388" s="9"/>
      <c r="AA388" s="5"/>
      <c r="AB388" s="5"/>
      <c r="AC388" s="9"/>
      <c r="AD388" s="5"/>
      <c r="AE388" s="7" t="str">
        <f t="shared" si="35"/>
        <v/>
      </c>
      <c r="AF388" s="7" t="str">
        <f t="shared" si="36"/>
        <v/>
      </c>
      <c r="AG388" s="7" t="str">
        <f t="shared" si="37"/>
        <v/>
      </c>
      <c r="AH388" s="7" t="str">
        <f t="shared" si="38"/>
        <v/>
      </c>
      <c r="AI388" s="7" t="str">
        <f t="shared" si="39"/>
        <v/>
      </c>
      <c r="AJ388" s="7" t="str">
        <f t="shared" si="40"/>
        <v/>
      </c>
      <c r="AK388" s="10" t="str">
        <f t="shared" si="41"/>
        <v/>
      </c>
      <c r="AL388" s="15" t="str">
        <f>IF(OR($A388&lt;&gt;"",$B388&lt;&gt;""),IF(OR($A388="",$B388=""),"Isi tanggal dan ID PIC",IF(NOT(ISNUMBER($A388)),"Tanggal harus berupa tanggal Excel",IF(COUNTIFS(Master_PIC!$A$8:$A$73,$B388)&lt;&gt;1,"ID PIC tidak unik/terdaftar",IF(VLOOKUP($B388,Master_PIC!$A$8:$G$73,3,FALSE)&lt;&gt;"ASM","Jabatan tidak sesuai sheet",IF(OR($C388="",$D388="",$E388="",$F388=""),"Lengkapi master PIC",IF(COUNTIFS($A$8:$A$507,$A388,$B$8:$B$507,$B388)&gt;1,"Laporan ganda",IF(COUNTIFS(G388:O388,"Tidak Berlaku")&gt;0,"N/A hanya untuk kegiatan bersyarat",IF(SUM(AF388,AG388,AH388,AI388,AJ388)&lt;&gt;13,"Status kegiatan tidak valid",IF(AJ388&gt;0,"Lengkapi status kegiatan",IF(AND(AI388&gt;0,T388=""),"Isi alasan Tidak Berlaku",IF(AND(SUM(AG388,AH388)&gt;0,OR(T388="",U388="",V388="",W388="")),"Isi kendala dan tindak lanjut",IF(AND(Y388&lt;&gt;"Draft",Y388&lt;&gt;"Dikirim"),"Isi status laporan yang valid",IF(AND(AA388&lt;&gt;"",AA388&lt;&gt;"Belum Diperiksa",AA388&lt;&gt;"Disetujui",AA388&lt;&gt;"Perlu Perbaikan"),"Hasil review tidak valid",IF(AND(Y388="Dikirim",OR(X388="",Z388="")),"Isi bukti dan waktu kirim",IF(AND(AA388="Disetujui",OR(Y388&lt;&gt;"Dikirim",AB388="",AC388="")),"Lengkapi pemeriksaan",IF(AND(AA388="Perlu Perbaikan",OR(AD388="",AB388="",AC388="")),"Isi pemeriksa dan catatan perbaikan","OK")))))))))))))))),"")</f>
        <v/>
      </c>
    </row>
    <row r="389" spans="1:38" ht="24.95" customHeight="1">
      <c r="A389" s="8"/>
      <c r="B389" s="6"/>
      <c r="C389" s="15" t="str">
        <f>IF(COUNTIFS(Master_PIC!$A$8:$A$73,$B389)=1,IF(VLOOKUP($B389,Master_PIC!$A$8:$G$73,2,FALSE)="","",VLOOKUP($B389,Master_PIC!$A$8:$G$73,2,FALSE)),"")</f>
        <v/>
      </c>
      <c r="D389" s="15" t="str">
        <f>IF(COUNTIFS(Master_PIC!$A$8:$A$73,$B389)=1,IF(VLOOKUP($B389,Master_PIC!$A$8:$G$73,4,FALSE)="","",VLOOKUP($B389,Master_PIC!$A$8:$G$73,4,FALSE)),"")</f>
        <v/>
      </c>
      <c r="E389" s="15" t="str">
        <f>IF(COUNTIFS(Master_PIC!$A$8:$A$73,$B389)=1,IF(VLOOKUP($B389,Master_PIC!$A$8:$G$73,5,FALSE)="","",VLOOKUP($B389,Master_PIC!$A$8:$G$73,5,FALSE)),"")</f>
        <v/>
      </c>
      <c r="F389" s="15" t="str">
        <f>IF(COUNTIFS(Master_PIC!$A$8:$A$73,$B389)=1,IF(VLOOKUP($B389,Master_PIC!$A$8:$G$73,6,FALSE)="","",VLOOKUP($B389,Master_PIC!$A$8:$G$73,6,FALSE)),"")</f>
        <v/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8"/>
      <c r="X389" s="5"/>
      <c r="Y389" s="5"/>
      <c r="Z389" s="9"/>
      <c r="AA389" s="5"/>
      <c r="AB389" s="5"/>
      <c r="AC389" s="9"/>
      <c r="AD389" s="5"/>
      <c r="AE389" s="7" t="str">
        <f t="shared" si="35"/>
        <v/>
      </c>
      <c r="AF389" s="7" t="str">
        <f t="shared" si="36"/>
        <v/>
      </c>
      <c r="AG389" s="7" t="str">
        <f t="shared" si="37"/>
        <v/>
      </c>
      <c r="AH389" s="7" t="str">
        <f t="shared" si="38"/>
        <v/>
      </c>
      <c r="AI389" s="7" t="str">
        <f t="shared" si="39"/>
        <v/>
      </c>
      <c r="AJ389" s="7" t="str">
        <f t="shared" si="40"/>
        <v/>
      </c>
      <c r="AK389" s="10" t="str">
        <f t="shared" si="41"/>
        <v/>
      </c>
      <c r="AL389" s="15" t="str">
        <f>IF(OR($A389&lt;&gt;"",$B389&lt;&gt;""),IF(OR($A389="",$B389=""),"Isi tanggal dan ID PIC",IF(NOT(ISNUMBER($A389)),"Tanggal harus berupa tanggal Excel",IF(COUNTIFS(Master_PIC!$A$8:$A$73,$B389)&lt;&gt;1,"ID PIC tidak unik/terdaftar",IF(VLOOKUP($B389,Master_PIC!$A$8:$G$73,3,FALSE)&lt;&gt;"ASM","Jabatan tidak sesuai sheet",IF(OR($C389="",$D389="",$E389="",$F389=""),"Lengkapi master PIC",IF(COUNTIFS($A$8:$A$507,$A389,$B$8:$B$507,$B389)&gt;1,"Laporan ganda",IF(COUNTIFS(G389:O389,"Tidak Berlaku")&gt;0,"N/A hanya untuk kegiatan bersyarat",IF(SUM(AF389,AG389,AH389,AI389,AJ389)&lt;&gt;13,"Status kegiatan tidak valid",IF(AJ389&gt;0,"Lengkapi status kegiatan",IF(AND(AI389&gt;0,T389=""),"Isi alasan Tidak Berlaku",IF(AND(SUM(AG389,AH389)&gt;0,OR(T389="",U389="",V389="",W389="")),"Isi kendala dan tindak lanjut",IF(AND(Y389&lt;&gt;"Draft",Y389&lt;&gt;"Dikirim"),"Isi status laporan yang valid",IF(AND(AA389&lt;&gt;"",AA389&lt;&gt;"Belum Diperiksa",AA389&lt;&gt;"Disetujui",AA389&lt;&gt;"Perlu Perbaikan"),"Hasil review tidak valid",IF(AND(Y389="Dikirim",OR(X389="",Z389="")),"Isi bukti dan waktu kirim",IF(AND(AA389="Disetujui",OR(Y389&lt;&gt;"Dikirim",AB389="",AC389="")),"Lengkapi pemeriksaan",IF(AND(AA389="Perlu Perbaikan",OR(AD389="",AB389="",AC389="")),"Isi pemeriksa dan catatan perbaikan","OK")))))))))))))))),"")</f>
        <v/>
      </c>
    </row>
    <row r="390" spans="1:38" ht="24.95" customHeight="1">
      <c r="A390" s="8"/>
      <c r="B390" s="6"/>
      <c r="C390" s="15" t="str">
        <f>IF(COUNTIFS(Master_PIC!$A$8:$A$73,$B390)=1,IF(VLOOKUP($B390,Master_PIC!$A$8:$G$73,2,FALSE)="","",VLOOKUP($B390,Master_PIC!$A$8:$G$73,2,FALSE)),"")</f>
        <v/>
      </c>
      <c r="D390" s="15" t="str">
        <f>IF(COUNTIFS(Master_PIC!$A$8:$A$73,$B390)=1,IF(VLOOKUP($B390,Master_PIC!$A$8:$G$73,4,FALSE)="","",VLOOKUP($B390,Master_PIC!$A$8:$G$73,4,FALSE)),"")</f>
        <v/>
      </c>
      <c r="E390" s="15" t="str">
        <f>IF(COUNTIFS(Master_PIC!$A$8:$A$73,$B390)=1,IF(VLOOKUP($B390,Master_PIC!$A$8:$G$73,5,FALSE)="","",VLOOKUP($B390,Master_PIC!$A$8:$G$73,5,FALSE)),"")</f>
        <v/>
      </c>
      <c r="F390" s="15" t="str">
        <f>IF(COUNTIFS(Master_PIC!$A$8:$A$73,$B390)=1,IF(VLOOKUP($B390,Master_PIC!$A$8:$G$73,6,FALSE)="","",VLOOKUP($B390,Master_PIC!$A$8:$G$73,6,FALSE)),"")</f>
        <v/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8"/>
      <c r="X390" s="5"/>
      <c r="Y390" s="5"/>
      <c r="Z390" s="9"/>
      <c r="AA390" s="5"/>
      <c r="AB390" s="5"/>
      <c r="AC390" s="9"/>
      <c r="AD390" s="5"/>
      <c r="AE390" s="7" t="str">
        <f t="shared" si="35"/>
        <v/>
      </c>
      <c r="AF390" s="7" t="str">
        <f t="shared" si="36"/>
        <v/>
      </c>
      <c r="AG390" s="7" t="str">
        <f t="shared" si="37"/>
        <v/>
      </c>
      <c r="AH390" s="7" t="str">
        <f t="shared" si="38"/>
        <v/>
      </c>
      <c r="AI390" s="7" t="str">
        <f t="shared" si="39"/>
        <v/>
      </c>
      <c r="AJ390" s="7" t="str">
        <f t="shared" si="40"/>
        <v/>
      </c>
      <c r="AK390" s="10" t="str">
        <f t="shared" si="41"/>
        <v/>
      </c>
      <c r="AL390" s="15" t="str">
        <f>IF(OR($A390&lt;&gt;"",$B390&lt;&gt;""),IF(OR($A390="",$B390=""),"Isi tanggal dan ID PIC",IF(NOT(ISNUMBER($A390)),"Tanggal harus berupa tanggal Excel",IF(COUNTIFS(Master_PIC!$A$8:$A$73,$B390)&lt;&gt;1,"ID PIC tidak unik/terdaftar",IF(VLOOKUP($B390,Master_PIC!$A$8:$G$73,3,FALSE)&lt;&gt;"ASM","Jabatan tidak sesuai sheet",IF(OR($C390="",$D390="",$E390="",$F390=""),"Lengkapi master PIC",IF(COUNTIFS($A$8:$A$507,$A390,$B$8:$B$507,$B390)&gt;1,"Laporan ganda",IF(COUNTIFS(G390:O390,"Tidak Berlaku")&gt;0,"N/A hanya untuk kegiatan bersyarat",IF(SUM(AF390,AG390,AH390,AI390,AJ390)&lt;&gt;13,"Status kegiatan tidak valid",IF(AJ390&gt;0,"Lengkapi status kegiatan",IF(AND(AI390&gt;0,T390=""),"Isi alasan Tidak Berlaku",IF(AND(SUM(AG390,AH390)&gt;0,OR(T390="",U390="",V390="",W390="")),"Isi kendala dan tindak lanjut",IF(AND(Y390&lt;&gt;"Draft",Y390&lt;&gt;"Dikirim"),"Isi status laporan yang valid",IF(AND(AA390&lt;&gt;"",AA390&lt;&gt;"Belum Diperiksa",AA390&lt;&gt;"Disetujui",AA390&lt;&gt;"Perlu Perbaikan"),"Hasil review tidak valid",IF(AND(Y390="Dikirim",OR(X390="",Z390="")),"Isi bukti dan waktu kirim",IF(AND(AA390="Disetujui",OR(Y390&lt;&gt;"Dikirim",AB390="",AC390="")),"Lengkapi pemeriksaan",IF(AND(AA390="Perlu Perbaikan",OR(AD390="",AB390="",AC390="")),"Isi pemeriksa dan catatan perbaikan","OK")))))))))))))))),"")</f>
        <v/>
      </c>
    </row>
    <row r="391" spans="1:38" ht="24.95" customHeight="1">
      <c r="A391" s="8"/>
      <c r="B391" s="6"/>
      <c r="C391" s="15" t="str">
        <f>IF(COUNTIFS(Master_PIC!$A$8:$A$73,$B391)=1,IF(VLOOKUP($B391,Master_PIC!$A$8:$G$73,2,FALSE)="","",VLOOKUP($B391,Master_PIC!$A$8:$G$73,2,FALSE)),"")</f>
        <v/>
      </c>
      <c r="D391" s="15" t="str">
        <f>IF(COUNTIFS(Master_PIC!$A$8:$A$73,$B391)=1,IF(VLOOKUP($B391,Master_PIC!$A$8:$G$73,4,FALSE)="","",VLOOKUP($B391,Master_PIC!$A$8:$G$73,4,FALSE)),"")</f>
        <v/>
      </c>
      <c r="E391" s="15" t="str">
        <f>IF(COUNTIFS(Master_PIC!$A$8:$A$73,$B391)=1,IF(VLOOKUP($B391,Master_PIC!$A$8:$G$73,5,FALSE)="","",VLOOKUP($B391,Master_PIC!$A$8:$G$73,5,FALSE)),"")</f>
        <v/>
      </c>
      <c r="F391" s="15" t="str">
        <f>IF(COUNTIFS(Master_PIC!$A$8:$A$73,$B391)=1,IF(VLOOKUP($B391,Master_PIC!$A$8:$G$73,6,FALSE)="","",VLOOKUP($B391,Master_PIC!$A$8:$G$73,6,FALSE)),"")</f>
        <v/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8"/>
      <c r="X391" s="5"/>
      <c r="Y391" s="5"/>
      <c r="Z391" s="9"/>
      <c r="AA391" s="5"/>
      <c r="AB391" s="5"/>
      <c r="AC391" s="9"/>
      <c r="AD391" s="5"/>
      <c r="AE391" s="7" t="str">
        <f t="shared" si="35"/>
        <v/>
      </c>
      <c r="AF391" s="7" t="str">
        <f t="shared" si="36"/>
        <v/>
      </c>
      <c r="AG391" s="7" t="str">
        <f t="shared" si="37"/>
        <v/>
      </c>
      <c r="AH391" s="7" t="str">
        <f t="shared" si="38"/>
        <v/>
      </c>
      <c r="AI391" s="7" t="str">
        <f t="shared" si="39"/>
        <v/>
      </c>
      <c r="AJ391" s="7" t="str">
        <f t="shared" si="40"/>
        <v/>
      </c>
      <c r="AK391" s="10" t="str">
        <f t="shared" si="41"/>
        <v/>
      </c>
      <c r="AL391" s="15" t="str">
        <f>IF(OR($A391&lt;&gt;"",$B391&lt;&gt;""),IF(OR($A391="",$B391=""),"Isi tanggal dan ID PIC",IF(NOT(ISNUMBER($A391)),"Tanggal harus berupa tanggal Excel",IF(COUNTIFS(Master_PIC!$A$8:$A$73,$B391)&lt;&gt;1,"ID PIC tidak unik/terdaftar",IF(VLOOKUP($B391,Master_PIC!$A$8:$G$73,3,FALSE)&lt;&gt;"ASM","Jabatan tidak sesuai sheet",IF(OR($C391="",$D391="",$E391="",$F391=""),"Lengkapi master PIC",IF(COUNTIFS($A$8:$A$507,$A391,$B$8:$B$507,$B391)&gt;1,"Laporan ganda",IF(COUNTIFS(G391:O391,"Tidak Berlaku")&gt;0,"N/A hanya untuk kegiatan bersyarat",IF(SUM(AF391,AG391,AH391,AI391,AJ391)&lt;&gt;13,"Status kegiatan tidak valid",IF(AJ391&gt;0,"Lengkapi status kegiatan",IF(AND(AI391&gt;0,T391=""),"Isi alasan Tidak Berlaku",IF(AND(SUM(AG391,AH391)&gt;0,OR(T391="",U391="",V391="",W391="")),"Isi kendala dan tindak lanjut",IF(AND(Y391&lt;&gt;"Draft",Y391&lt;&gt;"Dikirim"),"Isi status laporan yang valid",IF(AND(AA391&lt;&gt;"",AA391&lt;&gt;"Belum Diperiksa",AA391&lt;&gt;"Disetujui",AA391&lt;&gt;"Perlu Perbaikan"),"Hasil review tidak valid",IF(AND(Y391="Dikirim",OR(X391="",Z391="")),"Isi bukti dan waktu kirim",IF(AND(AA391="Disetujui",OR(Y391&lt;&gt;"Dikirim",AB391="",AC391="")),"Lengkapi pemeriksaan",IF(AND(AA391="Perlu Perbaikan",OR(AD391="",AB391="",AC391="")),"Isi pemeriksa dan catatan perbaikan","OK")))))))))))))))),"")</f>
        <v/>
      </c>
    </row>
    <row r="392" spans="1:38" ht="24.95" customHeight="1">
      <c r="A392" s="8"/>
      <c r="B392" s="6"/>
      <c r="C392" s="15" t="str">
        <f>IF(COUNTIFS(Master_PIC!$A$8:$A$73,$B392)=1,IF(VLOOKUP($B392,Master_PIC!$A$8:$G$73,2,FALSE)="","",VLOOKUP($B392,Master_PIC!$A$8:$G$73,2,FALSE)),"")</f>
        <v/>
      </c>
      <c r="D392" s="15" t="str">
        <f>IF(COUNTIFS(Master_PIC!$A$8:$A$73,$B392)=1,IF(VLOOKUP($B392,Master_PIC!$A$8:$G$73,4,FALSE)="","",VLOOKUP($B392,Master_PIC!$A$8:$G$73,4,FALSE)),"")</f>
        <v/>
      </c>
      <c r="E392" s="15" t="str">
        <f>IF(COUNTIFS(Master_PIC!$A$8:$A$73,$B392)=1,IF(VLOOKUP($B392,Master_PIC!$A$8:$G$73,5,FALSE)="","",VLOOKUP($B392,Master_PIC!$A$8:$G$73,5,FALSE)),"")</f>
        <v/>
      </c>
      <c r="F392" s="15" t="str">
        <f>IF(COUNTIFS(Master_PIC!$A$8:$A$73,$B392)=1,IF(VLOOKUP($B392,Master_PIC!$A$8:$G$73,6,FALSE)="","",VLOOKUP($B392,Master_PIC!$A$8:$G$73,6,FALSE)),"")</f>
        <v/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8"/>
      <c r="X392" s="5"/>
      <c r="Y392" s="5"/>
      <c r="Z392" s="9"/>
      <c r="AA392" s="5"/>
      <c r="AB392" s="5"/>
      <c r="AC392" s="9"/>
      <c r="AD392" s="5"/>
      <c r="AE392" s="7" t="str">
        <f t="shared" ref="AE392:AE455" si="42">IF(OR($A392&lt;&gt;"",$B392&lt;&gt;""),13-AI392,"")</f>
        <v/>
      </c>
      <c r="AF392" s="7" t="str">
        <f t="shared" ref="AF392:AF455" si="43">IF(OR($A392&lt;&gt;"",$B392&lt;&gt;""),COUNTIFS(G392:S392,"Selesai"),"")</f>
        <v/>
      </c>
      <c r="AG392" s="7" t="str">
        <f t="shared" ref="AG392:AG455" si="44">IF(OR($A392&lt;&gt;"",$B392&lt;&gt;""),COUNTIFS(G392:S392,"Proses"),"")</f>
        <v/>
      </c>
      <c r="AH392" s="7" t="str">
        <f t="shared" ref="AH392:AH455" si="45">IF(OR($A392&lt;&gt;"",$B392&lt;&gt;""),COUNTIFS(G392:S392,"Belum"),"")</f>
        <v/>
      </c>
      <c r="AI392" s="7" t="str">
        <f t="shared" ref="AI392:AI455" si="46">IF(OR($A392&lt;&gt;"",$B392&lt;&gt;""),COUNTIFS(G392:S392,"Tidak Berlaku"),"")</f>
        <v/>
      </c>
      <c r="AJ392" s="7" t="str">
        <f t="shared" ref="AJ392:AJ455" si="47">IF(OR($A392&lt;&gt;"",$B392&lt;&gt;""),COUNTBLANK(G392:S392),"")</f>
        <v/>
      </c>
      <c r="AK392" s="10" t="str">
        <f t="shared" ref="AK392:AK455" si="48">IF(OR($A392&lt;&gt;"",$B392&lt;&gt;""),IF(AE392=0,"n.a.",AF392/AE392),"")</f>
        <v/>
      </c>
      <c r="AL392" s="15" t="str">
        <f>IF(OR($A392&lt;&gt;"",$B392&lt;&gt;""),IF(OR($A392="",$B392=""),"Isi tanggal dan ID PIC",IF(NOT(ISNUMBER($A392)),"Tanggal harus berupa tanggal Excel",IF(COUNTIFS(Master_PIC!$A$8:$A$73,$B392)&lt;&gt;1,"ID PIC tidak unik/terdaftar",IF(VLOOKUP($B392,Master_PIC!$A$8:$G$73,3,FALSE)&lt;&gt;"ASM","Jabatan tidak sesuai sheet",IF(OR($C392="",$D392="",$E392="",$F392=""),"Lengkapi master PIC",IF(COUNTIFS($A$8:$A$507,$A392,$B$8:$B$507,$B392)&gt;1,"Laporan ganda",IF(COUNTIFS(G392:O392,"Tidak Berlaku")&gt;0,"N/A hanya untuk kegiatan bersyarat",IF(SUM(AF392,AG392,AH392,AI392,AJ392)&lt;&gt;13,"Status kegiatan tidak valid",IF(AJ392&gt;0,"Lengkapi status kegiatan",IF(AND(AI392&gt;0,T392=""),"Isi alasan Tidak Berlaku",IF(AND(SUM(AG392,AH392)&gt;0,OR(T392="",U392="",V392="",W392="")),"Isi kendala dan tindak lanjut",IF(AND(Y392&lt;&gt;"Draft",Y392&lt;&gt;"Dikirim"),"Isi status laporan yang valid",IF(AND(AA392&lt;&gt;"",AA392&lt;&gt;"Belum Diperiksa",AA392&lt;&gt;"Disetujui",AA392&lt;&gt;"Perlu Perbaikan"),"Hasil review tidak valid",IF(AND(Y392="Dikirim",OR(X392="",Z392="")),"Isi bukti dan waktu kirim",IF(AND(AA392="Disetujui",OR(Y392&lt;&gt;"Dikirim",AB392="",AC392="")),"Lengkapi pemeriksaan",IF(AND(AA392="Perlu Perbaikan",OR(AD392="",AB392="",AC392="")),"Isi pemeriksa dan catatan perbaikan","OK")))))))))))))))),"")</f>
        <v/>
      </c>
    </row>
    <row r="393" spans="1:38" ht="24.95" customHeight="1">
      <c r="A393" s="8"/>
      <c r="B393" s="6"/>
      <c r="C393" s="15" t="str">
        <f>IF(COUNTIFS(Master_PIC!$A$8:$A$73,$B393)=1,IF(VLOOKUP($B393,Master_PIC!$A$8:$G$73,2,FALSE)="","",VLOOKUP($B393,Master_PIC!$A$8:$G$73,2,FALSE)),"")</f>
        <v/>
      </c>
      <c r="D393" s="15" t="str">
        <f>IF(COUNTIFS(Master_PIC!$A$8:$A$73,$B393)=1,IF(VLOOKUP($B393,Master_PIC!$A$8:$G$73,4,FALSE)="","",VLOOKUP($B393,Master_PIC!$A$8:$G$73,4,FALSE)),"")</f>
        <v/>
      </c>
      <c r="E393" s="15" t="str">
        <f>IF(COUNTIFS(Master_PIC!$A$8:$A$73,$B393)=1,IF(VLOOKUP($B393,Master_PIC!$A$8:$G$73,5,FALSE)="","",VLOOKUP($B393,Master_PIC!$A$8:$G$73,5,FALSE)),"")</f>
        <v/>
      </c>
      <c r="F393" s="15" t="str">
        <f>IF(COUNTIFS(Master_PIC!$A$8:$A$73,$B393)=1,IF(VLOOKUP($B393,Master_PIC!$A$8:$G$73,6,FALSE)="","",VLOOKUP($B393,Master_PIC!$A$8:$G$73,6,FALSE)),"")</f>
        <v/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8"/>
      <c r="X393" s="5"/>
      <c r="Y393" s="5"/>
      <c r="Z393" s="9"/>
      <c r="AA393" s="5"/>
      <c r="AB393" s="5"/>
      <c r="AC393" s="9"/>
      <c r="AD393" s="5"/>
      <c r="AE393" s="7" t="str">
        <f t="shared" si="42"/>
        <v/>
      </c>
      <c r="AF393" s="7" t="str">
        <f t="shared" si="43"/>
        <v/>
      </c>
      <c r="AG393" s="7" t="str">
        <f t="shared" si="44"/>
        <v/>
      </c>
      <c r="AH393" s="7" t="str">
        <f t="shared" si="45"/>
        <v/>
      </c>
      <c r="AI393" s="7" t="str">
        <f t="shared" si="46"/>
        <v/>
      </c>
      <c r="AJ393" s="7" t="str">
        <f t="shared" si="47"/>
        <v/>
      </c>
      <c r="AK393" s="10" t="str">
        <f t="shared" si="48"/>
        <v/>
      </c>
      <c r="AL393" s="15" t="str">
        <f>IF(OR($A393&lt;&gt;"",$B393&lt;&gt;""),IF(OR($A393="",$B393=""),"Isi tanggal dan ID PIC",IF(NOT(ISNUMBER($A393)),"Tanggal harus berupa tanggal Excel",IF(COUNTIFS(Master_PIC!$A$8:$A$73,$B393)&lt;&gt;1,"ID PIC tidak unik/terdaftar",IF(VLOOKUP($B393,Master_PIC!$A$8:$G$73,3,FALSE)&lt;&gt;"ASM","Jabatan tidak sesuai sheet",IF(OR($C393="",$D393="",$E393="",$F393=""),"Lengkapi master PIC",IF(COUNTIFS($A$8:$A$507,$A393,$B$8:$B$507,$B393)&gt;1,"Laporan ganda",IF(COUNTIFS(G393:O393,"Tidak Berlaku")&gt;0,"N/A hanya untuk kegiatan bersyarat",IF(SUM(AF393,AG393,AH393,AI393,AJ393)&lt;&gt;13,"Status kegiatan tidak valid",IF(AJ393&gt;0,"Lengkapi status kegiatan",IF(AND(AI393&gt;0,T393=""),"Isi alasan Tidak Berlaku",IF(AND(SUM(AG393,AH393)&gt;0,OR(T393="",U393="",V393="",W393="")),"Isi kendala dan tindak lanjut",IF(AND(Y393&lt;&gt;"Draft",Y393&lt;&gt;"Dikirim"),"Isi status laporan yang valid",IF(AND(AA393&lt;&gt;"",AA393&lt;&gt;"Belum Diperiksa",AA393&lt;&gt;"Disetujui",AA393&lt;&gt;"Perlu Perbaikan"),"Hasil review tidak valid",IF(AND(Y393="Dikirim",OR(X393="",Z393="")),"Isi bukti dan waktu kirim",IF(AND(AA393="Disetujui",OR(Y393&lt;&gt;"Dikirim",AB393="",AC393="")),"Lengkapi pemeriksaan",IF(AND(AA393="Perlu Perbaikan",OR(AD393="",AB393="",AC393="")),"Isi pemeriksa dan catatan perbaikan","OK")))))))))))))))),"")</f>
        <v/>
      </c>
    </row>
    <row r="394" spans="1:38" ht="24.95" customHeight="1">
      <c r="A394" s="8"/>
      <c r="B394" s="6"/>
      <c r="C394" s="15" t="str">
        <f>IF(COUNTIFS(Master_PIC!$A$8:$A$73,$B394)=1,IF(VLOOKUP($B394,Master_PIC!$A$8:$G$73,2,FALSE)="","",VLOOKUP($B394,Master_PIC!$A$8:$G$73,2,FALSE)),"")</f>
        <v/>
      </c>
      <c r="D394" s="15" t="str">
        <f>IF(COUNTIFS(Master_PIC!$A$8:$A$73,$B394)=1,IF(VLOOKUP($B394,Master_PIC!$A$8:$G$73,4,FALSE)="","",VLOOKUP($B394,Master_PIC!$A$8:$G$73,4,FALSE)),"")</f>
        <v/>
      </c>
      <c r="E394" s="15" t="str">
        <f>IF(COUNTIFS(Master_PIC!$A$8:$A$73,$B394)=1,IF(VLOOKUP($B394,Master_PIC!$A$8:$G$73,5,FALSE)="","",VLOOKUP($B394,Master_PIC!$A$8:$G$73,5,FALSE)),"")</f>
        <v/>
      </c>
      <c r="F394" s="15" t="str">
        <f>IF(COUNTIFS(Master_PIC!$A$8:$A$73,$B394)=1,IF(VLOOKUP($B394,Master_PIC!$A$8:$G$73,6,FALSE)="","",VLOOKUP($B394,Master_PIC!$A$8:$G$73,6,FALSE)),"")</f>
        <v/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8"/>
      <c r="X394" s="5"/>
      <c r="Y394" s="5"/>
      <c r="Z394" s="9"/>
      <c r="AA394" s="5"/>
      <c r="AB394" s="5"/>
      <c r="AC394" s="9"/>
      <c r="AD394" s="5"/>
      <c r="AE394" s="7" t="str">
        <f t="shared" si="42"/>
        <v/>
      </c>
      <c r="AF394" s="7" t="str">
        <f t="shared" si="43"/>
        <v/>
      </c>
      <c r="AG394" s="7" t="str">
        <f t="shared" si="44"/>
        <v/>
      </c>
      <c r="AH394" s="7" t="str">
        <f t="shared" si="45"/>
        <v/>
      </c>
      <c r="AI394" s="7" t="str">
        <f t="shared" si="46"/>
        <v/>
      </c>
      <c r="AJ394" s="7" t="str">
        <f t="shared" si="47"/>
        <v/>
      </c>
      <c r="AK394" s="10" t="str">
        <f t="shared" si="48"/>
        <v/>
      </c>
      <c r="AL394" s="15" t="str">
        <f>IF(OR($A394&lt;&gt;"",$B394&lt;&gt;""),IF(OR($A394="",$B394=""),"Isi tanggal dan ID PIC",IF(NOT(ISNUMBER($A394)),"Tanggal harus berupa tanggal Excel",IF(COUNTIFS(Master_PIC!$A$8:$A$73,$B394)&lt;&gt;1,"ID PIC tidak unik/terdaftar",IF(VLOOKUP($B394,Master_PIC!$A$8:$G$73,3,FALSE)&lt;&gt;"ASM","Jabatan tidak sesuai sheet",IF(OR($C394="",$D394="",$E394="",$F394=""),"Lengkapi master PIC",IF(COUNTIFS($A$8:$A$507,$A394,$B$8:$B$507,$B394)&gt;1,"Laporan ganda",IF(COUNTIFS(G394:O394,"Tidak Berlaku")&gt;0,"N/A hanya untuk kegiatan bersyarat",IF(SUM(AF394,AG394,AH394,AI394,AJ394)&lt;&gt;13,"Status kegiatan tidak valid",IF(AJ394&gt;0,"Lengkapi status kegiatan",IF(AND(AI394&gt;0,T394=""),"Isi alasan Tidak Berlaku",IF(AND(SUM(AG394,AH394)&gt;0,OR(T394="",U394="",V394="",W394="")),"Isi kendala dan tindak lanjut",IF(AND(Y394&lt;&gt;"Draft",Y394&lt;&gt;"Dikirim"),"Isi status laporan yang valid",IF(AND(AA394&lt;&gt;"",AA394&lt;&gt;"Belum Diperiksa",AA394&lt;&gt;"Disetujui",AA394&lt;&gt;"Perlu Perbaikan"),"Hasil review tidak valid",IF(AND(Y394="Dikirim",OR(X394="",Z394="")),"Isi bukti dan waktu kirim",IF(AND(AA394="Disetujui",OR(Y394&lt;&gt;"Dikirim",AB394="",AC394="")),"Lengkapi pemeriksaan",IF(AND(AA394="Perlu Perbaikan",OR(AD394="",AB394="",AC394="")),"Isi pemeriksa dan catatan perbaikan","OK")))))))))))))))),"")</f>
        <v/>
      </c>
    </row>
    <row r="395" spans="1:38" ht="24.95" customHeight="1">
      <c r="A395" s="8"/>
      <c r="B395" s="6"/>
      <c r="C395" s="15" t="str">
        <f>IF(COUNTIFS(Master_PIC!$A$8:$A$73,$B395)=1,IF(VLOOKUP($B395,Master_PIC!$A$8:$G$73,2,FALSE)="","",VLOOKUP($B395,Master_PIC!$A$8:$G$73,2,FALSE)),"")</f>
        <v/>
      </c>
      <c r="D395" s="15" t="str">
        <f>IF(COUNTIFS(Master_PIC!$A$8:$A$73,$B395)=1,IF(VLOOKUP($B395,Master_PIC!$A$8:$G$73,4,FALSE)="","",VLOOKUP($B395,Master_PIC!$A$8:$G$73,4,FALSE)),"")</f>
        <v/>
      </c>
      <c r="E395" s="15" t="str">
        <f>IF(COUNTIFS(Master_PIC!$A$8:$A$73,$B395)=1,IF(VLOOKUP($B395,Master_PIC!$A$8:$G$73,5,FALSE)="","",VLOOKUP($B395,Master_PIC!$A$8:$G$73,5,FALSE)),"")</f>
        <v/>
      </c>
      <c r="F395" s="15" t="str">
        <f>IF(COUNTIFS(Master_PIC!$A$8:$A$73,$B395)=1,IF(VLOOKUP($B395,Master_PIC!$A$8:$G$73,6,FALSE)="","",VLOOKUP($B395,Master_PIC!$A$8:$G$73,6,FALSE)),"")</f>
        <v/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8"/>
      <c r="X395" s="5"/>
      <c r="Y395" s="5"/>
      <c r="Z395" s="9"/>
      <c r="AA395" s="5"/>
      <c r="AB395" s="5"/>
      <c r="AC395" s="9"/>
      <c r="AD395" s="5"/>
      <c r="AE395" s="7" t="str">
        <f t="shared" si="42"/>
        <v/>
      </c>
      <c r="AF395" s="7" t="str">
        <f t="shared" si="43"/>
        <v/>
      </c>
      <c r="AG395" s="7" t="str">
        <f t="shared" si="44"/>
        <v/>
      </c>
      <c r="AH395" s="7" t="str">
        <f t="shared" si="45"/>
        <v/>
      </c>
      <c r="AI395" s="7" t="str">
        <f t="shared" si="46"/>
        <v/>
      </c>
      <c r="AJ395" s="7" t="str">
        <f t="shared" si="47"/>
        <v/>
      </c>
      <c r="AK395" s="10" t="str">
        <f t="shared" si="48"/>
        <v/>
      </c>
      <c r="AL395" s="15" t="str">
        <f>IF(OR($A395&lt;&gt;"",$B395&lt;&gt;""),IF(OR($A395="",$B395=""),"Isi tanggal dan ID PIC",IF(NOT(ISNUMBER($A395)),"Tanggal harus berupa tanggal Excel",IF(COUNTIFS(Master_PIC!$A$8:$A$73,$B395)&lt;&gt;1,"ID PIC tidak unik/terdaftar",IF(VLOOKUP($B395,Master_PIC!$A$8:$G$73,3,FALSE)&lt;&gt;"ASM","Jabatan tidak sesuai sheet",IF(OR($C395="",$D395="",$E395="",$F395=""),"Lengkapi master PIC",IF(COUNTIFS($A$8:$A$507,$A395,$B$8:$B$507,$B395)&gt;1,"Laporan ganda",IF(COUNTIFS(G395:O395,"Tidak Berlaku")&gt;0,"N/A hanya untuk kegiatan bersyarat",IF(SUM(AF395,AG395,AH395,AI395,AJ395)&lt;&gt;13,"Status kegiatan tidak valid",IF(AJ395&gt;0,"Lengkapi status kegiatan",IF(AND(AI395&gt;0,T395=""),"Isi alasan Tidak Berlaku",IF(AND(SUM(AG395,AH395)&gt;0,OR(T395="",U395="",V395="",W395="")),"Isi kendala dan tindak lanjut",IF(AND(Y395&lt;&gt;"Draft",Y395&lt;&gt;"Dikirim"),"Isi status laporan yang valid",IF(AND(AA395&lt;&gt;"",AA395&lt;&gt;"Belum Diperiksa",AA395&lt;&gt;"Disetujui",AA395&lt;&gt;"Perlu Perbaikan"),"Hasil review tidak valid",IF(AND(Y395="Dikirim",OR(X395="",Z395="")),"Isi bukti dan waktu kirim",IF(AND(AA395="Disetujui",OR(Y395&lt;&gt;"Dikirim",AB395="",AC395="")),"Lengkapi pemeriksaan",IF(AND(AA395="Perlu Perbaikan",OR(AD395="",AB395="",AC395="")),"Isi pemeriksa dan catatan perbaikan","OK")))))))))))))))),"")</f>
        <v/>
      </c>
    </row>
    <row r="396" spans="1:38" ht="24.95" customHeight="1">
      <c r="A396" s="8"/>
      <c r="B396" s="6"/>
      <c r="C396" s="15" t="str">
        <f>IF(COUNTIFS(Master_PIC!$A$8:$A$73,$B396)=1,IF(VLOOKUP($B396,Master_PIC!$A$8:$G$73,2,FALSE)="","",VLOOKUP($B396,Master_PIC!$A$8:$G$73,2,FALSE)),"")</f>
        <v/>
      </c>
      <c r="D396" s="15" t="str">
        <f>IF(COUNTIFS(Master_PIC!$A$8:$A$73,$B396)=1,IF(VLOOKUP($B396,Master_PIC!$A$8:$G$73,4,FALSE)="","",VLOOKUP($B396,Master_PIC!$A$8:$G$73,4,FALSE)),"")</f>
        <v/>
      </c>
      <c r="E396" s="15" t="str">
        <f>IF(COUNTIFS(Master_PIC!$A$8:$A$73,$B396)=1,IF(VLOOKUP($B396,Master_PIC!$A$8:$G$73,5,FALSE)="","",VLOOKUP($B396,Master_PIC!$A$8:$G$73,5,FALSE)),"")</f>
        <v/>
      </c>
      <c r="F396" s="15" t="str">
        <f>IF(COUNTIFS(Master_PIC!$A$8:$A$73,$B396)=1,IF(VLOOKUP($B396,Master_PIC!$A$8:$G$73,6,FALSE)="","",VLOOKUP($B396,Master_PIC!$A$8:$G$73,6,FALSE)),"")</f>
        <v/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8"/>
      <c r="X396" s="5"/>
      <c r="Y396" s="5"/>
      <c r="Z396" s="9"/>
      <c r="AA396" s="5"/>
      <c r="AB396" s="5"/>
      <c r="AC396" s="9"/>
      <c r="AD396" s="5"/>
      <c r="AE396" s="7" t="str">
        <f t="shared" si="42"/>
        <v/>
      </c>
      <c r="AF396" s="7" t="str">
        <f t="shared" si="43"/>
        <v/>
      </c>
      <c r="AG396" s="7" t="str">
        <f t="shared" si="44"/>
        <v/>
      </c>
      <c r="AH396" s="7" t="str">
        <f t="shared" si="45"/>
        <v/>
      </c>
      <c r="AI396" s="7" t="str">
        <f t="shared" si="46"/>
        <v/>
      </c>
      <c r="AJ396" s="7" t="str">
        <f t="shared" si="47"/>
        <v/>
      </c>
      <c r="AK396" s="10" t="str">
        <f t="shared" si="48"/>
        <v/>
      </c>
      <c r="AL396" s="15" t="str">
        <f>IF(OR($A396&lt;&gt;"",$B396&lt;&gt;""),IF(OR($A396="",$B396=""),"Isi tanggal dan ID PIC",IF(NOT(ISNUMBER($A396)),"Tanggal harus berupa tanggal Excel",IF(COUNTIFS(Master_PIC!$A$8:$A$73,$B396)&lt;&gt;1,"ID PIC tidak unik/terdaftar",IF(VLOOKUP($B396,Master_PIC!$A$8:$G$73,3,FALSE)&lt;&gt;"ASM","Jabatan tidak sesuai sheet",IF(OR($C396="",$D396="",$E396="",$F396=""),"Lengkapi master PIC",IF(COUNTIFS($A$8:$A$507,$A396,$B$8:$B$507,$B396)&gt;1,"Laporan ganda",IF(COUNTIFS(G396:O396,"Tidak Berlaku")&gt;0,"N/A hanya untuk kegiatan bersyarat",IF(SUM(AF396,AG396,AH396,AI396,AJ396)&lt;&gt;13,"Status kegiatan tidak valid",IF(AJ396&gt;0,"Lengkapi status kegiatan",IF(AND(AI396&gt;0,T396=""),"Isi alasan Tidak Berlaku",IF(AND(SUM(AG396,AH396)&gt;0,OR(T396="",U396="",V396="",W396="")),"Isi kendala dan tindak lanjut",IF(AND(Y396&lt;&gt;"Draft",Y396&lt;&gt;"Dikirim"),"Isi status laporan yang valid",IF(AND(AA396&lt;&gt;"",AA396&lt;&gt;"Belum Diperiksa",AA396&lt;&gt;"Disetujui",AA396&lt;&gt;"Perlu Perbaikan"),"Hasil review tidak valid",IF(AND(Y396="Dikirim",OR(X396="",Z396="")),"Isi bukti dan waktu kirim",IF(AND(AA396="Disetujui",OR(Y396&lt;&gt;"Dikirim",AB396="",AC396="")),"Lengkapi pemeriksaan",IF(AND(AA396="Perlu Perbaikan",OR(AD396="",AB396="",AC396="")),"Isi pemeriksa dan catatan perbaikan","OK")))))))))))))))),"")</f>
        <v/>
      </c>
    </row>
    <row r="397" spans="1:38" ht="24.95" customHeight="1">
      <c r="A397" s="8"/>
      <c r="B397" s="6"/>
      <c r="C397" s="15" t="str">
        <f>IF(COUNTIFS(Master_PIC!$A$8:$A$73,$B397)=1,IF(VLOOKUP($B397,Master_PIC!$A$8:$G$73,2,FALSE)="","",VLOOKUP($B397,Master_PIC!$A$8:$G$73,2,FALSE)),"")</f>
        <v/>
      </c>
      <c r="D397" s="15" t="str">
        <f>IF(COUNTIFS(Master_PIC!$A$8:$A$73,$B397)=1,IF(VLOOKUP($B397,Master_PIC!$A$8:$G$73,4,FALSE)="","",VLOOKUP($B397,Master_PIC!$A$8:$G$73,4,FALSE)),"")</f>
        <v/>
      </c>
      <c r="E397" s="15" t="str">
        <f>IF(COUNTIFS(Master_PIC!$A$8:$A$73,$B397)=1,IF(VLOOKUP($B397,Master_PIC!$A$8:$G$73,5,FALSE)="","",VLOOKUP($B397,Master_PIC!$A$8:$G$73,5,FALSE)),"")</f>
        <v/>
      </c>
      <c r="F397" s="15" t="str">
        <f>IF(COUNTIFS(Master_PIC!$A$8:$A$73,$B397)=1,IF(VLOOKUP($B397,Master_PIC!$A$8:$G$73,6,FALSE)="","",VLOOKUP($B397,Master_PIC!$A$8:$G$73,6,FALSE)),"")</f>
        <v/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8"/>
      <c r="X397" s="5"/>
      <c r="Y397" s="5"/>
      <c r="Z397" s="9"/>
      <c r="AA397" s="5"/>
      <c r="AB397" s="5"/>
      <c r="AC397" s="9"/>
      <c r="AD397" s="5"/>
      <c r="AE397" s="7" t="str">
        <f t="shared" si="42"/>
        <v/>
      </c>
      <c r="AF397" s="7" t="str">
        <f t="shared" si="43"/>
        <v/>
      </c>
      <c r="AG397" s="7" t="str">
        <f t="shared" si="44"/>
        <v/>
      </c>
      <c r="AH397" s="7" t="str">
        <f t="shared" si="45"/>
        <v/>
      </c>
      <c r="AI397" s="7" t="str">
        <f t="shared" si="46"/>
        <v/>
      </c>
      <c r="AJ397" s="7" t="str">
        <f t="shared" si="47"/>
        <v/>
      </c>
      <c r="AK397" s="10" t="str">
        <f t="shared" si="48"/>
        <v/>
      </c>
      <c r="AL397" s="15" t="str">
        <f>IF(OR($A397&lt;&gt;"",$B397&lt;&gt;""),IF(OR($A397="",$B397=""),"Isi tanggal dan ID PIC",IF(NOT(ISNUMBER($A397)),"Tanggal harus berupa tanggal Excel",IF(COUNTIFS(Master_PIC!$A$8:$A$73,$B397)&lt;&gt;1,"ID PIC tidak unik/terdaftar",IF(VLOOKUP($B397,Master_PIC!$A$8:$G$73,3,FALSE)&lt;&gt;"ASM","Jabatan tidak sesuai sheet",IF(OR($C397="",$D397="",$E397="",$F397=""),"Lengkapi master PIC",IF(COUNTIFS($A$8:$A$507,$A397,$B$8:$B$507,$B397)&gt;1,"Laporan ganda",IF(COUNTIFS(G397:O397,"Tidak Berlaku")&gt;0,"N/A hanya untuk kegiatan bersyarat",IF(SUM(AF397,AG397,AH397,AI397,AJ397)&lt;&gt;13,"Status kegiatan tidak valid",IF(AJ397&gt;0,"Lengkapi status kegiatan",IF(AND(AI397&gt;0,T397=""),"Isi alasan Tidak Berlaku",IF(AND(SUM(AG397,AH397)&gt;0,OR(T397="",U397="",V397="",W397="")),"Isi kendala dan tindak lanjut",IF(AND(Y397&lt;&gt;"Draft",Y397&lt;&gt;"Dikirim"),"Isi status laporan yang valid",IF(AND(AA397&lt;&gt;"",AA397&lt;&gt;"Belum Diperiksa",AA397&lt;&gt;"Disetujui",AA397&lt;&gt;"Perlu Perbaikan"),"Hasil review tidak valid",IF(AND(Y397="Dikirim",OR(X397="",Z397="")),"Isi bukti dan waktu kirim",IF(AND(AA397="Disetujui",OR(Y397&lt;&gt;"Dikirim",AB397="",AC397="")),"Lengkapi pemeriksaan",IF(AND(AA397="Perlu Perbaikan",OR(AD397="",AB397="",AC397="")),"Isi pemeriksa dan catatan perbaikan","OK")))))))))))))))),"")</f>
        <v/>
      </c>
    </row>
    <row r="398" spans="1:38" ht="24.95" customHeight="1">
      <c r="A398" s="8"/>
      <c r="B398" s="6"/>
      <c r="C398" s="15" t="str">
        <f>IF(COUNTIFS(Master_PIC!$A$8:$A$73,$B398)=1,IF(VLOOKUP($B398,Master_PIC!$A$8:$G$73,2,FALSE)="","",VLOOKUP($B398,Master_PIC!$A$8:$G$73,2,FALSE)),"")</f>
        <v/>
      </c>
      <c r="D398" s="15" t="str">
        <f>IF(COUNTIFS(Master_PIC!$A$8:$A$73,$B398)=1,IF(VLOOKUP($B398,Master_PIC!$A$8:$G$73,4,FALSE)="","",VLOOKUP($B398,Master_PIC!$A$8:$G$73,4,FALSE)),"")</f>
        <v/>
      </c>
      <c r="E398" s="15" t="str">
        <f>IF(COUNTIFS(Master_PIC!$A$8:$A$73,$B398)=1,IF(VLOOKUP($B398,Master_PIC!$A$8:$G$73,5,FALSE)="","",VLOOKUP($B398,Master_PIC!$A$8:$G$73,5,FALSE)),"")</f>
        <v/>
      </c>
      <c r="F398" s="15" t="str">
        <f>IF(COUNTIFS(Master_PIC!$A$8:$A$73,$B398)=1,IF(VLOOKUP($B398,Master_PIC!$A$8:$G$73,6,FALSE)="","",VLOOKUP($B398,Master_PIC!$A$8:$G$73,6,FALSE)),"")</f>
        <v/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8"/>
      <c r="X398" s="5"/>
      <c r="Y398" s="5"/>
      <c r="Z398" s="9"/>
      <c r="AA398" s="5"/>
      <c r="AB398" s="5"/>
      <c r="AC398" s="9"/>
      <c r="AD398" s="5"/>
      <c r="AE398" s="7" t="str">
        <f t="shared" si="42"/>
        <v/>
      </c>
      <c r="AF398" s="7" t="str">
        <f t="shared" si="43"/>
        <v/>
      </c>
      <c r="AG398" s="7" t="str">
        <f t="shared" si="44"/>
        <v/>
      </c>
      <c r="AH398" s="7" t="str">
        <f t="shared" si="45"/>
        <v/>
      </c>
      <c r="AI398" s="7" t="str">
        <f t="shared" si="46"/>
        <v/>
      </c>
      <c r="AJ398" s="7" t="str">
        <f t="shared" si="47"/>
        <v/>
      </c>
      <c r="AK398" s="10" t="str">
        <f t="shared" si="48"/>
        <v/>
      </c>
      <c r="AL398" s="15" t="str">
        <f>IF(OR($A398&lt;&gt;"",$B398&lt;&gt;""),IF(OR($A398="",$B398=""),"Isi tanggal dan ID PIC",IF(NOT(ISNUMBER($A398)),"Tanggal harus berupa tanggal Excel",IF(COUNTIFS(Master_PIC!$A$8:$A$73,$B398)&lt;&gt;1,"ID PIC tidak unik/terdaftar",IF(VLOOKUP($B398,Master_PIC!$A$8:$G$73,3,FALSE)&lt;&gt;"ASM","Jabatan tidak sesuai sheet",IF(OR($C398="",$D398="",$E398="",$F398=""),"Lengkapi master PIC",IF(COUNTIFS($A$8:$A$507,$A398,$B$8:$B$507,$B398)&gt;1,"Laporan ganda",IF(COUNTIFS(G398:O398,"Tidak Berlaku")&gt;0,"N/A hanya untuk kegiatan bersyarat",IF(SUM(AF398,AG398,AH398,AI398,AJ398)&lt;&gt;13,"Status kegiatan tidak valid",IF(AJ398&gt;0,"Lengkapi status kegiatan",IF(AND(AI398&gt;0,T398=""),"Isi alasan Tidak Berlaku",IF(AND(SUM(AG398,AH398)&gt;0,OR(T398="",U398="",V398="",W398="")),"Isi kendala dan tindak lanjut",IF(AND(Y398&lt;&gt;"Draft",Y398&lt;&gt;"Dikirim"),"Isi status laporan yang valid",IF(AND(AA398&lt;&gt;"",AA398&lt;&gt;"Belum Diperiksa",AA398&lt;&gt;"Disetujui",AA398&lt;&gt;"Perlu Perbaikan"),"Hasil review tidak valid",IF(AND(Y398="Dikirim",OR(X398="",Z398="")),"Isi bukti dan waktu kirim",IF(AND(AA398="Disetujui",OR(Y398&lt;&gt;"Dikirim",AB398="",AC398="")),"Lengkapi pemeriksaan",IF(AND(AA398="Perlu Perbaikan",OR(AD398="",AB398="",AC398="")),"Isi pemeriksa dan catatan perbaikan","OK")))))))))))))))),"")</f>
        <v/>
      </c>
    </row>
    <row r="399" spans="1:38" ht="24.95" customHeight="1">
      <c r="A399" s="8"/>
      <c r="B399" s="6"/>
      <c r="C399" s="15" t="str">
        <f>IF(COUNTIFS(Master_PIC!$A$8:$A$73,$B399)=1,IF(VLOOKUP($B399,Master_PIC!$A$8:$G$73,2,FALSE)="","",VLOOKUP($B399,Master_PIC!$A$8:$G$73,2,FALSE)),"")</f>
        <v/>
      </c>
      <c r="D399" s="15" t="str">
        <f>IF(COUNTIFS(Master_PIC!$A$8:$A$73,$B399)=1,IF(VLOOKUP($B399,Master_PIC!$A$8:$G$73,4,FALSE)="","",VLOOKUP($B399,Master_PIC!$A$8:$G$73,4,FALSE)),"")</f>
        <v/>
      </c>
      <c r="E399" s="15" t="str">
        <f>IF(COUNTIFS(Master_PIC!$A$8:$A$73,$B399)=1,IF(VLOOKUP($B399,Master_PIC!$A$8:$G$73,5,FALSE)="","",VLOOKUP($B399,Master_PIC!$A$8:$G$73,5,FALSE)),"")</f>
        <v/>
      </c>
      <c r="F399" s="15" t="str">
        <f>IF(COUNTIFS(Master_PIC!$A$8:$A$73,$B399)=1,IF(VLOOKUP($B399,Master_PIC!$A$8:$G$73,6,FALSE)="","",VLOOKUP($B399,Master_PIC!$A$8:$G$73,6,FALSE)),"")</f>
        <v/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8"/>
      <c r="X399" s="5"/>
      <c r="Y399" s="5"/>
      <c r="Z399" s="9"/>
      <c r="AA399" s="5"/>
      <c r="AB399" s="5"/>
      <c r="AC399" s="9"/>
      <c r="AD399" s="5"/>
      <c r="AE399" s="7" t="str">
        <f t="shared" si="42"/>
        <v/>
      </c>
      <c r="AF399" s="7" t="str">
        <f t="shared" si="43"/>
        <v/>
      </c>
      <c r="AG399" s="7" t="str">
        <f t="shared" si="44"/>
        <v/>
      </c>
      <c r="AH399" s="7" t="str">
        <f t="shared" si="45"/>
        <v/>
      </c>
      <c r="AI399" s="7" t="str">
        <f t="shared" si="46"/>
        <v/>
      </c>
      <c r="AJ399" s="7" t="str">
        <f t="shared" si="47"/>
        <v/>
      </c>
      <c r="AK399" s="10" t="str">
        <f t="shared" si="48"/>
        <v/>
      </c>
      <c r="AL399" s="15" t="str">
        <f>IF(OR($A399&lt;&gt;"",$B399&lt;&gt;""),IF(OR($A399="",$B399=""),"Isi tanggal dan ID PIC",IF(NOT(ISNUMBER($A399)),"Tanggal harus berupa tanggal Excel",IF(COUNTIFS(Master_PIC!$A$8:$A$73,$B399)&lt;&gt;1,"ID PIC tidak unik/terdaftar",IF(VLOOKUP($B399,Master_PIC!$A$8:$G$73,3,FALSE)&lt;&gt;"ASM","Jabatan tidak sesuai sheet",IF(OR($C399="",$D399="",$E399="",$F399=""),"Lengkapi master PIC",IF(COUNTIFS($A$8:$A$507,$A399,$B$8:$B$507,$B399)&gt;1,"Laporan ganda",IF(COUNTIFS(G399:O399,"Tidak Berlaku")&gt;0,"N/A hanya untuk kegiatan bersyarat",IF(SUM(AF399,AG399,AH399,AI399,AJ399)&lt;&gt;13,"Status kegiatan tidak valid",IF(AJ399&gt;0,"Lengkapi status kegiatan",IF(AND(AI399&gt;0,T399=""),"Isi alasan Tidak Berlaku",IF(AND(SUM(AG399,AH399)&gt;0,OR(T399="",U399="",V399="",W399="")),"Isi kendala dan tindak lanjut",IF(AND(Y399&lt;&gt;"Draft",Y399&lt;&gt;"Dikirim"),"Isi status laporan yang valid",IF(AND(AA399&lt;&gt;"",AA399&lt;&gt;"Belum Diperiksa",AA399&lt;&gt;"Disetujui",AA399&lt;&gt;"Perlu Perbaikan"),"Hasil review tidak valid",IF(AND(Y399="Dikirim",OR(X399="",Z399="")),"Isi bukti dan waktu kirim",IF(AND(AA399="Disetujui",OR(Y399&lt;&gt;"Dikirim",AB399="",AC399="")),"Lengkapi pemeriksaan",IF(AND(AA399="Perlu Perbaikan",OR(AD399="",AB399="",AC399="")),"Isi pemeriksa dan catatan perbaikan","OK")))))))))))))))),"")</f>
        <v/>
      </c>
    </row>
    <row r="400" spans="1:38" ht="24.95" customHeight="1">
      <c r="A400" s="8"/>
      <c r="B400" s="6"/>
      <c r="C400" s="15" t="str">
        <f>IF(COUNTIFS(Master_PIC!$A$8:$A$73,$B400)=1,IF(VLOOKUP($B400,Master_PIC!$A$8:$G$73,2,FALSE)="","",VLOOKUP($B400,Master_PIC!$A$8:$G$73,2,FALSE)),"")</f>
        <v/>
      </c>
      <c r="D400" s="15" t="str">
        <f>IF(COUNTIFS(Master_PIC!$A$8:$A$73,$B400)=1,IF(VLOOKUP($B400,Master_PIC!$A$8:$G$73,4,FALSE)="","",VLOOKUP($B400,Master_PIC!$A$8:$G$73,4,FALSE)),"")</f>
        <v/>
      </c>
      <c r="E400" s="15" t="str">
        <f>IF(COUNTIFS(Master_PIC!$A$8:$A$73,$B400)=1,IF(VLOOKUP($B400,Master_PIC!$A$8:$G$73,5,FALSE)="","",VLOOKUP($B400,Master_PIC!$A$8:$G$73,5,FALSE)),"")</f>
        <v/>
      </c>
      <c r="F400" s="15" t="str">
        <f>IF(COUNTIFS(Master_PIC!$A$8:$A$73,$B400)=1,IF(VLOOKUP($B400,Master_PIC!$A$8:$G$73,6,FALSE)="","",VLOOKUP($B400,Master_PIC!$A$8:$G$73,6,FALSE)),"")</f>
        <v/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8"/>
      <c r="X400" s="5"/>
      <c r="Y400" s="5"/>
      <c r="Z400" s="9"/>
      <c r="AA400" s="5"/>
      <c r="AB400" s="5"/>
      <c r="AC400" s="9"/>
      <c r="AD400" s="5"/>
      <c r="AE400" s="7" t="str">
        <f t="shared" si="42"/>
        <v/>
      </c>
      <c r="AF400" s="7" t="str">
        <f t="shared" si="43"/>
        <v/>
      </c>
      <c r="AG400" s="7" t="str">
        <f t="shared" si="44"/>
        <v/>
      </c>
      <c r="AH400" s="7" t="str">
        <f t="shared" si="45"/>
        <v/>
      </c>
      <c r="AI400" s="7" t="str">
        <f t="shared" si="46"/>
        <v/>
      </c>
      <c r="AJ400" s="7" t="str">
        <f t="shared" si="47"/>
        <v/>
      </c>
      <c r="AK400" s="10" t="str">
        <f t="shared" si="48"/>
        <v/>
      </c>
      <c r="AL400" s="15" t="str">
        <f>IF(OR($A400&lt;&gt;"",$B400&lt;&gt;""),IF(OR($A400="",$B400=""),"Isi tanggal dan ID PIC",IF(NOT(ISNUMBER($A400)),"Tanggal harus berupa tanggal Excel",IF(COUNTIFS(Master_PIC!$A$8:$A$73,$B400)&lt;&gt;1,"ID PIC tidak unik/terdaftar",IF(VLOOKUP($B400,Master_PIC!$A$8:$G$73,3,FALSE)&lt;&gt;"ASM","Jabatan tidak sesuai sheet",IF(OR($C400="",$D400="",$E400="",$F400=""),"Lengkapi master PIC",IF(COUNTIFS($A$8:$A$507,$A400,$B$8:$B$507,$B400)&gt;1,"Laporan ganda",IF(COUNTIFS(G400:O400,"Tidak Berlaku")&gt;0,"N/A hanya untuk kegiatan bersyarat",IF(SUM(AF400,AG400,AH400,AI400,AJ400)&lt;&gt;13,"Status kegiatan tidak valid",IF(AJ400&gt;0,"Lengkapi status kegiatan",IF(AND(AI400&gt;0,T400=""),"Isi alasan Tidak Berlaku",IF(AND(SUM(AG400,AH400)&gt;0,OR(T400="",U400="",V400="",W400="")),"Isi kendala dan tindak lanjut",IF(AND(Y400&lt;&gt;"Draft",Y400&lt;&gt;"Dikirim"),"Isi status laporan yang valid",IF(AND(AA400&lt;&gt;"",AA400&lt;&gt;"Belum Diperiksa",AA400&lt;&gt;"Disetujui",AA400&lt;&gt;"Perlu Perbaikan"),"Hasil review tidak valid",IF(AND(Y400="Dikirim",OR(X400="",Z400="")),"Isi bukti dan waktu kirim",IF(AND(AA400="Disetujui",OR(Y400&lt;&gt;"Dikirim",AB400="",AC400="")),"Lengkapi pemeriksaan",IF(AND(AA400="Perlu Perbaikan",OR(AD400="",AB400="",AC400="")),"Isi pemeriksa dan catatan perbaikan","OK")))))))))))))))),"")</f>
        <v/>
      </c>
    </row>
    <row r="401" spans="1:38" ht="24.95" customHeight="1">
      <c r="A401" s="8"/>
      <c r="B401" s="6"/>
      <c r="C401" s="15" t="str">
        <f>IF(COUNTIFS(Master_PIC!$A$8:$A$73,$B401)=1,IF(VLOOKUP($B401,Master_PIC!$A$8:$G$73,2,FALSE)="","",VLOOKUP($B401,Master_PIC!$A$8:$G$73,2,FALSE)),"")</f>
        <v/>
      </c>
      <c r="D401" s="15" t="str">
        <f>IF(COUNTIFS(Master_PIC!$A$8:$A$73,$B401)=1,IF(VLOOKUP($B401,Master_PIC!$A$8:$G$73,4,FALSE)="","",VLOOKUP($B401,Master_PIC!$A$8:$G$73,4,FALSE)),"")</f>
        <v/>
      </c>
      <c r="E401" s="15" t="str">
        <f>IF(COUNTIFS(Master_PIC!$A$8:$A$73,$B401)=1,IF(VLOOKUP($B401,Master_PIC!$A$8:$G$73,5,FALSE)="","",VLOOKUP($B401,Master_PIC!$A$8:$G$73,5,FALSE)),"")</f>
        <v/>
      </c>
      <c r="F401" s="15" t="str">
        <f>IF(COUNTIFS(Master_PIC!$A$8:$A$73,$B401)=1,IF(VLOOKUP($B401,Master_PIC!$A$8:$G$73,6,FALSE)="","",VLOOKUP($B401,Master_PIC!$A$8:$G$73,6,FALSE)),"")</f>
        <v/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8"/>
      <c r="X401" s="5"/>
      <c r="Y401" s="5"/>
      <c r="Z401" s="9"/>
      <c r="AA401" s="5"/>
      <c r="AB401" s="5"/>
      <c r="AC401" s="9"/>
      <c r="AD401" s="5"/>
      <c r="AE401" s="7" t="str">
        <f t="shared" si="42"/>
        <v/>
      </c>
      <c r="AF401" s="7" t="str">
        <f t="shared" si="43"/>
        <v/>
      </c>
      <c r="AG401" s="7" t="str">
        <f t="shared" si="44"/>
        <v/>
      </c>
      <c r="AH401" s="7" t="str">
        <f t="shared" si="45"/>
        <v/>
      </c>
      <c r="AI401" s="7" t="str">
        <f t="shared" si="46"/>
        <v/>
      </c>
      <c r="AJ401" s="7" t="str">
        <f t="shared" si="47"/>
        <v/>
      </c>
      <c r="AK401" s="10" t="str">
        <f t="shared" si="48"/>
        <v/>
      </c>
      <c r="AL401" s="15" t="str">
        <f>IF(OR($A401&lt;&gt;"",$B401&lt;&gt;""),IF(OR($A401="",$B401=""),"Isi tanggal dan ID PIC",IF(NOT(ISNUMBER($A401)),"Tanggal harus berupa tanggal Excel",IF(COUNTIFS(Master_PIC!$A$8:$A$73,$B401)&lt;&gt;1,"ID PIC tidak unik/terdaftar",IF(VLOOKUP($B401,Master_PIC!$A$8:$G$73,3,FALSE)&lt;&gt;"ASM","Jabatan tidak sesuai sheet",IF(OR($C401="",$D401="",$E401="",$F401=""),"Lengkapi master PIC",IF(COUNTIFS($A$8:$A$507,$A401,$B$8:$B$507,$B401)&gt;1,"Laporan ganda",IF(COUNTIFS(G401:O401,"Tidak Berlaku")&gt;0,"N/A hanya untuk kegiatan bersyarat",IF(SUM(AF401,AG401,AH401,AI401,AJ401)&lt;&gt;13,"Status kegiatan tidak valid",IF(AJ401&gt;0,"Lengkapi status kegiatan",IF(AND(AI401&gt;0,T401=""),"Isi alasan Tidak Berlaku",IF(AND(SUM(AG401,AH401)&gt;0,OR(T401="",U401="",V401="",W401="")),"Isi kendala dan tindak lanjut",IF(AND(Y401&lt;&gt;"Draft",Y401&lt;&gt;"Dikirim"),"Isi status laporan yang valid",IF(AND(AA401&lt;&gt;"",AA401&lt;&gt;"Belum Diperiksa",AA401&lt;&gt;"Disetujui",AA401&lt;&gt;"Perlu Perbaikan"),"Hasil review tidak valid",IF(AND(Y401="Dikirim",OR(X401="",Z401="")),"Isi bukti dan waktu kirim",IF(AND(AA401="Disetujui",OR(Y401&lt;&gt;"Dikirim",AB401="",AC401="")),"Lengkapi pemeriksaan",IF(AND(AA401="Perlu Perbaikan",OR(AD401="",AB401="",AC401="")),"Isi pemeriksa dan catatan perbaikan","OK")))))))))))))))),"")</f>
        <v/>
      </c>
    </row>
    <row r="402" spans="1:38" ht="24.95" customHeight="1">
      <c r="A402" s="8"/>
      <c r="B402" s="6"/>
      <c r="C402" s="15" t="str">
        <f>IF(COUNTIFS(Master_PIC!$A$8:$A$73,$B402)=1,IF(VLOOKUP($B402,Master_PIC!$A$8:$G$73,2,FALSE)="","",VLOOKUP($B402,Master_PIC!$A$8:$G$73,2,FALSE)),"")</f>
        <v/>
      </c>
      <c r="D402" s="15" t="str">
        <f>IF(COUNTIFS(Master_PIC!$A$8:$A$73,$B402)=1,IF(VLOOKUP($B402,Master_PIC!$A$8:$G$73,4,FALSE)="","",VLOOKUP($B402,Master_PIC!$A$8:$G$73,4,FALSE)),"")</f>
        <v/>
      </c>
      <c r="E402" s="15" t="str">
        <f>IF(COUNTIFS(Master_PIC!$A$8:$A$73,$B402)=1,IF(VLOOKUP($B402,Master_PIC!$A$8:$G$73,5,FALSE)="","",VLOOKUP($B402,Master_PIC!$A$8:$G$73,5,FALSE)),"")</f>
        <v/>
      </c>
      <c r="F402" s="15" t="str">
        <f>IF(COUNTIFS(Master_PIC!$A$8:$A$73,$B402)=1,IF(VLOOKUP($B402,Master_PIC!$A$8:$G$73,6,FALSE)="","",VLOOKUP($B402,Master_PIC!$A$8:$G$73,6,FALSE)),"")</f>
        <v/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8"/>
      <c r="X402" s="5"/>
      <c r="Y402" s="5"/>
      <c r="Z402" s="9"/>
      <c r="AA402" s="5"/>
      <c r="AB402" s="5"/>
      <c r="AC402" s="9"/>
      <c r="AD402" s="5"/>
      <c r="AE402" s="7" t="str">
        <f t="shared" si="42"/>
        <v/>
      </c>
      <c r="AF402" s="7" t="str">
        <f t="shared" si="43"/>
        <v/>
      </c>
      <c r="AG402" s="7" t="str">
        <f t="shared" si="44"/>
        <v/>
      </c>
      <c r="AH402" s="7" t="str">
        <f t="shared" si="45"/>
        <v/>
      </c>
      <c r="AI402" s="7" t="str">
        <f t="shared" si="46"/>
        <v/>
      </c>
      <c r="AJ402" s="7" t="str">
        <f t="shared" si="47"/>
        <v/>
      </c>
      <c r="AK402" s="10" t="str">
        <f t="shared" si="48"/>
        <v/>
      </c>
      <c r="AL402" s="15" t="str">
        <f>IF(OR($A402&lt;&gt;"",$B402&lt;&gt;""),IF(OR($A402="",$B402=""),"Isi tanggal dan ID PIC",IF(NOT(ISNUMBER($A402)),"Tanggal harus berupa tanggal Excel",IF(COUNTIFS(Master_PIC!$A$8:$A$73,$B402)&lt;&gt;1,"ID PIC tidak unik/terdaftar",IF(VLOOKUP($B402,Master_PIC!$A$8:$G$73,3,FALSE)&lt;&gt;"ASM","Jabatan tidak sesuai sheet",IF(OR($C402="",$D402="",$E402="",$F402=""),"Lengkapi master PIC",IF(COUNTIFS($A$8:$A$507,$A402,$B$8:$B$507,$B402)&gt;1,"Laporan ganda",IF(COUNTIFS(G402:O402,"Tidak Berlaku")&gt;0,"N/A hanya untuk kegiatan bersyarat",IF(SUM(AF402,AG402,AH402,AI402,AJ402)&lt;&gt;13,"Status kegiatan tidak valid",IF(AJ402&gt;0,"Lengkapi status kegiatan",IF(AND(AI402&gt;0,T402=""),"Isi alasan Tidak Berlaku",IF(AND(SUM(AG402,AH402)&gt;0,OR(T402="",U402="",V402="",W402="")),"Isi kendala dan tindak lanjut",IF(AND(Y402&lt;&gt;"Draft",Y402&lt;&gt;"Dikirim"),"Isi status laporan yang valid",IF(AND(AA402&lt;&gt;"",AA402&lt;&gt;"Belum Diperiksa",AA402&lt;&gt;"Disetujui",AA402&lt;&gt;"Perlu Perbaikan"),"Hasil review tidak valid",IF(AND(Y402="Dikirim",OR(X402="",Z402="")),"Isi bukti dan waktu kirim",IF(AND(AA402="Disetujui",OR(Y402&lt;&gt;"Dikirim",AB402="",AC402="")),"Lengkapi pemeriksaan",IF(AND(AA402="Perlu Perbaikan",OR(AD402="",AB402="",AC402="")),"Isi pemeriksa dan catatan perbaikan","OK")))))))))))))))),"")</f>
        <v/>
      </c>
    </row>
    <row r="403" spans="1:38" ht="24.95" customHeight="1">
      <c r="A403" s="8"/>
      <c r="B403" s="6"/>
      <c r="C403" s="15" t="str">
        <f>IF(COUNTIFS(Master_PIC!$A$8:$A$73,$B403)=1,IF(VLOOKUP($B403,Master_PIC!$A$8:$G$73,2,FALSE)="","",VLOOKUP($B403,Master_PIC!$A$8:$G$73,2,FALSE)),"")</f>
        <v/>
      </c>
      <c r="D403" s="15" t="str">
        <f>IF(COUNTIFS(Master_PIC!$A$8:$A$73,$B403)=1,IF(VLOOKUP($B403,Master_PIC!$A$8:$G$73,4,FALSE)="","",VLOOKUP($B403,Master_PIC!$A$8:$G$73,4,FALSE)),"")</f>
        <v/>
      </c>
      <c r="E403" s="15" t="str">
        <f>IF(COUNTIFS(Master_PIC!$A$8:$A$73,$B403)=1,IF(VLOOKUP($B403,Master_PIC!$A$8:$G$73,5,FALSE)="","",VLOOKUP($B403,Master_PIC!$A$8:$G$73,5,FALSE)),"")</f>
        <v/>
      </c>
      <c r="F403" s="15" t="str">
        <f>IF(COUNTIFS(Master_PIC!$A$8:$A$73,$B403)=1,IF(VLOOKUP($B403,Master_PIC!$A$8:$G$73,6,FALSE)="","",VLOOKUP($B403,Master_PIC!$A$8:$G$73,6,FALSE)),"")</f>
        <v/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8"/>
      <c r="X403" s="5"/>
      <c r="Y403" s="5"/>
      <c r="Z403" s="9"/>
      <c r="AA403" s="5"/>
      <c r="AB403" s="5"/>
      <c r="AC403" s="9"/>
      <c r="AD403" s="5"/>
      <c r="AE403" s="7" t="str">
        <f t="shared" si="42"/>
        <v/>
      </c>
      <c r="AF403" s="7" t="str">
        <f t="shared" si="43"/>
        <v/>
      </c>
      <c r="AG403" s="7" t="str">
        <f t="shared" si="44"/>
        <v/>
      </c>
      <c r="AH403" s="7" t="str">
        <f t="shared" si="45"/>
        <v/>
      </c>
      <c r="AI403" s="7" t="str">
        <f t="shared" si="46"/>
        <v/>
      </c>
      <c r="AJ403" s="7" t="str">
        <f t="shared" si="47"/>
        <v/>
      </c>
      <c r="AK403" s="10" t="str">
        <f t="shared" si="48"/>
        <v/>
      </c>
      <c r="AL403" s="15" t="str">
        <f>IF(OR($A403&lt;&gt;"",$B403&lt;&gt;""),IF(OR($A403="",$B403=""),"Isi tanggal dan ID PIC",IF(NOT(ISNUMBER($A403)),"Tanggal harus berupa tanggal Excel",IF(COUNTIFS(Master_PIC!$A$8:$A$73,$B403)&lt;&gt;1,"ID PIC tidak unik/terdaftar",IF(VLOOKUP($B403,Master_PIC!$A$8:$G$73,3,FALSE)&lt;&gt;"ASM","Jabatan tidak sesuai sheet",IF(OR($C403="",$D403="",$E403="",$F403=""),"Lengkapi master PIC",IF(COUNTIFS($A$8:$A$507,$A403,$B$8:$B$507,$B403)&gt;1,"Laporan ganda",IF(COUNTIFS(G403:O403,"Tidak Berlaku")&gt;0,"N/A hanya untuk kegiatan bersyarat",IF(SUM(AF403,AG403,AH403,AI403,AJ403)&lt;&gt;13,"Status kegiatan tidak valid",IF(AJ403&gt;0,"Lengkapi status kegiatan",IF(AND(AI403&gt;0,T403=""),"Isi alasan Tidak Berlaku",IF(AND(SUM(AG403,AH403)&gt;0,OR(T403="",U403="",V403="",W403="")),"Isi kendala dan tindak lanjut",IF(AND(Y403&lt;&gt;"Draft",Y403&lt;&gt;"Dikirim"),"Isi status laporan yang valid",IF(AND(AA403&lt;&gt;"",AA403&lt;&gt;"Belum Diperiksa",AA403&lt;&gt;"Disetujui",AA403&lt;&gt;"Perlu Perbaikan"),"Hasil review tidak valid",IF(AND(Y403="Dikirim",OR(X403="",Z403="")),"Isi bukti dan waktu kirim",IF(AND(AA403="Disetujui",OR(Y403&lt;&gt;"Dikirim",AB403="",AC403="")),"Lengkapi pemeriksaan",IF(AND(AA403="Perlu Perbaikan",OR(AD403="",AB403="",AC403="")),"Isi pemeriksa dan catatan perbaikan","OK")))))))))))))))),"")</f>
        <v/>
      </c>
    </row>
    <row r="404" spans="1:38" ht="24.95" customHeight="1">
      <c r="A404" s="8"/>
      <c r="B404" s="6"/>
      <c r="C404" s="15" t="str">
        <f>IF(COUNTIFS(Master_PIC!$A$8:$A$73,$B404)=1,IF(VLOOKUP($B404,Master_PIC!$A$8:$G$73,2,FALSE)="","",VLOOKUP($B404,Master_PIC!$A$8:$G$73,2,FALSE)),"")</f>
        <v/>
      </c>
      <c r="D404" s="15" t="str">
        <f>IF(COUNTIFS(Master_PIC!$A$8:$A$73,$B404)=1,IF(VLOOKUP($B404,Master_PIC!$A$8:$G$73,4,FALSE)="","",VLOOKUP($B404,Master_PIC!$A$8:$G$73,4,FALSE)),"")</f>
        <v/>
      </c>
      <c r="E404" s="15" t="str">
        <f>IF(COUNTIFS(Master_PIC!$A$8:$A$73,$B404)=1,IF(VLOOKUP($B404,Master_PIC!$A$8:$G$73,5,FALSE)="","",VLOOKUP($B404,Master_PIC!$A$8:$G$73,5,FALSE)),"")</f>
        <v/>
      </c>
      <c r="F404" s="15" t="str">
        <f>IF(COUNTIFS(Master_PIC!$A$8:$A$73,$B404)=1,IF(VLOOKUP($B404,Master_PIC!$A$8:$G$73,6,FALSE)="","",VLOOKUP($B404,Master_PIC!$A$8:$G$73,6,FALSE)),"")</f>
        <v/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8"/>
      <c r="X404" s="5"/>
      <c r="Y404" s="5"/>
      <c r="Z404" s="9"/>
      <c r="AA404" s="5"/>
      <c r="AB404" s="5"/>
      <c r="AC404" s="9"/>
      <c r="AD404" s="5"/>
      <c r="AE404" s="7" t="str">
        <f t="shared" si="42"/>
        <v/>
      </c>
      <c r="AF404" s="7" t="str">
        <f t="shared" si="43"/>
        <v/>
      </c>
      <c r="AG404" s="7" t="str">
        <f t="shared" si="44"/>
        <v/>
      </c>
      <c r="AH404" s="7" t="str">
        <f t="shared" si="45"/>
        <v/>
      </c>
      <c r="AI404" s="7" t="str">
        <f t="shared" si="46"/>
        <v/>
      </c>
      <c r="AJ404" s="7" t="str">
        <f t="shared" si="47"/>
        <v/>
      </c>
      <c r="AK404" s="10" t="str">
        <f t="shared" si="48"/>
        <v/>
      </c>
      <c r="AL404" s="15" t="str">
        <f>IF(OR($A404&lt;&gt;"",$B404&lt;&gt;""),IF(OR($A404="",$B404=""),"Isi tanggal dan ID PIC",IF(NOT(ISNUMBER($A404)),"Tanggal harus berupa tanggal Excel",IF(COUNTIFS(Master_PIC!$A$8:$A$73,$B404)&lt;&gt;1,"ID PIC tidak unik/terdaftar",IF(VLOOKUP($B404,Master_PIC!$A$8:$G$73,3,FALSE)&lt;&gt;"ASM","Jabatan tidak sesuai sheet",IF(OR($C404="",$D404="",$E404="",$F404=""),"Lengkapi master PIC",IF(COUNTIFS($A$8:$A$507,$A404,$B$8:$B$507,$B404)&gt;1,"Laporan ganda",IF(COUNTIFS(G404:O404,"Tidak Berlaku")&gt;0,"N/A hanya untuk kegiatan bersyarat",IF(SUM(AF404,AG404,AH404,AI404,AJ404)&lt;&gt;13,"Status kegiatan tidak valid",IF(AJ404&gt;0,"Lengkapi status kegiatan",IF(AND(AI404&gt;0,T404=""),"Isi alasan Tidak Berlaku",IF(AND(SUM(AG404,AH404)&gt;0,OR(T404="",U404="",V404="",W404="")),"Isi kendala dan tindak lanjut",IF(AND(Y404&lt;&gt;"Draft",Y404&lt;&gt;"Dikirim"),"Isi status laporan yang valid",IF(AND(AA404&lt;&gt;"",AA404&lt;&gt;"Belum Diperiksa",AA404&lt;&gt;"Disetujui",AA404&lt;&gt;"Perlu Perbaikan"),"Hasil review tidak valid",IF(AND(Y404="Dikirim",OR(X404="",Z404="")),"Isi bukti dan waktu kirim",IF(AND(AA404="Disetujui",OR(Y404&lt;&gt;"Dikirim",AB404="",AC404="")),"Lengkapi pemeriksaan",IF(AND(AA404="Perlu Perbaikan",OR(AD404="",AB404="",AC404="")),"Isi pemeriksa dan catatan perbaikan","OK")))))))))))))))),"")</f>
        <v/>
      </c>
    </row>
    <row r="405" spans="1:38" ht="24.95" customHeight="1">
      <c r="A405" s="8"/>
      <c r="B405" s="6"/>
      <c r="C405" s="15" t="str">
        <f>IF(COUNTIFS(Master_PIC!$A$8:$A$73,$B405)=1,IF(VLOOKUP($B405,Master_PIC!$A$8:$G$73,2,FALSE)="","",VLOOKUP($B405,Master_PIC!$A$8:$G$73,2,FALSE)),"")</f>
        <v/>
      </c>
      <c r="D405" s="15" t="str">
        <f>IF(COUNTIFS(Master_PIC!$A$8:$A$73,$B405)=1,IF(VLOOKUP($B405,Master_PIC!$A$8:$G$73,4,FALSE)="","",VLOOKUP($B405,Master_PIC!$A$8:$G$73,4,FALSE)),"")</f>
        <v/>
      </c>
      <c r="E405" s="15" t="str">
        <f>IF(COUNTIFS(Master_PIC!$A$8:$A$73,$B405)=1,IF(VLOOKUP($B405,Master_PIC!$A$8:$G$73,5,FALSE)="","",VLOOKUP($B405,Master_PIC!$A$8:$G$73,5,FALSE)),"")</f>
        <v/>
      </c>
      <c r="F405" s="15" t="str">
        <f>IF(COUNTIFS(Master_PIC!$A$8:$A$73,$B405)=1,IF(VLOOKUP($B405,Master_PIC!$A$8:$G$73,6,FALSE)="","",VLOOKUP($B405,Master_PIC!$A$8:$G$73,6,FALSE)),"")</f>
        <v/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8"/>
      <c r="X405" s="5"/>
      <c r="Y405" s="5"/>
      <c r="Z405" s="9"/>
      <c r="AA405" s="5"/>
      <c r="AB405" s="5"/>
      <c r="AC405" s="9"/>
      <c r="AD405" s="5"/>
      <c r="AE405" s="7" t="str">
        <f t="shared" si="42"/>
        <v/>
      </c>
      <c r="AF405" s="7" t="str">
        <f t="shared" si="43"/>
        <v/>
      </c>
      <c r="AG405" s="7" t="str">
        <f t="shared" si="44"/>
        <v/>
      </c>
      <c r="AH405" s="7" t="str">
        <f t="shared" si="45"/>
        <v/>
      </c>
      <c r="AI405" s="7" t="str">
        <f t="shared" si="46"/>
        <v/>
      </c>
      <c r="AJ405" s="7" t="str">
        <f t="shared" si="47"/>
        <v/>
      </c>
      <c r="AK405" s="10" t="str">
        <f t="shared" si="48"/>
        <v/>
      </c>
      <c r="AL405" s="15" t="str">
        <f>IF(OR($A405&lt;&gt;"",$B405&lt;&gt;""),IF(OR($A405="",$B405=""),"Isi tanggal dan ID PIC",IF(NOT(ISNUMBER($A405)),"Tanggal harus berupa tanggal Excel",IF(COUNTIFS(Master_PIC!$A$8:$A$73,$B405)&lt;&gt;1,"ID PIC tidak unik/terdaftar",IF(VLOOKUP($B405,Master_PIC!$A$8:$G$73,3,FALSE)&lt;&gt;"ASM","Jabatan tidak sesuai sheet",IF(OR($C405="",$D405="",$E405="",$F405=""),"Lengkapi master PIC",IF(COUNTIFS($A$8:$A$507,$A405,$B$8:$B$507,$B405)&gt;1,"Laporan ganda",IF(COUNTIFS(G405:O405,"Tidak Berlaku")&gt;0,"N/A hanya untuk kegiatan bersyarat",IF(SUM(AF405,AG405,AH405,AI405,AJ405)&lt;&gt;13,"Status kegiatan tidak valid",IF(AJ405&gt;0,"Lengkapi status kegiatan",IF(AND(AI405&gt;0,T405=""),"Isi alasan Tidak Berlaku",IF(AND(SUM(AG405,AH405)&gt;0,OR(T405="",U405="",V405="",W405="")),"Isi kendala dan tindak lanjut",IF(AND(Y405&lt;&gt;"Draft",Y405&lt;&gt;"Dikirim"),"Isi status laporan yang valid",IF(AND(AA405&lt;&gt;"",AA405&lt;&gt;"Belum Diperiksa",AA405&lt;&gt;"Disetujui",AA405&lt;&gt;"Perlu Perbaikan"),"Hasil review tidak valid",IF(AND(Y405="Dikirim",OR(X405="",Z405="")),"Isi bukti dan waktu kirim",IF(AND(AA405="Disetujui",OR(Y405&lt;&gt;"Dikirim",AB405="",AC405="")),"Lengkapi pemeriksaan",IF(AND(AA405="Perlu Perbaikan",OR(AD405="",AB405="",AC405="")),"Isi pemeriksa dan catatan perbaikan","OK")))))))))))))))),"")</f>
        <v/>
      </c>
    </row>
    <row r="406" spans="1:38" ht="24.95" customHeight="1">
      <c r="A406" s="8"/>
      <c r="B406" s="6"/>
      <c r="C406" s="15" t="str">
        <f>IF(COUNTIFS(Master_PIC!$A$8:$A$73,$B406)=1,IF(VLOOKUP($B406,Master_PIC!$A$8:$G$73,2,FALSE)="","",VLOOKUP($B406,Master_PIC!$A$8:$G$73,2,FALSE)),"")</f>
        <v/>
      </c>
      <c r="D406" s="15" t="str">
        <f>IF(COUNTIFS(Master_PIC!$A$8:$A$73,$B406)=1,IF(VLOOKUP($B406,Master_PIC!$A$8:$G$73,4,FALSE)="","",VLOOKUP($B406,Master_PIC!$A$8:$G$73,4,FALSE)),"")</f>
        <v/>
      </c>
      <c r="E406" s="15" t="str">
        <f>IF(COUNTIFS(Master_PIC!$A$8:$A$73,$B406)=1,IF(VLOOKUP($B406,Master_PIC!$A$8:$G$73,5,FALSE)="","",VLOOKUP($B406,Master_PIC!$A$8:$G$73,5,FALSE)),"")</f>
        <v/>
      </c>
      <c r="F406" s="15" t="str">
        <f>IF(COUNTIFS(Master_PIC!$A$8:$A$73,$B406)=1,IF(VLOOKUP($B406,Master_PIC!$A$8:$G$73,6,FALSE)="","",VLOOKUP($B406,Master_PIC!$A$8:$G$73,6,FALSE)),"")</f>
        <v/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8"/>
      <c r="X406" s="5"/>
      <c r="Y406" s="5"/>
      <c r="Z406" s="9"/>
      <c r="AA406" s="5"/>
      <c r="AB406" s="5"/>
      <c r="AC406" s="9"/>
      <c r="AD406" s="5"/>
      <c r="AE406" s="7" t="str">
        <f t="shared" si="42"/>
        <v/>
      </c>
      <c r="AF406" s="7" t="str">
        <f t="shared" si="43"/>
        <v/>
      </c>
      <c r="AG406" s="7" t="str">
        <f t="shared" si="44"/>
        <v/>
      </c>
      <c r="AH406" s="7" t="str">
        <f t="shared" si="45"/>
        <v/>
      </c>
      <c r="AI406" s="7" t="str">
        <f t="shared" si="46"/>
        <v/>
      </c>
      <c r="AJ406" s="7" t="str">
        <f t="shared" si="47"/>
        <v/>
      </c>
      <c r="AK406" s="10" t="str">
        <f t="shared" si="48"/>
        <v/>
      </c>
      <c r="AL406" s="15" t="str">
        <f>IF(OR($A406&lt;&gt;"",$B406&lt;&gt;""),IF(OR($A406="",$B406=""),"Isi tanggal dan ID PIC",IF(NOT(ISNUMBER($A406)),"Tanggal harus berupa tanggal Excel",IF(COUNTIFS(Master_PIC!$A$8:$A$73,$B406)&lt;&gt;1,"ID PIC tidak unik/terdaftar",IF(VLOOKUP($B406,Master_PIC!$A$8:$G$73,3,FALSE)&lt;&gt;"ASM","Jabatan tidak sesuai sheet",IF(OR($C406="",$D406="",$E406="",$F406=""),"Lengkapi master PIC",IF(COUNTIFS($A$8:$A$507,$A406,$B$8:$B$507,$B406)&gt;1,"Laporan ganda",IF(COUNTIFS(G406:O406,"Tidak Berlaku")&gt;0,"N/A hanya untuk kegiatan bersyarat",IF(SUM(AF406,AG406,AH406,AI406,AJ406)&lt;&gt;13,"Status kegiatan tidak valid",IF(AJ406&gt;0,"Lengkapi status kegiatan",IF(AND(AI406&gt;0,T406=""),"Isi alasan Tidak Berlaku",IF(AND(SUM(AG406,AH406)&gt;0,OR(T406="",U406="",V406="",W406="")),"Isi kendala dan tindak lanjut",IF(AND(Y406&lt;&gt;"Draft",Y406&lt;&gt;"Dikirim"),"Isi status laporan yang valid",IF(AND(AA406&lt;&gt;"",AA406&lt;&gt;"Belum Diperiksa",AA406&lt;&gt;"Disetujui",AA406&lt;&gt;"Perlu Perbaikan"),"Hasil review tidak valid",IF(AND(Y406="Dikirim",OR(X406="",Z406="")),"Isi bukti dan waktu kirim",IF(AND(AA406="Disetujui",OR(Y406&lt;&gt;"Dikirim",AB406="",AC406="")),"Lengkapi pemeriksaan",IF(AND(AA406="Perlu Perbaikan",OR(AD406="",AB406="",AC406="")),"Isi pemeriksa dan catatan perbaikan","OK")))))))))))))))),"")</f>
        <v/>
      </c>
    </row>
    <row r="407" spans="1:38" ht="24.95" customHeight="1">
      <c r="A407" s="8"/>
      <c r="B407" s="6"/>
      <c r="C407" s="15" t="str">
        <f>IF(COUNTIFS(Master_PIC!$A$8:$A$73,$B407)=1,IF(VLOOKUP($B407,Master_PIC!$A$8:$G$73,2,FALSE)="","",VLOOKUP($B407,Master_PIC!$A$8:$G$73,2,FALSE)),"")</f>
        <v/>
      </c>
      <c r="D407" s="15" t="str">
        <f>IF(COUNTIFS(Master_PIC!$A$8:$A$73,$B407)=1,IF(VLOOKUP($B407,Master_PIC!$A$8:$G$73,4,FALSE)="","",VLOOKUP($B407,Master_PIC!$A$8:$G$73,4,FALSE)),"")</f>
        <v/>
      </c>
      <c r="E407" s="15" t="str">
        <f>IF(COUNTIFS(Master_PIC!$A$8:$A$73,$B407)=1,IF(VLOOKUP($B407,Master_PIC!$A$8:$G$73,5,FALSE)="","",VLOOKUP($B407,Master_PIC!$A$8:$G$73,5,FALSE)),"")</f>
        <v/>
      </c>
      <c r="F407" s="15" t="str">
        <f>IF(COUNTIFS(Master_PIC!$A$8:$A$73,$B407)=1,IF(VLOOKUP($B407,Master_PIC!$A$8:$G$73,6,FALSE)="","",VLOOKUP($B407,Master_PIC!$A$8:$G$73,6,FALSE)),"")</f>
        <v/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8"/>
      <c r="X407" s="5"/>
      <c r="Y407" s="5"/>
      <c r="Z407" s="9"/>
      <c r="AA407" s="5"/>
      <c r="AB407" s="5"/>
      <c r="AC407" s="9"/>
      <c r="AD407" s="5"/>
      <c r="AE407" s="7" t="str">
        <f t="shared" si="42"/>
        <v/>
      </c>
      <c r="AF407" s="7" t="str">
        <f t="shared" si="43"/>
        <v/>
      </c>
      <c r="AG407" s="7" t="str">
        <f t="shared" si="44"/>
        <v/>
      </c>
      <c r="AH407" s="7" t="str">
        <f t="shared" si="45"/>
        <v/>
      </c>
      <c r="AI407" s="7" t="str">
        <f t="shared" si="46"/>
        <v/>
      </c>
      <c r="AJ407" s="7" t="str">
        <f t="shared" si="47"/>
        <v/>
      </c>
      <c r="AK407" s="10" t="str">
        <f t="shared" si="48"/>
        <v/>
      </c>
      <c r="AL407" s="15" t="str">
        <f>IF(OR($A407&lt;&gt;"",$B407&lt;&gt;""),IF(OR($A407="",$B407=""),"Isi tanggal dan ID PIC",IF(NOT(ISNUMBER($A407)),"Tanggal harus berupa tanggal Excel",IF(COUNTIFS(Master_PIC!$A$8:$A$73,$B407)&lt;&gt;1,"ID PIC tidak unik/terdaftar",IF(VLOOKUP($B407,Master_PIC!$A$8:$G$73,3,FALSE)&lt;&gt;"ASM","Jabatan tidak sesuai sheet",IF(OR($C407="",$D407="",$E407="",$F407=""),"Lengkapi master PIC",IF(COUNTIFS($A$8:$A$507,$A407,$B$8:$B$507,$B407)&gt;1,"Laporan ganda",IF(COUNTIFS(G407:O407,"Tidak Berlaku")&gt;0,"N/A hanya untuk kegiatan bersyarat",IF(SUM(AF407,AG407,AH407,AI407,AJ407)&lt;&gt;13,"Status kegiatan tidak valid",IF(AJ407&gt;0,"Lengkapi status kegiatan",IF(AND(AI407&gt;0,T407=""),"Isi alasan Tidak Berlaku",IF(AND(SUM(AG407,AH407)&gt;0,OR(T407="",U407="",V407="",W407="")),"Isi kendala dan tindak lanjut",IF(AND(Y407&lt;&gt;"Draft",Y407&lt;&gt;"Dikirim"),"Isi status laporan yang valid",IF(AND(AA407&lt;&gt;"",AA407&lt;&gt;"Belum Diperiksa",AA407&lt;&gt;"Disetujui",AA407&lt;&gt;"Perlu Perbaikan"),"Hasil review tidak valid",IF(AND(Y407="Dikirim",OR(X407="",Z407="")),"Isi bukti dan waktu kirim",IF(AND(AA407="Disetujui",OR(Y407&lt;&gt;"Dikirim",AB407="",AC407="")),"Lengkapi pemeriksaan",IF(AND(AA407="Perlu Perbaikan",OR(AD407="",AB407="",AC407="")),"Isi pemeriksa dan catatan perbaikan","OK")))))))))))))))),"")</f>
        <v/>
      </c>
    </row>
    <row r="408" spans="1:38" ht="24.95" customHeight="1">
      <c r="A408" s="8"/>
      <c r="B408" s="6"/>
      <c r="C408" s="15" t="str">
        <f>IF(COUNTIFS(Master_PIC!$A$8:$A$73,$B408)=1,IF(VLOOKUP($B408,Master_PIC!$A$8:$G$73,2,FALSE)="","",VLOOKUP($B408,Master_PIC!$A$8:$G$73,2,FALSE)),"")</f>
        <v/>
      </c>
      <c r="D408" s="15" t="str">
        <f>IF(COUNTIFS(Master_PIC!$A$8:$A$73,$B408)=1,IF(VLOOKUP($B408,Master_PIC!$A$8:$G$73,4,FALSE)="","",VLOOKUP($B408,Master_PIC!$A$8:$G$73,4,FALSE)),"")</f>
        <v/>
      </c>
      <c r="E408" s="15" t="str">
        <f>IF(COUNTIFS(Master_PIC!$A$8:$A$73,$B408)=1,IF(VLOOKUP($B408,Master_PIC!$A$8:$G$73,5,FALSE)="","",VLOOKUP($B408,Master_PIC!$A$8:$G$73,5,FALSE)),"")</f>
        <v/>
      </c>
      <c r="F408" s="15" t="str">
        <f>IF(COUNTIFS(Master_PIC!$A$8:$A$73,$B408)=1,IF(VLOOKUP($B408,Master_PIC!$A$8:$G$73,6,FALSE)="","",VLOOKUP($B408,Master_PIC!$A$8:$G$73,6,FALSE)),"")</f>
        <v/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8"/>
      <c r="X408" s="5"/>
      <c r="Y408" s="5"/>
      <c r="Z408" s="9"/>
      <c r="AA408" s="5"/>
      <c r="AB408" s="5"/>
      <c r="AC408" s="9"/>
      <c r="AD408" s="5"/>
      <c r="AE408" s="7" t="str">
        <f t="shared" si="42"/>
        <v/>
      </c>
      <c r="AF408" s="7" t="str">
        <f t="shared" si="43"/>
        <v/>
      </c>
      <c r="AG408" s="7" t="str">
        <f t="shared" si="44"/>
        <v/>
      </c>
      <c r="AH408" s="7" t="str">
        <f t="shared" si="45"/>
        <v/>
      </c>
      <c r="AI408" s="7" t="str">
        <f t="shared" si="46"/>
        <v/>
      </c>
      <c r="AJ408" s="7" t="str">
        <f t="shared" si="47"/>
        <v/>
      </c>
      <c r="AK408" s="10" t="str">
        <f t="shared" si="48"/>
        <v/>
      </c>
      <c r="AL408" s="15" t="str">
        <f>IF(OR($A408&lt;&gt;"",$B408&lt;&gt;""),IF(OR($A408="",$B408=""),"Isi tanggal dan ID PIC",IF(NOT(ISNUMBER($A408)),"Tanggal harus berupa tanggal Excel",IF(COUNTIFS(Master_PIC!$A$8:$A$73,$B408)&lt;&gt;1,"ID PIC tidak unik/terdaftar",IF(VLOOKUP($B408,Master_PIC!$A$8:$G$73,3,FALSE)&lt;&gt;"ASM","Jabatan tidak sesuai sheet",IF(OR($C408="",$D408="",$E408="",$F408=""),"Lengkapi master PIC",IF(COUNTIFS($A$8:$A$507,$A408,$B$8:$B$507,$B408)&gt;1,"Laporan ganda",IF(COUNTIFS(G408:O408,"Tidak Berlaku")&gt;0,"N/A hanya untuk kegiatan bersyarat",IF(SUM(AF408,AG408,AH408,AI408,AJ408)&lt;&gt;13,"Status kegiatan tidak valid",IF(AJ408&gt;0,"Lengkapi status kegiatan",IF(AND(AI408&gt;0,T408=""),"Isi alasan Tidak Berlaku",IF(AND(SUM(AG408,AH408)&gt;0,OR(T408="",U408="",V408="",W408="")),"Isi kendala dan tindak lanjut",IF(AND(Y408&lt;&gt;"Draft",Y408&lt;&gt;"Dikirim"),"Isi status laporan yang valid",IF(AND(AA408&lt;&gt;"",AA408&lt;&gt;"Belum Diperiksa",AA408&lt;&gt;"Disetujui",AA408&lt;&gt;"Perlu Perbaikan"),"Hasil review tidak valid",IF(AND(Y408="Dikirim",OR(X408="",Z408="")),"Isi bukti dan waktu kirim",IF(AND(AA408="Disetujui",OR(Y408&lt;&gt;"Dikirim",AB408="",AC408="")),"Lengkapi pemeriksaan",IF(AND(AA408="Perlu Perbaikan",OR(AD408="",AB408="",AC408="")),"Isi pemeriksa dan catatan perbaikan","OK")))))))))))))))),"")</f>
        <v/>
      </c>
    </row>
    <row r="409" spans="1:38" ht="24.95" customHeight="1">
      <c r="A409" s="8"/>
      <c r="B409" s="6"/>
      <c r="C409" s="15" t="str">
        <f>IF(COUNTIFS(Master_PIC!$A$8:$A$73,$B409)=1,IF(VLOOKUP($B409,Master_PIC!$A$8:$G$73,2,FALSE)="","",VLOOKUP($B409,Master_PIC!$A$8:$G$73,2,FALSE)),"")</f>
        <v/>
      </c>
      <c r="D409" s="15" t="str">
        <f>IF(COUNTIFS(Master_PIC!$A$8:$A$73,$B409)=1,IF(VLOOKUP($B409,Master_PIC!$A$8:$G$73,4,FALSE)="","",VLOOKUP($B409,Master_PIC!$A$8:$G$73,4,FALSE)),"")</f>
        <v/>
      </c>
      <c r="E409" s="15" t="str">
        <f>IF(COUNTIFS(Master_PIC!$A$8:$A$73,$B409)=1,IF(VLOOKUP($B409,Master_PIC!$A$8:$G$73,5,FALSE)="","",VLOOKUP($B409,Master_PIC!$A$8:$G$73,5,FALSE)),"")</f>
        <v/>
      </c>
      <c r="F409" s="15" t="str">
        <f>IF(COUNTIFS(Master_PIC!$A$8:$A$73,$B409)=1,IF(VLOOKUP($B409,Master_PIC!$A$8:$G$73,6,FALSE)="","",VLOOKUP($B409,Master_PIC!$A$8:$G$73,6,FALSE)),"")</f>
        <v/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8"/>
      <c r="X409" s="5"/>
      <c r="Y409" s="5"/>
      <c r="Z409" s="9"/>
      <c r="AA409" s="5"/>
      <c r="AB409" s="5"/>
      <c r="AC409" s="9"/>
      <c r="AD409" s="5"/>
      <c r="AE409" s="7" t="str">
        <f t="shared" si="42"/>
        <v/>
      </c>
      <c r="AF409" s="7" t="str">
        <f t="shared" si="43"/>
        <v/>
      </c>
      <c r="AG409" s="7" t="str">
        <f t="shared" si="44"/>
        <v/>
      </c>
      <c r="AH409" s="7" t="str">
        <f t="shared" si="45"/>
        <v/>
      </c>
      <c r="AI409" s="7" t="str">
        <f t="shared" si="46"/>
        <v/>
      </c>
      <c r="AJ409" s="7" t="str">
        <f t="shared" si="47"/>
        <v/>
      </c>
      <c r="AK409" s="10" t="str">
        <f t="shared" si="48"/>
        <v/>
      </c>
      <c r="AL409" s="15" t="str">
        <f>IF(OR($A409&lt;&gt;"",$B409&lt;&gt;""),IF(OR($A409="",$B409=""),"Isi tanggal dan ID PIC",IF(NOT(ISNUMBER($A409)),"Tanggal harus berupa tanggal Excel",IF(COUNTIFS(Master_PIC!$A$8:$A$73,$B409)&lt;&gt;1,"ID PIC tidak unik/terdaftar",IF(VLOOKUP($B409,Master_PIC!$A$8:$G$73,3,FALSE)&lt;&gt;"ASM","Jabatan tidak sesuai sheet",IF(OR($C409="",$D409="",$E409="",$F409=""),"Lengkapi master PIC",IF(COUNTIFS($A$8:$A$507,$A409,$B$8:$B$507,$B409)&gt;1,"Laporan ganda",IF(COUNTIFS(G409:O409,"Tidak Berlaku")&gt;0,"N/A hanya untuk kegiatan bersyarat",IF(SUM(AF409,AG409,AH409,AI409,AJ409)&lt;&gt;13,"Status kegiatan tidak valid",IF(AJ409&gt;0,"Lengkapi status kegiatan",IF(AND(AI409&gt;0,T409=""),"Isi alasan Tidak Berlaku",IF(AND(SUM(AG409,AH409)&gt;0,OR(T409="",U409="",V409="",W409="")),"Isi kendala dan tindak lanjut",IF(AND(Y409&lt;&gt;"Draft",Y409&lt;&gt;"Dikirim"),"Isi status laporan yang valid",IF(AND(AA409&lt;&gt;"",AA409&lt;&gt;"Belum Diperiksa",AA409&lt;&gt;"Disetujui",AA409&lt;&gt;"Perlu Perbaikan"),"Hasil review tidak valid",IF(AND(Y409="Dikirim",OR(X409="",Z409="")),"Isi bukti dan waktu kirim",IF(AND(AA409="Disetujui",OR(Y409&lt;&gt;"Dikirim",AB409="",AC409="")),"Lengkapi pemeriksaan",IF(AND(AA409="Perlu Perbaikan",OR(AD409="",AB409="",AC409="")),"Isi pemeriksa dan catatan perbaikan","OK")))))))))))))))),"")</f>
        <v/>
      </c>
    </row>
    <row r="410" spans="1:38" ht="24.95" customHeight="1">
      <c r="A410" s="8"/>
      <c r="B410" s="6"/>
      <c r="C410" s="15" t="str">
        <f>IF(COUNTIFS(Master_PIC!$A$8:$A$73,$B410)=1,IF(VLOOKUP($B410,Master_PIC!$A$8:$G$73,2,FALSE)="","",VLOOKUP($B410,Master_PIC!$A$8:$G$73,2,FALSE)),"")</f>
        <v/>
      </c>
      <c r="D410" s="15" t="str">
        <f>IF(COUNTIFS(Master_PIC!$A$8:$A$73,$B410)=1,IF(VLOOKUP($B410,Master_PIC!$A$8:$G$73,4,FALSE)="","",VLOOKUP($B410,Master_PIC!$A$8:$G$73,4,FALSE)),"")</f>
        <v/>
      </c>
      <c r="E410" s="15" t="str">
        <f>IF(COUNTIFS(Master_PIC!$A$8:$A$73,$B410)=1,IF(VLOOKUP($B410,Master_PIC!$A$8:$G$73,5,FALSE)="","",VLOOKUP($B410,Master_PIC!$A$8:$G$73,5,FALSE)),"")</f>
        <v/>
      </c>
      <c r="F410" s="15" t="str">
        <f>IF(COUNTIFS(Master_PIC!$A$8:$A$73,$B410)=1,IF(VLOOKUP($B410,Master_PIC!$A$8:$G$73,6,FALSE)="","",VLOOKUP($B410,Master_PIC!$A$8:$G$73,6,FALSE)),"")</f>
        <v/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8"/>
      <c r="X410" s="5"/>
      <c r="Y410" s="5"/>
      <c r="Z410" s="9"/>
      <c r="AA410" s="5"/>
      <c r="AB410" s="5"/>
      <c r="AC410" s="9"/>
      <c r="AD410" s="5"/>
      <c r="AE410" s="7" t="str">
        <f t="shared" si="42"/>
        <v/>
      </c>
      <c r="AF410" s="7" t="str">
        <f t="shared" si="43"/>
        <v/>
      </c>
      <c r="AG410" s="7" t="str">
        <f t="shared" si="44"/>
        <v/>
      </c>
      <c r="AH410" s="7" t="str">
        <f t="shared" si="45"/>
        <v/>
      </c>
      <c r="AI410" s="7" t="str">
        <f t="shared" si="46"/>
        <v/>
      </c>
      <c r="AJ410" s="7" t="str">
        <f t="shared" si="47"/>
        <v/>
      </c>
      <c r="AK410" s="10" t="str">
        <f t="shared" si="48"/>
        <v/>
      </c>
      <c r="AL410" s="15" t="str">
        <f>IF(OR($A410&lt;&gt;"",$B410&lt;&gt;""),IF(OR($A410="",$B410=""),"Isi tanggal dan ID PIC",IF(NOT(ISNUMBER($A410)),"Tanggal harus berupa tanggal Excel",IF(COUNTIFS(Master_PIC!$A$8:$A$73,$B410)&lt;&gt;1,"ID PIC tidak unik/terdaftar",IF(VLOOKUP($B410,Master_PIC!$A$8:$G$73,3,FALSE)&lt;&gt;"ASM","Jabatan tidak sesuai sheet",IF(OR($C410="",$D410="",$E410="",$F410=""),"Lengkapi master PIC",IF(COUNTIFS($A$8:$A$507,$A410,$B$8:$B$507,$B410)&gt;1,"Laporan ganda",IF(COUNTIFS(G410:O410,"Tidak Berlaku")&gt;0,"N/A hanya untuk kegiatan bersyarat",IF(SUM(AF410,AG410,AH410,AI410,AJ410)&lt;&gt;13,"Status kegiatan tidak valid",IF(AJ410&gt;0,"Lengkapi status kegiatan",IF(AND(AI410&gt;0,T410=""),"Isi alasan Tidak Berlaku",IF(AND(SUM(AG410,AH410)&gt;0,OR(T410="",U410="",V410="",W410="")),"Isi kendala dan tindak lanjut",IF(AND(Y410&lt;&gt;"Draft",Y410&lt;&gt;"Dikirim"),"Isi status laporan yang valid",IF(AND(AA410&lt;&gt;"",AA410&lt;&gt;"Belum Diperiksa",AA410&lt;&gt;"Disetujui",AA410&lt;&gt;"Perlu Perbaikan"),"Hasil review tidak valid",IF(AND(Y410="Dikirim",OR(X410="",Z410="")),"Isi bukti dan waktu kirim",IF(AND(AA410="Disetujui",OR(Y410&lt;&gt;"Dikirim",AB410="",AC410="")),"Lengkapi pemeriksaan",IF(AND(AA410="Perlu Perbaikan",OR(AD410="",AB410="",AC410="")),"Isi pemeriksa dan catatan perbaikan","OK")))))))))))))))),"")</f>
        <v/>
      </c>
    </row>
    <row r="411" spans="1:38" ht="24.95" customHeight="1">
      <c r="A411" s="8"/>
      <c r="B411" s="6"/>
      <c r="C411" s="15" t="str">
        <f>IF(COUNTIFS(Master_PIC!$A$8:$A$73,$B411)=1,IF(VLOOKUP($B411,Master_PIC!$A$8:$G$73,2,FALSE)="","",VLOOKUP($B411,Master_PIC!$A$8:$G$73,2,FALSE)),"")</f>
        <v/>
      </c>
      <c r="D411" s="15" t="str">
        <f>IF(COUNTIFS(Master_PIC!$A$8:$A$73,$B411)=1,IF(VLOOKUP($B411,Master_PIC!$A$8:$G$73,4,FALSE)="","",VLOOKUP($B411,Master_PIC!$A$8:$G$73,4,FALSE)),"")</f>
        <v/>
      </c>
      <c r="E411" s="15" t="str">
        <f>IF(COUNTIFS(Master_PIC!$A$8:$A$73,$B411)=1,IF(VLOOKUP($B411,Master_PIC!$A$8:$G$73,5,FALSE)="","",VLOOKUP($B411,Master_PIC!$A$8:$G$73,5,FALSE)),"")</f>
        <v/>
      </c>
      <c r="F411" s="15" t="str">
        <f>IF(COUNTIFS(Master_PIC!$A$8:$A$73,$B411)=1,IF(VLOOKUP($B411,Master_PIC!$A$8:$G$73,6,FALSE)="","",VLOOKUP($B411,Master_PIC!$A$8:$G$73,6,FALSE)),"")</f>
        <v/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8"/>
      <c r="X411" s="5"/>
      <c r="Y411" s="5"/>
      <c r="Z411" s="9"/>
      <c r="AA411" s="5"/>
      <c r="AB411" s="5"/>
      <c r="AC411" s="9"/>
      <c r="AD411" s="5"/>
      <c r="AE411" s="7" t="str">
        <f t="shared" si="42"/>
        <v/>
      </c>
      <c r="AF411" s="7" t="str">
        <f t="shared" si="43"/>
        <v/>
      </c>
      <c r="AG411" s="7" t="str">
        <f t="shared" si="44"/>
        <v/>
      </c>
      <c r="AH411" s="7" t="str">
        <f t="shared" si="45"/>
        <v/>
      </c>
      <c r="AI411" s="7" t="str">
        <f t="shared" si="46"/>
        <v/>
      </c>
      <c r="AJ411" s="7" t="str">
        <f t="shared" si="47"/>
        <v/>
      </c>
      <c r="AK411" s="10" t="str">
        <f t="shared" si="48"/>
        <v/>
      </c>
      <c r="AL411" s="15" t="str">
        <f>IF(OR($A411&lt;&gt;"",$B411&lt;&gt;""),IF(OR($A411="",$B411=""),"Isi tanggal dan ID PIC",IF(NOT(ISNUMBER($A411)),"Tanggal harus berupa tanggal Excel",IF(COUNTIFS(Master_PIC!$A$8:$A$73,$B411)&lt;&gt;1,"ID PIC tidak unik/terdaftar",IF(VLOOKUP($B411,Master_PIC!$A$8:$G$73,3,FALSE)&lt;&gt;"ASM","Jabatan tidak sesuai sheet",IF(OR($C411="",$D411="",$E411="",$F411=""),"Lengkapi master PIC",IF(COUNTIFS($A$8:$A$507,$A411,$B$8:$B$507,$B411)&gt;1,"Laporan ganda",IF(COUNTIFS(G411:O411,"Tidak Berlaku")&gt;0,"N/A hanya untuk kegiatan bersyarat",IF(SUM(AF411,AG411,AH411,AI411,AJ411)&lt;&gt;13,"Status kegiatan tidak valid",IF(AJ411&gt;0,"Lengkapi status kegiatan",IF(AND(AI411&gt;0,T411=""),"Isi alasan Tidak Berlaku",IF(AND(SUM(AG411,AH411)&gt;0,OR(T411="",U411="",V411="",W411="")),"Isi kendala dan tindak lanjut",IF(AND(Y411&lt;&gt;"Draft",Y411&lt;&gt;"Dikirim"),"Isi status laporan yang valid",IF(AND(AA411&lt;&gt;"",AA411&lt;&gt;"Belum Diperiksa",AA411&lt;&gt;"Disetujui",AA411&lt;&gt;"Perlu Perbaikan"),"Hasil review tidak valid",IF(AND(Y411="Dikirim",OR(X411="",Z411="")),"Isi bukti dan waktu kirim",IF(AND(AA411="Disetujui",OR(Y411&lt;&gt;"Dikirim",AB411="",AC411="")),"Lengkapi pemeriksaan",IF(AND(AA411="Perlu Perbaikan",OR(AD411="",AB411="",AC411="")),"Isi pemeriksa dan catatan perbaikan","OK")))))))))))))))),"")</f>
        <v/>
      </c>
    </row>
    <row r="412" spans="1:38" ht="24.95" customHeight="1">
      <c r="A412" s="8"/>
      <c r="B412" s="6"/>
      <c r="C412" s="15" t="str">
        <f>IF(COUNTIFS(Master_PIC!$A$8:$A$73,$B412)=1,IF(VLOOKUP($B412,Master_PIC!$A$8:$G$73,2,FALSE)="","",VLOOKUP($B412,Master_PIC!$A$8:$G$73,2,FALSE)),"")</f>
        <v/>
      </c>
      <c r="D412" s="15" t="str">
        <f>IF(COUNTIFS(Master_PIC!$A$8:$A$73,$B412)=1,IF(VLOOKUP($B412,Master_PIC!$A$8:$G$73,4,FALSE)="","",VLOOKUP($B412,Master_PIC!$A$8:$G$73,4,FALSE)),"")</f>
        <v/>
      </c>
      <c r="E412" s="15" t="str">
        <f>IF(COUNTIFS(Master_PIC!$A$8:$A$73,$B412)=1,IF(VLOOKUP($B412,Master_PIC!$A$8:$G$73,5,FALSE)="","",VLOOKUP($B412,Master_PIC!$A$8:$G$73,5,FALSE)),"")</f>
        <v/>
      </c>
      <c r="F412" s="15" t="str">
        <f>IF(COUNTIFS(Master_PIC!$A$8:$A$73,$B412)=1,IF(VLOOKUP($B412,Master_PIC!$A$8:$G$73,6,FALSE)="","",VLOOKUP($B412,Master_PIC!$A$8:$G$73,6,FALSE)),"")</f>
        <v/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8"/>
      <c r="X412" s="5"/>
      <c r="Y412" s="5"/>
      <c r="Z412" s="9"/>
      <c r="AA412" s="5"/>
      <c r="AB412" s="5"/>
      <c r="AC412" s="9"/>
      <c r="AD412" s="5"/>
      <c r="AE412" s="7" t="str">
        <f t="shared" si="42"/>
        <v/>
      </c>
      <c r="AF412" s="7" t="str">
        <f t="shared" si="43"/>
        <v/>
      </c>
      <c r="AG412" s="7" t="str">
        <f t="shared" si="44"/>
        <v/>
      </c>
      <c r="AH412" s="7" t="str">
        <f t="shared" si="45"/>
        <v/>
      </c>
      <c r="AI412" s="7" t="str">
        <f t="shared" si="46"/>
        <v/>
      </c>
      <c r="AJ412" s="7" t="str">
        <f t="shared" si="47"/>
        <v/>
      </c>
      <c r="AK412" s="10" t="str">
        <f t="shared" si="48"/>
        <v/>
      </c>
      <c r="AL412" s="15" t="str">
        <f>IF(OR($A412&lt;&gt;"",$B412&lt;&gt;""),IF(OR($A412="",$B412=""),"Isi tanggal dan ID PIC",IF(NOT(ISNUMBER($A412)),"Tanggal harus berupa tanggal Excel",IF(COUNTIFS(Master_PIC!$A$8:$A$73,$B412)&lt;&gt;1,"ID PIC tidak unik/terdaftar",IF(VLOOKUP($B412,Master_PIC!$A$8:$G$73,3,FALSE)&lt;&gt;"ASM","Jabatan tidak sesuai sheet",IF(OR($C412="",$D412="",$E412="",$F412=""),"Lengkapi master PIC",IF(COUNTIFS($A$8:$A$507,$A412,$B$8:$B$507,$B412)&gt;1,"Laporan ganda",IF(COUNTIFS(G412:O412,"Tidak Berlaku")&gt;0,"N/A hanya untuk kegiatan bersyarat",IF(SUM(AF412,AG412,AH412,AI412,AJ412)&lt;&gt;13,"Status kegiatan tidak valid",IF(AJ412&gt;0,"Lengkapi status kegiatan",IF(AND(AI412&gt;0,T412=""),"Isi alasan Tidak Berlaku",IF(AND(SUM(AG412,AH412)&gt;0,OR(T412="",U412="",V412="",W412="")),"Isi kendala dan tindak lanjut",IF(AND(Y412&lt;&gt;"Draft",Y412&lt;&gt;"Dikirim"),"Isi status laporan yang valid",IF(AND(AA412&lt;&gt;"",AA412&lt;&gt;"Belum Diperiksa",AA412&lt;&gt;"Disetujui",AA412&lt;&gt;"Perlu Perbaikan"),"Hasil review tidak valid",IF(AND(Y412="Dikirim",OR(X412="",Z412="")),"Isi bukti dan waktu kirim",IF(AND(AA412="Disetujui",OR(Y412&lt;&gt;"Dikirim",AB412="",AC412="")),"Lengkapi pemeriksaan",IF(AND(AA412="Perlu Perbaikan",OR(AD412="",AB412="",AC412="")),"Isi pemeriksa dan catatan perbaikan","OK")))))))))))))))),"")</f>
        <v/>
      </c>
    </row>
    <row r="413" spans="1:38" ht="24.95" customHeight="1">
      <c r="A413" s="8"/>
      <c r="B413" s="6"/>
      <c r="C413" s="15" t="str">
        <f>IF(COUNTIFS(Master_PIC!$A$8:$A$73,$B413)=1,IF(VLOOKUP($B413,Master_PIC!$A$8:$G$73,2,FALSE)="","",VLOOKUP($B413,Master_PIC!$A$8:$G$73,2,FALSE)),"")</f>
        <v/>
      </c>
      <c r="D413" s="15" t="str">
        <f>IF(COUNTIFS(Master_PIC!$A$8:$A$73,$B413)=1,IF(VLOOKUP($B413,Master_PIC!$A$8:$G$73,4,FALSE)="","",VLOOKUP($B413,Master_PIC!$A$8:$G$73,4,FALSE)),"")</f>
        <v/>
      </c>
      <c r="E413" s="15" t="str">
        <f>IF(COUNTIFS(Master_PIC!$A$8:$A$73,$B413)=1,IF(VLOOKUP($B413,Master_PIC!$A$8:$G$73,5,FALSE)="","",VLOOKUP($B413,Master_PIC!$A$8:$G$73,5,FALSE)),"")</f>
        <v/>
      </c>
      <c r="F413" s="15" t="str">
        <f>IF(COUNTIFS(Master_PIC!$A$8:$A$73,$B413)=1,IF(VLOOKUP($B413,Master_PIC!$A$8:$G$73,6,FALSE)="","",VLOOKUP($B413,Master_PIC!$A$8:$G$73,6,FALSE)),"")</f>
        <v/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8"/>
      <c r="X413" s="5"/>
      <c r="Y413" s="5"/>
      <c r="Z413" s="9"/>
      <c r="AA413" s="5"/>
      <c r="AB413" s="5"/>
      <c r="AC413" s="9"/>
      <c r="AD413" s="5"/>
      <c r="AE413" s="7" t="str">
        <f t="shared" si="42"/>
        <v/>
      </c>
      <c r="AF413" s="7" t="str">
        <f t="shared" si="43"/>
        <v/>
      </c>
      <c r="AG413" s="7" t="str">
        <f t="shared" si="44"/>
        <v/>
      </c>
      <c r="AH413" s="7" t="str">
        <f t="shared" si="45"/>
        <v/>
      </c>
      <c r="AI413" s="7" t="str">
        <f t="shared" si="46"/>
        <v/>
      </c>
      <c r="AJ413" s="7" t="str">
        <f t="shared" si="47"/>
        <v/>
      </c>
      <c r="AK413" s="10" t="str">
        <f t="shared" si="48"/>
        <v/>
      </c>
      <c r="AL413" s="15" t="str">
        <f>IF(OR($A413&lt;&gt;"",$B413&lt;&gt;""),IF(OR($A413="",$B413=""),"Isi tanggal dan ID PIC",IF(NOT(ISNUMBER($A413)),"Tanggal harus berupa tanggal Excel",IF(COUNTIFS(Master_PIC!$A$8:$A$73,$B413)&lt;&gt;1,"ID PIC tidak unik/terdaftar",IF(VLOOKUP($B413,Master_PIC!$A$8:$G$73,3,FALSE)&lt;&gt;"ASM","Jabatan tidak sesuai sheet",IF(OR($C413="",$D413="",$E413="",$F413=""),"Lengkapi master PIC",IF(COUNTIFS($A$8:$A$507,$A413,$B$8:$B$507,$B413)&gt;1,"Laporan ganda",IF(COUNTIFS(G413:O413,"Tidak Berlaku")&gt;0,"N/A hanya untuk kegiatan bersyarat",IF(SUM(AF413,AG413,AH413,AI413,AJ413)&lt;&gt;13,"Status kegiatan tidak valid",IF(AJ413&gt;0,"Lengkapi status kegiatan",IF(AND(AI413&gt;0,T413=""),"Isi alasan Tidak Berlaku",IF(AND(SUM(AG413,AH413)&gt;0,OR(T413="",U413="",V413="",W413="")),"Isi kendala dan tindak lanjut",IF(AND(Y413&lt;&gt;"Draft",Y413&lt;&gt;"Dikirim"),"Isi status laporan yang valid",IF(AND(AA413&lt;&gt;"",AA413&lt;&gt;"Belum Diperiksa",AA413&lt;&gt;"Disetujui",AA413&lt;&gt;"Perlu Perbaikan"),"Hasil review tidak valid",IF(AND(Y413="Dikirim",OR(X413="",Z413="")),"Isi bukti dan waktu kirim",IF(AND(AA413="Disetujui",OR(Y413&lt;&gt;"Dikirim",AB413="",AC413="")),"Lengkapi pemeriksaan",IF(AND(AA413="Perlu Perbaikan",OR(AD413="",AB413="",AC413="")),"Isi pemeriksa dan catatan perbaikan","OK")))))))))))))))),"")</f>
        <v/>
      </c>
    </row>
    <row r="414" spans="1:38" ht="24.95" customHeight="1">
      <c r="A414" s="8"/>
      <c r="B414" s="6"/>
      <c r="C414" s="15" t="str">
        <f>IF(COUNTIFS(Master_PIC!$A$8:$A$73,$B414)=1,IF(VLOOKUP($B414,Master_PIC!$A$8:$G$73,2,FALSE)="","",VLOOKUP($B414,Master_PIC!$A$8:$G$73,2,FALSE)),"")</f>
        <v/>
      </c>
      <c r="D414" s="15" t="str">
        <f>IF(COUNTIFS(Master_PIC!$A$8:$A$73,$B414)=1,IF(VLOOKUP($B414,Master_PIC!$A$8:$G$73,4,FALSE)="","",VLOOKUP($B414,Master_PIC!$A$8:$G$73,4,FALSE)),"")</f>
        <v/>
      </c>
      <c r="E414" s="15" t="str">
        <f>IF(COUNTIFS(Master_PIC!$A$8:$A$73,$B414)=1,IF(VLOOKUP($B414,Master_PIC!$A$8:$G$73,5,FALSE)="","",VLOOKUP($B414,Master_PIC!$A$8:$G$73,5,FALSE)),"")</f>
        <v/>
      </c>
      <c r="F414" s="15" t="str">
        <f>IF(COUNTIFS(Master_PIC!$A$8:$A$73,$B414)=1,IF(VLOOKUP($B414,Master_PIC!$A$8:$G$73,6,FALSE)="","",VLOOKUP($B414,Master_PIC!$A$8:$G$73,6,FALSE)),"")</f>
        <v/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8"/>
      <c r="X414" s="5"/>
      <c r="Y414" s="5"/>
      <c r="Z414" s="9"/>
      <c r="AA414" s="5"/>
      <c r="AB414" s="5"/>
      <c r="AC414" s="9"/>
      <c r="AD414" s="5"/>
      <c r="AE414" s="7" t="str">
        <f t="shared" si="42"/>
        <v/>
      </c>
      <c r="AF414" s="7" t="str">
        <f t="shared" si="43"/>
        <v/>
      </c>
      <c r="AG414" s="7" t="str">
        <f t="shared" si="44"/>
        <v/>
      </c>
      <c r="AH414" s="7" t="str">
        <f t="shared" si="45"/>
        <v/>
      </c>
      <c r="AI414" s="7" t="str">
        <f t="shared" si="46"/>
        <v/>
      </c>
      <c r="AJ414" s="7" t="str">
        <f t="shared" si="47"/>
        <v/>
      </c>
      <c r="AK414" s="10" t="str">
        <f t="shared" si="48"/>
        <v/>
      </c>
      <c r="AL414" s="15" t="str">
        <f>IF(OR($A414&lt;&gt;"",$B414&lt;&gt;""),IF(OR($A414="",$B414=""),"Isi tanggal dan ID PIC",IF(NOT(ISNUMBER($A414)),"Tanggal harus berupa tanggal Excel",IF(COUNTIFS(Master_PIC!$A$8:$A$73,$B414)&lt;&gt;1,"ID PIC tidak unik/terdaftar",IF(VLOOKUP($B414,Master_PIC!$A$8:$G$73,3,FALSE)&lt;&gt;"ASM","Jabatan tidak sesuai sheet",IF(OR($C414="",$D414="",$E414="",$F414=""),"Lengkapi master PIC",IF(COUNTIFS($A$8:$A$507,$A414,$B$8:$B$507,$B414)&gt;1,"Laporan ganda",IF(COUNTIFS(G414:O414,"Tidak Berlaku")&gt;0,"N/A hanya untuk kegiatan bersyarat",IF(SUM(AF414,AG414,AH414,AI414,AJ414)&lt;&gt;13,"Status kegiatan tidak valid",IF(AJ414&gt;0,"Lengkapi status kegiatan",IF(AND(AI414&gt;0,T414=""),"Isi alasan Tidak Berlaku",IF(AND(SUM(AG414,AH414)&gt;0,OR(T414="",U414="",V414="",W414="")),"Isi kendala dan tindak lanjut",IF(AND(Y414&lt;&gt;"Draft",Y414&lt;&gt;"Dikirim"),"Isi status laporan yang valid",IF(AND(AA414&lt;&gt;"",AA414&lt;&gt;"Belum Diperiksa",AA414&lt;&gt;"Disetujui",AA414&lt;&gt;"Perlu Perbaikan"),"Hasil review tidak valid",IF(AND(Y414="Dikirim",OR(X414="",Z414="")),"Isi bukti dan waktu kirim",IF(AND(AA414="Disetujui",OR(Y414&lt;&gt;"Dikirim",AB414="",AC414="")),"Lengkapi pemeriksaan",IF(AND(AA414="Perlu Perbaikan",OR(AD414="",AB414="",AC414="")),"Isi pemeriksa dan catatan perbaikan","OK")))))))))))))))),"")</f>
        <v/>
      </c>
    </row>
    <row r="415" spans="1:38" ht="24.95" customHeight="1">
      <c r="A415" s="8"/>
      <c r="B415" s="6"/>
      <c r="C415" s="15" t="str">
        <f>IF(COUNTIFS(Master_PIC!$A$8:$A$73,$B415)=1,IF(VLOOKUP($B415,Master_PIC!$A$8:$G$73,2,FALSE)="","",VLOOKUP($B415,Master_PIC!$A$8:$G$73,2,FALSE)),"")</f>
        <v/>
      </c>
      <c r="D415" s="15" t="str">
        <f>IF(COUNTIFS(Master_PIC!$A$8:$A$73,$B415)=1,IF(VLOOKUP($B415,Master_PIC!$A$8:$G$73,4,FALSE)="","",VLOOKUP($B415,Master_PIC!$A$8:$G$73,4,FALSE)),"")</f>
        <v/>
      </c>
      <c r="E415" s="15" t="str">
        <f>IF(COUNTIFS(Master_PIC!$A$8:$A$73,$B415)=1,IF(VLOOKUP($B415,Master_PIC!$A$8:$G$73,5,FALSE)="","",VLOOKUP($B415,Master_PIC!$A$8:$G$73,5,FALSE)),"")</f>
        <v/>
      </c>
      <c r="F415" s="15" t="str">
        <f>IF(COUNTIFS(Master_PIC!$A$8:$A$73,$B415)=1,IF(VLOOKUP($B415,Master_PIC!$A$8:$G$73,6,FALSE)="","",VLOOKUP($B415,Master_PIC!$A$8:$G$73,6,FALSE)),"")</f>
        <v/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8"/>
      <c r="X415" s="5"/>
      <c r="Y415" s="5"/>
      <c r="Z415" s="9"/>
      <c r="AA415" s="5"/>
      <c r="AB415" s="5"/>
      <c r="AC415" s="9"/>
      <c r="AD415" s="5"/>
      <c r="AE415" s="7" t="str">
        <f t="shared" si="42"/>
        <v/>
      </c>
      <c r="AF415" s="7" t="str">
        <f t="shared" si="43"/>
        <v/>
      </c>
      <c r="AG415" s="7" t="str">
        <f t="shared" si="44"/>
        <v/>
      </c>
      <c r="AH415" s="7" t="str">
        <f t="shared" si="45"/>
        <v/>
      </c>
      <c r="AI415" s="7" t="str">
        <f t="shared" si="46"/>
        <v/>
      </c>
      <c r="AJ415" s="7" t="str">
        <f t="shared" si="47"/>
        <v/>
      </c>
      <c r="AK415" s="10" t="str">
        <f t="shared" si="48"/>
        <v/>
      </c>
      <c r="AL415" s="15" t="str">
        <f>IF(OR($A415&lt;&gt;"",$B415&lt;&gt;""),IF(OR($A415="",$B415=""),"Isi tanggal dan ID PIC",IF(NOT(ISNUMBER($A415)),"Tanggal harus berupa tanggal Excel",IF(COUNTIFS(Master_PIC!$A$8:$A$73,$B415)&lt;&gt;1,"ID PIC tidak unik/terdaftar",IF(VLOOKUP($B415,Master_PIC!$A$8:$G$73,3,FALSE)&lt;&gt;"ASM","Jabatan tidak sesuai sheet",IF(OR($C415="",$D415="",$E415="",$F415=""),"Lengkapi master PIC",IF(COUNTIFS($A$8:$A$507,$A415,$B$8:$B$507,$B415)&gt;1,"Laporan ganda",IF(COUNTIFS(G415:O415,"Tidak Berlaku")&gt;0,"N/A hanya untuk kegiatan bersyarat",IF(SUM(AF415,AG415,AH415,AI415,AJ415)&lt;&gt;13,"Status kegiatan tidak valid",IF(AJ415&gt;0,"Lengkapi status kegiatan",IF(AND(AI415&gt;0,T415=""),"Isi alasan Tidak Berlaku",IF(AND(SUM(AG415,AH415)&gt;0,OR(T415="",U415="",V415="",W415="")),"Isi kendala dan tindak lanjut",IF(AND(Y415&lt;&gt;"Draft",Y415&lt;&gt;"Dikirim"),"Isi status laporan yang valid",IF(AND(AA415&lt;&gt;"",AA415&lt;&gt;"Belum Diperiksa",AA415&lt;&gt;"Disetujui",AA415&lt;&gt;"Perlu Perbaikan"),"Hasil review tidak valid",IF(AND(Y415="Dikirim",OR(X415="",Z415="")),"Isi bukti dan waktu kirim",IF(AND(AA415="Disetujui",OR(Y415&lt;&gt;"Dikirim",AB415="",AC415="")),"Lengkapi pemeriksaan",IF(AND(AA415="Perlu Perbaikan",OR(AD415="",AB415="",AC415="")),"Isi pemeriksa dan catatan perbaikan","OK")))))))))))))))),"")</f>
        <v/>
      </c>
    </row>
    <row r="416" spans="1:38" ht="24.95" customHeight="1">
      <c r="A416" s="8"/>
      <c r="B416" s="6"/>
      <c r="C416" s="15" t="str">
        <f>IF(COUNTIFS(Master_PIC!$A$8:$A$73,$B416)=1,IF(VLOOKUP($B416,Master_PIC!$A$8:$G$73,2,FALSE)="","",VLOOKUP($B416,Master_PIC!$A$8:$G$73,2,FALSE)),"")</f>
        <v/>
      </c>
      <c r="D416" s="15" t="str">
        <f>IF(COUNTIFS(Master_PIC!$A$8:$A$73,$B416)=1,IF(VLOOKUP($B416,Master_PIC!$A$8:$G$73,4,FALSE)="","",VLOOKUP($B416,Master_PIC!$A$8:$G$73,4,FALSE)),"")</f>
        <v/>
      </c>
      <c r="E416" s="15" t="str">
        <f>IF(COUNTIFS(Master_PIC!$A$8:$A$73,$B416)=1,IF(VLOOKUP($B416,Master_PIC!$A$8:$G$73,5,FALSE)="","",VLOOKUP($B416,Master_PIC!$A$8:$G$73,5,FALSE)),"")</f>
        <v/>
      </c>
      <c r="F416" s="15" t="str">
        <f>IF(COUNTIFS(Master_PIC!$A$8:$A$73,$B416)=1,IF(VLOOKUP($B416,Master_PIC!$A$8:$G$73,6,FALSE)="","",VLOOKUP($B416,Master_PIC!$A$8:$G$73,6,FALSE)),"")</f>
        <v/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8"/>
      <c r="X416" s="5"/>
      <c r="Y416" s="5"/>
      <c r="Z416" s="9"/>
      <c r="AA416" s="5"/>
      <c r="AB416" s="5"/>
      <c r="AC416" s="9"/>
      <c r="AD416" s="5"/>
      <c r="AE416" s="7" t="str">
        <f t="shared" si="42"/>
        <v/>
      </c>
      <c r="AF416" s="7" t="str">
        <f t="shared" si="43"/>
        <v/>
      </c>
      <c r="AG416" s="7" t="str">
        <f t="shared" si="44"/>
        <v/>
      </c>
      <c r="AH416" s="7" t="str">
        <f t="shared" si="45"/>
        <v/>
      </c>
      <c r="AI416" s="7" t="str">
        <f t="shared" si="46"/>
        <v/>
      </c>
      <c r="AJ416" s="7" t="str">
        <f t="shared" si="47"/>
        <v/>
      </c>
      <c r="AK416" s="10" t="str">
        <f t="shared" si="48"/>
        <v/>
      </c>
      <c r="AL416" s="15" t="str">
        <f>IF(OR($A416&lt;&gt;"",$B416&lt;&gt;""),IF(OR($A416="",$B416=""),"Isi tanggal dan ID PIC",IF(NOT(ISNUMBER($A416)),"Tanggal harus berupa tanggal Excel",IF(COUNTIFS(Master_PIC!$A$8:$A$73,$B416)&lt;&gt;1,"ID PIC tidak unik/terdaftar",IF(VLOOKUP($B416,Master_PIC!$A$8:$G$73,3,FALSE)&lt;&gt;"ASM","Jabatan tidak sesuai sheet",IF(OR($C416="",$D416="",$E416="",$F416=""),"Lengkapi master PIC",IF(COUNTIFS($A$8:$A$507,$A416,$B$8:$B$507,$B416)&gt;1,"Laporan ganda",IF(COUNTIFS(G416:O416,"Tidak Berlaku")&gt;0,"N/A hanya untuk kegiatan bersyarat",IF(SUM(AF416,AG416,AH416,AI416,AJ416)&lt;&gt;13,"Status kegiatan tidak valid",IF(AJ416&gt;0,"Lengkapi status kegiatan",IF(AND(AI416&gt;0,T416=""),"Isi alasan Tidak Berlaku",IF(AND(SUM(AG416,AH416)&gt;0,OR(T416="",U416="",V416="",W416="")),"Isi kendala dan tindak lanjut",IF(AND(Y416&lt;&gt;"Draft",Y416&lt;&gt;"Dikirim"),"Isi status laporan yang valid",IF(AND(AA416&lt;&gt;"",AA416&lt;&gt;"Belum Diperiksa",AA416&lt;&gt;"Disetujui",AA416&lt;&gt;"Perlu Perbaikan"),"Hasil review tidak valid",IF(AND(Y416="Dikirim",OR(X416="",Z416="")),"Isi bukti dan waktu kirim",IF(AND(AA416="Disetujui",OR(Y416&lt;&gt;"Dikirim",AB416="",AC416="")),"Lengkapi pemeriksaan",IF(AND(AA416="Perlu Perbaikan",OR(AD416="",AB416="",AC416="")),"Isi pemeriksa dan catatan perbaikan","OK")))))))))))))))),"")</f>
        <v/>
      </c>
    </row>
    <row r="417" spans="1:38" ht="24.95" customHeight="1">
      <c r="A417" s="8"/>
      <c r="B417" s="6"/>
      <c r="C417" s="15" t="str">
        <f>IF(COUNTIFS(Master_PIC!$A$8:$A$73,$B417)=1,IF(VLOOKUP($B417,Master_PIC!$A$8:$G$73,2,FALSE)="","",VLOOKUP($B417,Master_PIC!$A$8:$G$73,2,FALSE)),"")</f>
        <v/>
      </c>
      <c r="D417" s="15" t="str">
        <f>IF(COUNTIFS(Master_PIC!$A$8:$A$73,$B417)=1,IF(VLOOKUP($B417,Master_PIC!$A$8:$G$73,4,FALSE)="","",VLOOKUP($B417,Master_PIC!$A$8:$G$73,4,FALSE)),"")</f>
        <v/>
      </c>
      <c r="E417" s="15" t="str">
        <f>IF(COUNTIFS(Master_PIC!$A$8:$A$73,$B417)=1,IF(VLOOKUP($B417,Master_PIC!$A$8:$G$73,5,FALSE)="","",VLOOKUP($B417,Master_PIC!$A$8:$G$73,5,FALSE)),"")</f>
        <v/>
      </c>
      <c r="F417" s="15" t="str">
        <f>IF(COUNTIFS(Master_PIC!$A$8:$A$73,$B417)=1,IF(VLOOKUP($B417,Master_PIC!$A$8:$G$73,6,FALSE)="","",VLOOKUP($B417,Master_PIC!$A$8:$G$73,6,FALSE)),"")</f>
        <v/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8"/>
      <c r="X417" s="5"/>
      <c r="Y417" s="5"/>
      <c r="Z417" s="9"/>
      <c r="AA417" s="5"/>
      <c r="AB417" s="5"/>
      <c r="AC417" s="9"/>
      <c r="AD417" s="5"/>
      <c r="AE417" s="7" t="str">
        <f t="shared" si="42"/>
        <v/>
      </c>
      <c r="AF417" s="7" t="str">
        <f t="shared" si="43"/>
        <v/>
      </c>
      <c r="AG417" s="7" t="str">
        <f t="shared" si="44"/>
        <v/>
      </c>
      <c r="AH417" s="7" t="str">
        <f t="shared" si="45"/>
        <v/>
      </c>
      <c r="AI417" s="7" t="str">
        <f t="shared" si="46"/>
        <v/>
      </c>
      <c r="AJ417" s="7" t="str">
        <f t="shared" si="47"/>
        <v/>
      </c>
      <c r="AK417" s="10" t="str">
        <f t="shared" si="48"/>
        <v/>
      </c>
      <c r="AL417" s="15" t="str">
        <f>IF(OR($A417&lt;&gt;"",$B417&lt;&gt;""),IF(OR($A417="",$B417=""),"Isi tanggal dan ID PIC",IF(NOT(ISNUMBER($A417)),"Tanggal harus berupa tanggal Excel",IF(COUNTIFS(Master_PIC!$A$8:$A$73,$B417)&lt;&gt;1,"ID PIC tidak unik/terdaftar",IF(VLOOKUP($B417,Master_PIC!$A$8:$G$73,3,FALSE)&lt;&gt;"ASM","Jabatan tidak sesuai sheet",IF(OR($C417="",$D417="",$E417="",$F417=""),"Lengkapi master PIC",IF(COUNTIFS($A$8:$A$507,$A417,$B$8:$B$507,$B417)&gt;1,"Laporan ganda",IF(COUNTIFS(G417:O417,"Tidak Berlaku")&gt;0,"N/A hanya untuk kegiatan bersyarat",IF(SUM(AF417,AG417,AH417,AI417,AJ417)&lt;&gt;13,"Status kegiatan tidak valid",IF(AJ417&gt;0,"Lengkapi status kegiatan",IF(AND(AI417&gt;0,T417=""),"Isi alasan Tidak Berlaku",IF(AND(SUM(AG417,AH417)&gt;0,OR(T417="",U417="",V417="",W417="")),"Isi kendala dan tindak lanjut",IF(AND(Y417&lt;&gt;"Draft",Y417&lt;&gt;"Dikirim"),"Isi status laporan yang valid",IF(AND(AA417&lt;&gt;"",AA417&lt;&gt;"Belum Diperiksa",AA417&lt;&gt;"Disetujui",AA417&lt;&gt;"Perlu Perbaikan"),"Hasil review tidak valid",IF(AND(Y417="Dikirim",OR(X417="",Z417="")),"Isi bukti dan waktu kirim",IF(AND(AA417="Disetujui",OR(Y417&lt;&gt;"Dikirim",AB417="",AC417="")),"Lengkapi pemeriksaan",IF(AND(AA417="Perlu Perbaikan",OR(AD417="",AB417="",AC417="")),"Isi pemeriksa dan catatan perbaikan","OK")))))))))))))))),"")</f>
        <v/>
      </c>
    </row>
    <row r="418" spans="1:38" ht="24.95" customHeight="1">
      <c r="A418" s="8"/>
      <c r="B418" s="6"/>
      <c r="C418" s="15" t="str">
        <f>IF(COUNTIFS(Master_PIC!$A$8:$A$73,$B418)=1,IF(VLOOKUP($B418,Master_PIC!$A$8:$G$73,2,FALSE)="","",VLOOKUP($B418,Master_PIC!$A$8:$G$73,2,FALSE)),"")</f>
        <v/>
      </c>
      <c r="D418" s="15" t="str">
        <f>IF(COUNTIFS(Master_PIC!$A$8:$A$73,$B418)=1,IF(VLOOKUP($B418,Master_PIC!$A$8:$G$73,4,FALSE)="","",VLOOKUP($B418,Master_PIC!$A$8:$G$73,4,FALSE)),"")</f>
        <v/>
      </c>
      <c r="E418" s="15" t="str">
        <f>IF(COUNTIFS(Master_PIC!$A$8:$A$73,$B418)=1,IF(VLOOKUP($B418,Master_PIC!$A$8:$G$73,5,FALSE)="","",VLOOKUP($B418,Master_PIC!$A$8:$G$73,5,FALSE)),"")</f>
        <v/>
      </c>
      <c r="F418" s="15" t="str">
        <f>IF(COUNTIFS(Master_PIC!$A$8:$A$73,$B418)=1,IF(VLOOKUP($B418,Master_PIC!$A$8:$G$73,6,FALSE)="","",VLOOKUP($B418,Master_PIC!$A$8:$G$73,6,FALSE)),"")</f>
        <v/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8"/>
      <c r="X418" s="5"/>
      <c r="Y418" s="5"/>
      <c r="Z418" s="9"/>
      <c r="AA418" s="5"/>
      <c r="AB418" s="5"/>
      <c r="AC418" s="9"/>
      <c r="AD418" s="5"/>
      <c r="AE418" s="7" t="str">
        <f t="shared" si="42"/>
        <v/>
      </c>
      <c r="AF418" s="7" t="str">
        <f t="shared" si="43"/>
        <v/>
      </c>
      <c r="AG418" s="7" t="str">
        <f t="shared" si="44"/>
        <v/>
      </c>
      <c r="AH418" s="7" t="str">
        <f t="shared" si="45"/>
        <v/>
      </c>
      <c r="AI418" s="7" t="str">
        <f t="shared" si="46"/>
        <v/>
      </c>
      <c r="AJ418" s="7" t="str">
        <f t="shared" si="47"/>
        <v/>
      </c>
      <c r="AK418" s="10" t="str">
        <f t="shared" si="48"/>
        <v/>
      </c>
      <c r="AL418" s="15" t="str">
        <f>IF(OR($A418&lt;&gt;"",$B418&lt;&gt;""),IF(OR($A418="",$B418=""),"Isi tanggal dan ID PIC",IF(NOT(ISNUMBER($A418)),"Tanggal harus berupa tanggal Excel",IF(COUNTIFS(Master_PIC!$A$8:$A$73,$B418)&lt;&gt;1,"ID PIC tidak unik/terdaftar",IF(VLOOKUP($B418,Master_PIC!$A$8:$G$73,3,FALSE)&lt;&gt;"ASM","Jabatan tidak sesuai sheet",IF(OR($C418="",$D418="",$E418="",$F418=""),"Lengkapi master PIC",IF(COUNTIFS($A$8:$A$507,$A418,$B$8:$B$507,$B418)&gt;1,"Laporan ganda",IF(COUNTIFS(G418:O418,"Tidak Berlaku")&gt;0,"N/A hanya untuk kegiatan bersyarat",IF(SUM(AF418,AG418,AH418,AI418,AJ418)&lt;&gt;13,"Status kegiatan tidak valid",IF(AJ418&gt;0,"Lengkapi status kegiatan",IF(AND(AI418&gt;0,T418=""),"Isi alasan Tidak Berlaku",IF(AND(SUM(AG418,AH418)&gt;0,OR(T418="",U418="",V418="",W418="")),"Isi kendala dan tindak lanjut",IF(AND(Y418&lt;&gt;"Draft",Y418&lt;&gt;"Dikirim"),"Isi status laporan yang valid",IF(AND(AA418&lt;&gt;"",AA418&lt;&gt;"Belum Diperiksa",AA418&lt;&gt;"Disetujui",AA418&lt;&gt;"Perlu Perbaikan"),"Hasil review tidak valid",IF(AND(Y418="Dikirim",OR(X418="",Z418="")),"Isi bukti dan waktu kirim",IF(AND(AA418="Disetujui",OR(Y418&lt;&gt;"Dikirim",AB418="",AC418="")),"Lengkapi pemeriksaan",IF(AND(AA418="Perlu Perbaikan",OR(AD418="",AB418="",AC418="")),"Isi pemeriksa dan catatan perbaikan","OK")))))))))))))))),"")</f>
        <v/>
      </c>
    </row>
    <row r="419" spans="1:38" ht="24.95" customHeight="1">
      <c r="A419" s="8"/>
      <c r="B419" s="6"/>
      <c r="C419" s="15" t="str">
        <f>IF(COUNTIFS(Master_PIC!$A$8:$A$73,$B419)=1,IF(VLOOKUP($B419,Master_PIC!$A$8:$G$73,2,FALSE)="","",VLOOKUP($B419,Master_PIC!$A$8:$G$73,2,FALSE)),"")</f>
        <v/>
      </c>
      <c r="D419" s="15" t="str">
        <f>IF(COUNTIFS(Master_PIC!$A$8:$A$73,$B419)=1,IF(VLOOKUP($B419,Master_PIC!$A$8:$G$73,4,FALSE)="","",VLOOKUP($B419,Master_PIC!$A$8:$G$73,4,FALSE)),"")</f>
        <v/>
      </c>
      <c r="E419" s="15" t="str">
        <f>IF(COUNTIFS(Master_PIC!$A$8:$A$73,$B419)=1,IF(VLOOKUP($B419,Master_PIC!$A$8:$G$73,5,FALSE)="","",VLOOKUP($B419,Master_PIC!$A$8:$G$73,5,FALSE)),"")</f>
        <v/>
      </c>
      <c r="F419" s="15" t="str">
        <f>IF(COUNTIFS(Master_PIC!$A$8:$A$73,$B419)=1,IF(VLOOKUP($B419,Master_PIC!$A$8:$G$73,6,FALSE)="","",VLOOKUP($B419,Master_PIC!$A$8:$G$73,6,FALSE)),"")</f>
        <v/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8"/>
      <c r="X419" s="5"/>
      <c r="Y419" s="5"/>
      <c r="Z419" s="9"/>
      <c r="AA419" s="5"/>
      <c r="AB419" s="5"/>
      <c r="AC419" s="9"/>
      <c r="AD419" s="5"/>
      <c r="AE419" s="7" t="str">
        <f t="shared" si="42"/>
        <v/>
      </c>
      <c r="AF419" s="7" t="str">
        <f t="shared" si="43"/>
        <v/>
      </c>
      <c r="AG419" s="7" t="str">
        <f t="shared" si="44"/>
        <v/>
      </c>
      <c r="AH419" s="7" t="str">
        <f t="shared" si="45"/>
        <v/>
      </c>
      <c r="AI419" s="7" t="str">
        <f t="shared" si="46"/>
        <v/>
      </c>
      <c r="AJ419" s="7" t="str">
        <f t="shared" si="47"/>
        <v/>
      </c>
      <c r="AK419" s="10" t="str">
        <f t="shared" si="48"/>
        <v/>
      </c>
      <c r="AL419" s="15" t="str">
        <f>IF(OR($A419&lt;&gt;"",$B419&lt;&gt;""),IF(OR($A419="",$B419=""),"Isi tanggal dan ID PIC",IF(NOT(ISNUMBER($A419)),"Tanggal harus berupa tanggal Excel",IF(COUNTIFS(Master_PIC!$A$8:$A$73,$B419)&lt;&gt;1,"ID PIC tidak unik/terdaftar",IF(VLOOKUP($B419,Master_PIC!$A$8:$G$73,3,FALSE)&lt;&gt;"ASM","Jabatan tidak sesuai sheet",IF(OR($C419="",$D419="",$E419="",$F419=""),"Lengkapi master PIC",IF(COUNTIFS($A$8:$A$507,$A419,$B$8:$B$507,$B419)&gt;1,"Laporan ganda",IF(COUNTIFS(G419:O419,"Tidak Berlaku")&gt;0,"N/A hanya untuk kegiatan bersyarat",IF(SUM(AF419,AG419,AH419,AI419,AJ419)&lt;&gt;13,"Status kegiatan tidak valid",IF(AJ419&gt;0,"Lengkapi status kegiatan",IF(AND(AI419&gt;0,T419=""),"Isi alasan Tidak Berlaku",IF(AND(SUM(AG419,AH419)&gt;0,OR(T419="",U419="",V419="",W419="")),"Isi kendala dan tindak lanjut",IF(AND(Y419&lt;&gt;"Draft",Y419&lt;&gt;"Dikirim"),"Isi status laporan yang valid",IF(AND(AA419&lt;&gt;"",AA419&lt;&gt;"Belum Diperiksa",AA419&lt;&gt;"Disetujui",AA419&lt;&gt;"Perlu Perbaikan"),"Hasil review tidak valid",IF(AND(Y419="Dikirim",OR(X419="",Z419="")),"Isi bukti dan waktu kirim",IF(AND(AA419="Disetujui",OR(Y419&lt;&gt;"Dikirim",AB419="",AC419="")),"Lengkapi pemeriksaan",IF(AND(AA419="Perlu Perbaikan",OR(AD419="",AB419="",AC419="")),"Isi pemeriksa dan catatan perbaikan","OK")))))))))))))))),"")</f>
        <v/>
      </c>
    </row>
    <row r="420" spans="1:38" ht="24.95" customHeight="1">
      <c r="A420" s="8"/>
      <c r="B420" s="6"/>
      <c r="C420" s="15" t="str">
        <f>IF(COUNTIFS(Master_PIC!$A$8:$A$73,$B420)=1,IF(VLOOKUP($B420,Master_PIC!$A$8:$G$73,2,FALSE)="","",VLOOKUP($B420,Master_PIC!$A$8:$G$73,2,FALSE)),"")</f>
        <v/>
      </c>
      <c r="D420" s="15" t="str">
        <f>IF(COUNTIFS(Master_PIC!$A$8:$A$73,$B420)=1,IF(VLOOKUP($B420,Master_PIC!$A$8:$G$73,4,FALSE)="","",VLOOKUP($B420,Master_PIC!$A$8:$G$73,4,FALSE)),"")</f>
        <v/>
      </c>
      <c r="E420" s="15" t="str">
        <f>IF(COUNTIFS(Master_PIC!$A$8:$A$73,$B420)=1,IF(VLOOKUP($B420,Master_PIC!$A$8:$G$73,5,FALSE)="","",VLOOKUP($B420,Master_PIC!$A$8:$G$73,5,FALSE)),"")</f>
        <v/>
      </c>
      <c r="F420" s="15" t="str">
        <f>IF(COUNTIFS(Master_PIC!$A$8:$A$73,$B420)=1,IF(VLOOKUP($B420,Master_PIC!$A$8:$G$73,6,FALSE)="","",VLOOKUP($B420,Master_PIC!$A$8:$G$73,6,FALSE)),"")</f>
        <v/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8"/>
      <c r="X420" s="5"/>
      <c r="Y420" s="5"/>
      <c r="Z420" s="9"/>
      <c r="AA420" s="5"/>
      <c r="AB420" s="5"/>
      <c r="AC420" s="9"/>
      <c r="AD420" s="5"/>
      <c r="AE420" s="7" t="str">
        <f t="shared" si="42"/>
        <v/>
      </c>
      <c r="AF420" s="7" t="str">
        <f t="shared" si="43"/>
        <v/>
      </c>
      <c r="AG420" s="7" t="str">
        <f t="shared" si="44"/>
        <v/>
      </c>
      <c r="AH420" s="7" t="str">
        <f t="shared" si="45"/>
        <v/>
      </c>
      <c r="AI420" s="7" t="str">
        <f t="shared" si="46"/>
        <v/>
      </c>
      <c r="AJ420" s="7" t="str">
        <f t="shared" si="47"/>
        <v/>
      </c>
      <c r="AK420" s="10" t="str">
        <f t="shared" si="48"/>
        <v/>
      </c>
      <c r="AL420" s="15" t="str">
        <f>IF(OR($A420&lt;&gt;"",$B420&lt;&gt;""),IF(OR($A420="",$B420=""),"Isi tanggal dan ID PIC",IF(NOT(ISNUMBER($A420)),"Tanggal harus berupa tanggal Excel",IF(COUNTIFS(Master_PIC!$A$8:$A$73,$B420)&lt;&gt;1,"ID PIC tidak unik/terdaftar",IF(VLOOKUP($B420,Master_PIC!$A$8:$G$73,3,FALSE)&lt;&gt;"ASM","Jabatan tidak sesuai sheet",IF(OR($C420="",$D420="",$E420="",$F420=""),"Lengkapi master PIC",IF(COUNTIFS($A$8:$A$507,$A420,$B$8:$B$507,$B420)&gt;1,"Laporan ganda",IF(COUNTIFS(G420:O420,"Tidak Berlaku")&gt;0,"N/A hanya untuk kegiatan bersyarat",IF(SUM(AF420,AG420,AH420,AI420,AJ420)&lt;&gt;13,"Status kegiatan tidak valid",IF(AJ420&gt;0,"Lengkapi status kegiatan",IF(AND(AI420&gt;0,T420=""),"Isi alasan Tidak Berlaku",IF(AND(SUM(AG420,AH420)&gt;0,OR(T420="",U420="",V420="",W420="")),"Isi kendala dan tindak lanjut",IF(AND(Y420&lt;&gt;"Draft",Y420&lt;&gt;"Dikirim"),"Isi status laporan yang valid",IF(AND(AA420&lt;&gt;"",AA420&lt;&gt;"Belum Diperiksa",AA420&lt;&gt;"Disetujui",AA420&lt;&gt;"Perlu Perbaikan"),"Hasil review tidak valid",IF(AND(Y420="Dikirim",OR(X420="",Z420="")),"Isi bukti dan waktu kirim",IF(AND(AA420="Disetujui",OR(Y420&lt;&gt;"Dikirim",AB420="",AC420="")),"Lengkapi pemeriksaan",IF(AND(AA420="Perlu Perbaikan",OR(AD420="",AB420="",AC420="")),"Isi pemeriksa dan catatan perbaikan","OK")))))))))))))))),"")</f>
        <v/>
      </c>
    </row>
    <row r="421" spans="1:38" ht="24.95" customHeight="1">
      <c r="A421" s="8"/>
      <c r="B421" s="6"/>
      <c r="C421" s="15" t="str">
        <f>IF(COUNTIFS(Master_PIC!$A$8:$A$73,$B421)=1,IF(VLOOKUP($B421,Master_PIC!$A$8:$G$73,2,FALSE)="","",VLOOKUP($B421,Master_PIC!$A$8:$G$73,2,FALSE)),"")</f>
        <v/>
      </c>
      <c r="D421" s="15" t="str">
        <f>IF(COUNTIFS(Master_PIC!$A$8:$A$73,$B421)=1,IF(VLOOKUP($B421,Master_PIC!$A$8:$G$73,4,FALSE)="","",VLOOKUP($B421,Master_PIC!$A$8:$G$73,4,FALSE)),"")</f>
        <v/>
      </c>
      <c r="E421" s="15" t="str">
        <f>IF(COUNTIFS(Master_PIC!$A$8:$A$73,$B421)=1,IF(VLOOKUP($B421,Master_PIC!$A$8:$G$73,5,FALSE)="","",VLOOKUP($B421,Master_PIC!$A$8:$G$73,5,FALSE)),"")</f>
        <v/>
      </c>
      <c r="F421" s="15" t="str">
        <f>IF(COUNTIFS(Master_PIC!$A$8:$A$73,$B421)=1,IF(VLOOKUP($B421,Master_PIC!$A$8:$G$73,6,FALSE)="","",VLOOKUP($B421,Master_PIC!$A$8:$G$73,6,FALSE)),"")</f>
        <v/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8"/>
      <c r="X421" s="5"/>
      <c r="Y421" s="5"/>
      <c r="Z421" s="9"/>
      <c r="AA421" s="5"/>
      <c r="AB421" s="5"/>
      <c r="AC421" s="9"/>
      <c r="AD421" s="5"/>
      <c r="AE421" s="7" t="str">
        <f t="shared" si="42"/>
        <v/>
      </c>
      <c r="AF421" s="7" t="str">
        <f t="shared" si="43"/>
        <v/>
      </c>
      <c r="AG421" s="7" t="str">
        <f t="shared" si="44"/>
        <v/>
      </c>
      <c r="AH421" s="7" t="str">
        <f t="shared" si="45"/>
        <v/>
      </c>
      <c r="AI421" s="7" t="str">
        <f t="shared" si="46"/>
        <v/>
      </c>
      <c r="AJ421" s="7" t="str">
        <f t="shared" si="47"/>
        <v/>
      </c>
      <c r="AK421" s="10" t="str">
        <f t="shared" si="48"/>
        <v/>
      </c>
      <c r="AL421" s="15" t="str">
        <f>IF(OR($A421&lt;&gt;"",$B421&lt;&gt;""),IF(OR($A421="",$B421=""),"Isi tanggal dan ID PIC",IF(NOT(ISNUMBER($A421)),"Tanggal harus berupa tanggal Excel",IF(COUNTIFS(Master_PIC!$A$8:$A$73,$B421)&lt;&gt;1,"ID PIC tidak unik/terdaftar",IF(VLOOKUP($B421,Master_PIC!$A$8:$G$73,3,FALSE)&lt;&gt;"ASM","Jabatan tidak sesuai sheet",IF(OR($C421="",$D421="",$E421="",$F421=""),"Lengkapi master PIC",IF(COUNTIFS($A$8:$A$507,$A421,$B$8:$B$507,$B421)&gt;1,"Laporan ganda",IF(COUNTIFS(G421:O421,"Tidak Berlaku")&gt;0,"N/A hanya untuk kegiatan bersyarat",IF(SUM(AF421,AG421,AH421,AI421,AJ421)&lt;&gt;13,"Status kegiatan tidak valid",IF(AJ421&gt;0,"Lengkapi status kegiatan",IF(AND(AI421&gt;0,T421=""),"Isi alasan Tidak Berlaku",IF(AND(SUM(AG421,AH421)&gt;0,OR(T421="",U421="",V421="",W421="")),"Isi kendala dan tindak lanjut",IF(AND(Y421&lt;&gt;"Draft",Y421&lt;&gt;"Dikirim"),"Isi status laporan yang valid",IF(AND(AA421&lt;&gt;"",AA421&lt;&gt;"Belum Diperiksa",AA421&lt;&gt;"Disetujui",AA421&lt;&gt;"Perlu Perbaikan"),"Hasil review tidak valid",IF(AND(Y421="Dikirim",OR(X421="",Z421="")),"Isi bukti dan waktu kirim",IF(AND(AA421="Disetujui",OR(Y421&lt;&gt;"Dikirim",AB421="",AC421="")),"Lengkapi pemeriksaan",IF(AND(AA421="Perlu Perbaikan",OR(AD421="",AB421="",AC421="")),"Isi pemeriksa dan catatan perbaikan","OK")))))))))))))))),"")</f>
        <v/>
      </c>
    </row>
    <row r="422" spans="1:38" ht="24.95" customHeight="1">
      <c r="A422" s="8"/>
      <c r="B422" s="6"/>
      <c r="C422" s="15" t="str">
        <f>IF(COUNTIFS(Master_PIC!$A$8:$A$73,$B422)=1,IF(VLOOKUP($B422,Master_PIC!$A$8:$G$73,2,FALSE)="","",VLOOKUP($B422,Master_PIC!$A$8:$G$73,2,FALSE)),"")</f>
        <v/>
      </c>
      <c r="D422" s="15" t="str">
        <f>IF(COUNTIFS(Master_PIC!$A$8:$A$73,$B422)=1,IF(VLOOKUP($B422,Master_PIC!$A$8:$G$73,4,FALSE)="","",VLOOKUP($B422,Master_PIC!$A$8:$G$73,4,FALSE)),"")</f>
        <v/>
      </c>
      <c r="E422" s="15" t="str">
        <f>IF(COUNTIFS(Master_PIC!$A$8:$A$73,$B422)=1,IF(VLOOKUP($B422,Master_PIC!$A$8:$G$73,5,FALSE)="","",VLOOKUP($B422,Master_PIC!$A$8:$G$73,5,FALSE)),"")</f>
        <v/>
      </c>
      <c r="F422" s="15" t="str">
        <f>IF(COUNTIFS(Master_PIC!$A$8:$A$73,$B422)=1,IF(VLOOKUP($B422,Master_PIC!$A$8:$G$73,6,FALSE)="","",VLOOKUP($B422,Master_PIC!$A$8:$G$73,6,FALSE)),"")</f>
        <v/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8"/>
      <c r="X422" s="5"/>
      <c r="Y422" s="5"/>
      <c r="Z422" s="9"/>
      <c r="AA422" s="5"/>
      <c r="AB422" s="5"/>
      <c r="AC422" s="9"/>
      <c r="AD422" s="5"/>
      <c r="AE422" s="7" t="str">
        <f t="shared" si="42"/>
        <v/>
      </c>
      <c r="AF422" s="7" t="str">
        <f t="shared" si="43"/>
        <v/>
      </c>
      <c r="AG422" s="7" t="str">
        <f t="shared" si="44"/>
        <v/>
      </c>
      <c r="AH422" s="7" t="str">
        <f t="shared" si="45"/>
        <v/>
      </c>
      <c r="AI422" s="7" t="str">
        <f t="shared" si="46"/>
        <v/>
      </c>
      <c r="AJ422" s="7" t="str">
        <f t="shared" si="47"/>
        <v/>
      </c>
      <c r="AK422" s="10" t="str">
        <f t="shared" si="48"/>
        <v/>
      </c>
      <c r="AL422" s="15" t="str">
        <f>IF(OR($A422&lt;&gt;"",$B422&lt;&gt;""),IF(OR($A422="",$B422=""),"Isi tanggal dan ID PIC",IF(NOT(ISNUMBER($A422)),"Tanggal harus berupa tanggal Excel",IF(COUNTIFS(Master_PIC!$A$8:$A$73,$B422)&lt;&gt;1,"ID PIC tidak unik/terdaftar",IF(VLOOKUP($B422,Master_PIC!$A$8:$G$73,3,FALSE)&lt;&gt;"ASM","Jabatan tidak sesuai sheet",IF(OR($C422="",$D422="",$E422="",$F422=""),"Lengkapi master PIC",IF(COUNTIFS($A$8:$A$507,$A422,$B$8:$B$507,$B422)&gt;1,"Laporan ganda",IF(COUNTIFS(G422:O422,"Tidak Berlaku")&gt;0,"N/A hanya untuk kegiatan bersyarat",IF(SUM(AF422,AG422,AH422,AI422,AJ422)&lt;&gt;13,"Status kegiatan tidak valid",IF(AJ422&gt;0,"Lengkapi status kegiatan",IF(AND(AI422&gt;0,T422=""),"Isi alasan Tidak Berlaku",IF(AND(SUM(AG422,AH422)&gt;0,OR(T422="",U422="",V422="",W422="")),"Isi kendala dan tindak lanjut",IF(AND(Y422&lt;&gt;"Draft",Y422&lt;&gt;"Dikirim"),"Isi status laporan yang valid",IF(AND(AA422&lt;&gt;"",AA422&lt;&gt;"Belum Diperiksa",AA422&lt;&gt;"Disetujui",AA422&lt;&gt;"Perlu Perbaikan"),"Hasil review tidak valid",IF(AND(Y422="Dikirim",OR(X422="",Z422="")),"Isi bukti dan waktu kirim",IF(AND(AA422="Disetujui",OR(Y422&lt;&gt;"Dikirim",AB422="",AC422="")),"Lengkapi pemeriksaan",IF(AND(AA422="Perlu Perbaikan",OR(AD422="",AB422="",AC422="")),"Isi pemeriksa dan catatan perbaikan","OK")))))))))))))))),"")</f>
        <v/>
      </c>
    </row>
    <row r="423" spans="1:38" ht="24.95" customHeight="1">
      <c r="A423" s="8"/>
      <c r="B423" s="6"/>
      <c r="C423" s="15" t="str">
        <f>IF(COUNTIFS(Master_PIC!$A$8:$A$73,$B423)=1,IF(VLOOKUP($B423,Master_PIC!$A$8:$G$73,2,FALSE)="","",VLOOKUP($B423,Master_PIC!$A$8:$G$73,2,FALSE)),"")</f>
        <v/>
      </c>
      <c r="D423" s="15" t="str">
        <f>IF(COUNTIFS(Master_PIC!$A$8:$A$73,$B423)=1,IF(VLOOKUP($B423,Master_PIC!$A$8:$G$73,4,FALSE)="","",VLOOKUP($B423,Master_PIC!$A$8:$G$73,4,FALSE)),"")</f>
        <v/>
      </c>
      <c r="E423" s="15" t="str">
        <f>IF(COUNTIFS(Master_PIC!$A$8:$A$73,$B423)=1,IF(VLOOKUP($B423,Master_PIC!$A$8:$G$73,5,FALSE)="","",VLOOKUP($B423,Master_PIC!$A$8:$G$73,5,FALSE)),"")</f>
        <v/>
      </c>
      <c r="F423" s="15" t="str">
        <f>IF(COUNTIFS(Master_PIC!$A$8:$A$73,$B423)=1,IF(VLOOKUP($B423,Master_PIC!$A$8:$G$73,6,FALSE)="","",VLOOKUP($B423,Master_PIC!$A$8:$G$73,6,FALSE)),"")</f>
        <v/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8"/>
      <c r="X423" s="5"/>
      <c r="Y423" s="5"/>
      <c r="Z423" s="9"/>
      <c r="AA423" s="5"/>
      <c r="AB423" s="5"/>
      <c r="AC423" s="9"/>
      <c r="AD423" s="5"/>
      <c r="AE423" s="7" t="str">
        <f t="shared" si="42"/>
        <v/>
      </c>
      <c r="AF423" s="7" t="str">
        <f t="shared" si="43"/>
        <v/>
      </c>
      <c r="AG423" s="7" t="str">
        <f t="shared" si="44"/>
        <v/>
      </c>
      <c r="AH423" s="7" t="str">
        <f t="shared" si="45"/>
        <v/>
      </c>
      <c r="AI423" s="7" t="str">
        <f t="shared" si="46"/>
        <v/>
      </c>
      <c r="AJ423" s="7" t="str">
        <f t="shared" si="47"/>
        <v/>
      </c>
      <c r="AK423" s="10" t="str">
        <f t="shared" si="48"/>
        <v/>
      </c>
      <c r="AL423" s="15" t="str">
        <f>IF(OR($A423&lt;&gt;"",$B423&lt;&gt;""),IF(OR($A423="",$B423=""),"Isi tanggal dan ID PIC",IF(NOT(ISNUMBER($A423)),"Tanggal harus berupa tanggal Excel",IF(COUNTIFS(Master_PIC!$A$8:$A$73,$B423)&lt;&gt;1,"ID PIC tidak unik/terdaftar",IF(VLOOKUP($B423,Master_PIC!$A$8:$G$73,3,FALSE)&lt;&gt;"ASM","Jabatan tidak sesuai sheet",IF(OR($C423="",$D423="",$E423="",$F423=""),"Lengkapi master PIC",IF(COUNTIFS($A$8:$A$507,$A423,$B$8:$B$507,$B423)&gt;1,"Laporan ganda",IF(COUNTIFS(G423:O423,"Tidak Berlaku")&gt;0,"N/A hanya untuk kegiatan bersyarat",IF(SUM(AF423,AG423,AH423,AI423,AJ423)&lt;&gt;13,"Status kegiatan tidak valid",IF(AJ423&gt;0,"Lengkapi status kegiatan",IF(AND(AI423&gt;0,T423=""),"Isi alasan Tidak Berlaku",IF(AND(SUM(AG423,AH423)&gt;0,OR(T423="",U423="",V423="",W423="")),"Isi kendala dan tindak lanjut",IF(AND(Y423&lt;&gt;"Draft",Y423&lt;&gt;"Dikirim"),"Isi status laporan yang valid",IF(AND(AA423&lt;&gt;"",AA423&lt;&gt;"Belum Diperiksa",AA423&lt;&gt;"Disetujui",AA423&lt;&gt;"Perlu Perbaikan"),"Hasil review tidak valid",IF(AND(Y423="Dikirim",OR(X423="",Z423="")),"Isi bukti dan waktu kirim",IF(AND(AA423="Disetujui",OR(Y423&lt;&gt;"Dikirim",AB423="",AC423="")),"Lengkapi pemeriksaan",IF(AND(AA423="Perlu Perbaikan",OR(AD423="",AB423="",AC423="")),"Isi pemeriksa dan catatan perbaikan","OK")))))))))))))))),"")</f>
        <v/>
      </c>
    </row>
    <row r="424" spans="1:38" ht="24.95" customHeight="1">
      <c r="A424" s="8"/>
      <c r="B424" s="6"/>
      <c r="C424" s="15" t="str">
        <f>IF(COUNTIFS(Master_PIC!$A$8:$A$73,$B424)=1,IF(VLOOKUP($B424,Master_PIC!$A$8:$G$73,2,FALSE)="","",VLOOKUP($B424,Master_PIC!$A$8:$G$73,2,FALSE)),"")</f>
        <v/>
      </c>
      <c r="D424" s="15" t="str">
        <f>IF(COUNTIFS(Master_PIC!$A$8:$A$73,$B424)=1,IF(VLOOKUP($B424,Master_PIC!$A$8:$G$73,4,FALSE)="","",VLOOKUP($B424,Master_PIC!$A$8:$G$73,4,FALSE)),"")</f>
        <v/>
      </c>
      <c r="E424" s="15" t="str">
        <f>IF(COUNTIFS(Master_PIC!$A$8:$A$73,$B424)=1,IF(VLOOKUP($B424,Master_PIC!$A$8:$G$73,5,FALSE)="","",VLOOKUP($B424,Master_PIC!$A$8:$G$73,5,FALSE)),"")</f>
        <v/>
      </c>
      <c r="F424" s="15" t="str">
        <f>IF(COUNTIFS(Master_PIC!$A$8:$A$73,$B424)=1,IF(VLOOKUP($B424,Master_PIC!$A$8:$G$73,6,FALSE)="","",VLOOKUP($B424,Master_PIC!$A$8:$G$73,6,FALSE)),"")</f>
        <v/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8"/>
      <c r="X424" s="5"/>
      <c r="Y424" s="5"/>
      <c r="Z424" s="9"/>
      <c r="AA424" s="5"/>
      <c r="AB424" s="5"/>
      <c r="AC424" s="9"/>
      <c r="AD424" s="5"/>
      <c r="AE424" s="7" t="str">
        <f t="shared" si="42"/>
        <v/>
      </c>
      <c r="AF424" s="7" t="str">
        <f t="shared" si="43"/>
        <v/>
      </c>
      <c r="AG424" s="7" t="str">
        <f t="shared" si="44"/>
        <v/>
      </c>
      <c r="AH424" s="7" t="str">
        <f t="shared" si="45"/>
        <v/>
      </c>
      <c r="AI424" s="7" t="str">
        <f t="shared" si="46"/>
        <v/>
      </c>
      <c r="AJ424" s="7" t="str">
        <f t="shared" si="47"/>
        <v/>
      </c>
      <c r="AK424" s="10" t="str">
        <f t="shared" si="48"/>
        <v/>
      </c>
      <c r="AL424" s="15" t="str">
        <f>IF(OR($A424&lt;&gt;"",$B424&lt;&gt;""),IF(OR($A424="",$B424=""),"Isi tanggal dan ID PIC",IF(NOT(ISNUMBER($A424)),"Tanggal harus berupa tanggal Excel",IF(COUNTIFS(Master_PIC!$A$8:$A$73,$B424)&lt;&gt;1,"ID PIC tidak unik/terdaftar",IF(VLOOKUP($B424,Master_PIC!$A$8:$G$73,3,FALSE)&lt;&gt;"ASM","Jabatan tidak sesuai sheet",IF(OR($C424="",$D424="",$E424="",$F424=""),"Lengkapi master PIC",IF(COUNTIFS($A$8:$A$507,$A424,$B$8:$B$507,$B424)&gt;1,"Laporan ganda",IF(COUNTIFS(G424:O424,"Tidak Berlaku")&gt;0,"N/A hanya untuk kegiatan bersyarat",IF(SUM(AF424,AG424,AH424,AI424,AJ424)&lt;&gt;13,"Status kegiatan tidak valid",IF(AJ424&gt;0,"Lengkapi status kegiatan",IF(AND(AI424&gt;0,T424=""),"Isi alasan Tidak Berlaku",IF(AND(SUM(AG424,AH424)&gt;0,OR(T424="",U424="",V424="",W424="")),"Isi kendala dan tindak lanjut",IF(AND(Y424&lt;&gt;"Draft",Y424&lt;&gt;"Dikirim"),"Isi status laporan yang valid",IF(AND(AA424&lt;&gt;"",AA424&lt;&gt;"Belum Diperiksa",AA424&lt;&gt;"Disetujui",AA424&lt;&gt;"Perlu Perbaikan"),"Hasil review tidak valid",IF(AND(Y424="Dikirim",OR(X424="",Z424="")),"Isi bukti dan waktu kirim",IF(AND(AA424="Disetujui",OR(Y424&lt;&gt;"Dikirim",AB424="",AC424="")),"Lengkapi pemeriksaan",IF(AND(AA424="Perlu Perbaikan",OR(AD424="",AB424="",AC424="")),"Isi pemeriksa dan catatan perbaikan","OK")))))))))))))))),"")</f>
        <v/>
      </c>
    </row>
    <row r="425" spans="1:38" ht="24.95" customHeight="1">
      <c r="A425" s="8"/>
      <c r="B425" s="6"/>
      <c r="C425" s="15" t="str">
        <f>IF(COUNTIFS(Master_PIC!$A$8:$A$73,$B425)=1,IF(VLOOKUP($B425,Master_PIC!$A$8:$G$73,2,FALSE)="","",VLOOKUP($B425,Master_PIC!$A$8:$G$73,2,FALSE)),"")</f>
        <v/>
      </c>
      <c r="D425" s="15" t="str">
        <f>IF(COUNTIFS(Master_PIC!$A$8:$A$73,$B425)=1,IF(VLOOKUP($B425,Master_PIC!$A$8:$G$73,4,FALSE)="","",VLOOKUP($B425,Master_PIC!$A$8:$G$73,4,FALSE)),"")</f>
        <v/>
      </c>
      <c r="E425" s="15" t="str">
        <f>IF(COUNTIFS(Master_PIC!$A$8:$A$73,$B425)=1,IF(VLOOKUP($B425,Master_PIC!$A$8:$G$73,5,FALSE)="","",VLOOKUP($B425,Master_PIC!$A$8:$G$73,5,FALSE)),"")</f>
        <v/>
      </c>
      <c r="F425" s="15" t="str">
        <f>IF(COUNTIFS(Master_PIC!$A$8:$A$73,$B425)=1,IF(VLOOKUP($B425,Master_PIC!$A$8:$G$73,6,FALSE)="","",VLOOKUP($B425,Master_PIC!$A$8:$G$73,6,FALSE)),"")</f>
        <v/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8"/>
      <c r="X425" s="5"/>
      <c r="Y425" s="5"/>
      <c r="Z425" s="9"/>
      <c r="AA425" s="5"/>
      <c r="AB425" s="5"/>
      <c r="AC425" s="9"/>
      <c r="AD425" s="5"/>
      <c r="AE425" s="7" t="str">
        <f t="shared" si="42"/>
        <v/>
      </c>
      <c r="AF425" s="7" t="str">
        <f t="shared" si="43"/>
        <v/>
      </c>
      <c r="AG425" s="7" t="str">
        <f t="shared" si="44"/>
        <v/>
      </c>
      <c r="AH425" s="7" t="str">
        <f t="shared" si="45"/>
        <v/>
      </c>
      <c r="AI425" s="7" t="str">
        <f t="shared" si="46"/>
        <v/>
      </c>
      <c r="AJ425" s="7" t="str">
        <f t="shared" si="47"/>
        <v/>
      </c>
      <c r="AK425" s="10" t="str">
        <f t="shared" si="48"/>
        <v/>
      </c>
      <c r="AL425" s="15" t="str">
        <f>IF(OR($A425&lt;&gt;"",$B425&lt;&gt;""),IF(OR($A425="",$B425=""),"Isi tanggal dan ID PIC",IF(NOT(ISNUMBER($A425)),"Tanggal harus berupa tanggal Excel",IF(COUNTIFS(Master_PIC!$A$8:$A$73,$B425)&lt;&gt;1,"ID PIC tidak unik/terdaftar",IF(VLOOKUP($B425,Master_PIC!$A$8:$G$73,3,FALSE)&lt;&gt;"ASM","Jabatan tidak sesuai sheet",IF(OR($C425="",$D425="",$E425="",$F425=""),"Lengkapi master PIC",IF(COUNTIFS($A$8:$A$507,$A425,$B$8:$B$507,$B425)&gt;1,"Laporan ganda",IF(COUNTIFS(G425:O425,"Tidak Berlaku")&gt;0,"N/A hanya untuk kegiatan bersyarat",IF(SUM(AF425,AG425,AH425,AI425,AJ425)&lt;&gt;13,"Status kegiatan tidak valid",IF(AJ425&gt;0,"Lengkapi status kegiatan",IF(AND(AI425&gt;0,T425=""),"Isi alasan Tidak Berlaku",IF(AND(SUM(AG425,AH425)&gt;0,OR(T425="",U425="",V425="",W425="")),"Isi kendala dan tindak lanjut",IF(AND(Y425&lt;&gt;"Draft",Y425&lt;&gt;"Dikirim"),"Isi status laporan yang valid",IF(AND(AA425&lt;&gt;"",AA425&lt;&gt;"Belum Diperiksa",AA425&lt;&gt;"Disetujui",AA425&lt;&gt;"Perlu Perbaikan"),"Hasil review tidak valid",IF(AND(Y425="Dikirim",OR(X425="",Z425="")),"Isi bukti dan waktu kirim",IF(AND(AA425="Disetujui",OR(Y425&lt;&gt;"Dikirim",AB425="",AC425="")),"Lengkapi pemeriksaan",IF(AND(AA425="Perlu Perbaikan",OR(AD425="",AB425="",AC425="")),"Isi pemeriksa dan catatan perbaikan","OK")))))))))))))))),"")</f>
        <v/>
      </c>
    </row>
    <row r="426" spans="1:38" ht="24.95" customHeight="1">
      <c r="A426" s="8"/>
      <c r="B426" s="6"/>
      <c r="C426" s="15" t="str">
        <f>IF(COUNTIFS(Master_PIC!$A$8:$A$73,$B426)=1,IF(VLOOKUP($B426,Master_PIC!$A$8:$G$73,2,FALSE)="","",VLOOKUP($B426,Master_PIC!$A$8:$G$73,2,FALSE)),"")</f>
        <v/>
      </c>
      <c r="D426" s="15" t="str">
        <f>IF(COUNTIFS(Master_PIC!$A$8:$A$73,$B426)=1,IF(VLOOKUP($B426,Master_PIC!$A$8:$G$73,4,FALSE)="","",VLOOKUP($B426,Master_PIC!$A$8:$G$73,4,FALSE)),"")</f>
        <v/>
      </c>
      <c r="E426" s="15" t="str">
        <f>IF(COUNTIFS(Master_PIC!$A$8:$A$73,$B426)=1,IF(VLOOKUP($B426,Master_PIC!$A$8:$G$73,5,FALSE)="","",VLOOKUP($B426,Master_PIC!$A$8:$G$73,5,FALSE)),"")</f>
        <v/>
      </c>
      <c r="F426" s="15" t="str">
        <f>IF(COUNTIFS(Master_PIC!$A$8:$A$73,$B426)=1,IF(VLOOKUP($B426,Master_PIC!$A$8:$G$73,6,FALSE)="","",VLOOKUP($B426,Master_PIC!$A$8:$G$73,6,FALSE)),"")</f>
        <v/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8"/>
      <c r="X426" s="5"/>
      <c r="Y426" s="5"/>
      <c r="Z426" s="9"/>
      <c r="AA426" s="5"/>
      <c r="AB426" s="5"/>
      <c r="AC426" s="9"/>
      <c r="AD426" s="5"/>
      <c r="AE426" s="7" t="str">
        <f t="shared" si="42"/>
        <v/>
      </c>
      <c r="AF426" s="7" t="str">
        <f t="shared" si="43"/>
        <v/>
      </c>
      <c r="AG426" s="7" t="str">
        <f t="shared" si="44"/>
        <v/>
      </c>
      <c r="AH426" s="7" t="str">
        <f t="shared" si="45"/>
        <v/>
      </c>
      <c r="AI426" s="7" t="str">
        <f t="shared" si="46"/>
        <v/>
      </c>
      <c r="AJ426" s="7" t="str">
        <f t="shared" si="47"/>
        <v/>
      </c>
      <c r="AK426" s="10" t="str">
        <f t="shared" si="48"/>
        <v/>
      </c>
      <c r="AL426" s="15" t="str">
        <f>IF(OR($A426&lt;&gt;"",$B426&lt;&gt;""),IF(OR($A426="",$B426=""),"Isi tanggal dan ID PIC",IF(NOT(ISNUMBER($A426)),"Tanggal harus berupa tanggal Excel",IF(COUNTIFS(Master_PIC!$A$8:$A$73,$B426)&lt;&gt;1,"ID PIC tidak unik/terdaftar",IF(VLOOKUP($B426,Master_PIC!$A$8:$G$73,3,FALSE)&lt;&gt;"ASM","Jabatan tidak sesuai sheet",IF(OR($C426="",$D426="",$E426="",$F426=""),"Lengkapi master PIC",IF(COUNTIFS($A$8:$A$507,$A426,$B$8:$B$507,$B426)&gt;1,"Laporan ganda",IF(COUNTIFS(G426:O426,"Tidak Berlaku")&gt;0,"N/A hanya untuk kegiatan bersyarat",IF(SUM(AF426,AG426,AH426,AI426,AJ426)&lt;&gt;13,"Status kegiatan tidak valid",IF(AJ426&gt;0,"Lengkapi status kegiatan",IF(AND(AI426&gt;0,T426=""),"Isi alasan Tidak Berlaku",IF(AND(SUM(AG426,AH426)&gt;0,OR(T426="",U426="",V426="",W426="")),"Isi kendala dan tindak lanjut",IF(AND(Y426&lt;&gt;"Draft",Y426&lt;&gt;"Dikirim"),"Isi status laporan yang valid",IF(AND(AA426&lt;&gt;"",AA426&lt;&gt;"Belum Diperiksa",AA426&lt;&gt;"Disetujui",AA426&lt;&gt;"Perlu Perbaikan"),"Hasil review tidak valid",IF(AND(Y426="Dikirim",OR(X426="",Z426="")),"Isi bukti dan waktu kirim",IF(AND(AA426="Disetujui",OR(Y426&lt;&gt;"Dikirim",AB426="",AC426="")),"Lengkapi pemeriksaan",IF(AND(AA426="Perlu Perbaikan",OR(AD426="",AB426="",AC426="")),"Isi pemeriksa dan catatan perbaikan","OK")))))))))))))))),"")</f>
        <v/>
      </c>
    </row>
    <row r="427" spans="1:38" ht="24.95" customHeight="1">
      <c r="A427" s="8"/>
      <c r="B427" s="6"/>
      <c r="C427" s="15" t="str">
        <f>IF(COUNTIFS(Master_PIC!$A$8:$A$73,$B427)=1,IF(VLOOKUP($B427,Master_PIC!$A$8:$G$73,2,FALSE)="","",VLOOKUP($B427,Master_PIC!$A$8:$G$73,2,FALSE)),"")</f>
        <v/>
      </c>
      <c r="D427" s="15" t="str">
        <f>IF(COUNTIFS(Master_PIC!$A$8:$A$73,$B427)=1,IF(VLOOKUP($B427,Master_PIC!$A$8:$G$73,4,FALSE)="","",VLOOKUP($B427,Master_PIC!$A$8:$G$73,4,FALSE)),"")</f>
        <v/>
      </c>
      <c r="E427" s="15" t="str">
        <f>IF(COUNTIFS(Master_PIC!$A$8:$A$73,$B427)=1,IF(VLOOKUP($B427,Master_PIC!$A$8:$G$73,5,FALSE)="","",VLOOKUP($B427,Master_PIC!$A$8:$G$73,5,FALSE)),"")</f>
        <v/>
      </c>
      <c r="F427" s="15" t="str">
        <f>IF(COUNTIFS(Master_PIC!$A$8:$A$73,$B427)=1,IF(VLOOKUP($B427,Master_PIC!$A$8:$G$73,6,FALSE)="","",VLOOKUP($B427,Master_PIC!$A$8:$G$73,6,FALSE)),"")</f>
        <v/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8"/>
      <c r="X427" s="5"/>
      <c r="Y427" s="5"/>
      <c r="Z427" s="9"/>
      <c r="AA427" s="5"/>
      <c r="AB427" s="5"/>
      <c r="AC427" s="9"/>
      <c r="AD427" s="5"/>
      <c r="AE427" s="7" t="str">
        <f t="shared" si="42"/>
        <v/>
      </c>
      <c r="AF427" s="7" t="str">
        <f t="shared" si="43"/>
        <v/>
      </c>
      <c r="AG427" s="7" t="str">
        <f t="shared" si="44"/>
        <v/>
      </c>
      <c r="AH427" s="7" t="str">
        <f t="shared" si="45"/>
        <v/>
      </c>
      <c r="AI427" s="7" t="str">
        <f t="shared" si="46"/>
        <v/>
      </c>
      <c r="AJ427" s="7" t="str">
        <f t="shared" si="47"/>
        <v/>
      </c>
      <c r="AK427" s="10" t="str">
        <f t="shared" si="48"/>
        <v/>
      </c>
      <c r="AL427" s="15" t="str">
        <f>IF(OR($A427&lt;&gt;"",$B427&lt;&gt;""),IF(OR($A427="",$B427=""),"Isi tanggal dan ID PIC",IF(NOT(ISNUMBER($A427)),"Tanggal harus berupa tanggal Excel",IF(COUNTIFS(Master_PIC!$A$8:$A$73,$B427)&lt;&gt;1,"ID PIC tidak unik/terdaftar",IF(VLOOKUP($B427,Master_PIC!$A$8:$G$73,3,FALSE)&lt;&gt;"ASM","Jabatan tidak sesuai sheet",IF(OR($C427="",$D427="",$E427="",$F427=""),"Lengkapi master PIC",IF(COUNTIFS($A$8:$A$507,$A427,$B$8:$B$507,$B427)&gt;1,"Laporan ganda",IF(COUNTIFS(G427:O427,"Tidak Berlaku")&gt;0,"N/A hanya untuk kegiatan bersyarat",IF(SUM(AF427,AG427,AH427,AI427,AJ427)&lt;&gt;13,"Status kegiatan tidak valid",IF(AJ427&gt;0,"Lengkapi status kegiatan",IF(AND(AI427&gt;0,T427=""),"Isi alasan Tidak Berlaku",IF(AND(SUM(AG427,AH427)&gt;0,OR(T427="",U427="",V427="",W427="")),"Isi kendala dan tindak lanjut",IF(AND(Y427&lt;&gt;"Draft",Y427&lt;&gt;"Dikirim"),"Isi status laporan yang valid",IF(AND(AA427&lt;&gt;"",AA427&lt;&gt;"Belum Diperiksa",AA427&lt;&gt;"Disetujui",AA427&lt;&gt;"Perlu Perbaikan"),"Hasil review tidak valid",IF(AND(Y427="Dikirim",OR(X427="",Z427="")),"Isi bukti dan waktu kirim",IF(AND(AA427="Disetujui",OR(Y427&lt;&gt;"Dikirim",AB427="",AC427="")),"Lengkapi pemeriksaan",IF(AND(AA427="Perlu Perbaikan",OR(AD427="",AB427="",AC427="")),"Isi pemeriksa dan catatan perbaikan","OK")))))))))))))))),"")</f>
        <v/>
      </c>
    </row>
    <row r="428" spans="1:38" ht="24.95" customHeight="1">
      <c r="A428" s="8"/>
      <c r="B428" s="6"/>
      <c r="C428" s="15" t="str">
        <f>IF(COUNTIFS(Master_PIC!$A$8:$A$73,$B428)=1,IF(VLOOKUP($B428,Master_PIC!$A$8:$G$73,2,FALSE)="","",VLOOKUP($B428,Master_PIC!$A$8:$G$73,2,FALSE)),"")</f>
        <v/>
      </c>
      <c r="D428" s="15" t="str">
        <f>IF(COUNTIFS(Master_PIC!$A$8:$A$73,$B428)=1,IF(VLOOKUP($B428,Master_PIC!$A$8:$G$73,4,FALSE)="","",VLOOKUP($B428,Master_PIC!$A$8:$G$73,4,FALSE)),"")</f>
        <v/>
      </c>
      <c r="E428" s="15" t="str">
        <f>IF(COUNTIFS(Master_PIC!$A$8:$A$73,$B428)=1,IF(VLOOKUP($B428,Master_PIC!$A$8:$G$73,5,FALSE)="","",VLOOKUP($B428,Master_PIC!$A$8:$G$73,5,FALSE)),"")</f>
        <v/>
      </c>
      <c r="F428" s="15" t="str">
        <f>IF(COUNTIFS(Master_PIC!$A$8:$A$73,$B428)=1,IF(VLOOKUP($B428,Master_PIC!$A$8:$G$73,6,FALSE)="","",VLOOKUP($B428,Master_PIC!$A$8:$G$73,6,FALSE)),"")</f>
        <v/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8"/>
      <c r="X428" s="5"/>
      <c r="Y428" s="5"/>
      <c r="Z428" s="9"/>
      <c r="AA428" s="5"/>
      <c r="AB428" s="5"/>
      <c r="AC428" s="9"/>
      <c r="AD428" s="5"/>
      <c r="AE428" s="7" t="str">
        <f t="shared" si="42"/>
        <v/>
      </c>
      <c r="AF428" s="7" t="str">
        <f t="shared" si="43"/>
        <v/>
      </c>
      <c r="AG428" s="7" t="str">
        <f t="shared" si="44"/>
        <v/>
      </c>
      <c r="AH428" s="7" t="str">
        <f t="shared" si="45"/>
        <v/>
      </c>
      <c r="AI428" s="7" t="str">
        <f t="shared" si="46"/>
        <v/>
      </c>
      <c r="AJ428" s="7" t="str">
        <f t="shared" si="47"/>
        <v/>
      </c>
      <c r="AK428" s="10" t="str">
        <f t="shared" si="48"/>
        <v/>
      </c>
      <c r="AL428" s="15" t="str">
        <f>IF(OR($A428&lt;&gt;"",$B428&lt;&gt;""),IF(OR($A428="",$B428=""),"Isi tanggal dan ID PIC",IF(NOT(ISNUMBER($A428)),"Tanggal harus berupa tanggal Excel",IF(COUNTIFS(Master_PIC!$A$8:$A$73,$B428)&lt;&gt;1,"ID PIC tidak unik/terdaftar",IF(VLOOKUP($B428,Master_PIC!$A$8:$G$73,3,FALSE)&lt;&gt;"ASM","Jabatan tidak sesuai sheet",IF(OR($C428="",$D428="",$E428="",$F428=""),"Lengkapi master PIC",IF(COUNTIFS($A$8:$A$507,$A428,$B$8:$B$507,$B428)&gt;1,"Laporan ganda",IF(COUNTIFS(G428:O428,"Tidak Berlaku")&gt;0,"N/A hanya untuk kegiatan bersyarat",IF(SUM(AF428,AG428,AH428,AI428,AJ428)&lt;&gt;13,"Status kegiatan tidak valid",IF(AJ428&gt;0,"Lengkapi status kegiatan",IF(AND(AI428&gt;0,T428=""),"Isi alasan Tidak Berlaku",IF(AND(SUM(AG428,AH428)&gt;0,OR(T428="",U428="",V428="",W428="")),"Isi kendala dan tindak lanjut",IF(AND(Y428&lt;&gt;"Draft",Y428&lt;&gt;"Dikirim"),"Isi status laporan yang valid",IF(AND(AA428&lt;&gt;"",AA428&lt;&gt;"Belum Diperiksa",AA428&lt;&gt;"Disetujui",AA428&lt;&gt;"Perlu Perbaikan"),"Hasil review tidak valid",IF(AND(Y428="Dikirim",OR(X428="",Z428="")),"Isi bukti dan waktu kirim",IF(AND(AA428="Disetujui",OR(Y428&lt;&gt;"Dikirim",AB428="",AC428="")),"Lengkapi pemeriksaan",IF(AND(AA428="Perlu Perbaikan",OR(AD428="",AB428="",AC428="")),"Isi pemeriksa dan catatan perbaikan","OK")))))))))))))))),"")</f>
        <v/>
      </c>
    </row>
    <row r="429" spans="1:38" ht="24.95" customHeight="1">
      <c r="A429" s="8"/>
      <c r="B429" s="6"/>
      <c r="C429" s="15" t="str">
        <f>IF(COUNTIFS(Master_PIC!$A$8:$A$73,$B429)=1,IF(VLOOKUP($B429,Master_PIC!$A$8:$G$73,2,FALSE)="","",VLOOKUP($B429,Master_PIC!$A$8:$G$73,2,FALSE)),"")</f>
        <v/>
      </c>
      <c r="D429" s="15" t="str">
        <f>IF(COUNTIFS(Master_PIC!$A$8:$A$73,$B429)=1,IF(VLOOKUP($B429,Master_PIC!$A$8:$G$73,4,FALSE)="","",VLOOKUP($B429,Master_PIC!$A$8:$G$73,4,FALSE)),"")</f>
        <v/>
      </c>
      <c r="E429" s="15" t="str">
        <f>IF(COUNTIFS(Master_PIC!$A$8:$A$73,$B429)=1,IF(VLOOKUP($B429,Master_PIC!$A$8:$G$73,5,FALSE)="","",VLOOKUP($B429,Master_PIC!$A$8:$G$73,5,FALSE)),"")</f>
        <v/>
      </c>
      <c r="F429" s="15" t="str">
        <f>IF(COUNTIFS(Master_PIC!$A$8:$A$73,$B429)=1,IF(VLOOKUP($B429,Master_PIC!$A$8:$G$73,6,FALSE)="","",VLOOKUP($B429,Master_PIC!$A$8:$G$73,6,FALSE)),"")</f>
        <v/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8"/>
      <c r="X429" s="5"/>
      <c r="Y429" s="5"/>
      <c r="Z429" s="9"/>
      <c r="AA429" s="5"/>
      <c r="AB429" s="5"/>
      <c r="AC429" s="9"/>
      <c r="AD429" s="5"/>
      <c r="AE429" s="7" t="str">
        <f t="shared" si="42"/>
        <v/>
      </c>
      <c r="AF429" s="7" t="str">
        <f t="shared" si="43"/>
        <v/>
      </c>
      <c r="AG429" s="7" t="str">
        <f t="shared" si="44"/>
        <v/>
      </c>
      <c r="AH429" s="7" t="str">
        <f t="shared" si="45"/>
        <v/>
      </c>
      <c r="AI429" s="7" t="str">
        <f t="shared" si="46"/>
        <v/>
      </c>
      <c r="AJ429" s="7" t="str">
        <f t="shared" si="47"/>
        <v/>
      </c>
      <c r="AK429" s="10" t="str">
        <f t="shared" si="48"/>
        <v/>
      </c>
      <c r="AL429" s="15" t="str">
        <f>IF(OR($A429&lt;&gt;"",$B429&lt;&gt;""),IF(OR($A429="",$B429=""),"Isi tanggal dan ID PIC",IF(NOT(ISNUMBER($A429)),"Tanggal harus berupa tanggal Excel",IF(COUNTIFS(Master_PIC!$A$8:$A$73,$B429)&lt;&gt;1,"ID PIC tidak unik/terdaftar",IF(VLOOKUP($B429,Master_PIC!$A$8:$G$73,3,FALSE)&lt;&gt;"ASM","Jabatan tidak sesuai sheet",IF(OR($C429="",$D429="",$E429="",$F429=""),"Lengkapi master PIC",IF(COUNTIFS($A$8:$A$507,$A429,$B$8:$B$507,$B429)&gt;1,"Laporan ganda",IF(COUNTIFS(G429:O429,"Tidak Berlaku")&gt;0,"N/A hanya untuk kegiatan bersyarat",IF(SUM(AF429,AG429,AH429,AI429,AJ429)&lt;&gt;13,"Status kegiatan tidak valid",IF(AJ429&gt;0,"Lengkapi status kegiatan",IF(AND(AI429&gt;0,T429=""),"Isi alasan Tidak Berlaku",IF(AND(SUM(AG429,AH429)&gt;0,OR(T429="",U429="",V429="",W429="")),"Isi kendala dan tindak lanjut",IF(AND(Y429&lt;&gt;"Draft",Y429&lt;&gt;"Dikirim"),"Isi status laporan yang valid",IF(AND(AA429&lt;&gt;"",AA429&lt;&gt;"Belum Diperiksa",AA429&lt;&gt;"Disetujui",AA429&lt;&gt;"Perlu Perbaikan"),"Hasil review tidak valid",IF(AND(Y429="Dikirim",OR(X429="",Z429="")),"Isi bukti dan waktu kirim",IF(AND(AA429="Disetujui",OR(Y429&lt;&gt;"Dikirim",AB429="",AC429="")),"Lengkapi pemeriksaan",IF(AND(AA429="Perlu Perbaikan",OR(AD429="",AB429="",AC429="")),"Isi pemeriksa dan catatan perbaikan","OK")))))))))))))))),"")</f>
        <v/>
      </c>
    </row>
    <row r="430" spans="1:38" ht="24.95" customHeight="1">
      <c r="A430" s="8"/>
      <c r="B430" s="6"/>
      <c r="C430" s="15" t="str">
        <f>IF(COUNTIFS(Master_PIC!$A$8:$A$73,$B430)=1,IF(VLOOKUP($B430,Master_PIC!$A$8:$G$73,2,FALSE)="","",VLOOKUP($B430,Master_PIC!$A$8:$G$73,2,FALSE)),"")</f>
        <v/>
      </c>
      <c r="D430" s="15" t="str">
        <f>IF(COUNTIFS(Master_PIC!$A$8:$A$73,$B430)=1,IF(VLOOKUP($B430,Master_PIC!$A$8:$G$73,4,FALSE)="","",VLOOKUP($B430,Master_PIC!$A$8:$G$73,4,FALSE)),"")</f>
        <v/>
      </c>
      <c r="E430" s="15" t="str">
        <f>IF(COUNTIFS(Master_PIC!$A$8:$A$73,$B430)=1,IF(VLOOKUP($B430,Master_PIC!$A$8:$G$73,5,FALSE)="","",VLOOKUP($B430,Master_PIC!$A$8:$G$73,5,FALSE)),"")</f>
        <v/>
      </c>
      <c r="F430" s="15" t="str">
        <f>IF(COUNTIFS(Master_PIC!$A$8:$A$73,$B430)=1,IF(VLOOKUP($B430,Master_PIC!$A$8:$G$73,6,FALSE)="","",VLOOKUP($B430,Master_PIC!$A$8:$G$73,6,FALSE)),"")</f>
        <v/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8"/>
      <c r="X430" s="5"/>
      <c r="Y430" s="5"/>
      <c r="Z430" s="9"/>
      <c r="AA430" s="5"/>
      <c r="AB430" s="5"/>
      <c r="AC430" s="9"/>
      <c r="AD430" s="5"/>
      <c r="AE430" s="7" t="str">
        <f t="shared" si="42"/>
        <v/>
      </c>
      <c r="AF430" s="7" t="str">
        <f t="shared" si="43"/>
        <v/>
      </c>
      <c r="AG430" s="7" t="str">
        <f t="shared" si="44"/>
        <v/>
      </c>
      <c r="AH430" s="7" t="str">
        <f t="shared" si="45"/>
        <v/>
      </c>
      <c r="AI430" s="7" t="str">
        <f t="shared" si="46"/>
        <v/>
      </c>
      <c r="AJ430" s="7" t="str">
        <f t="shared" si="47"/>
        <v/>
      </c>
      <c r="AK430" s="10" t="str">
        <f t="shared" si="48"/>
        <v/>
      </c>
      <c r="AL430" s="15" t="str">
        <f>IF(OR($A430&lt;&gt;"",$B430&lt;&gt;""),IF(OR($A430="",$B430=""),"Isi tanggal dan ID PIC",IF(NOT(ISNUMBER($A430)),"Tanggal harus berupa tanggal Excel",IF(COUNTIFS(Master_PIC!$A$8:$A$73,$B430)&lt;&gt;1,"ID PIC tidak unik/terdaftar",IF(VLOOKUP($B430,Master_PIC!$A$8:$G$73,3,FALSE)&lt;&gt;"ASM","Jabatan tidak sesuai sheet",IF(OR($C430="",$D430="",$E430="",$F430=""),"Lengkapi master PIC",IF(COUNTIFS($A$8:$A$507,$A430,$B$8:$B$507,$B430)&gt;1,"Laporan ganda",IF(COUNTIFS(G430:O430,"Tidak Berlaku")&gt;0,"N/A hanya untuk kegiatan bersyarat",IF(SUM(AF430,AG430,AH430,AI430,AJ430)&lt;&gt;13,"Status kegiatan tidak valid",IF(AJ430&gt;0,"Lengkapi status kegiatan",IF(AND(AI430&gt;0,T430=""),"Isi alasan Tidak Berlaku",IF(AND(SUM(AG430,AH430)&gt;0,OR(T430="",U430="",V430="",W430="")),"Isi kendala dan tindak lanjut",IF(AND(Y430&lt;&gt;"Draft",Y430&lt;&gt;"Dikirim"),"Isi status laporan yang valid",IF(AND(AA430&lt;&gt;"",AA430&lt;&gt;"Belum Diperiksa",AA430&lt;&gt;"Disetujui",AA430&lt;&gt;"Perlu Perbaikan"),"Hasil review tidak valid",IF(AND(Y430="Dikirim",OR(X430="",Z430="")),"Isi bukti dan waktu kirim",IF(AND(AA430="Disetujui",OR(Y430&lt;&gt;"Dikirim",AB430="",AC430="")),"Lengkapi pemeriksaan",IF(AND(AA430="Perlu Perbaikan",OR(AD430="",AB430="",AC430="")),"Isi pemeriksa dan catatan perbaikan","OK")))))))))))))))),"")</f>
        <v/>
      </c>
    </row>
    <row r="431" spans="1:38" ht="24.95" customHeight="1">
      <c r="A431" s="8"/>
      <c r="B431" s="6"/>
      <c r="C431" s="15" t="str">
        <f>IF(COUNTIFS(Master_PIC!$A$8:$A$73,$B431)=1,IF(VLOOKUP($B431,Master_PIC!$A$8:$G$73,2,FALSE)="","",VLOOKUP($B431,Master_PIC!$A$8:$G$73,2,FALSE)),"")</f>
        <v/>
      </c>
      <c r="D431" s="15" t="str">
        <f>IF(COUNTIFS(Master_PIC!$A$8:$A$73,$B431)=1,IF(VLOOKUP($B431,Master_PIC!$A$8:$G$73,4,FALSE)="","",VLOOKUP($B431,Master_PIC!$A$8:$G$73,4,FALSE)),"")</f>
        <v/>
      </c>
      <c r="E431" s="15" t="str">
        <f>IF(COUNTIFS(Master_PIC!$A$8:$A$73,$B431)=1,IF(VLOOKUP($B431,Master_PIC!$A$8:$G$73,5,FALSE)="","",VLOOKUP($B431,Master_PIC!$A$8:$G$73,5,FALSE)),"")</f>
        <v/>
      </c>
      <c r="F431" s="15" t="str">
        <f>IF(COUNTIFS(Master_PIC!$A$8:$A$73,$B431)=1,IF(VLOOKUP($B431,Master_PIC!$A$8:$G$73,6,FALSE)="","",VLOOKUP($B431,Master_PIC!$A$8:$G$73,6,FALSE)),"")</f>
        <v/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8"/>
      <c r="X431" s="5"/>
      <c r="Y431" s="5"/>
      <c r="Z431" s="9"/>
      <c r="AA431" s="5"/>
      <c r="AB431" s="5"/>
      <c r="AC431" s="9"/>
      <c r="AD431" s="5"/>
      <c r="AE431" s="7" t="str">
        <f t="shared" si="42"/>
        <v/>
      </c>
      <c r="AF431" s="7" t="str">
        <f t="shared" si="43"/>
        <v/>
      </c>
      <c r="AG431" s="7" t="str">
        <f t="shared" si="44"/>
        <v/>
      </c>
      <c r="AH431" s="7" t="str">
        <f t="shared" si="45"/>
        <v/>
      </c>
      <c r="AI431" s="7" t="str">
        <f t="shared" si="46"/>
        <v/>
      </c>
      <c r="AJ431" s="7" t="str">
        <f t="shared" si="47"/>
        <v/>
      </c>
      <c r="AK431" s="10" t="str">
        <f t="shared" si="48"/>
        <v/>
      </c>
      <c r="AL431" s="15" t="str">
        <f>IF(OR($A431&lt;&gt;"",$B431&lt;&gt;""),IF(OR($A431="",$B431=""),"Isi tanggal dan ID PIC",IF(NOT(ISNUMBER($A431)),"Tanggal harus berupa tanggal Excel",IF(COUNTIFS(Master_PIC!$A$8:$A$73,$B431)&lt;&gt;1,"ID PIC tidak unik/terdaftar",IF(VLOOKUP($B431,Master_PIC!$A$8:$G$73,3,FALSE)&lt;&gt;"ASM","Jabatan tidak sesuai sheet",IF(OR($C431="",$D431="",$E431="",$F431=""),"Lengkapi master PIC",IF(COUNTIFS($A$8:$A$507,$A431,$B$8:$B$507,$B431)&gt;1,"Laporan ganda",IF(COUNTIFS(G431:O431,"Tidak Berlaku")&gt;0,"N/A hanya untuk kegiatan bersyarat",IF(SUM(AF431,AG431,AH431,AI431,AJ431)&lt;&gt;13,"Status kegiatan tidak valid",IF(AJ431&gt;0,"Lengkapi status kegiatan",IF(AND(AI431&gt;0,T431=""),"Isi alasan Tidak Berlaku",IF(AND(SUM(AG431,AH431)&gt;0,OR(T431="",U431="",V431="",W431="")),"Isi kendala dan tindak lanjut",IF(AND(Y431&lt;&gt;"Draft",Y431&lt;&gt;"Dikirim"),"Isi status laporan yang valid",IF(AND(AA431&lt;&gt;"",AA431&lt;&gt;"Belum Diperiksa",AA431&lt;&gt;"Disetujui",AA431&lt;&gt;"Perlu Perbaikan"),"Hasil review tidak valid",IF(AND(Y431="Dikirim",OR(X431="",Z431="")),"Isi bukti dan waktu kirim",IF(AND(AA431="Disetujui",OR(Y431&lt;&gt;"Dikirim",AB431="",AC431="")),"Lengkapi pemeriksaan",IF(AND(AA431="Perlu Perbaikan",OR(AD431="",AB431="",AC431="")),"Isi pemeriksa dan catatan perbaikan","OK")))))))))))))))),"")</f>
        <v/>
      </c>
    </row>
    <row r="432" spans="1:38" ht="24.95" customHeight="1">
      <c r="A432" s="8"/>
      <c r="B432" s="6"/>
      <c r="C432" s="15" t="str">
        <f>IF(COUNTIFS(Master_PIC!$A$8:$A$73,$B432)=1,IF(VLOOKUP($B432,Master_PIC!$A$8:$G$73,2,FALSE)="","",VLOOKUP($B432,Master_PIC!$A$8:$G$73,2,FALSE)),"")</f>
        <v/>
      </c>
      <c r="D432" s="15" t="str">
        <f>IF(COUNTIFS(Master_PIC!$A$8:$A$73,$B432)=1,IF(VLOOKUP($B432,Master_PIC!$A$8:$G$73,4,FALSE)="","",VLOOKUP($B432,Master_PIC!$A$8:$G$73,4,FALSE)),"")</f>
        <v/>
      </c>
      <c r="E432" s="15" t="str">
        <f>IF(COUNTIFS(Master_PIC!$A$8:$A$73,$B432)=1,IF(VLOOKUP($B432,Master_PIC!$A$8:$G$73,5,FALSE)="","",VLOOKUP($B432,Master_PIC!$A$8:$G$73,5,FALSE)),"")</f>
        <v/>
      </c>
      <c r="F432" s="15" t="str">
        <f>IF(COUNTIFS(Master_PIC!$A$8:$A$73,$B432)=1,IF(VLOOKUP($B432,Master_PIC!$A$8:$G$73,6,FALSE)="","",VLOOKUP($B432,Master_PIC!$A$8:$G$73,6,FALSE)),"")</f>
        <v/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8"/>
      <c r="X432" s="5"/>
      <c r="Y432" s="5"/>
      <c r="Z432" s="9"/>
      <c r="AA432" s="5"/>
      <c r="AB432" s="5"/>
      <c r="AC432" s="9"/>
      <c r="AD432" s="5"/>
      <c r="AE432" s="7" t="str">
        <f t="shared" si="42"/>
        <v/>
      </c>
      <c r="AF432" s="7" t="str">
        <f t="shared" si="43"/>
        <v/>
      </c>
      <c r="AG432" s="7" t="str">
        <f t="shared" si="44"/>
        <v/>
      </c>
      <c r="AH432" s="7" t="str">
        <f t="shared" si="45"/>
        <v/>
      </c>
      <c r="AI432" s="7" t="str">
        <f t="shared" si="46"/>
        <v/>
      </c>
      <c r="AJ432" s="7" t="str">
        <f t="shared" si="47"/>
        <v/>
      </c>
      <c r="AK432" s="10" t="str">
        <f t="shared" si="48"/>
        <v/>
      </c>
      <c r="AL432" s="15" t="str">
        <f>IF(OR($A432&lt;&gt;"",$B432&lt;&gt;""),IF(OR($A432="",$B432=""),"Isi tanggal dan ID PIC",IF(NOT(ISNUMBER($A432)),"Tanggal harus berupa tanggal Excel",IF(COUNTIFS(Master_PIC!$A$8:$A$73,$B432)&lt;&gt;1,"ID PIC tidak unik/terdaftar",IF(VLOOKUP($B432,Master_PIC!$A$8:$G$73,3,FALSE)&lt;&gt;"ASM","Jabatan tidak sesuai sheet",IF(OR($C432="",$D432="",$E432="",$F432=""),"Lengkapi master PIC",IF(COUNTIFS($A$8:$A$507,$A432,$B$8:$B$507,$B432)&gt;1,"Laporan ganda",IF(COUNTIFS(G432:O432,"Tidak Berlaku")&gt;0,"N/A hanya untuk kegiatan bersyarat",IF(SUM(AF432,AG432,AH432,AI432,AJ432)&lt;&gt;13,"Status kegiatan tidak valid",IF(AJ432&gt;0,"Lengkapi status kegiatan",IF(AND(AI432&gt;0,T432=""),"Isi alasan Tidak Berlaku",IF(AND(SUM(AG432,AH432)&gt;0,OR(T432="",U432="",V432="",W432="")),"Isi kendala dan tindak lanjut",IF(AND(Y432&lt;&gt;"Draft",Y432&lt;&gt;"Dikirim"),"Isi status laporan yang valid",IF(AND(AA432&lt;&gt;"",AA432&lt;&gt;"Belum Diperiksa",AA432&lt;&gt;"Disetujui",AA432&lt;&gt;"Perlu Perbaikan"),"Hasil review tidak valid",IF(AND(Y432="Dikirim",OR(X432="",Z432="")),"Isi bukti dan waktu kirim",IF(AND(AA432="Disetujui",OR(Y432&lt;&gt;"Dikirim",AB432="",AC432="")),"Lengkapi pemeriksaan",IF(AND(AA432="Perlu Perbaikan",OR(AD432="",AB432="",AC432="")),"Isi pemeriksa dan catatan perbaikan","OK")))))))))))))))),"")</f>
        <v/>
      </c>
    </row>
    <row r="433" spans="1:38" ht="24.95" customHeight="1">
      <c r="A433" s="8"/>
      <c r="B433" s="6"/>
      <c r="C433" s="15" t="str">
        <f>IF(COUNTIFS(Master_PIC!$A$8:$A$73,$B433)=1,IF(VLOOKUP($B433,Master_PIC!$A$8:$G$73,2,FALSE)="","",VLOOKUP($B433,Master_PIC!$A$8:$G$73,2,FALSE)),"")</f>
        <v/>
      </c>
      <c r="D433" s="15" t="str">
        <f>IF(COUNTIFS(Master_PIC!$A$8:$A$73,$B433)=1,IF(VLOOKUP($B433,Master_PIC!$A$8:$G$73,4,FALSE)="","",VLOOKUP($B433,Master_PIC!$A$8:$G$73,4,FALSE)),"")</f>
        <v/>
      </c>
      <c r="E433" s="15" t="str">
        <f>IF(COUNTIFS(Master_PIC!$A$8:$A$73,$B433)=1,IF(VLOOKUP($B433,Master_PIC!$A$8:$G$73,5,FALSE)="","",VLOOKUP($B433,Master_PIC!$A$8:$G$73,5,FALSE)),"")</f>
        <v/>
      </c>
      <c r="F433" s="15" t="str">
        <f>IF(COUNTIFS(Master_PIC!$A$8:$A$73,$B433)=1,IF(VLOOKUP($B433,Master_PIC!$A$8:$G$73,6,FALSE)="","",VLOOKUP($B433,Master_PIC!$A$8:$G$73,6,FALSE)),"")</f>
        <v/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8"/>
      <c r="X433" s="5"/>
      <c r="Y433" s="5"/>
      <c r="Z433" s="9"/>
      <c r="AA433" s="5"/>
      <c r="AB433" s="5"/>
      <c r="AC433" s="9"/>
      <c r="AD433" s="5"/>
      <c r="AE433" s="7" t="str">
        <f t="shared" si="42"/>
        <v/>
      </c>
      <c r="AF433" s="7" t="str">
        <f t="shared" si="43"/>
        <v/>
      </c>
      <c r="AG433" s="7" t="str">
        <f t="shared" si="44"/>
        <v/>
      </c>
      <c r="AH433" s="7" t="str">
        <f t="shared" si="45"/>
        <v/>
      </c>
      <c r="AI433" s="7" t="str">
        <f t="shared" si="46"/>
        <v/>
      </c>
      <c r="AJ433" s="7" t="str">
        <f t="shared" si="47"/>
        <v/>
      </c>
      <c r="AK433" s="10" t="str">
        <f t="shared" si="48"/>
        <v/>
      </c>
      <c r="AL433" s="15" t="str">
        <f>IF(OR($A433&lt;&gt;"",$B433&lt;&gt;""),IF(OR($A433="",$B433=""),"Isi tanggal dan ID PIC",IF(NOT(ISNUMBER($A433)),"Tanggal harus berupa tanggal Excel",IF(COUNTIFS(Master_PIC!$A$8:$A$73,$B433)&lt;&gt;1,"ID PIC tidak unik/terdaftar",IF(VLOOKUP($B433,Master_PIC!$A$8:$G$73,3,FALSE)&lt;&gt;"ASM","Jabatan tidak sesuai sheet",IF(OR($C433="",$D433="",$E433="",$F433=""),"Lengkapi master PIC",IF(COUNTIFS($A$8:$A$507,$A433,$B$8:$B$507,$B433)&gt;1,"Laporan ganda",IF(COUNTIFS(G433:O433,"Tidak Berlaku")&gt;0,"N/A hanya untuk kegiatan bersyarat",IF(SUM(AF433,AG433,AH433,AI433,AJ433)&lt;&gt;13,"Status kegiatan tidak valid",IF(AJ433&gt;0,"Lengkapi status kegiatan",IF(AND(AI433&gt;0,T433=""),"Isi alasan Tidak Berlaku",IF(AND(SUM(AG433,AH433)&gt;0,OR(T433="",U433="",V433="",W433="")),"Isi kendala dan tindak lanjut",IF(AND(Y433&lt;&gt;"Draft",Y433&lt;&gt;"Dikirim"),"Isi status laporan yang valid",IF(AND(AA433&lt;&gt;"",AA433&lt;&gt;"Belum Diperiksa",AA433&lt;&gt;"Disetujui",AA433&lt;&gt;"Perlu Perbaikan"),"Hasil review tidak valid",IF(AND(Y433="Dikirim",OR(X433="",Z433="")),"Isi bukti dan waktu kirim",IF(AND(AA433="Disetujui",OR(Y433&lt;&gt;"Dikirim",AB433="",AC433="")),"Lengkapi pemeriksaan",IF(AND(AA433="Perlu Perbaikan",OR(AD433="",AB433="",AC433="")),"Isi pemeriksa dan catatan perbaikan","OK")))))))))))))))),"")</f>
        <v/>
      </c>
    </row>
    <row r="434" spans="1:38" ht="24.95" customHeight="1">
      <c r="A434" s="8"/>
      <c r="B434" s="6"/>
      <c r="C434" s="15" t="str">
        <f>IF(COUNTIFS(Master_PIC!$A$8:$A$73,$B434)=1,IF(VLOOKUP($B434,Master_PIC!$A$8:$G$73,2,FALSE)="","",VLOOKUP($B434,Master_PIC!$A$8:$G$73,2,FALSE)),"")</f>
        <v/>
      </c>
      <c r="D434" s="15" t="str">
        <f>IF(COUNTIFS(Master_PIC!$A$8:$A$73,$B434)=1,IF(VLOOKUP($B434,Master_PIC!$A$8:$G$73,4,FALSE)="","",VLOOKUP($B434,Master_PIC!$A$8:$G$73,4,FALSE)),"")</f>
        <v/>
      </c>
      <c r="E434" s="15" t="str">
        <f>IF(COUNTIFS(Master_PIC!$A$8:$A$73,$B434)=1,IF(VLOOKUP($B434,Master_PIC!$A$8:$G$73,5,FALSE)="","",VLOOKUP($B434,Master_PIC!$A$8:$G$73,5,FALSE)),"")</f>
        <v/>
      </c>
      <c r="F434" s="15" t="str">
        <f>IF(COUNTIFS(Master_PIC!$A$8:$A$73,$B434)=1,IF(VLOOKUP($B434,Master_PIC!$A$8:$G$73,6,FALSE)="","",VLOOKUP($B434,Master_PIC!$A$8:$G$73,6,FALSE)),"")</f>
        <v/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8"/>
      <c r="X434" s="5"/>
      <c r="Y434" s="5"/>
      <c r="Z434" s="9"/>
      <c r="AA434" s="5"/>
      <c r="AB434" s="5"/>
      <c r="AC434" s="9"/>
      <c r="AD434" s="5"/>
      <c r="AE434" s="7" t="str">
        <f t="shared" si="42"/>
        <v/>
      </c>
      <c r="AF434" s="7" t="str">
        <f t="shared" si="43"/>
        <v/>
      </c>
      <c r="AG434" s="7" t="str">
        <f t="shared" si="44"/>
        <v/>
      </c>
      <c r="AH434" s="7" t="str">
        <f t="shared" si="45"/>
        <v/>
      </c>
      <c r="AI434" s="7" t="str">
        <f t="shared" si="46"/>
        <v/>
      </c>
      <c r="AJ434" s="7" t="str">
        <f t="shared" si="47"/>
        <v/>
      </c>
      <c r="AK434" s="10" t="str">
        <f t="shared" si="48"/>
        <v/>
      </c>
      <c r="AL434" s="15" t="str">
        <f>IF(OR($A434&lt;&gt;"",$B434&lt;&gt;""),IF(OR($A434="",$B434=""),"Isi tanggal dan ID PIC",IF(NOT(ISNUMBER($A434)),"Tanggal harus berupa tanggal Excel",IF(COUNTIFS(Master_PIC!$A$8:$A$73,$B434)&lt;&gt;1,"ID PIC tidak unik/terdaftar",IF(VLOOKUP($B434,Master_PIC!$A$8:$G$73,3,FALSE)&lt;&gt;"ASM","Jabatan tidak sesuai sheet",IF(OR($C434="",$D434="",$E434="",$F434=""),"Lengkapi master PIC",IF(COUNTIFS($A$8:$A$507,$A434,$B$8:$B$507,$B434)&gt;1,"Laporan ganda",IF(COUNTIFS(G434:O434,"Tidak Berlaku")&gt;0,"N/A hanya untuk kegiatan bersyarat",IF(SUM(AF434,AG434,AH434,AI434,AJ434)&lt;&gt;13,"Status kegiatan tidak valid",IF(AJ434&gt;0,"Lengkapi status kegiatan",IF(AND(AI434&gt;0,T434=""),"Isi alasan Tidak Berlaku",IF(AND(SUM(AG434,AH434)&gt;0,OR(T434="",U434="",V434="",W434="")),"Isi kendala dan tindak lanjut",IF(AND(Y434&lt;&gt;"Draft",Y434&lt;&gt;"Dikirim"),"Isi status laporan yang valid",IF(AND(AA434&lt;&gt;"",AA434&lt;&gt;"Belum Diperiksa",AA434&lt;&gt;"Disetujui",AA434&lt;&gt;"Perlu Perbaikan"),"Hasil review tidak valid",IF(AND(Y434="Dikirim",OR(X434="",Z434="")),"Isi bukti dan waktu kirim",IF(AND(AA434="Disetujui",OR(Y434&lt;&gt;"Dikirim",AB434="",AC434="")),"Lengkapi pemeriksaan",IF(AND(AA434="Perlu Perbaikan",OR(AD434="",AB434="",AC434="")),"Isi pemeriksa dan catatan perbaikan","OK")))))))))))))))),"")</f>
        <v/>
      </c>
    </row>
    <row r="435" spans="1:38" ht="24.95" customHeight="1">
      <c r="A435" s="8"/>
      <c r="B435" s="6"/>
      <c r="C435" s="15" t="str">
        <f>IF(COUNTIFS(Master_PIC!$A$8:$A$73,$B435)=1,IF(VLOOKUP($B435,Master_PIC!$A$8:$G$73,2,FALSE)="","",VLOOKUP($B435,Master_PIC!$A$8:$G$73,2,FALSE)),"")</f>
        <v/>
      </c>
      <c r="D435" s="15" t="str">
        <f>IF(COUNTIFS(Master_PIC!$A$8:$A$73,$B435)=1,IF(VLOOKUP($B435,Master_PIC!$A$8:$G$73,4,FALSE)="","",VLOOKUP($B435,Master_PIC!$A$8:$G$73,4,FALSE)),"")</f>
        <v/>
      </c>
      <c r="E435" s="15" t="str">
        <f>IF(COUNTIFS(Master_PIC!$A$8:$A$73,$B435)=1,IF(VLOOKUP($B435,Master_PIC!$A$8:$G$73,5,FALSE)="","",VLOOKUP($B435,Master_PIC!$A$8:$G$73,5,FALSE)),"")</f>
        <v/>
      </c>
      <c r="F435" s="15" t="str">
        <f>IF(COUNTIFS(Master_PIC!$A$8:$A$73,$B435)=1,IF(VLOOKUP($B435,Master_PIC!$A$8:$G$73,6,FALSE)="","",VLOOKUP($B435,Master_PIC!$A$8:$G$73,6,FALSE)),"")</f>
        <v/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8"/>
      <c r="X435" s="5"/>
      <c r="Y435" s="5"/>
      <c r="Z435" s="9"/>
      <c r="AA435" s="5"/>
      <c r="AB435" s="5"/>
      <c r="AC435" s="9"/>
      <c r="AD435" s="5"/>
      <c r="AE435" s="7" t="str">
        <f t="shared" si="42"/>
        <v/>
      </c>
      <c r="AF435" s="7" t="str">
        <f t="shared" si="43"/>
        <v/>
      </c>
      <c r="AG435" s="7" t="str">
        <f t="shared" si="44"/>
        <v/>
      </c>
      <c r="AH435" s="7" t="str">
        <f t="shared" si="45"/>
        <v/>
      </c>
      <c r="AI435" s="7" t="str">
        <f t="shared" si="46"/>
        <v/>
      </c>
      <c r="AJ435" s="7" t="str">
        <f t="shared" si="47"/>
        <v/>
      </c>
      <c r="AK435" s="10" t="str">
        <f t="shared" si="48"/>
        <v/>
      </c>
      <c r="AL435" s="15" t="str">
        <f>IF(OR($A435&lt;&gt;"",$B435&lt;&gt;""),IF(OR($A435="",$B435=""),"Isi tanggal dan ID PIC",IF(NOT(ISNUMBER($A435)),"Tanggal harus berupa tanggal Excel",IF(COUNTIFS(Master_PIC!$A$8:$A$73,$B435)&lt;&gt;1,"ID PIC tidak unik/terdaftar",IF(VLOOKUP($B435,Master_PIC!$A$8:$G$73,3,FALSE)&lt;&gt;"ASM","Jabatan tidak sesuai sheet",IF(OR($C435="",$D435="",$E435="",$F435=""),"Lengkapi master PIC",IF(COUNTIFS($A$8:$A$507,$A435,$B$8:$B$507,$B435)&gt;1,"Laporan ganda",IF(COUNTIFS(G435:O435,"Tidak Berlaku")&gt;0,"N/A hanya untuk kegiatan bersyarat",IF(SUM(AF435,AG435,AH435,AI435,AJ435)&lt;&gt;13,"Status kegiatan tidak valid",IF(AJ435&gt;0,"Lengkapi status kegiatan",IF(AND(AI435&gt;0,T435=""),"Isi alasan Tidak Berlaku",IF(AND(SUM(AG435,AH435)&gt;0,OR(T435="",U435="",V435="",W435="")),"Isi kendala dan tindak lanjut",IF(AND(Y435&lt;&gt;"Draft",Y435&lt;&gt;"Dikirim"),"Isi status laporan yang valid",IF(AND(AA435&lt;&gt;"",AA435&lt;&gt;"Belum Diperiksa",AA435&lt;&gt;"Disetujui",AA435&lt;&gt;"Perlu Perbaikan"),"Hasil review tidak valid",IF(AND(Y435="Dikirim",OR(X435="",Z435="")),"Isi bukti dan waktu kirim",IF(AND(AA435="Disetujui",OR(Y435&lt;&gt;"Dikirim",AB435="",AC435="")),"Lengkapi pemeriksaan",IF(AND(AA435="Perlu Perbaikan",OR(AD435="",AB435="",AC435="")),"Isi pemeriksa dan catatan perbaikan","OK")))))))))))))))),"")</f>
        <v/>
      </c>
    </row>
    <row r="436" spans="1:38" ht="24.95" customHeight="1">
      <c r="A436" s="8"/>
      <c r="B436" s="6"/>
      <c r="C436" s="15" t="str">
        <f>IF(COUNTIFS(Master_PIC!$A$8:$A$73,$B436)=1,IF(VLOOKUP($B436,Master_PIC!$A$8:$G$73,2,FALSE)="","",VLOOKUP($B436,Master_PIC!$A$8:$G$73,2,FALSE)),"")</f>
        <v/>
      </c>
      <c r="D436" s="15" t="str">
        <f>IF(COUNTIFS(Master_PIC!$A$8:$A$73,$B436)=1,IF(VLOOKUP($B436,Master_PIC!$A$8:$G$73,4,FALSE)="","",VLOOKUP($B436,Master_PIC!$A$8:$G$73,4,FALSE)),"")</f>
        <v/>
      </c>
      <c r="E436" s="15" t="str">
        <f>IF(COUNTIFS(Master_PIC!$A$8:$A$73,$B436)=1,IF(VLOOKUP($B436,Master_PIC!$A$8:$G$73,5,FALSE)="","",VLOOKUP($B436,Master_PIC!$A$8:$G$73,5,FALSE)),"")</f>
        <v/>
      </c>
      <c r="F436" s="15" t="str">
        <f>IF(COUNTIFS(Master_PIC!$A$8:$A$73,$B436)=1,IF(VLOOKUP($B436,Master_PIC!$A$8:$G$73,6,FALSE)="","",VLOOKUP($B436,Master_PIC!$A$8:$G$73,6,FALSE)),"")</f>
        <v/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8"/>
      <c r="X436" s="5"/>
      <c r="Y436" s="5"/>
      <c r="Z436" s="9"/>
      <c r="AA436" s="5"/>
      <c r="AB436" s="5"/>
      <c r="AC436" s="9"/>
      <c r="AD436" s="5"/>
      <c r="AE436" s="7" t="str">
        <f t="shared" si="42"/>
        <v/>
      </c>
      <c r="AF436" s="7" t="str">
        <f t="shared" si="43"/>
        <v/>
      </c>
      <c r="AG436" s="7" t="str">
        <f t="shared" si="44"/>
        <v/>
      </c>
      <c r="AH436" s="7" t="str">
        <f t="shared" si="45"/>
        <v/>
      </c>
      <c r="AI436" s="7" t="str">
        <f t="shared" si="46"/>
        <v/>
      </c>
      <c r="AJ436" s="7" t="str">
        <f t="shared" si="47"/>
        <v/>
      </c>
      <c r="AK436" s="10" t="str">
        <f t="shared" si="48"/>
        <v/>
      </c>
      <c r="AL436" s="15" t="str">
        <f>IF(OR($A436&lt;&gt;"",$B436&lt;&gt;""),IF(OR($A436="",$B436=""),"Isi tanggal dan ID PIC",IF(NOT(ISNUMBER($A436)),"Tanggal harus berupa tanggal Excel",IF(COUNTIFS(Master_PIC!$A$8:$A$73,$B436)&lt;&gt;1,"ID PIC tidak unik/terdaftar",IF(VLOOKUP($B436,Master_PIC!$A$8:$G$73,3,FALSE)&lt;&gt;"ASM","Jabatan tidak sesuai sheet",IF(OR($C436="",$D436="",$E436="",$F436=""),"Lengkapi master PIC",IF(COUNTIFS($A$8:$A$507,$A436,$B$8:$B$507,$B436)&gt;1,"Laporan ganda",IF(COUNTIFS(G436:O436,"Tidak Berlaku")&gt;0,"N/A hanya untuk kegiatan bersyarat",IF(SUM(AF436,AG436,AH436,AI436,AJ436)&lt;&gt;13,"Status kegiatan tidak valid",IF(AJ436&gt;0,"Lengkapi status kegiatan",IF(AND(AI436&gt;0,T436=""),"Isi alasan Tidak Berlaku",IF(AND(SUM(AG436,AH436)&gt;0,OR(T436="",U436="",V436="",W436="")),"Isi kendala dan tindak lanjut",IF(AND(Y436&lt;&gt;"Draft",Y436&lt;&gt;"Dikirim"),"Isi status laporan yang valid",IF(AND(AA436&lt;&gt;"",AA436&lt;&gt;"Belum Diperiksa",AA436&lt;&gt;"Disetujui",AA436&lt;&gt;"Perlu Perbaikan"),"Hasil review tidak valid",IF(AND(Y436="Dikirim",OR(X436="",Z436="")),"Isi bukti dan waktu kirim",IF(AND(AA436="Disetujui",OR(Y436&lt;&gt;"Dikirim",AB436="",AC436="")),"Lengkapi pemeriksaan",IF(AND(AA436="Perlu Perbaikan",OR(AD436="",AB436="",AC436="")),"Isi pemeriksa dan catatan perbaikan","OK")))))))))))))))),"")</f>
        <v/>
      </c>
    </row>
    <row r="437" spans="1:38" ht="24.95" customHeight="1">
      <c r="A437" s="8"/>
      <c r="B437" s="6"/>
      <c r="C437" s="15" t="str">
        <f>IF(COUNTIFS(Master_PIC!$A$8:$A$73,$B437)=1,IF(VLOOKUP($B437,Master_PIC!$A$8:$G$73,2,FALSE)="","",VLOOKUP($B437,Master_PIC!$A$8:$G$73,2,FALSE)),"")</f>
        <v/>
      </c>
      <c r="D437" s="15" t="str">
        <f>IF(COUNTIFS(Master_PIC!$A$8:$A$73,$B437)=1,IF(VLOOKUP($B437,Master_PIC!$A$8:$G$73,4,FALSE)="","",VLOOKUP($B437,Master_PIC!$A$8:$G$73,4,FALSE)),"")</f>
        <v/>
      </c>
      <c r="E437" s="15" t="str">
        <f>IF(COUNTIFS(Master_PIC!$A$8:$A$73,$B437)=1,IF(VLOOKUP($B437,Master_PIC!$A$8:$G$73,5,FALSE)="","",VLOOKUP($B437,Master_PIC!$A$8:$G$73,5,FALSE)),"")</f>
        <v/>
      </c>
      <c r="F437" s="15" t="str">
        <f>IF(COUNTIFS(Master_PIC!$A$8:$A$73,$B437)=1,IF(VLOOKUP($B437,Master_PIC!$A$8:$G$73,6,FALSE)="","",VLOOKUP($B437,Master_PIC!$A$8:$G$73,6,FALSE)),"")</f>
        <v/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8"/>
      <c r="X437" s="5"/>
      <c r="Y437" s="5"/>
      <c r="Z437" s="9"/>
      <c r="AA437" s="5"/>
      <c r="AB437" s="5"/>
      <c r="AC437" s="9"/>
      <c r="AD437" s="5"/>
      <c r="AE437" s="7" t="str">
        <f t="shared" si="42"/>
        <v/>
      </c>
      <c r="AF437" s="7" t="str">
        <f t="shared" si="43"/>
        <v/>
      </c>
      <c r="AG437" s="7" t="str">
        <f t="shared" si="44"/>
        <v/>
      </c>
      <c r="AH437" s="7" t="str">
        <f t="shared" si="45"/>
        <v/>
      </c>
      <c r="AI437" s="7" t="str">
        <f t="shared" si="46"/>
        <v/>
      </c>
      <c r="AJ437" s="7" t="str">
        <f t="shared" si="47"/>
        <v/>
      </c>
      <c r="AK437" s="10" t="str">
        <f t="shared" si="48"/>
        <v/>
      </c>
      <c r="AL437" s="15" t="str">
        <f>IF(OR($A437&lt;&gt;"",$B437&lt;&gt;""),IF(OR($A437="",$B437=""),"Isi tanggal dan ID PIC",IF(NOT(ISNUMBER($A437)),"Tanggal harus berupa tanggal Excel",IF(COUNTIFS(Master_PIC!$A$8:$A$73,$B437)&lt;&gt;1,"ID PIC tidak unik/terdaftar",IF(VLOOKUP($B437,Master_PIC!$A$8:$G$73,3,FALSE)&lt;&gt;"ASM","Jabatan tidak sesuai sheet",IF(OR($C437="",$D437="",$E437="",$F437=""),"Lengkapi master PIC",IF(COUNTIFS($A$8:$A$507,$A437,$B$8:$B$507,$B437)&gt;1,"Laporan ganda",IF(COUNTIFS(G437:O437,"Tidak Berlaku")&gt;0,"N/A hanya untuk kegiatan bersyarat",IF(SUM(AF437,AG437,AH437,AI437,AJ437)&lt;&gt;13,"Status kegiatan tidak valid",IF(AJ437&gt;0,"Lengkapi status kegiatan",IF(AND(AI437&gt;0,T437=""),"Isi alasan Tidak Berlaku",IF(AND(SUM(AG437,AH437)&gt;0,OR(T437="",U437="",V437="",W437="")),"Isi kendala dan tindak lanjut",IF(AND(Y437&lt;&gt;"Draft",Y437&lt;&gt;"Dikirim"),"Isi status laporan yang valid",IF(AND(AA437&lt;&gt;"",AA437&lt;&gt;"Belum Diperiksa",AA437&lt;&gt;"Disetujui",AA437&lt;&gt;"Perlu Perbaikan"),"Hasil review tidak valid",IF(AND(Y437="Dikirim",OR(X437="",Z437="")),"Isi bukti dan waktu kirim",IF(AND(AA437="Disetujui",OR(Y437&lt;&gt;"Dikirim",AB437="",AC437="")),"Lengkapi pemeriksaan",IF(AND(AA437="Perlu Perbaikan",OR(AD437="",AB437="",AC437="")),"Isi pemeriksa dan catatan perbaikan","OK")))))))))))))))),"")</f>
        <v/>
      </c>
    </row>
    <row r="438" spans="1:38" ht="24.95" customHeight="1">
      <c r="A438" s="8"/>
      <c r="B438" s="6"/>
      <c r="C438" s="15" t="str">
        <f>IF(COUNTIFS(Master_PIC!$A$8:$A$73,$B438)=1,IF(VLOOKUP($B438,Master_PIC!$A$8:$G$73,2,FALSE)="","",VLOOKUP($B438,Master_PIC!$A$8:$G$73,2,FALSE)),"")</f>
        <v/>
      </c>
      <c r="D438" s="15" t="str">
        <f>IF(COUNTIFS(Master_PIC!$A$8:$A$73,$B438)=1,IF(VLOOKUP($B438,Master_PIC!$A$8:$G$73,4,FALSE)="","",VLOOKUP($B438,Master_PIC!$A$8:$G$73,4,FALSE)),"")</f>
        <v/>
      </c>
      <c r="E438" s="15" t="str">
        <f>IF(COUNTIFS(Master_PIC!$A$8:$A$73,$B438)=1,IF(VLOOKUP($B438,Master_PIC!$A$8:$G$73,5,FALSE)="","",VLOOKUP($B438,Master_PIC!$A$8:$G$73,5,FALSE)),"")</f>
        <v/>
      </c>
      <c r="F438" s="15" t="str">
        <f>IF(COUNTIFS(Master_PIC!$A$8:$A$73,$B438)=1,IF(VLOOKUP($B438,Master_PIC!$A$8:$G$73,6,FALSE)="","",VLOOKUP($B438,Master_PIC!$A$8:$G$73,6,FALSE)),"")</f>
        <v/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8"/>
      <c r="X438" s="5"/>
      <c r="Y438" s="5"/>
      <c r="Z438" s="9"/>
      <c r="AA438" s="5"/>
      <c r="AB438" s="5"/>
      <c r="AC438" s="9"/>
      <c r="AD438" s="5"/>
      <c r="AE438" s="7" t="str">
        <f t="shared" si="42"/>
        <v/>
      </c>
      <c r="AF438" s="7" t="str">
        <f t="shared" si="43"/>
        <v/>
      </c>
      <c r="AG438" s="7" t="str">
        <f t="shared" si="44"/>
        <v/>
      </c>
      <c r="AH438" s="7" t="str">
        <f t="shared" si="45"/>
        <v/>
      </c>
      <c r="AI438" s="7" t="str">
        <f t="shared" si="46"/>
        <v/>
      </c>
      <c r="AJ438" s="7" t="str">
        <f t="shared" si="47"/>
        <v/>
      </c>
      <c r="AK438" s="10" t="str">
        <f t="shared" si="48"/>
        <v/>
      </c>
      <c r="AL438" s="15" t="str">
        <f>IF(OR($A438&lt;&gt;"",$B438&lt;&gt;""),IF(OR($A438="",$B438=""),"Isi tanggal dan ID PIC",IF(NOT(ISNUMBER($A438)),"Tanggal harus berupa tanggal Excel",IF(COUNTIFS(Master_PIC!$A$8:$A$73,$B438)&lt;&gt;1,"ID PIC tidak unik/terdaftar",IF(VLOOKUP($B438,Master_PIC!$A$8:$G$73,3,FALSE)&lt;&gt;"ASM","Jabatan tidak sesuai sheet",IF(OR($C438="",$D438="",$E438="",$F438=""),"Lengkapi master PIC",IF(COUNTIFS($A$8:$A$507,$A438,$B$8:$B$507,$B438)&gt;1,"Laporan ganda",IF(COUNTIFS(G438:O438,"Tidak Berlaku")&gt;0,"N/A hanya untuk kegiatan bersyarat",IF(SUM(AF438,AG438,AH438,AI438,AJ438)&lt;&gt;13,"Status kegiatan tidak valid",IF(AJ438&gt;0,"Lengkapi status kegiatan",IF(AND(AI438&gt;0,T438=""),"Isi alasan Tidak Berlaku",IF(AND(SUM(AG438,AH438)&gt;0,OR(T438="",U438="",V438="",W438="")),"Isi kendala dan tindak lanjut",IF(AND(Y438&lt;&gt;"Draft",Y438&lt;&gt;"Dikirim"),"Isi status laporan yang valid",IF(AND(AA438&lt;&gt;"",AA438&lt;&gt;"Belum Diperiksa",AA438&lt;&gt;"Disetujui",AA438&lt;&gt;"Perlu Perbaikan"),"Hasil review tidak valid",IF(AND(Y438="Dikirim",OR(X438="",Z438="")),"Isi bukti dan waktu kirim",IF(AND(AA438="Disetujui",OR(Y438&lt;&gt;"Dikirim",AB438="",AC438="")),"Lengkapi pemeriksaan",IF(AND(AA438="Perlu Perbaikan",OR(AD438="",AB438="",AC438="")),"Isi pemeriksa dan catatan perbaikan","OK")))))))))))))))),"")</f>
        <v/>
      </c>
    </row>
    <row r="439" spans="1:38" ht="24.95" customHeight="1">
      <c r="A439" s="8"/>
      <c r="B439" s="6"/>
      <c r="C439" s="15" t="str">
        <f>IF(COUNTIFS(Master_PIC!$A$8:$A$73,$B439)=1,IF(VLOOKUP($B439,Master_PIC!$A$8:$G$73,2,FALSE)="","",VLOOKUP($B439,Master_PIC!$A$8:$G$73,2,FALSE)),"")</f>
        <v/>
      </c>
      <c r="D439" s="15" t="str">
        <f>IF(COUNTIFS(Master_PIC!$A$8:$A$73,$B439)=1,IF(VLOOKUP($B439,Master_PIC!$A$8:$G$73,4,FALSE)="","",VLOOKUP($B439,Master_PIC!$A$8:$G$73,4,FALSE)),"")</f>
        <v/>
      </c>
      <c r="E439" s="15" t="str">
        <f>IF(COUNTIFS(Master_PIC!$A$8:$A$73,$B439)=1,IF(VLOOKUP($B439,Master_PIC!$A$8:$G$73,5,FALSE)="","",VLOOKUP($B439,Master_PIC!$A$8:$G$73,5,FALSE)),"")</f>
        <v/>
      </c>
      <c r="F439" s="15" t="str">
        <f>IF(COUNTIFS(Master_PIC!$A$8:$A$73,$B439)=1,IF(VLOOKUP($B439,Master_PIC!$A$8:$G$73,6,FALSE)="","",VLOOKUP($B439,Master_PIC!$A$8:$G$73,6,FALSE)),"")</f>
        <v/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8"/>
      <c r="X439" s="5"/>
      <c r="Y439" s="5"/>
      <c r="Z439" s="9"/>
      <c r="AA439" s="5"/>
      <c r="AB439" s="5"/>
      <c r="AC439" s="9"/>
      <c r="AD439" s="5"/>
      <c r="AE439" s="7" t="str">
        <f t="shared" si="42"/>
        <v/>
      </c>
      <c r="AF439" s="7" t="str">
        <f t="shared" si="43"/>
        <v/>
      </c>
      <c r="AG439" s="7" t="str">
        <f t="shared" si="44"/>
        <v/>
      </c>
      <c r="AH439" s="7" t="str">
        <f t="shared" si="45"/>
        <v/>
      </c>
      <c r="AI439" s="7" t="str">
        <f t="shared" si="46"/>
        <v/>
      </c>
      <c r="AJ439" s="7" t="str">
        <f t="shared" si="47"/>
        <v/>
      </c>
      <c r="AK439" s="10" t="str">
        <f t="shared" si="48"/>
        <v/>
      </c>
      <c r="AL439" s="15" t="str">
        <f>IF(OR($A439&lt;&gt;"",$B439&lt;&gt;""),IF(OR($A439="",$B439=""),"Isi tanggal dan ID PIC",IF(NOT(ISNUMBER($A439)),"Tanggal harus berupa tanggal Excel",IF(COUNTIFS(Master_PIC!$A$8:$A$73,$B439)&lt;&gt;1,"ID PIC tidak unik/terdaftar",IF(VLOOKUP($B439,Master_PIC!$A$8:$G$73,3,FALSE)&lt;&gt;"ASM","Jabatan tidak sesuai sheet",IF(OR($C439="",$D439="",$E439="",$F439=""),"Lengkapi master PIC",IF(COUNTIFS($A$8:$A$507,$A439,$B$8:$B$507,$B439)&gt;1,"Laporan ganda",IF(COUNTIFS(G439:O439,"Tidak Berlaku")&gt;0,"N/A hanya untuk kegiatan bersyarat",IF(SUM(AF439,AG439,AH439,AI439,AJ439)&lt;&gt;13,"Status kegiatan tidak valid",IF(AJ439&gt;0,"Lengkapi status kegiatan",IF(AND(AI439&gt;0,T439=""),"Isi alasan Tidak Berlaku",IF(AND(SUM(AG439,AH439)&gt;0,OR(T439="",U439="",V439="",W439="")),"Isi kendala dan tindak lanjut",IF(AND(Y439&lt;&gt;"Draft",Y439&lt;&gt;"Dikirim"),"Isi status laporan yang valid",IF(AND(AA439&lt;&gt;"",AA439&lt;&gt;"Belum Diperiksa",AA439&lt;&gt;"Disetujui",AA439&lt;&gt;"Perlu Perbaikan"),"Hasil review tidak valid",IF(AND(Y439="Dikirim",OR(X439="",Z439="")),"Isi bukti dan waktu kirim",IF(AND(AA439="Disetujui",OR(Y439&lt;&gt;"Dikirim",AB439="",AC439="")),"Lengkapi pemeriksaan",IF(AND(AA439="Perlu Perbaikan",OR(AD439="",AB439="",AC439="")),"Isi pemeriksa dan catatan perbaikan","OK")))))))))))))))),"")</f>
        <v/>
      </c>
    </row>
    <row r="440" spans="1:38" ht="24.95" customHeight="1">
      <c r="A440" s="8"/>
      <c r="B440" s="6"/>
      <c r="C440" s="15" t="str">
        <f>IF(COUNTIFS(Master_PIC!$A$8:$A$73,$B440)=1,IF(VLOOKUP($B440,Master_PIC!$A$8:$G$73,2,FALSE)="","",VLOOKUP($B440,Master_PIC!$A$8:$G$73,2,FALSE)),"")</f>
        <v/>
      </c>
      <c r="D440" s="15" t="str">
        <f>IF(COUNTIFS(Master_PIC!$A$8:$A$73,$B440)=1,IF(VLOOKUP($B440,Master_PIC!$A$8:$G$73,4,FALSE)="","",VLOOKUP($B440,Master_PIC!$A$8:$G$73,4,FALSE)),"")</f>
        <v/>
      </c>
      <c r="E440" s="15" t="str">
        <f>IF(COUNTIFS(Master_PIC!$A$8:$A$73,$B440)=1,IF(VLOOKUP($B440,Master_PIC!$A$8:$G$73,5,FALSE)="","",VLOOKUP($B440,Master_PIC!$A$8:$G$73,5,FALSE)),"")</f>
        <v/>
      </c>
      <c r="F440" s="15" t="str">
        <f>IF(COUNTIFS(Master_PIC!$A$8:$A$73,$B440)=1,IF(VLOOKUP($B440,Master_PIC!$A$8:$G$73,6,FALSE)="","",VLOOKUP($B440,Master_PIC!$A$8:$G$73,6,FALSE)),"")</f>
        <v/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8"/>
      <c r="X440" s="5"/>
      <c r="Y440" s="5"/>
      <c r="Z440" s="9"/>
      <c r="AA440" s="5"/>
      <c r="AB440" s="5"/>
      <c r="AC440" s="9"/>
      <c r="AD440" s="5"/>
      <c r="AE440" s="7" t="str">
        <f t="shared" si="42"/>
        <v/>
      </c>
      <c r="AF440" s="7" t="str">
        <f t="shared" si="43"/>
        <v/>
      </c>
      <c r="AG440" s="7" t="str">
        <f t="shared" si="44"/>
        <v/>
      </c>
      <c r="AH440" s="7" t="str">
        <f t="shared" si="45"/>
        <v/>
      </c>
      <c r="AI440" s="7" t="str">
        <f t="shared" si="46"/>
        <v/>
      </c>
      <c r="AJ440" s="7" t="str">
        <f t="shared" si="47"/>
        <v/>
      </c>
      <c r="AK440" s="10" t="str">
        <f t="shared" si="48"/>
        <v/>
      </c>
      <c r="AL440" s="15" t="str">
        <f>IF(OR($A440&lt;&gt;"",$B440&lt;&gt;""),IF(OR($A440="",$B440=""),"Isi tanggal dan ID PIC",IF(NOT(ISNUMBER($A440)),"Tanggal harus berupa tanggal Excel",IF(COUNTIFS(Master_PIC!$A$8:$A$73,$B440)&lt;&gt;1,"ID PIC tidak unik/terdaftar",IF(VLOOKUP($B440,Master_PIC!$A$8:$G$73,3,FALSE)&lt;&gt;"ASM","Jabatan tidak sesuai sheet",IF(OR($C440="",$D440="",$E440="",$F440=""),"Lengkapi master PIC",IF(COUNTIFS($A$8:$A$507,$A440,$B$8:$B$507,$B440)&gt;1,"Laporan ganda",IF(COUNTIFS(G440:O440,"Tidak Berlaku")&gt;0,"N/A hanya untuk kegiatan bersyarat",IF(SUM(AF440,AG440,AH440,AI440,AJ440)&lt;&gt;13,"Status kegiatan tidak valid",IF(AJ440&gt;0,"Lengkapi status kegiatan",IF(AND(AI440&gt;0,T440=""),"Isi alasan Tidak Berlaku",IF(AND(SUM(AG440,AH440)&gt;0,OR(T440="",U440="",V440="",W440="")),"Isi kendala dan tindak lanjut",IF(AND(Y440&lt;&gt;"Draft",Y440&lt;&gt;"Dikirim"),"Isi status laporan yang valid",IF(AND(AA440&lt;&gt;"",AA440&lt;&gt;"Belum Diperiksa",AA440&lt;&gt;"Disetujui",AA440&lt;&gt;"Perlu Perbaikan"),"Hasil review tidak valid",IF(AND(Y440="Dikirim",OR(X440="",Z440="")),"Isi bukti dan waktu kirim",IF(AND(AA440="Disetujui",OR(Y440&lt;&gt;"Dikirim",AB440="",AC440="")),"Lengkapi pemeriksaan",IF(AND(AA440="Perlu Perbaikan",OR(AD440="",AB440="",AC440="")),"Isi pemeriksa dan catatan perbaikan","OK")))))))))))))))),"")</f>
        <v/>
      </c>
    </row>
    <row r="441" spans="1:38" ht="24.95" customHeight="1">
      <c r="A441" s="8"/>
      <c r="B441" s="6"/>
      <c r="C441" s="15" t="str">
        <f>IF(COUNTIFS(Master_PIC!$A$8:$A$73,$B441)=1,IF(VLOOKUP($B441,Master_PIC!$A$8:$G$73,2,FALSE)="","",VLOOKUP($B441,Master_PIC!$A$8:$G$73,2,FALSE)),"")</f>
        <v/>
      </c>
      <c r="D441" s="15" t="str">
        <f>IF(COUNTIFS(Master_PIC!$A$8:$A$73,$B441)=1,IF(VLOOKUP($B441,Master_PIC!$A$8:$G$73,4,FALSE)="","",VLOOKUP($B441,Master_PIC!$A$8:$G$73,4,FALSE)),"")</f>
        <v/>
      </c>
      <c r="E441" s="15" t="str">
        <f>IF(COUNTIFS(Master_PIC!$A$8:$A$73,$B441)=1,IF(VLOOKUP($B441,Master_PIC!$A$8:$G$73,5,FALSE)="","",VLOOKUP($B441,Master_PIC!$A$8:$G$73,5,FALSE)),"")</f>
        <v/>
      </c>
      <c r="F441" s="15" t="str">
        <f>IF(COUNTIFS(Master_PIC!$A$8:$A$73,$B441)=1,IF(VLOOKUP($B441,Master_PIC!$A$8:$G$73,6,FALSE)="","",VLOOKUP($B441,Master_PIC!$A$8:$G$73,6,FALSE)),"")</f>
        <v/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8"/>
      <c r="X441" s="5"/>
      <c r="Y441" s="5"/>
      <c r="Z441" s="9"/>
      <c r="AA441" s="5"/>
      <c r="AB441" s="5"/>
      <c r="AC441" s="9"/>
      <c r="AD441" s="5"/>
      <c r="AE441" s="7" t="str">
        <f t="shared" si="42"/>
        <v/>
      </c>
      <c r="AF441" s="7" t="str">
        <f t="shared" si="43"/>
        <v/>
      </c>
      <c r="AG441" s="7" t="str">
        <f t="shared" si="44"/>
        <v/>
      </c>
      <c r="AH441" s="7" t="str">
        <f t="shared" si="45"/>
        <v/>
      </c>
      <c r="AI441" s="7" t="str">
        <f t="shared" si="46"/>
        <v/>
      </c>
      <c r="AJ441" s="7" t="str">
        <f t="shared" si="47"/>
        <v/>
      </c>
      <c r="AK441" s="10" t="str">
        <f t="shared" si="48"/>
        <v/>
      </c>
      <c r="AL441" s="15" t="str">
        <f>IF(OR($A441&lt;&gt;"",$B441&lt;&gt;""),IF(OR($A441="",$B441=""),"Isi tanggal dan ID PIC",IF(NOT(ISNUMBER($A441)),"Tanggal harus berupa tanggal Excel",IF(COUNTIFS(Master_PIC!$A$8:$A$73,$B441)&lt;&gt;1,"ID PIC tidak unik/terdaftar",IF(VLOOKUP($B441,Master_PIC!$A$8:$G$73,3,FALSE)&lt;&gt;"ASM","Jabatan tidak sesuai sheet",IF(OR($C441="",$D441="",$E441="",$F441=""),"Lengkapi master PIC",IF(COUNTIFS($A$8:$A$507,$A441,$B$8:$B$507,$B441)&gt;1,"Laporan ganda",IF(COUNTIFS(G441:O441,"Tidak Berlaku")&gt;0,"N/A hanya untuk kegiatan bersyarat",IF(SUM(AF441,AG441,AH441,AI441,AJ441)&lt;&gt;13,"Status kegiatan tidak valid",IF(AJ441&gt;0,"Lengkapi status kegiatan",IF(AND(AI441&gt;0,T441=""),"Isi alasan Tidak Berlaku",IF(AND(SUM(AG441,AH441)&gt;0,OR(T441="",U441="",V441="",W441="")),"Isi kendala dan tindak lanjut",IF(AND(Y441&lt;&gt;"Draft",Y441&lt;&gt;"Dikirim"),"Isi status laporan yang valid",IF(AND(AA441&lt;&gt;"",AA441&lt;&gt;"Belum Diperiksa",AA441&lt;&gt;"Disetujui",AA441&lt;&gt;"Perlu Perbaikan"),"Hasil review tidak valid",IF(AND(Y441="Dikirim",OR(X441="",Z441="")),"Isi bukti dan waktu kirim",IF(AND(AA441="Disetujui",OR(Y441&lt;&gt;"Dikirim",AB441="",AC441="")),"Lengkapi pemeriksaan",IF(AND(AA441="Perlu Perbaikan",OR(AD441="",AB441="",AC441="")),"Isi pemeriksa dan catatan perbaikan","OK")))))))))))))))),"")</f>
        <v/>
      </c>
    </row>
    <row r="442" spans="1:38" ht="24.95" customHeight="1">
      <c r="A442" s="8"/>
      <c r="B442" s="6"/>
      <c r="C442" s="15" t="str">
        <f>IF(COUNTIFS(Master_PIC!$A$8:$A$73,$B442)=1,IF(VLOOKUP($B442,Master_PIC!$A$8:$G$73,2,FALSE)="","",VLOOKUP($B442,Master_PIC!$A$8:$G$73,2,FALSE)),"")</f>
        <v/>
      </c>
      <c r="D442" s="15" t="str">
        <f>IF(COUNTIFS(Master_PIC!$A$8:$A$73,$B442)=1,IF(VLOOKUP($B442,Master_PIC!$A$8:$G$73,4,FALSE)="","",VLOOKUP($B442,Master_PIC!$A$8:$G$73,4,FALSE)),"")</f>
        <v/>
      </c>
      <c r="E442" s="15" t="str">
        <f>IF(COUNTIFS(Master_PIC!$A$8:$A$73,$B442)=1,IF(VLOOKUP($B442,Master_PIC!$A$8:$G$73,5,FALSE)="","",VLOOKUP($B442,Master_PIC!$A$8:$G$73,5,FALSE)),"")</f>
        <v/>
      </c>
      <c r="F442" s="15" t="str">
        <f>IF(COUNTIFS(Master_PIC!$A$8:$A$73,$B442)=1,IF(VLOOKUP($B442,Master_PIC!$A$8:$G$73,6,FALSE)="","",VLOOKUP($B442,Master_PIC!$A$8:$G$73,6,FALSE)),"")</f>
        <v/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8"/>
      <c r="X442" s="5"/>
      <c r="Y442" s="5"/>
      <c r="Z442" s="9"/>
      <c r="AA442" s="5"/>
      <c r="AB442" s="5"/>
      <c r="AC442" s="9"/>
      <c r="AD442" s="5"/>
      <c r="AE442" s="7" t="str">
        <f t="shared" si="42"/>
        <v/>
      </c>
      <c r="AF442" s="7" t="str">
        <f t="shared" si="43"/>
        <v/>
      </c>
      <c r="AG442" s="7" t="str">
        <f t="shared" si="44"/>
        <v/>
      </c>
      <c r="AH442" s="7" t="str">
        <f t="shared" si="45"/>
        <v/>
      </c>
      <c r="AI442" s="7" t="str">
        <f t="shared" si="46"/>
        <v/>
      </c>
      <c r="AJ442" s="7" t="str">
        <f t="shared" si="47"/>
        <v/>
      </c>
      <c r="AK442" s="10" t="str">
        <f t="shared" si="48"/>
        <v/>
      </c>
      <c r="AL442" s="15" t="str">
        <f>IF(OR($A442&lt;&gt;"",$B442&lt;&gt;""),IF(OR($A442="",$B442=""),"Isi tanggal dan ID PIC",IF(NOT(ISNUMBER($A442)),"Tanggal harus berupa tanggal Excel",IF(COUNTIFS(Master_PIC!$A$8:$A$73,$B442)&lt;&gt;1,"ID PIC tidak unik/terdaftar",IF(VLOOKUP($B442,Master_PIC!$A$8:$G$73,3,FALSE)&lt;&gt;"ASM","Jabatan tidak sesuai sheet",IF(OR($C442="",$D442="",$E442="",$F442=""),"Lengkapi master PIC",IF(COUNTIFS($A$8:$A$507,$A442,$B$8:$B$507,$B442)&gt;1,"Laporan ganda",IF(COUNTIFS(G442:O442,"Tidak Berlaku")&gt;0,"N/A hanya untuk kegiatan bersyarat",IF(SUM(AF442,AG442,AH442,AI442,AJ442)&lt;&gt;13,"Status kegiatan tidak valid",IF(AJ442&gt;0,"Lengkapi status kegiatan",IF(AND(AI442&gt;0,T442=""),"Isi alasan Tidak Berlaku",IF(AND(SUM(AG442,AH442)&gt;0,OR(T442="",U442="",V442="",W442="")),"Isi kendala dan tindak lanjut",IF(AND(Y442&lt;&gt;"Draft",Y442&lt;&gt;"Dikirim"),"Isi status laporan yang valid",IF(AND(AA442&lt;&gt;"",AA442&lt;&gt;"Belum Diperiksa",AA442&lt;&gt;"Disetujui",AA442&lt;&gt;"Perlu Perbaikan"),"Hasil review tidak valid",IF(AND(Y442="Dikirim",OR(X442="",Z442="")),"Isi bukti dan waktu kirim",IF(AND(AA442="Disetujui",OR(Y442&lt;&gt;"Dikirim",AB442="",AC442="")),"Lengkapi pemeriksaan",IF(AND(AA442="Perlu Perbaikan",OR(AD442="",AB442="",AC442="")),"Isi pemeriksa dan catatan perbaikan","OK")))))))))))))))),"")</f>
        <v/>
      </c>
    </row>
    <row r="443" spans="1:38" ht="24.95" customHeight="1">
      <c r="A443" s="8"/>
      <c r="B443" s="6"/>
      <c r="C443" s="15" t="str">
        <f>IF(COUNTIFS(Master_PIC!$A$8:$A$73,$B443)=1,IF(VLOOKUP($B443,Master_PIC!$A$8:$G$73,2,FALSE)="","",VLOOKUP($B443,Master_PIC!$A$8:$G$73,2,FALSE)),"")</f>
        <v/>
      </c>
      <c r="D443" s="15" t="str">
        <f>IF(COUNTIFS(Master_PIC!$A$8:$A$73,$B443)=1,IF(VLOOKUP($B443,Master_PIC!$A$8:$G$73,4,FALSE)="","",VLOOKUP($B443,Master_PIC!$A$8:$G$73,4,FALSE)),"")</f>
        <v/>
      </c>
      <c r="E443" s="15" t="str">
        <f>IF(COUNTIFS(Master_PIC!$A$8:$A$73,$B443)=1,IF(VLOOKUP($B443,Master_PIC!$A$8:$G$73,5,FALSE)="","",VLOOKUP($B443,Master_PIC!$A$8:$G$73,5,FALSE)),"")</f>
        <v/>
      </c>
      <c r="F443" s="15" t="str">
        <f>IF(COUNTIFS(Master_PIC!$A$8:$A$73,$B443)=1,IF(VLOOKUP($B443,Master_PIC!$A$8:$G$73,6,FALSE)="","",VLOOKUP($B443,Master_PIC!$A$8:$G$73,6,FALSE)),"")</f>
        <v/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8"/>
      <c r="X443" s="5"/>
      <c r="Y443" s="5"/>
      <c r="Z443" s="9"/>
      <c r="AA443" s="5"/>
      <c r="AB443" s="5"/>
      <c r="AC443" s="9"/>
      <c r="AD443" s="5"/>
      <c r="AE443" s="7" t="str">
        <f t="shared" si="42"/>
        <v/>
      </c>
      <c r="AF443" s="7" t="str">
        <f t="shared" si="43"/>
        <v/>
      </c>
      <c r="AG443" s="7" t="str">
        <f t="shared" si="44"/>
        <v/>
      </c>
      <c r="AH443" s="7" t="str">
        <f t="shared" si="45"/>
        <v/>
      </c>
      <c r="AI443" s="7" t="str">
        <f t="shared" si="46"/>
        <v/>
      </c>
      <c r="AJ443" s="7" t="str">
        <f t="shared" si="47"/>
        <v/>
      </c>
      <c r="AK443" s="10" t="str">
        <f t="shared" si="48"/>
        <v/>
      </c>
      <c r="AL443" s="15" t="str">
        <f>IF(OR($A443&lt;&gt;"",$B443&lt;&gt;""),IF(OR($A443="",$B443=""),"Isi tanggal dan ID PIC",IF(NOT(ISNUMBER($A443)),"Tanggal harus berupa tanggal Excel",IF(COUNTIFS(Master_PIC!$A$8:$A$73,$B443)&lt;&gt;1,"ID PIC tidak unik/terdaftar",IF(VLOOKUP($B443,Master_PIC!$A$8:$G$73,3,FALSE)&lt;&gt;"ASM","Jabatan tidak sesuai sheet",IF(OR($C443="",$D443="",$E443="",$F443=""),"Lengkapi master PIC",IF(COUNTIFS($A$8:$A$507,$A443,$B$8:$B$507,$B443)&gt;1,"Laporan ganda",IF(COUNTIFS(G443:O443,"Tidak Berlaku")&gt;0,"N/A hanya untuk kegiatan bersyarat",IF(SUM(AF443,AG443,AH443,AI443,AJ443)&lt;&gt;13,"Status kegiatan tidak valid",IF(AJ443&gt;0,"Lengkapi status kegiatan",IF(AND(AI443&gt;0,T443=""),"Isi alasan Tidak Berlaku",IF(AND(SUM(AG443,AH443)&gt;0,OR(T443="",U443="",V443="",W443="")),"Isi kendala dan tindak lanjut",IF(AND(Y443&lt;&gt;"Draft",Y443&lt;&gt;"Dikirim"),"Isi status laporan yang valid",IF(AND(AA443&lt;&gt;"",AA443&lt;&gt;"Belum Diperiksa",AA443&lt;&gt;"Disetujui",AA443&lt;&gt;"Perlu Perbaikan"),"Hasil review tidak valid",IF(AND(Y443="Dikirim",OR(X443="",Z443="")),"Isi bukti dan waktu kirim",IF(AND(AA443="Disetujui",OR(Y443&lt;&gt;"Dikirim",AB443="",AC443="")),"Lengkapi pemeriksaan",IF(AND(AA443="Perlu Perbaikan",OR(AD443="",AB443="",AC443="")),"Isi pemeriksa dan catatan perbaikan","OK")))))))))))))))),"")</f>
        <v/>
      </c>
    </row>
    <row r="444" spans="1:38" ht="24.95" customHeight="1">
      <c r="A444" s="8"/>
      <c r="B444" s="6"/>
      <c r="C444" s="15" t="str">
        <f>IF(COUNTIFS(Master_PIC!$A$8:$A$73,$B444)=1,IF(VLOOKUP($B444,Master_PIC!$A$8:$G$73,2,FALSE)="","",VLOOKUP($B444,Master_PIC!$A$8:$G$73,2,FALSE)),"")</f>
        <v/>
      </c>
      <c r="D444" s="15" t="str">
        <f>IF(COUNTIFS(Master_PIC!$A$8:$A$73,$B444)=1,IF(VLOOKUP($B444,Master_PIC!$A$8:$G$73,4,FALSE)="","",VLOOKUP($B444,Master_PIC!$A$8:$G$73,4,FALSE)),"")</f>
        <v/>
      </c>
      <c r="E444" s="15" t="str">
        <f>IF(COUNTIFS(Master_PIC!$A$8:$A$73,$B444)=1,IF(VLOOKUP($B444,Master_PIC!$A$8:$G$73,5,FALSE)="","",VLOOKUP($B444,Master_PIC!$A$8:$G$73,5,FALSE)),"")</f>
        <v/>
      </c>
      <c r="F444" s="15" t="str">
        <f>IF(COUNTIFS(Master_PIC!$A$8:$A$73,$B444)=1,IF(VLOOKUP($B444,Master_PIC!$A$8:$G$73,6,FALSE)="","",VLOOKUP($B444,Master_PIC!$A$8:$G$73,6,FALSE)),"")</f>
        <v/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8"/>
      <c r="X444" s="5"/>
      <c r="Y444" s="5"/>
      <c r="Z444" s="9"/>
      <c r="AA444" s="5"/>
      <c r="AB444" s="5"/>
      <c r="AC444" s="9"/>
      <c r="AD444" s="5"/>
      <c r="AE444" s="7" t="str">
        <f t="shared" si="42"/>
        <v/>
      </c>
      <c r="AF444" s="7" t="str">
        <f t="shared" si="43"/>
        <v/>
      </c>
      <c r="AG444" s="7" t="str">
        <f t="shared" si="44"/>
        <v/>
      </c>
      <c r="AH444" s="7" t="str">
        <f t="shared" si="45"/>
        <v/>
      </c>
      <c r="AI444" s="7" t="str">
        <f t="shared" si="46"/>
        <v/>
      </c>
      <c r="AJ444" s="7" t="str">
        <f t="shared" si="47"/>
        <v/>
      </c>
      <c r="AK444" s="10" t="str">
        <f t="shared" si="48"/>
        <v/>
      </c>
      <c r="AL444" s="15" t="str">
        <f>IF(OR($A444&lt;&gt;"",$B444&lt;&gt;""),IF(OR($A444="",$B444=""),"Isi tanggal dan ID PIC",IF(NOT(ISNUMBER($A444)),"Tanggal harus berupa tanggal Excel",IF(COUNTIFS(Master_PIC!$A$8:$A$73,$B444)&lt;&gt;1,"ID PIC tidak unik/terdaftar",IF(VLOOKUP($B444,Master_PIC!$A$8:$G$73,3,FALSE)&lt;&gt;"ASM","Jabatan tidak sesuai sheet",IF(OR($C444="",$D444="",$E444="",$F444=""),"Lengkapi master PIC",IF(COUNTIFS($A$8:$A$507,$A444,$B$8:$B$507,$B444)&gt;1,"Laporan ganda",IF(COUNTIFS(G444:O444,"Tidak Berlaku")&gt;0,"N/A hanya untuk kegiatan bersyarat",IF(SUM(AF444,AG444,AH444,AI444,AJ444)&lt;&gt;13,"Status kegiatan tidak valid",IF(AJ444&gt;0,"Lengkapi status kegiatan",IF(AND(AI444&gt;0,T444=""),"Isi alasan Tidak Berlaku",IF(AND(SUM(AG444,AH444)&gt;0,OR(T444="",U444="",V444="",W444="")),"Isi kendala dan tindak lanjut",IF(AND(Y444&lt;&gt;"Draft",Y444&lt;&gt;"Dikirim"),"Isi status laporan yang valid",IF(AND(AA444&lt;&gt;"",AA444&lt;&gt;"Belum Diperiksa",AA444&lt;&gt;"Disetujui",AA444&lt;&gt;"Perlu Perbaikan"),"Hasil review tidak valid",IF(AND(Y444="Dikirim",OR(X444="",Z444="")),"Isi bukti dan waktu kirim",IF(AND(AA444="Disetujui",OR(Y444&lt;&gt;"Dikirim",AB444="",AC444="")),"Lengkapi pemeriksaan",IF(AND(AA444="Perlu Perbaikan",OR(AD444="",AB444="",AC444="")),"Isi pemeriksa dan catatan perbaikan","OK")))))))))))))))),"")</f>
        <v/>
      </c>
    </row>
    <row r="445" spans="1:38" ht="24.95" customHeight="1">
      <c r="A445" s="8"/>
      <c r="B445" s="6"/>
      <c r="C445" s="15" t="str">
        <f>IF(COUNTIFS(Master_PIC!$A$8:$A$73,$B445)=1,IF(VLOOKUP($B445,Master_PIC!$A$8:$G$73,2,FALSE)="","",VLOOKUP($B445,Master_PIC!$A$8:$G$73,2,FALSE)),"")</f>
        <v/>
      </c>
      <c r="D445" s="15" t="str">
        <f>IF(COUNTIFS(Master_PIC!$A$8:$A$73,$B445)=1,IF(VLOOKUP($B445,Master_PIC!$A$8:$G$73,4,FALSE)="","",VLOOKUP($B445,Master_PIC!$A$8:$G$73,4,FALSE)),"")</f>
        <v/>
      </c>
      <c r="E445" s="15" t="str">
        <f>IF(COUNTIFS(Master_PIC!$A$8:$A$73,$B445)=1,IF(VLOOKUP($B445,Master_PIC!$A$8:$G$73,5,FALSE)="","",VLOOKUP($B445,Master_PIC!$A$8:$G$73,5,FALSE)),"")</f>
        <v/>
      </c>
      <c r="F445" s="15" t="str">
        <f>IF(COUNTIFS(Master_PIC!$A$8:$A$73,$B445)=1,IF(VLOOKUP($B445,Master_PIC!$A$8:$G$73,6,FALSE)="","",VLOOKUP($B445,Master_PIC!$A$8:$G$73,6,FALSE)),"")</f>
        <v/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8"/>
      <c r="X445" s="5"/>
      <c r="Y445" s="5"/>
      <c r="Z445" s="9"/>
      <c r="AA445" s="5"/>
      <c r="AB445" s="5"/>
      <c r="AC445" s="9"/>
      <c r="AD445" s="5"/>
      <c r="AE445" s="7" t="str">
        <f t="shared" si="42"/>
        <v/>
      </c>
      <c r="AF445" s="7" t="str">
        <f t="shared" si="43"/>
        <v/>
      </c>
      <c r="AG445" s="7" t="str">
        <f t="shared" si="44"/>
        <v/>
      </c>
      <c r="AH445" s="7" t="str">
        <f t="shared" si="45"/>
        <v/>
      </c>
      <c r="AI445" s="7" t="str">
        <f t="shared" si="46"/>
        <v/>
      </c>
      <c r="AJ445" s="7" t="str">
        <f t="shared" si="47"/>
        <v/>
      </c>
      <c r="AK445" s="10" t="str">
        <f t="shared" si="48"/>
        <v/>
      </c>
      <c r="AL445" s="15" t="str">
        <f>IF(OR($A445&lt;&gt;"",$B445&lt;&gt;""),IF(OR($A445="",$B445=""),"Isi tanggal dan ID PIC",IF(NOT(ISNUMBER($A445)),"Tanggal harus berupa tanggal Excel",IF(COUNTIFS(Master_PIC!$A$8:$A$73,$B445)&lt;&gt;1,"ID PIC tidak unik/terdaftar",IF(VLOOKUP($B445,Master_PIC!$A$8:$G$73,3,FALSE)&lt;&gt;"ASM","Jabatan tidak sesuai sheet",IF(OR($C445="",$D445="",$E445="",$F445=""),"Lengkapi master PIC",IF(COUNTIFS($A$8:$A$507,$A445,$B$8:$B$507,$B445)&gt;1,"Laporan ganda",IF(COUNTIFS(G445:O445,"Tidak Berlaku")&gt;0,"N/A hanya untuk kegiatan bersyarat",IF(SUM(AF445,AG445,AH445,AI445,AJ445)&lt;&gt;13,"Status kegiatan tidak valid",IF(AJ445&gt;0,"Lengkapi status kegiatan",IF(AND(AI445&gt;0,T445=""),"Isi alasan Tidak Berlaku",IF(AND(SUM(AG445,AH445)&gt;0,OR(T445="",U445="",V445="",W445="")),"Isi kendala dan tindak lanjut",IF(AND(Y445&lt;&gt;"Draft",Y445&lt;&gt;"Dikirim"),"Isi status laporan yang valid",IF(AND(AA445&lt;&gt;"",AA445&lt;&gt;"Belum Diperiksa",AA445&lt;&gt;"Disetujui",AA445&lt;&gt;"Perlu Perbaikan"),"Hasil review tidak valid",IF(AND(Y445="Dikirim",OR(X445="",Z445="")),"Isi bukti dan waktu kirim",IF(AND(AA445="Disetujui",OR(Y445&lt;&gt;"Dikirim",AB445="",AC445="")),"Lengkapi pemeriksaan",IF(AND(AA445="Perlu Perbaikan",OR(AD445="",AB445="",AC445="")),"Isi pemeriksa dan catatan perbaikan","OK")))))))))))))))),"")</f>
        <v/>
      </c>
    </row>
    <row r="446" spans="1:38" ht="24.95" customHeight="1">
      <c r="A446" s="8"/>
      <c r="B446" s="6"/>
      <c r="C446" s="15" t="str">
        <f>IF(COUNTIFS(Master_PIC!$A$8:$A$73,$B446)=1,IF(VLOOKUP($B446,Master_PIC!$A$8:$G$73,2,FALSE)="","",VLOOKUP($B446,Master_PIC!$A$8:$G$73,2,FALSE)),"")</f>
        <v/>
      </c>
      <c r="D446" s="15" t="str">
        <f>IF(COUNTIFS(Master_PIC!$A$8:$A$73,$B446)=1,IF(VLOOKUP($B446,Master_PIC!$A$8:$G$73,4,FALSE)="","",VLOOKUP($B446,Master_PIC!$A$8:$G$73,4,FALSE)),"")</f>
        <v/>
      </c>
      <c r="E446" s="15" t="str">
        <f>IF(COUNTIFS(Master_PIC!$A$8:$A$73,$B446)=1,IF(VLOOKUP($B446,Master_PIC!$A$8:$G$73,5,FALSE)="","",VLOOKUP($B446,Master_PIC!$A$8:$G$73,5,FALSE)),"")</f>
        <v/>
      </c>
      <c r="F446" s="15" t="str">
        <f>IF(COUNTIFS(Master_PIC!$A$8:$A$73,$B446)=1,IF(VLOOKUP($B446,Master_PIC!$A$8:$G$73,6,FALSE)="","",VLOOKUP($B446,Master_PIC!$A$8:$G$73,6,FALSE)),"")</f>
        <v/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8"/>
      <c r="X446" s="5"/>
      <c r="Y446" s="5"/>
      <c r="Z446" s="9"/>
      <c r="AA446" s="5"/>
      <c r="AB446" s="5"/>
      <c r="AC446" s="9"/>
      <c r="AD446" s="5"/>
      <c r="AE446" s="7" t="str">
        <f t="shared" si="42"/>
        <v/>
      </c>
      <c r="AF446" s="7" t="str">
        <f t="shared" si="43"/>
        <v/>
      </c>
      <c r="AG446" s="7" t="str">
        <f t="shared" si="44"/>
        <v/>
      </c>
      <c r="AH446" s="7" t="str">
        <f t="shared" si="45"/>
        <v/>
      </c>
      <c r="AI446" s="7" t="str">
        <f t="shared" si="46"/>
        <v/>
      </c>
      <c r="AJ446" s="7" t="str">
        <f t="shared" si="47"/>
        <v/>
      </c>
      <c r="AK446" s="10" t="str">
        <f t="shared" si="48"/>
        <v/>
      </c>
      <c r="AL446" s="15" t="str">
        <f>IF(OR($A446&lt;&gt;"",$B446&lt;&gt;""),IF(OR($A446="",$B446=""),"Isi tanggal dan ID PIC",IF(NOT(ISNUMBER($A446)),"Tanggal harus berupa tanggal Excel",IF(COUNTIFS(Master_PIC!$A$8:$A$73,$B446)&lt;&gt;1,"ID PIC tidak unik/terdaftar",IF(VLOOKUP($B446,Master_PIC!$A$8:$G$73,3,FALSE)&lt;&gt;"ASM","Jabatan tidak sesuai sheet",IF(OR($C446="",$D446="",$E446="",$F446=""),"Lengkapi master PIC",IF(COUNTIFS($A$8:$A$507,$A446,$B$8:$B$507,$B446)&gt;1,"Laporan ganda",IF(COUNTIFS(G446:O446,"Tidak Berlaku")&gt;0,"N/A hanya untuk kegiatan bersyarat",IF(SUM(AF446,AG446,AH446,AI446,AJ446)&lt;&gt;13,"Status kegiatan tidak valid",IF(AJ446&gt;0,"Lengkapi status kegiatan",IF(AND(AI446&gt;0,T446=""),"Isi alasan Tidak Berlaku",IF(AND(SUM(AG446,AH446)&gt;0,OR(T446="",U446="",V446="",W446="")),"Isi kendala dan tindak lanjut",IF(AND(Y446&lt;&gt;"Draft",Y446&lt;&gt;"Dikirim"),"Isi status laporan yang valid",IF(AND(AA446&lt;&gt;"",AA446&lt;&gt;"Belum Diperiksa",AA446&lt;&gt;"Disetujui",AA446&lt;&gt;"Perlu Perbaikan"),"Hasil review tidak valid",IF(AND(Y446="Dikirim",OR(X446="",Z446="")),"Isi bukti dan waktu kirim",IF(AND(AA446="Disetujui",OR(Y446&lt;&gt;"Dikirim",AB446="",AC446="")),"Lengkapi pemeriksaan",IF(AND(AA446="Perlu Perbaikan",OR(AD446="",AB446="",AC446="")),"Isi pemeriksa dan catatan perbaikan","OK")))))))))))))))),"")</f>
        <v/>
      </c>
    </row>
    <row r="447" spans="1:38" ht="24.95" customHeight="1">
      <c r="A447" s="8"/>
      <c r="B447" s="6"/>
      <c r="C447" s="15" t="str">
        <f>IF(COUNTIFS(Master_PIC!$A$8:$A$73,$B447)=1,IF(VLOOKUP($B447,Master_PIC!$A$8:$G$73,2,FALSE)="","",VLOOKUP($B447,Master_PIC!$A$8:$G$73,2,FALSE)),"")</f>
        <v/>
      </c>
      <c r="D447" s="15" t="str">
        <f>IF(COUNTIFS(Master_PIC!$A$8:$A$73,$B447)=1,IF(VLOOKUP($B447,Master_PIC!$A$8:$G$73,4,FALSE)="","",VLOOKUP($B447,Master_PIC!$A$8:$G$73,4,FALSE)),"")</f>
        <v/>
      </c>
      <c r="E447" s="15" t="str">
        <f>IF(COUNTIFS(Master_PIC!$A$8:$A$73,$B447)=1,IF(VLOOKUP($B447,Master_PIC!$A$8:$G$73,5,FALSE)="","",VLOOKUP($B447,Master_PIC!$A$8:$G$73,5,FALSE)),"")</f>
        <v/>
      </c>
      <c r="F447" s="15" t="str">
        <f>IF(COUNTIFS(Master_PIC!$A$8:$A$73,$B447)=1,IF(VLOOKUP($B447,Master_PIC!$A$8:$G$73,6,FALSE)="","",VLOOKUP($B447,Master_PIC!$A$8:$G$73,6,FALSE)),"")</f>
        <v/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8"/>
      <c r="X447" s="5"/>
      <c r="Y447" s="5"/>
      <c r="Z447" s="9"/>
      <c r="AA447" s="5"/>
      <c r="AB447" s="5"/>
      <c r="AC447" s="9"/>
      <c r="AD447" s="5"/>
      <c r="AE447" s="7" t="str">
        <f t="shared" si="42"/>
        <v/>
      </c>
      <c r="AF447" s="7" t="str">
        <f t="shared" si="43"/>
        <v/>
      </c>
      <c r="AG447" s="7" t="str">
        <f t="shared" si="44"/>
        <v/>
      </c>
      <c r="AH447" s="7" t="str">
        <f t="shared" si="45"/>
        <v/>
      </c>
      <c r="AI447" s="7" t="str">
        <f t="shared" si="46"/>
        <v/>
      </c>
      <c r="AJ447" s="7" t="str">
        <f t="shared" si="47"/>
        <v/>
      </c>
      <c r="AK447" s="10" t="str">
        <f t="shared" si="48"/>
        <v/>
      </c>
      <c r="AL447" s="15" t="str">
        <f>IF(OR($A447&lt;&gt;"",$B447&lt;&gt;""),IF(OR($A447="",$B447=""),"Isi tanggal dan ID PIC",IF(NOT(ISNUMBER($A447)),"Tanggal harus berupa tanggal Excel",IF(COUNTIFS(Master_PIC!$A$8:$A$73,$B447)&lt;&gt;1,"ID PIC tidak unik/terdaftar",IF(VLOOKUP($B447,Master_PIC!$A$8:$G$73,3,FALSE)&lt;&gt;"ASM","Jabatan tidak sesuai sheet",IF(OR($C447="",$D447="",$E447="",$F447=""),"Lengkapi master PIC",IF(COUNTIFS($A$8:$A$507,$A447,$B$8:$B$507,$B447)&gt;1,"Laporan ganda",IF(COUNTIFS(G447:O447,"Tidak Berlaku")&gt;0,"N/A hanya untuk kegiatan bersyarat",IF(SUM(AF447,AG447,AH447,AI447,AJ447)&lt;&gt;13,"Status kegiatan tidak valid",IF(AJ447&gt;0,"Lengkapi status kegiatan",IF(AND(AI447&gt;0,T447=""),"Isi alasan Tidak Berlaku",IF(AND(SUM(AG447,AH447)&gt;0,OR(T447="",U447="",V447="",W447="")),"Isi kendala dan tindak lanjut",IF(AND(Y447&lt;&gt;"Draft",Y447&lt;&gt;"Dikirim"),"Isi status laporan yang valid",IF(AND(AA447&lt;&gt;"",AA447&lt;&gt;"Belum Diperiksa",AA447&lt;&gt;"Disetujui",AA447&lt;&gt;"Perlu Perbaikan"),"Hasil review tidak valid",IF(AND(Y447="Dikirim",OR(X447="",Z447="")),"Isi bukti dan waktu kirim",IF(AND(AA447="Disetujui",OR(Y447&lt;&gt;"Dikirim",AB447="",AC447="")),"Lengkapi pemeriksaan",IF(AND(AA447="Perlu Perbaikan",OR(AD447="",AB447="",AC447="")),"Isi pemeriksa dan catatan perbaikan","OK")))))))))))))))),"")</f>
        <v/>
      </c>
    </row>
    <row r="448" spans="1:38" ht="24.95" customHeight="1">
      <c r="A448" s="8"/>
      <c r="B448" s="6"/>
      <c r="C448" s="15" t="str">
        <f>IF(COUNTIFS(Master_PIC!$A$8:$A$73,$B448)=1,IF(VLOOKUP($B448,Master_PIC!$A$8:$G$73,2,FALSE)="","",VLOOKUP($B448,Master_PIC!$A$8:$G$73,2,FALSE)),"")</f>
        <v/>
      </c>
      <c r="D448" s="15" t="str">
        <f>IF(COUNTIFS(Master_PIC!$A$8:$A$73,$B448)=1,IF(VLOOKUP($B448,Master_PIC!$A$8:$G$73,4,FALSE)="","",VLOOKUP($B448,Master_PIC!$A$8:$G$73,4,FALSE)),"")</f>
        <v/>
      </c>
      <c r="E448" s="15" t="str">
        <f>IF(COUNTIFS(Master_PIC!$A$8:$A$73,$B448)=1,IF(VLOOKUP($B448,Master_PIC!$A$8:$G$73,5,FALSE)="","",VLOOKUP($B448,Master_PIC!$A$8:$G$73,5,FALSE)),"")</f>
        <v/>
      </c>
      <c r="F448" s="15" t="str">
        <f>IF(COUNTIFS(Master_PIC!$A$8:$A$73,$B448)=1,IF(VLOOKUP($B448,Master_PIC!$A$8:$G$73,6,FALSE)="","",VLOOKUP($B448,Master_PIC!$A$8:$G$73,6,FALSE)),"")</f>
        <v/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8"/>
      <c r="X448" s="5"/>
      <c r="Y448" s="5"/>
      <c r="Z448" s="9"/>
      <c r="AA448" s="5"/>
      <c r="AB448" s="5"/>
      <c r="AC448" s="9"/>
      <c r="AD448" s="5"/>
      <c r="AE448" s="7" t="str">
        <f t="shared" si="42"/>
        <v/>
      </c>
      <c r="AF448" s="7" t="str">
        <f t="shared" si="43"/>
        <v/>
      </c>
      <c r="AG448" s="7" t="str">
        <f t="shared" si="44"/>
        <v/>
      </c>
      <c r="AH448" s="7" t="str">
        <f t="shared" si="45"/>
        <v/>
      </c>
      <c r="AI448" s="7" t="str">
        <f t="shared" si="46"/>
        <v/>
      </c>
      <c r="AJ448" s="7" t="str">
        <f t="shared" si="47"/>
        <v/>
      </c>
      <c r="AK448" s="10" t="str">
        <f t="shared" si="48"/>
        <v/>
      </c>
      <c r="AL448" s="15" t="str">
        <f>IF(OR($A448&lt;&gt;"",$B448&lt;&gt;""),IF(OR($A448="",$B448=""),"Isi tanggal dan ID PIC",IF(NOT(ISNUMBER($A448)),"Tanggal harus berupa tanggal Excel",IF(COUNTIFS(Master_PIC!$A$8:$A$73,$B448)&lt;&gt;1,"ID PIC tidak unik/terdaftar",IF(VLOOKUP($B448,Master_PIC!$A$8:$G$73,3,FALSE)&lt;&gt;"ASM","Jabatan tidak sesuai sheet",IF(OR($C448="",$D448="",$E448="",$F448=""),"Lengkapi master PIC",IF(COUNTIFS($A$8:$A$507,$A448,$B$8:$B$507,$B448)&gt;1,"Laporan ganda",IF(COUNTIFS(G448:O448,"Tidak Berlaku")&gt;0,"N/A hanya untuk kegiatan bersyarat",IF(SUM(AF448,AG448,AH448,AI448,AJ448)&lt;&gt;13,"Status kegiatan tidak valid",IF(AJ448&gt;0,"Lengkapi status kegiatan",IF(AND(AI448&gt;0,T448=""),"Isi alasan Tidak Berlaku",IF(AND(SUM(AG448,AH448)&gt;0,OR(T448="",U448="",V448="",W448="")),"Isi kendala dan tindak lanjut",IF(AND(Y448&lt;&gt;"Draft",Y448&lt;&gt;"Dikirim"),"Isi status laporan yang valid",IF(AND(AA448&lt;&gt;"",AA448&lt;&gt;"Belum Diperiksa",AA448&lt;&gt;"Disetujui",AA448&lt;&gt;"Perlu Perbaikan"),"Hasil review tidak valid",IF(AND(Y448="Dikirim",OR(X448="",Z448="")),"Isi bukti dan waktu kirim",IF(AND(AA448="Disetujui",OR(Y448&lt;&gt;"Dikirim",AB448="",AC448="")),"Lengkapi pemeriksaan",IF(AND(AA448="Perlu Perbaikan",OR(AD448="",AB448="",AC448="")),"Isi pemeriksa dan catatan perbaikan","OK")))))))))))))))),"")</f>
        <v/>
      </c>
    </row>
    <row r="449" spans="1:38" ht="24.95" customHeight="1">
      <c r="A449" s="8"/>
      <c r="B449" s="6"/>
      <c r="C449" s="15" t="str">
        <f>IF(COUNTIFS(Master_PIC!$A$8:$A$73,$B449)=1,IF(VLOOKUP($B449,Master_PIC!$A$8:$G$73,2,FALSE)="","",VLOOKUP($B449,Master_PIC!$A$8:$G$73,2,FALSE)),"")</f>
        <v/>
      </c>
      <c r="D449" s="15" t="str">
        <f>IF(COUNTIFS(Master_PIC!$A$8:$A$73,$B449)=1,IF(VLOOKUP($B449,Master_PIC!$A$8:$G$73,4,FALSE)="","",VLOOKUP($B449,Master_PIC!$A$8:$G$73,4,FALSE)),"")</f>
        <v/>
      </c>
      <c r="E449" s="15" t="str">
        <f>IF(COUNTIFS(Master_PIC!$A$8:$A$73,$B449)=1,IF(VLOOKUP($B449,Master_PIC!$A$8:$G$73,5,FALSE)="","",VLOOKUP($B449,Master_PIC!$A$8:$G$73,5,FALSE)),"")</f>
        <v/>
      </c>
      <c r="F449" s="15" t="str">
        <f>IF(COUNTIFS(Master_PIC!$A$8:$A$73,$B449)=1,IF(VLOOKUP($B449,Master_PIC!$A$8:$G$73,6,FALSE)="","",VLOOKUP($B449,Master_PIC!$A$8:$G$73,6,FALSE)),"")</f>
        <v/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8"/>
      <c r="X449" s="5"/>
      <c r="Y449" s="5"/>
      <c r="Z449" s="9"/>
      <c r="AA449" s="5"/>
      <c r="AB449" s="5"/>
      <c r="AC449" s="9"/>
      <c r="AD449" s="5"/>
      <c r="AE449" s="7" t="str">
        <f t="shared" si="42"/>
        <v/>
      </c>
      <c r="AF449" s="7" t="str">
        <f t="shared" si="43"/>
        <v/>
      </c>
      <c r="AG449" s="7" t="str">
        <f t="shared" si="44"/>
        <v/>
      </c>
      <c r="AH449" s="7" t="str">
        <f t="shared" si="45"/>
        <v/>
      </c>
      <c r="AI449" s="7" t="str">
        <f t="shared" si="46"/>
        <v/>
      </c>
      <c r="AJ449" s="7" t="str">
        <f t="shared" si="47"/>
        <v/>
      </c>
      <c r="AK449" s="10" t="str">
        <f t="shared" si="48"/>
        <v/>
      </c>
      <c r="AL449" s="15" t="str">
        <f>IF(OR($A449&lt;&gt;"",$B449&lt;&gt;""),IF(OR($A449="",$B449=""),"Isi tanggal dan ID PIC",IF(NOT(ISNUMBER($A449)),"Tanggal harus berupa tanggal Excel",IF(COUNTIFS(Master_PIC!$A$8:$A$73,$B449)&lt;&gt;1,"ID PIC tidak unik/terdaftar",IF(VLOOKUP($B449,Master_PIC!$A$8:$G$73,3,FALSE)&lt;&gt;"ASM","Jabatan tidak sesuai sheet",IF(OR($C449="",$D449="",$E449="",$F449=""),"Lengkapi master PIC",IF(COUNTIFS($A$8:$A$507,$A449,$B$8:$B$507,$B449)&gt;1,"Laporan ganda",IF(COUNTIFS(G449:O449,"Tidak Berlaku")&gt;0,"N/A hanya untuk kegiatan bersyarat",IF(SUM(AF449,AG449,AH449,AI449,AJ449)&lt;&gt;13,"Status kegiatan tidak valid",IF(AJ449&gt;0,"Lengkapi status kegiatan",IF(AND(AI449&gt;0,T449=""),"Isi alasan Tidak Berlaku",IF(AND(SUM(AG449,AH449)&gt;0,OR(T449="",U449="",V449="",W449="")),"Isi kendala dan tindak lanjut",IF(AND(Y449&lt;&gt;"Draft",Y449&lt;&gt;"Dikirim"),"Isi status laporan yang valid",IF(AND(AA449&lt;&gt;"",AA449&lt;&gt;"Belum Diperiksa",AA449&lt;&gt;"Disetujui",AA449&lt;&gt;"Perlu Perbaikan"),"Hasil review tidak valid",IF(AND(Y449="Dikirim",OR(X449="",Z449="")),"Isi bukti dan waktu kirim",IF(AND(AA449="Disetujui",OR(Y449&lt;&gt;"Dikirim",AB449="",AC449="")),"Lengkapi pemeriksaan",IF(AND(AA449="Perlu Perbaikan",OR(AD449="",AB449="",AC449="")),"Isi pemeriksa dan catatan perbaikan","OK")))))))))))))))),"")</f>
        <v/>
      </c>
    </row>
    <row r="450" spans="1:38" ht="24.95" customHeight="1">
      <c r="A450" s="8"/>
      <c r="B450" s="6"/>
      <c r="C450" s="15" t="str">
        <f>IF(COUNTIFS(Master_PIC!$A$8:$A$73,$B450)=1,IF(VLOOKUP($B450,Master_PIC!$A$8:$G$73,2,FALSE)="","",VLOOKUP($B450,Master_PIC!$A$8:$G$73,2,FALSE)),"")</f>
        <v/>
      </c>
      <c r="D450" s="15" t="str">
        <f>IF(COUNTIFS(Master_PIC!$A$8:$A$73,$B450)=1,IF(VLOOKUP($B450,Master_PIC!$A$8:$G$73,4,FALSE)="","",VLOOKUP($B450,Master_PIC!$A$8:$G$73,4,FALSE)),"")</f>
        <v/>
      </c>
      <c r="E450" s="15" t="str">
        <f>IF(COUNTIFS(Master_PIC!$A$8:$A$73,$B450)=1,IF(VLOOKUP($B450,Master_PIC!$A$8:$G$73,5,FALSE)="","",VLOOKUP($B450,Master_PIC!$A$8:$G$73,5,FALSE)),"")</f>
        <v/>
      </c>
      <c r="F450" s="15" t="str">
        <f>IF(COUNTIFS(Master_PIC!$A$8:$A$73,$B450)=1,IF(VLOOKUP($B450,Master_PIC!$A$8:$G$73,6,FALSE)="","",VLOOKUP($B450,Master_PIC!$A$8:$G$73,6,FALSE)),"")</f>
        <v/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8"/>
      <c r="X450" s="5"/>
      <c r="Y450" s="5"/>
      <c r="Z450" s="9"/>
      <c r="AA450" s="5"/>
      <c r="AB450" s="5"/>
      <c r="AC450" s="9"/>
      <c r="AD450" s="5"/>
      <c r="AE450" s="7" t="str">
        <f t="shared" si="42"/>
        <v/>
      </c>
      <c r="AF450" s="7" t="str">
        <f t="shared" si="43"/>
        <v/>
      </c>
      <c r="AG450" s="7" t="str">
        <f t="shared" si="44"/>
        <v/>
      </c>
      <c r="AH450" s="7" t="str">
        <f t="shared" si="45"/>
        <v/>
      </c>
      <c r="AI450" s="7" t="str">
        <f t="shared" si="46"/>
        <v/>
      </c>
      <c r="AJ450" s="7" t="str">
        <f t="shared" si="47"/>
        <v/>
      </c>
      <c r="AK450" s="10" t="str">
        <f t="shared" si="48"/>
        <v/>
      </c>
      <c r="AL450" s="15" t="str">
        <f>IF(OR($A450&lt;&gt;"",$B450&lt;&gt;""),IF(OR($A450="",$B450=""),"Isi tanggal dan ID PIC",IF(NOT(ISNUMBER($A450)),"Tanggal harus berupa tanggal Excel",IF(COUNTIFS(Master_PIC!$A$8:$A$73,$B450)&lt;&gt;1,"ID PIC tidak unik/terdaftar",IF(VLOOKUP($B450,Master_PIC!$A$8:$G$73,3,FALSE)&lt;&gt;"ASM","Jabatan tidak sesuai sheet",IF(OR($C450="",$D450="",$E450="",$F450=""),"Lengkapi master PIC",IF(COUNTIFS($A$8:$A$507,$A450,$B$8:$B$507,$B450)&gt;1,"Laporan ganda",IF(COUNTIFS(G450:O450,"Tidak Berlaku")&gt;0,"N/A hanya untuk kegiatan bersyarat",IF(SUM(AF450,AG450,AH450,AI450,AJ450)&lt;&gt;13,"Status kegiatan tidak valid",IF(AJ450&gt;0,"Lengkapi status kegiatan",IF(AND(AI450&gt;0,T450=""),"Isi alasan Tidak Berlaku",IF(AND(SUM(AG450,AH450)&gt;0,OR(T450="",U450="",V450="",W450="")),"Isi kendala dan tindak lanjut",IF(AND(Y450&lt;&gt;"Draft",Y450&lt;&gt;"Dikirim"),"Isi status laporan yang valid",IF(AND(AA450&lt;&gt;"",AA450&lt;&gt;"Belum Diperiksa",AA450&lt;&gt;"Disetujui",AA450&lt;&gt;"Perlu Perbaikan"),"Hasil review tidak valid",IF(AND(Y450="Dikirim",OR(X450="",Z450="")),"Isi bukti dan waktu kirim",IF(AND(AA450="Disetujui",OR(Y450&lt;&gt;"Dikirim",AB450="",AC450="")),"Lengkapi pemeriksaan",IF(AND(AA450="Perlu Perbaikan",OR(AD450="",AB450="",AC450="")),"Isi pemeriksa dan catatan perbaikan","OK")))))))))))))))),"")</f>
        <v/>
      </c>
    </row>
    <row r="451" spans="1:38" ht="24.95" customHeight="1">
      <c r="A451" s="8"/>
      <c r="B451" s="6"/>
      <c r="C451" s="15" t="str">
        <f>IF(COUNTIFS(Master_PIC!$A$8:$A$73,$B451)=1,IF(VLOOKUP($B451,Master_PIC!$A$8:$G$73,2,FALSE)="","",VLOOKUP($B451,Master_PIC!$A$8:$G$73,2,FALSE)),"")</f>
        <v/>
      </c>
      <c r="D451" s="15" t="str">
        <f>IF(COUNTIFS(Master_PIC!$A$8:$A$73,$B451)=1,IF(VLOOKUP($B451,Master_PIC!$A$8:$G$73,4,FALSE)="","",VLOOKUP($B451,Master_PIC!$A$8:$G$73,4,FALSE)),"")</f>
        <v/>
      </c>
      <c r="E451" s="15" t="str">
        <f>IF(COUNTIFS(Master_PIC!$A$8:$A$73,$B451)=1,IF(VLOOKUP($B451,Master_PIC!$A$8:$G$73,5,FALSE)="","",VLOOKUP($B451,Master_PIC!$A$8:$G$73,5,FALSE)),"")</f>
        <v/>
      </c>
      <c r="F451" s="15" t="str">
        <f>IF(COUNTIFS(Master_PIC!$A$8:$A$73,$B451)=1,IF(VLOOKUP($B451,Master_PIC!$A$8:$G$73,6,FALSE)="","",VLOOKUP($B451,Master_PIC!$A$8:$G$73,6,FALSE)),"")</f>
        <v/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8"/>
      <c r="X451" s="5"/>
      <c r="Y451" s="5"/>
      <c r="Z451" s="9"/>
      <c r="AA451" s="5"/>
      <c r="AB451" s="5"/>
      <c r="AC451" s="9"/>
      <c r="AD451" s="5"/>
      <c r="AE451" s="7" t="str">
        <f t="shared" si="42"/>
        <v/>
      </c>
      <c r="AF451" s="7" t="str">
        <f t="shared" si="43"/>
        <v/>
      </c>
      <c r="AG451" s="7" t="str">
        <f t="shared" si="44"/>
        <v/>
      </c>
      <c r="AH451" s="7" t="str">
        <f t="shared" si="45"/>
        <v/>
      </c>
      <c r="AI451" s="7" t="str">
        <f t="shared" si="46"/>
        <v/>
      </c>
      <c r="AJ451" s="7" t="str">
        <f t="shared" si="47"/>
        <v/>
      </c>
      <c r="AK451" s="10" t="str">
        <f t="shared" si="48"/>
        <v/>
      </c>
      <c r="AL451" s="15" t="str">
        <f>IF(OR($A451&lt;&gt;"",$B451&lt;&gt;""),IF(OR($A451="",$B451=""),"Isi tanggal dan ID PIC",IF(NOT(ISNUMBER($A451)),"Tanggal harus berupa tanggal Excel",IF(COUNTIFS(Master_PIC!$A$8:$A$73,$B451)&lt;&gt;1,"ID PIC tidak unik/terdaftar",IF(VLOOKUP($B451,Master_PIC!$A$8:$G$73,3,FALSE)&lt;&gt;"ASM","Jabatan tidak sesuai sheet",IF(OR($C451="",$D451="",$E451="",$F451=""),"Lengkapi master PIC",IF(COUNTIFS($A$8:$A$507,$A451,$B$8:$B$507,$B451)&gt;1,"Laporan ganda",IF(COUNTIFS(G451:O451,"Tidak Berlaku")&gt;0,"N/A hanya untuk kegiatan bersyarat",IF(SUM(AF451,AG451,AH451,AI451,AJ451)&lt;&gt;13,"Status kegiatan tidak valid",IF(AJ451&gt;0,"Lengkapi status kegiatan",IF(AND(AI451&gt;0,T451=""),"Isi alasan Tidak Berlaku",IF(AND(SUM(AG451,AH451)&gt;0,OR(T451="",U451="",V451="",W451="")),"Isi kendala dan tindak lanjut",IF(AND(Y451&lt;&gt;"Draft",Y451&lt;&gt;"Dikirim"),"Isi status laporan yang valid",IF(AND(AA451&lt;&gt;"",AA451&lt;&gt;"Belum Diperiksa",AA451&lt;&gt;"Disetujui",AA451&lt;&gt;"Perlu Perbaikan"),"Hasil review tidak valid",IF(AND(Y451="Dikirim",OR(X451="",Z451="")),"Isi bukti dan waktu kirim",IF(AND(AA451="Disetujui",OR(Y451&lt;&gt;"Dikirim",AB451="",AC451="")),"Lengkapi pemeriksaan",IF(AND(AA451="Perlu Perbaikan",OR(AD451="",AB451="",AC451="")),"Isi pemeriksa dan catatan perbaikan","OK")))))))))))))))),"")</f>
        <v/>
      </c>
    </row>
    <row r="452" spans="1:38" ht="24.95" customHeight="1">
      <c r="A452" s="8"/>
      <c r="B452" s="6"/>
      <c r="C452" s="15" t="str">
        <f>IF(COUNTIFS(Master_PIC!$A$8:$A$73,$B452)=1,IF(VLOOKUP($B452,Master_PIC!$A$8:$G$73,2,FALSE)="","",VLOOKUP($B452,Master_PIC!$A$8:$G$73,2,FALSE)),"")</f>
        <v/>
      </c>
      <c r="D452" s="15" t="str">
        <f>IF(COUNTIFS(Master_PIC!$A$8:$A$73,$B452)=1,IF(VLOOKUP($B452,Master_PIC!$A$8:$G$73,4,FALSE)="","",VLOOKUP($B452,Master_PIC!$A$8:$G$73,4,FALSE)),"")</f>
        <v/>
      </c>
      <c r="E452" s="15" t="str">
        <f>IF(COUNTIFS(Master_PIC!$A$8:$A$73,$B452)=1,IF(VLOOKUP($B452,Master_PIC!$A$8:$G$73,5,FALSE)="","",VLOOKUP($B452,Master_PIC!$A$8:$G$73,5,FALSE)),"")</f>
        <v/>
      </c>
      <c r="F452" s="15" t="str">
        <f>IF(COUNTIFS(Master_PIC!$A$8:$A$73,$B452)=1,IF(VLOOKUP($B452,Master_PIC!$A$8:$G$73,6,FALSE)="","",VLOOKUP($B452,Master_PIC!$A$8:$G$73,6,FALSE)),"")</f>
        <v/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8"/>
      <c r="X452" s="5"/>
      <c r="Y452" s="5"/>
      <c r="Z452" s="9"/>
      <c r="AA452" s="5"/>
      <c r="AB452" s="5"/>
      <c r="AC452" s="9"/>
      <c r="AD452" s="5"/>
      <c r="AE452" s="7" t="str">
        <f t="shared" si="42"/>
        <v/>
      </c>
      <c r="AF452" s="7" t="str">
        <f t="shared" si="43"/>
        <v/>
      </c>
      <c r="AG452" s="7" t="str">
        <f t="shared" si="44"/>
        <v/>
      </c>
      <c r="AH452" s="7" t="str">
        <f t="shared" si="45"/>
        <v/>
      </c>
      <c r="AI452" s="7" t="str">
        <f t="shared" si="46"/>
        <v/>
      </c>
      <c r="AJ452" s="7" t="str">
        <f t="shared" si="47"/>
        <v/>
      </c>
      <c r="AK452" s="10" t="str">
        <f t="shared" si="48"/>
        <v/>
      </c>
      <c r="AL452" s="15" t="str">
        <f>IF(OR($A452&lt;&gt;"",$B452&lt;&gt;""),IF(OR($A452="",$B452=""),"Isi tanggal dan ID PIC",IF(NOT(ISNUMBER($A452)),"Tanggal harus berupa tanggal Excel",IF(COUNTIFS(Master_PIC!$A$8:$A$73,$B452)&lt;&gt;1,"ID PIC tidak unik/terdaftar",IF(VLOOKUP($B452,Master_PIC!$A$8:$G$73,3,FALSE)&lt;&gt;"ASM","Jabatan tidak sesuai sheet",IF(OR($C452="",$D452="",$E452="",$F452=""),"Lengkapi master PIC",IF(COUNTIFS($A$8:$A$507,$A452,$B$8:$B$507,$B452)&gt;1,"Laporan ganda",IF(COUNTIFS(G452:O452,"Tidak Berlaku")&gt;0,"N/A hanya untuk kegiatan bersyarat",IF(SUM(AF452,AG452,AH452,AI452,AJ452)&lt;&gt;13,"Status kegiatan tidak valid",IF(AJ452&gt;0,"Lengkapi status kegiatan",IF(AND(AI452&gt;0,T452=""),"Isi alasan Tidak Berlaku",IF(AND(SUM(AG452,AH452)&gt;0,OR(T452="",U452="",V452="",W452="")),"Isi kendala dan tindak lanjut",IF(AND(Y452&lt;&gt;"Draft",Y452&lt;&gt;"Dikirim"),"Isi status laporan yang valid",IF(AND(AA452&lt;&gt;"",AA452&lt;&gt;"Belum Diperiksa",AA452&lt;&gt;"Disetujui",AA452&lt;&gt;"Perlu Perbaikan"),"Hasil review tidak valid",IF(AND(Y452="Dikirim",OR(X452="",Z452="")),"Isi bukti dan waktu kirim",IF(AND(AA452="Disetujui",OR(Y452&lt;&gt;"Dikirim",AB452="",AC452="")),"Lengkapi pemeriksaan",IF(AND(AA452="Perlu Perbaikan",OR(AD452="",AB452="",AC452="")),"Isi pemeriksa dan catatan perbaikan","OK")))))))))))))))),"")</f>
        <v/>
      </c>
    </row>
    <row r="453" spans="1:38" ht="24.95" customHeight="1">
      <c r="A453" s="8"/>
      <c r="B453" s="6"/>
      <c r="C453" s="15" t="str">
        <f>IF(COUNTIFS(Master_PIC!$A$8:$A$73,$B453)=1,IF(VLOOKUP($B453,Master_PIC!$A$8:$G$73,2,FALSE)="","",VLOOKUP($B453,Master_PIC!$A$8:$G$73,2,FALSE)),"")</f>
        <v/>
      </c>
      <c r="D453" s="15" t="str">
        <f>IF(COUNTIFS(Master_PIC!$A$8:$A$73,$B453)=1,IF(VLOOKUP($B453,Master_PIC!$A$8:$G$73,4,FALSE)="","",VLOOKUP($B453,Master_PIC!$A$8:$G$73,4,FALSE)),"")</f>
        <v/>
      </c>
      <c r="E453" s="15" t="str">
        <f>IF(COUNTIFS(Master_PIC!$A$8:$A$73,$B453)=1,IF(VLOOKUP($B453,Master_PIC!$A$8:$G$73,5,FALSE)="","",VLOOKUP($B453,Master_PIC!$A$8:$G$73,5,FALSE)),"")</f>
        <v/>
      </c>
      <c r="F453" s="15" t="str">
        <f>IF(COUNTIFS(Master_PIC!$A$8:$A$73,$B453)=1,IF(VLOOKUP($B453,Master_PIC!$A$8:$G$73,6,FALSE)="","",VLOOKUP($B453,Master_PIC!$A$8:$G$73,6,FALSE)),"")</f>
        <v/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8"/>
      <c r="X453" s="5"/>
      <c r="Y453" s="5"/>
      <c r="Z453" s="9"/>
      <c r="AA453" s="5"/>
      <c r="AB453" s="5"/>
      <c r="AC453" s="9"/>
      <c r="AD453" s="5"/>
      <c r="AE453" s="7" t="str">
        <f t="shared" si="42"/>
        <v/>
      </c>
      <c r="AF453" s="7" t="str">
        <f t="shared" si="43"/>
        <v/>
      </c>
      <c r="AG453" s="7" t="str">
        <f t="shared" si="44"/>
        <v/>
      </c>
      <c r="AH453" s="7" t="str">
        <f t="shared" si="45"/>
        <v/>
      </c>
      <c r="AI453" s="7" t="str">
        <f t="shared" si="46"/>
        <v/>
      </c>
      <c r="AJ453" s="7" t="str">
        <f t="shared" si="47"/>
        <v/>
      </c>
      <c r="AK453" s="10" t="str">
        <f t="shared" si="48"/>
        <v/>
      </c>
      <c r="AL453" s="15" t="str">
        <f>IF(OR($A453&lt;&gt;"",$B453&lt;&gt;""),IF(OR($A453="",$B453=""),"Isi tanggal dan ID PIC",IF(NOT(ISNUMBER($A453)),"Tanggal harus berupa tanggal Excel",IF(COUNTIFS(Master_PIC!$A$8:$A$73,$B453)&lt;&gt;1,"ID PIC tidak unik/terdaftar",IF(VLOOKUP($B453,Master_PIC!$A$8:$G$73,3,FALSE)&lt;&gt;"ASM","Jabatan tidak sesuai sheet",IF(OR($C453="",$D453="",$E453="",$F453=""),"Lengkapi master PIC",IF(COUNTIFS($A$8:$A$507,$A453,$B$8:$B$507,$B453)&gt;1,"Laporan ganda",IF(COUNTIFS(G453:O453,"Tidak Berlaku")&gt;0,"N/A hanya untuk kegiatan bersyarat",IF(SUM(AF453,AG453,AH453,AI453,AJ453)&lt;&gt;13,"Status kegiatan tidak valid",IF(AJ453&gt;0,"Lengkapi status kegiatan",IF(AND(AI453&gt;0,T453=""),"Isi alasan Tidak Berlaku",IF(AND(SUM(AG453,AH453)&gt;0,OR(T453="",U453="",V453="",W453="")),"Isi kendala dan tindak lanjut",IF(AND(Y453&lt;&gt;"Draft",Y453&lt;&gt;"Dikirim"),"Isi status laporan yang valid",IF(AND(AA453&lt;&gt;"",AA453&lt;&gt;"Belum Diperiksa",AA453&lt;&gt;"Disetujui",AA453&lt;&gt;"Perlu Perbaikan"),"Hasil review tidak valid",IF(AND(Y453="Dikirim",OR(X453="",Z453="")),"Isi bukti dan waktu kirim",IF(AND(AA453="Disetujui",OR(Y453&lt;&gt;"Dikirim",AB453="",AC453="")),"Lengkapi pemeriksaan",IF(AND(AA453="Perlu Perbaikan",OR(AD453="",AB453="",AC453="")),"Isi pemeriksa dan catatan perbaikan","OK")))))))))))))))),"")</f>
        <v/>
      </c>
    </row>
    <row r="454" spans="1:38" ht="24.95" customHeight="1">
      <c r="A454" s="8"/>
      <c r="B454" s="6"/>
      <c r="C454" s="15" t="str">
        <f>IF(COUNTIFS(Master_PIC!$A$8:$A$73,$B454)=1,IF(VLOOKUP($B454,Master_PIC!$A$8:$G$73,2,FALSE)="","",VLOOKUP($B454,Master_PIC!$A$8:$G$73,2,FALSE)),"")</f>
        <v/>
      </c>
      <c r="D454" s="15" t="str">
        <f>IF(COUNTIFS(Master_PIC!$A$8:$A$73,$B454)=1,IF(VLOOKUP($B454,Master_PIC!$A$8:$G$73,4,FALSE)="","",VLOOKUP($B454,Master_PIC!$A$8:$G$73,4,FALSE)),"")</f>
        <v/>
      </c>
      <c r="E454" s="15" t="str">
        <f>IF(COUNTIFS(Master_PIC!$A$8:$A$73,$B454)=1,IF(VLOOKUP($B454,Master_PIC!$A$8:$G$73,5,FALSE)="","",VLOOKUP($B454,Master_PIC!$A$8:$G$73,5,FALSE)),"")</f>
        <v/>
      </c>
      <c r="F454" s="15" t="str">
        <f>IF(COUNTIFS(Master_PIC!$A$8:$A$73,$B454)=1,IF(VLOOKUP($B454,Master_PIC!$A$8:$G$73,6,FALSE)="","",VLOOKUP($B454,Master_PIC!$A$8:$G$73,6,FALSE)),"")</f>
        <v/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8"/>
      <c r="X454" s="5"/>
      <c r="Y454" s="5"/>
      <c r="Z454" s="9"/>
      <c r="AA454" s="5"/>
      <c r="AB454" s="5"/>
      <c r="AC454" s="9"/>
      <c r="AD454" s="5"/>
      <c r="AE454" s="7" t="str">
        <f t="shared" si="42"/>
        <v/>
      </c>
      <c r="AF454" s="7" t="str">
        <f t="shared" si="43"/>
        <v/>
      </c>
      <c r="AG454" s="7" t="str">
        <f t="shared" si="44"/>
        <v/>
      </c>
      <c r="AH454" s="7" t="str">
        <f t="shared" si="45"/>
        <v/>
      </c>
      <c r="AI454" s="7" t="str">
        <f t="shared" si="46"/>
        <v/>
      </c>
      <c r="AJ454" s="7" t="str">
        <f t="shared" si="47"/>
        <v/>
      </c>
      <c r="AK454" s="10" t="str">
        <f t="shared" si="48"/>
        <v/>
      </c>
      <c r="AL454" s="15" t="str">
        <f>IF(OR($A454&lt;&gt;"",$B454&lt;&gt;""),IF(OR($A454="",$B454=""),"Isi tanggal dan ID PIC",IF(NOT(ISNUMBER($A454)),"Tanggal harus berupa tanggal Excel",IF(COUNTIFS(Master_PIC!$A$8:$A$73,$B454)&lt;&gt;1,"ID PIC tidak unik/terdaftar",IF(VLOOKUP($B454,Master_PIC!$A$8:$G$73,3,FALSE)&lt;&gt;"ASM","Jabatan tidak sesuai sheet",IF(OR($C454="",$D454="",$E454="",$F454=""),"Lengkapi master PIC",IF(COUNTIFS($A$8:$A$507,$A454,$B$8:$B$507,$B454)&gt;1,"Laporan ganda",IF(COUNTIFS(G454:O454,"Tidak Berlaku")&gt;0,"N/A hanya untuk kegiatan bersyarat",IF(SUM(AF454,AG454,AH454,AI454,AJ454)&lt;&gt;13,"Status kegiatan tidak valid",IF(AJ454&gt;0,"Lengkapi status kegiatan",IF(AND(AI454&gt;0,T454=""),"Isi alasan Tidak Berlaku",IF(AND(SUM(AG454,AH454)&gt;0,OR(T454="",U454="",V454="",W454="")),"Isi kendala dan tindak lanjut",IF(AND(Y454&lt;&gt;"Draft",Y454&lt;&gt;"Dikirim"),"Isi status laporan yang valid",IF(AND(AA454&lt;&gt;"",AA454&lt;&gt;"Belum Diperiksa",AA454&lt;&gt;"Disetujui",AA454&lt;&gt;"Perlu Perbaikan"),"Hasil review tidak valid",IF(AND(Y454="Dikirim",OR(X454="",Z454="")),"Isi bukti dan waktu kirim",IF(AND(AA454="Disetujui",OR(Y454&lt;&gt;"Dikirim",AB454="",AC454="")),"Lengkapi pemeriksaan",IF(AND(AA454="Perlu Perbaikan",OR(AD454="",AB454="",AC454="")),"Isi pemeriksa dan catatan perbaikan","OK")))))))))))))))),"")</f>
        <v/>
      </c>
    </row>
    <row r="455" spans="1:38" ht="24.95" customHeight="1">
      <c r="A455" s="8"/>
      <c r="B455" s="6"/>
      <c r="C455" s="15" t="str">
        <f>IF(COUNTIFS(Master_PIC!$A$8:$A$73,$B455)=1,IF(VLOOKUP($B455,Master_PIC!$A$8:$G$73,2,FALSE)="","",VLOOKUP($B455,Master_PIC!$A$8:$G$73,2,FALSE)),"")</f>
        <v/>
      </c>
      <c r="D455" s="15" t="str">
        <f>IF(COUNTIFS(Master_PIC!$A$8:$A$73,$B455)=1,IF(VLOOKUP($B455,Master_PIC!$A$8:$G$73,4,FALSE)="","",VLOOKUP($B455,Master_PIC!$A$8:$G$73,4,FALSE)),"")</f>
        <v/>
      </c>
      <c r="E455" s="15" t="str">
        <f>IF(COUNTIFS(Master_PIC!$A$8:$A$73,$B455)=1,IF(VLOOKUP($B455,Master_PIC!$A$8:$G$73,5,FALSE)="","",VLOOKUP($B455,Master_PIC!$A$8:$G$73,5,FALSE)),"")</f>
        <v/>
      </c>
      <c r="F455" s="15" t="str">
        <f>IF(COUNTIFS(Master_PIC!$A$8:$A$73,$B455)=1,IF(VLOOKUP($B455,Master_PIC!$A$8:$G$73,6,FALSE)="","",VLOOKUP($B455,Master_PIC!$A$8:$G$73,6,FALSE)),"")</f>
        <v/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8"/>
      <c r="X455" s="5"/>
      <c r="Y455" s="5"/>
      <c r="Z455" s="9"/>
      <c r="AA455" s="5"/>
      <c r="AB455" s="5"/>
      <c r="AC455" s="9"/>
      <c r="AD455" s="5"/>
      <c r="AE455" s="7" t="str">
        <f t="shared" si="42"/>
        <v/>
      </c>
      <c r="AF455" s="7" t="str">
        <f t="shared" si="43"/>
        <v/>
      </c>
      <c r="AG455" s="7" t="str">
        <f t="shared" si="44"/>
        <v/>
      </c>
      <c r="AH455" s="7" t="str">
        <f t="shared" si="45"/>
        <v/>
      </c>
      <c r="AI455" s="7" t="str">
        <f t="shared" si="46"/>
        <v/>
      </c>
      <c r="AJ455" s="7" t="str">
        <f t="shared" si="47"/>
        <v/>
      </c>
      <c r="AK455" s="10" t="str">
        <f t="shared" si="48"/>
        <v/>
      </c>
      <c r="AL455" s="15" t="str">
        <f>IF(OR($A455&lt;&gt;"",$B455&lt;&gt;""),IF(OR($A455="",$B455=""),"Isi tanggal dan ID PIC",IF(NOT(ISNUMBER($A455)),"Tanggal harus berupa tanggal Excel",IF(COUNTIFS(Master_PIC!$A$8:$A$73,$B455)&lt;&gt;1,"ID PIC tidak unik/terdaftar",IF(VLOOKUP($B455,Master_PIC!$A$8:$G$73,3,FALSE)&lt;&gt;"ASM","Jabatan tidak sesuai sheet",IF(OR($C455="",$D455="",$E455="",$F455=""),"Lengkapi master PIC",IF(COUNTIFS($A$8:$A$507,$A455,$B$8:$B$507,$B455)&gt;1,"Laporan ganda",IF(COUNTIFS(G455:O455,"Tidak Berlaku")&gt;0,"N/A hanya untuk kegiatan bersyarat",IF(SUM(AF455,AG455,AH455,AI455,AJ455)&lt;&gt;13,"Status kegiatan tidak valid",IF(AJ455&gt;0,"Lengkapi status kegiatan",IF(AND(AI455&gt;0,T455=""),"Isi alasan Tidak Berlaku",IF(AND(SUM(AG455,AH455)&gt;0,OR(T455="",U455="",V455="",W455="")),"Isi kendala dan tindak lanjut",IF(AND(Y455&lt;&gt;"Draft",Y455&lt;&gt;"Dikirim"),"Isi status laporan yang valid",IF(AND(AA455&lt;&gt;"",AA455&lt;&gt;"Belum Diperiksa",AA455&lt;&gt;"Disetujui",AA455&lt;&gt;"Perlu Perbaikan"),"Hasil review tidak valid",IF(AND(Y455="Dikirim",OR(X455="",Z455="")),"Isi bukti dan waktu kirim",IF(AND(AA455="Disetujui",OR(Y455&lt;&gt;"Dikirim",AB455="",AC455="")),"Lengkapi pemeriksaan",IF(AND(AA455="Perlu Perbaikan",OR(AD455="",AB455="",AC455="")),"Isi pemeriksa dan catatan perbaikan","OK")))))))))))))))),"")</f>
        <v/>
      </c>
    </row>
    <row r="456" spans="1:38" ht="24.95" customHeight="1">
      <c r="A456" s="8"/>
      <c r="B456" s="6"/>
      <c r="C456" s="15" t="str">
        <f>IF(COUNTIFS(Master_PIC!$A$8:$A$73,$B456)=1,IF(VLOOKUP($B456,Master_PIC!$A$8:$G$73,2,FALSE)="","",VLOOKUP($B456,Master_PIC!$A$8:$G$73,2,FALSE)),"")</f>
        <v/>
      </c>
      <c r="D456" s="15" t="str">
        <f>IF(COUNTIFS(Master_PIC!$A$8:$A$73,$B456)=1,IF(VLOOKUP($B456,Master_PIC!$A$8:$G$73,4,FALSE)="","",VLOOKUP($B456,Master_PIC!$A$8:$G$73,4,FALSE)),"")</f>
        <v/>
      </c>
      <c r="E456" s="15" t="str">
        <f>IF(COUNTIFS(Master_PIC!$A$8:$A$73,$B456)=1,IF(VLOOKUP($B456,Master_PIC!$A$8:$G$73,5,FALSE)="","",VLOOKUP($B456,Master_PIC!$A$8:$G$73,5,FALSE)),"")</f>
        <v/>
      </c>
      <c r="F456" s="15" t="str">
        <f>IF(COUNTIFS(Master_PIC!$A$8:$A$73,$B456)=1,IF(VLOOKUP($B456,Master_PIC!$A$8:$G$73,6,FALSE)="","",VLOOKUP($B456,Master_PIC!$A$8:$G$73,6,FALSE)),"")</f>
        <v/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8"/>
      <c r="X456" s="5"/>
      <c r="Y456" s="5"/>
      <c r="Z456" s="9"/>
      <c r="AA456" s="5"/>
      <c r="AB456" s="5"/>
      <c r="AC456" s="9"/>
      <c r="AD456" s="5"/>
      <c r="AE456" s="7" t="str">
        <f t="shared" ref="AE456:AE507" si="49">IF(OR($A456&lt;&gt;"",$B456&lt;&gt;""),13-AI456,"")</f>
        <v/>
      </c>
      <c r="AF456" s="7" t="str">
        <f t="shared" ref="AF456:AF507" si="50">IF(OR($A456&lt;&gt;"",$B456&lt;&gt;""),COUNTIFS(G456:S456,"Selesai"),"")</f>
        <v/>
      </c>
      <c r="AG456" s="7" t="str">
        <f t="shared" ref="AG456:AG507" si="51">IF(OR($A456&lt;&gt;"",$B456&lt;&gt;""),COUNTIFS(G456:S456,"Proses"),"")</f>
        <v/>
      </c>
      <c r="AH456" s="7" t="str">
        <f t="shared" ref="AH456:AH507" si="52">IF(OR($A456&lt;&gt;"",$B456&lt;&gt;""),COUNTIFS(G456:S456,"Belum"),"")</f>
        <v/>
      </c>
      <c r="AI456" s="7" t="str">
        <f t="shared" ref="AI456:AI507" si="53">IF(OR($A456&lt;&gt;"",$B456&lt;&gt;""),COUNTIFS(G456:S456,"Tidak Berlaku"),"")</f>
        <v/>
      </c>
      <c r="AJ456" s="7" t="str">
        <f t="shared" ref="AJ456:AJ507" si="54">IF(OR($A456&lt;&gt;"",$B456&lt;&gt;""),COUNTBLANK(G456:S456),"")</f>
        <v/>
      </c>
      <c r="AK456" s="10" t="str">
        <f t="shared" ref="AK456:AK507" si="55">IF(OR($A456&lt;&gt;"",$B456&lt;&gt;""),IF(AE456=0,"n.a.",AF456/AE456),"")</f>
        <v/>
      </c>
      <c r="AL456" s="15" t="str">
        <f>IF(OR($A456&lt;&gt;"",$B456&lt;&gt;""),IF(OR($A456="",$B456=""),"Isi tanggal dan ID PIC",IF(NOT(ISNUMBER($A456)),"Tanggal harus berupa tanggal Excel",IF(COUNTIFS(Master_PIC!$A$8:$A$73,$B456)&lt;&gt;1,"ID PIC tidak unik/terdaftar",IF(VLOOKUP($B456,Master_PIC!$A$8:$G$73,3,FALSE)&lt;&gt;"ASM","Jabatan tidak sesuai sheet",IF(OR($C456="",$D456="",$E456="",$F456=""),"Lengkapi master PIC",IF(COUNTIFS($A$8:$A$507,$A456,$B$8:$B$507,$B456)&gt;1,"Laporan ganda",IF(COUNTIFS(G456:O456,"Tidak Berlaku")&gt;0,"N/A hanya untuk kegiatan bersyarat",IF(SUM(AF456,AG456,AH456,AI456,AJ456)&lt;&gt;13,"Status kegiatan tidak valid",IF(AJ456&gt;0,"Lengkapi status kegiatan",IF(AND(AI456&gt;0,T456=""),"Isi alasan Tidak Berlaku",IF(AND(SUM(AG456,AH456)&gt;0,OR(T456="",U456="",V456="",W456="")),"Isi kendala dan tindak lanjut",IF(AND(Y456&lt;&gt;"Draft",Y456&lt;&gt;"Dikirim"),"Isi status laporan yang valid",IF(AND(AA456&lt;&gt;"",AA456&lt;&gt;"Belum Diperiksa",AA456&lt;&gt;"Disetujui",AA456&lt;&gt;"Perlu Perbaikan"),"Hasil review tidak valid",IF(AND(Y456="Dikirim",OR(X456="",Z456="")),"Isi bukti dan waktu kirim",IF(AND(AA456="Disetujui",OR(Y456&lt;&gt;"Dikirim",AB456="",AC456="")),"Lengkapi pemeriksaan",IF(AND(AA456="Perlu Perbaikan",OR(AD456="",AB456="",AC456="")),"Isi pemeriksa dan catatan perbaikan","OK")))))))))))))))),"")</f>
        <v/>
      </c>
    </row>
    <row r="457" spans="1:38" ht="24.95" customHeight="1">
      <c r="A457" s="8"/>
      <c r="B457" s="6"/>
      <c r="C457" s="15" t="str">
        <f>IF(COUNTIFS(Master_PIC!$A$8:$A$73,$B457)=1,IF(VLOOKUP($B457,Master_PIC!$A$8:$G$73,2,FALSE)="","",VLOOKUP($B457,Master_PIC!$A$8:$G$73,2,FALSE)),"")</f>
        <v/>
      </c>
      <c r="D457" s="15" t="str">
        <f>IF(COUNTIFS(Master_PIC!$A$8:$A$73,$B457)=1,IF(VLOOKUP($B457,Master_PIC!$A$8:$G$73,4,FALSE)="","",VLOOKUP($B457,Master_PIC!$A$8:$G$73,4,FALSE)),"")</f>
        <v/>
      </c>
      <c r="E457" s="15" t="str">
        <f>IF(COUNTIFS(Master_PIC!$A$8:$A$73,$B457)=1,IF(VLOOKUP($B457,Master_PIC!$A$8:$G$73,5,FALSE)="","",VLOOKUP($B457,Master_PIC!$A$8:$G$73,5,FALSE)),"")</f>
        <v/>
      </c>
      <c r="F457" s="15" t="str">
        <f>IF(COUNTIFS(Master_PIC!$A$8:$A$73,$B457)=1,IF(VLOOKUP($B457,Master_PIC!$A$8:$G$73,6,FALSE)="","",VLOOKUP($B457,Master_PIC!$A$8:$G$73,6,FALSE)),"")</f>
        <v/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8"/>
      <c r="X457" s="5"/>
      <c r="Y457" s="5"/>
      <c r="Z457" s="9"/>
      <c r="AA457" s="5"/>
      <c r="AB457" s="5"/>
      <c r="AC457" s="9"/>
      <c r="AD457" s="5"/>
      <c r="AE457" s="7" t="str">
        <f t="shared" si="49"/>
        <v/>
      </c>
      <c r="AF457" s="7" t="str">
        <f t="shared" si="50"/>
        <v/>
      </c>
      <c r="AG457" s="7" t="str">
        <f t="shared" si="51"/>
        <v/>
      </c>
      <c r="AH457" s="7" t="str">
        <f t="shared" si="52"/>
        <v/>
      </c>
      <c r="AI457" s="7" t="str">
        <f t="shared" si="53"/>
        <v/>
      </c>
      <c r="AJ457" s="7" t="str">
        <f t="shared" si="54"/>
        <v/>
      </c>
      <c r="AK457" s="10" t="str">
        <f t="shared" si="55"/>
        <v/>
      </c>
      <c r="AL457" s="15" t="str">
        <f>IF(OR($A457&lt;&gt;"",$B457&lt;&gt;""),IF(OR($A457="",$B457=""),"Isi tanggal dan ID PIC",IF(NOT(ISNUMBER($A457)),"Tanggal harus berupa tanggal Excel",IF(COUNTIFS(Master_PIC!$A$8:$A$73,$B457)&lt;&gt;1,"ID PIC tidak unik/terdaftar",IF(VLOOKUP($B457,Master_PIC!$A$8:$G$73,3,FALSE)&lt;&gt;"ASM","Jabatan tidak sesuai sheet",IF(OR($C457="",$D457="",$E457="",$F457=""),"Lengkapi master PIC",IF(COUNTIFS($A$8:$A$507,$A457,$B$8:$B$507,$B457)&gt;1,"Laporan ganda",IF(COUNTIFS(G457:O457,"Tidak Berlaku")&gt;0,"N/A hanya untuk kegiatan bersyarat",IF(SUM(AF457,AG457,AH457,AI457,AJ457)&lt;&gt;13,"Status kegiatan tidak valid",IF(AJ457&gt;0,"Lengkapi status kegiatan",IF(AND(AI457&gt;0,T457=""),"Isi alasan Tidak Berlaku",IF(AND(SUM(AG457,AH457)&gt;0,OR(T457="",U457="",V457="",W457="")),"Isi kendala dan tindak lanjut",IF(AND(Y457&lt;&gt;"Draft",Y457&lt;&gt;"Dikirim"),"Isi status laporan yang valid",IF(AND(AA457&lt;&gt;"",AA457&lt;&gt;"Belum Diperiksa",AA457&lt;&gt;"Disetujui",AA457&lt;&gt;"Perlu Perbaikan"),"Hasil review tidak valid",IF(AND(Y457="Dikirim",OR(X457="",Z457="")),"Isi bukti dan waktu kirim",IF(AND(AA457="Disetujui",OR(Y457&lt;&gt;"Dikirim",AB457="",AC457="")),"Lengkapi pemeriksaan",IF(AND(AA457="Perlu Perbaikan",OR(AD457="",AB457="",AC457="")),"Isi pemeriksa dan catatan perbaikan","OK")))))))))))))))),"")</f>
        <v/>
      </c>
    </row>
    <row r="458" spans="1:38" ht="24.95" customHeight="1">
      <c r="A458" s="8"/>
      <c r="B458" s="6"/>
      <c r="C458" s="15" t="str">
        <f>IF(COUNTIFS(Master_PIC!$A$8:$A$73,$B458)=1,IF(VLOOKUP($B458,Master_PIC!$A$8:$G$73,2,FALSE)="","",VLOOKUP($B458,Master_PIC!$A$8:$G$73,2,FALSE)),"")</f>
        <v/>
      </c>
      <c r="D458" s="15" t="str">
        <f>IF(COUNTIFS(Master_PIC!$A$8:$A$73,$B458)=1,IF(VLOOKUP($B458,Master_PIC!$A$8:$G$73,4,FALSE)="","",VLOOKUP($B458,Master_PIC!$A$8:$G$73,4,FALSE)),"")</f>
        <v/>
      </c>
      <c r="E458" s="15" t="str">
        <f>IF(COUNTIFS(Master_PIC!$A$8:$A$73,$B458)=1,IF(VLOOKUP($B458,Master_PIC!$A$8:$G$73,5,FALSE)="","",VLOOKUP($B458,Master_PIC!$A$8:$G$73,5,FALSE)),"")</f>
        <v/>
      </c>
      <c r="F458" s="15" t="str">
        <f>IF(COUNTIFS(Master_PIC!$A$8:$A$73,$B458)=1,IF(VLOOKUP($B458,Master_PIC!$A$8:$G$73,6,FALSE)="","",VLOOKUP($B458,Master_PIC!$A$8:$G$73,6,FALSE)),"")</f>
        <v/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8"/>
      <c r="X458" s="5"/>
      <c r="Y458" s="5"/>
      <c r="Z458" s="9"/>
      <c r="AA458" s="5"/>
      <c r="AB458" s="5"/>
      <c r="AC458" s="9"/>
      <c r="AD458" s="5"/>
      <c r="AE458" s="7" t="str">
        <f t="shared" si="49"/>
        <v/>
      </c>
      <c r="AF458" s="7" t="str">
        <f t="shared" si="50"/>
        <v/>
      </c>
      <c r="AG458" s="7" t="str">
        <f t="shared" si="51"/>
        <v/>
      </c>
      <c r="AH458" s="7" t="str">
        <f t="shared" si="52"/>
        <v/>
      </c>
      <c r="AI458" s="7" t="str">
        <f t="shared" si="53"/>
        <v/>
      </c>
      <c r="AJ458" s="7" t="str">
        <f t="shared" si="54"/>
        <v/>
      </c>
      <c r="AK458" s="10" t="str">
        <f t="shared" si="55"/>
        <v/>
      </c>
      <c r="AL458" s="15" t="str">
        <f>IF(OR($A458&lt;&gt;"",$B458&lt;&gt;""),IF(OR($A458="",$B458=""),"Isi tanggal dan ID PIC",IF(NOT(ISNUMBER($A458)),"Tanggal harus berupa tanggal Excel",IF(COUNTIFS(Master_PIC!$A$8:$A$73,$B458)&lt;&gt;1,"ID PIC tidak unik/terdaftar",IF(VLOOKUP($B458,Master_PIC!$A$8:$G$73,3,FALSE)&lt;&gt;"ASM","Jabatan tidak sesuai sheet",IF(OR($C458="",$D458="",$E458="",$F458=""),"Lengkapi master PIC",IF(COUNTIFS($A$8:$A$507,$A458,$B$8:$B$507,$B458)&gt;1,"Laporan ganda",IF(COUNTIFS(G458:O458,"Tidak Berlaku")&gt;0,"N/A hanya untuk kegiatan bersyarat",IF(SUM(AF458,AG458,AH458,AI458,AJ458)&lt;&gt;13,"Status kegiatan tidak valid",IF(AJ458&gt;0,"Lengkapi status kegiatan",IF(AND(AI458&gt;0,T458=""),"Isi alasan Tidak Berlaku",IF(AND(SUM(AG458,AH458)&gt;0,OR(T458="",U458="",V458="",W458="")),"Isi kendala dan tindak lanjut",IF(AND(Y458&lt;&gt;"Draft",Y458&lt;&gt;"Dikirim"),"Isi status laporan yang valid",IF(AND(AA458&lt;&gt;"",AA458&lt;&gt;"Belum Diperiksa",AA458&lt;&gt;"Disetujui",AA458&lt;&gt;"Perlu Perbaikan"),"Hasil review tidak valid",IF(AND(Y458="Dikirim",OR(X458="",Z458="")),"Isi bukti dan waktu kirim",IF(AND(AA458="Disetujui",OR(Y458&lt;&gt;"Dikirim",AB458="",AC458="")),"Lengkapi pemeriksaan",IF(AND(AA458="Perlu Perbaikan",OR(AD458="",AB458="",AC458="")),"Isi pemeriksa dan catatan perbaikan","OK")))))))))))))))),"")</f>
        <v/>
      </c>
    </row>
    <row r="459" spans="1:38" ht="24.95" customHeight="1">
      <c r="A459" s="8"/>
      <c r="B459" s="6"/>
      <c r="C459" s="15" t="str">
        <f>IF(COUNTIFS(Master_PIC!$A$8:$A$73,$B459)=1,IF(VLOOKUP($B459,Master_PIC!$A$8:$G$73,2,FALSE)="","",VLOOKUP($B459,Master_PIC!$A$8:$G$73,2,FALSE)),"")</f>
        <v/>
      </c>
      <c r="D459" s="15" t="str">
        <f>IF(COUNTIFS(Master_PIC!$A$8:$A$73,$B459)=1,IF(VLOOKUP($B459,Master_PIC!$A$8:$G$73,4,FALSE)="","",VLOOKUP($B459,Master_PIC!$A$8:$G$73,4,FALSE)),"")</f>
        <v/>
      </c>
      <c r="E459" s="15" t="str">
        <f>IF(COUNTIFS(Master_PIC!$A$8:$A$73,$B459)=1,IF(VLOOKUP($B459,Master_PIC!$A$8:$G$73,5,FALSE)="","",VLOOKUP($B459,Master_PIC!$A$8:$G$73,5,FALSE)),"")</f>
        <v/>
      </c>
      <c r="F459" s="15" t="str">
        <f>IF(COUNTIFS(Master_PIC!$A$8:$A$73,$B459)=1,IF(VLOOKUP($B459,Master_PIC!$A$8:$G$73,6,FALSE)="","",VLOOKUP($B459,Master_PIC!$A$8:$G$73,6,FALSE)),"")</f>
        <v/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8"/>
      <c r="X459" s="5"/>
      <c r="Y459" s="5"/>
      <c r="Z459" s="9"/>
      <c r="AA459" s="5"/>
      <c r="AB459" s="5"/>
      <c r="AC459" s="9"/>
      <c r="AD459" s="5"/>
      <c r="AE459" s="7" t="str">
        <f t="shared" si="49"/>
        <v/>
      </c>
      <c r="AF459" s="7" t="str">
        <f t="shared" si="50"/>
        <v/>
      </c>
      <c r="AG459" s="7" t="str">
        <f t="shared" si="51"/>
        <v/>
      </c>
      <c r="AH459" s="7" t="str">
        <f t="shared" si="52"/>
        <v/>
      </c>
      <c r="AI459" s="7" t="str">
        <f t="shared" si="53"/>
        <v/>
      </c>
      <c r="AJ459" s="7" t="str">
        <f t="shared" si="54"/>
        <v/>
      </c>
      <c r="AK459" s="10" t="str">
        <f t="shared" si="55"/>
        <v/>
      </c>
      <c r="AL459" s="15" t="str">
        <f>IF(OR($A459&lt;&gt;"",$B459&lt;&gt;""),IF(OR($A459="",$B459=""),"Isi tanggal dan ID PIC",IF(NOT(ISNUMBER($A459)),"Tanggal harus berupa tanggal Excel",IF(COUNTIFS(Master_PIC!$A$8:$A$73,$B459)&lt;&gt;1,"ID PIC tidak unik/terdaftar",IF(VLOOKUP($B459,Master_PIC!$A$8:$G$73,3,FALSE)&lt;&gt;"ASM","Jabatan tidak sesuai sheet",IF(OR($C459="",$D459="",$E459="",$F459=""),"Lengkapi master PIC",IF(COUNTIFS($A$8:$A$507,$A459,$B$8:$B$507,$B459)&gt;1,"Laporan ganda",IF(COUNTIFS(G459:O459,"Tidak Berlaku")&gt;0,"N/A hanya untuk kegiatan bersyarat",IF(SUM(AF459,AG459,AH459,AI459,AJ459)&lt;&gt;13,"Status kegiatan tidak valid",IF(AJ459&gt;0,"Lengkapi status kegiatan",IF(AND(AI459&gt;0,T459=""),"Isi alasan Tidak Berlaku",IF(AND(SUM(AG459,AH459)&gt;0,OR(T459="",U459="",V459="",W459="")),"Isi kendala dan tindak lanjut",IF(AND(Y459&lt;&gt;"Draft",Y459&lt;&gt;"Dikirim"),"Isi status laporan yang valid",IF(AND(AA459&lt;&gt;"",AA459&lt;&gt;"Belum Diperiksa",AA459&lt;&gt;"Disetujui",AA459&lt;&gt;"Perlu Perbaikan"),"Hasil review tidak valid",IF(AND(Y459="Dikirim",OR(X459="",Z459="")),"Isi bukti dan waktu kirim",IF(AND(AA459="Disetujui",OR(Y459&lt;&gt;"Dikirim",AB459="",AC459="")),"Lengkapi pemeriksaan",IF(AND(AA459="Perlu Perbaikan",OR(AD459="",AB459="",AC459="")),"Isi pemeriksa dan catatan perbaikan","OK")))))))))))))))),"")</f>
        <v/>
      </c>
    </row>
    <row r="460" spans="1:38" ht="24.95" customHeight="1">
      <c r="A460" s="8"/>
      <c r="B460" s="6"/>
      <c r="C460" s="15" t="str">
        <f>IF(COUNTIFS(Master_PIC!$A$8:$A$73,$B460)=1,IF(VLOOKUP($B460,Master_PIC!$A$8:$G$73,2,FALSE)="","",VLOOKUP($B460,Master_PIC!$A$8:$G$73,2,FALSE)),"")</f>
        <v/>
      </c>
      <c r="D460" s="15" t="str">
        <f>IF(COUNTIFS(Master_PIC!$A$8:$A$73,$B460)=1,IF(VLOOKUP($B460,Master_PIC!$A$8:$G$73,4,FALSE)="","",VLOOKUP($B460,Master_PIC!$A$8:$G$73,4,FALSE)),"")</f>
        <v/>
      </c>
      <c r="E460" s="15" t="str">
        <f>IF(COUNTIFS(Master_PIC!$A$8:$A$73,$B460)=1,IF(VLOOKUP($B460,Master_PIC!$A$8:$G$73,5,FALSE)="","",VLOOKUP($B460,Master_PIC!$A$8:$G$73,5,FALSE)),"")</f>
        <v/>
      </c>
      <c r="F460" s="15" t="str">
        <f>IF(COUNTIFS(Master_PIC!$A$8:$A$73,$B460)=1,IF(VLOOKUP($B460,Master_PIC!$A$8:$G$73,6,FALSE)="","",VLOOKUP($B460,Master_PIC!$A$8:$G$73,6,FALSE)),"")</f>
        <v/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8"/>
      <c r="X460" s="5"/>
      <c r="Y460" s="5"/>
      <c r="Z460" s="9"/>
      <c r="AA460" s="5"/>
      <c r="AB460" s="5"/>
      <c r="AC460" s="9"/>
      <c r="AD460" s="5"/>
      <c r="AE460" s="7" t="str">
        <f t="shared" si="49"/>
        <v/>
      </c>
      <c r="AF460" s="7" t="str">
        <f t="shared" si="50"/>
        <v/>
      </c>
      <c r="AG460" s="7" t="str">
        <f t="shared" si="51"/>
        <v/>
      </c>
      <c r="AH460" s="7" t="str">
        <f t="shared" si="52"/>
        <v/>
      </c>
      <c r="AI460" s="7" t="str">
        <f t="shared" si="53"/>
        <v/>
      </c>
      <c r="AJ460" s="7" t="str">
        <f t="shared" si="54"/>
        <v/>
      </c>
      <c r="AK460" s="10" t="str">
        <f t="shared" si="55"/>
        <v/>
      </c>
      <c r="AL460" s="15" t="str">
        <f>IF(OR($A460&lt;&gt;"",$B460&lt;&gt;""),IF(OR($A460="",$B460=""),"Isi tanggal dan ID PIC",IF(NOT(ISNUMBER($A460)),"Tanggal harus berupa tanggal Excel",IF(COUNTIFS(Master_PIC!$A$8:$A$73,$B460)&lt;&gt;1,"ID PIC tidak unik/terdaftar",IF(VLOOKUP($B460,Master_PIC!$A$8:$G$73,3,FALSE)&lt;&gt;"ASM","Jabatan tidak sesuai sheet",IF(OR($C460="",$D460="",$E460="",$F460=""),"Lengkapi master PIC",IF(COUNTIFS($A$8:$A$507,$A460,$B$8:$B$507,$B460)&gt;1,"Laporan ganda",IF(COUNTIFS(G460:O460,"Tidak Berlaku")&gt;0,"N/A hanya untuk kegiatan bersyarat",IF(SUM(AF460,AG460,AH460,AI460,AJ460)&lt;&gt;13,"Status kegiatan tidak valid",IF(AJ460&gt;0,"Lengkapi status kegiatan",IF(AND(AI460&gt;0,T460=""),"Isi alasan Tidak Berlaku",IF(AND(SUM(AG460,AH460)&gt;0,OR(T460="",U460="",V460="",W460="")),"Isi kendala dan tindak lanjut",IF(AND(Y460&lt;&gt;"Draft",Y460&lt;&gt;"Dikirim"),"Isi status laporan yang valid",IF(AND(AA460&lt;&gt;"",AA460&lt;&gt;"Belum Diperiksa",AA460&lt;&gt;"Disetujui",AA460&lt;&gt;"Perlu Perbaikan"),"Hasil review tidak valid",IF(AND(Y460="Dikirim",OR(X460="",Z460="")),"Isi bukti dan waktu kirim",IF(AND(AA460="Disetujui",OR(Y460&lt;&gt;"Dikirim",AB460="",AC460="")),"Lengkapi pemeriksaan",IF(AND(AA460="Perlu Perbaikan",OR(AD460="",AB460="",AC460="")),"Isi pemeriksa dan catatan perbaikan","OK")))))))))))))))),"")</f>
        <v/>
      </c>
    </row>
    <row r="461" spans="1:38" ht="24.95" customHeight="1">
      <c r="A461" s="8"/>
      <c r="B461" s="6"/>
      <c r="C461" s="15" t="str">
        <f>IF(COUNTIFS(Master_PIC!$A$8:$A$73,$B461)=1,IF(VLOOKUP($B461,Master_PIC!$A$8:$G$73,2,FALSE)="","",VLOOKUP($B461,Master_PIC!$A$8:$G$73,2,FALSE)),"")</f>
        <v/>
      </c>
      <c r="D461" s="15" t="str">
        <f>IF(COUNTIFS(Master_PIC!$A$8:$A$73,$B461)=1,IF(VLOOKUP($B461,Master_PIC!$A$8:$G$73,4,FALSE)="","",VLOOKUP($B461,Master_PIC!$A$8:$G$73,4,FALSE)),"")</f>
        <v/>
      </c>
      <c r="E461" s="15" t="str">
        <f>IF(COUNTIFS(Master_PIC!$A$8:$A$73,$B461)=1,IF(VLOOKUP($B461,Master_PIC!$A$8:$G$73,5,FALSE)="","",VLOOKUP($B461,Master_PIC!$A$8:$G$73,5,FALSE)),"")</f>
        <v/>
      </c>
      <c r="F461" s="15" t="str">
        <f>IF(COUNTIFS(Master_PIC!$A$8:$A$73,$B461)=1,IF(VLOOKUP($B461,Master_PIC!$A$8:$G$73,6,FALSE)="","",VLOOKUP($B461,Master_PIC!$A$8:$G$73,6,FALSE)),"")</f>
        <v/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8"/>
      <c r="X461" s="5"/>
      <c r="Y461" s="5"/>
      <c r="Z461" s="9"/>
      <c r="AA461" s="5"/>
      <c r="AB461" s="5"/>
      <c r="AC461" s="9"/>
      <c r="AD461" s="5"/>
      <c r="AE461" s="7" t="str">
        <f t="shared" si="49"/>
        <v/>
      </c>
      <c r="AF461" s="7" t="str">
        <f t="shared" si="50"/>
        <v/>
      </c>
      <c r="AG461" s="7" t="str">
        <f t="shared" si="51"/>
        <v/>
      </c>
      <c r="AH461" s="7" t="str">
        <f t="shared" si="52"/>
        <v/>
      </c>
      <c r="AI461" s="7" t="str">
        <f t="shared" si="53"/>
        <v/>
      </c>
      <c r="AJ461" s="7" t="str">
        <f t="shared" si="54"/>
        <v/>
      </c>
      <c r="AK461" s="10" t="str">
        <f t="shared" si="55"/>
        <v/>
      </c>
      <c r="AL461" s="15" t="str">
        <f>IF(OR($A461&lt;&gt;"",$B461&lt;&gt;""),IF(OR($A461="",$B461=""),"Isi tanggal dan ID PIC",IF(NOT(ISNUMBER($A461)),"Tanggal harus berupa tanggal Excel",IF(COUNTIFS(Master_PIC!$A$8:$A$73,$B461)&lt;&gt;1,"ID PIC tidak unik/terdaftar",IF(VLOOKUP($B461,Master_PIC!$A$8:$G$73,3,FALSE)&lt;&gt;"ASM","Jabatan tidak sesuai sheet",IF(OR($C461="",$D461="",$E461="",$F461=""),"Lengkapi master PIC",IF(COUNTIFS($A$8:$A$507,$A461,$B$8:$B$507,$B461)&gt;1,"Laporan ganda",IF(COUNTIFS(G461:O461,"Tidak Berlaku")&gt;0,"N/A hanya untuk kegiatan bersyarat",IF(SUM(AF461,AG461,AH461,AI461,AJ461)&lt;&gt;13,"Status kegiatan tidak valid",IF(AJ461&gt;0,"Lengkapi status kegiatan",IF(AND(AI461&gt;0,T461=""),"Isi alasan Tidak Berlaku",IF(AND(SUM(AG461,AH461)&gt;0,OR(T461="",U461="",V461="",W461="")),"Isi kendala dan tindak lanjut",IF(AND(Y461&lt;&gt;"Draft",Y461&lt;&gt;"Dikirim"),"Isi status laporan yang valid",IF(AND(AA461&lt;&gt;"",AA461&lt;&gt;"Belum Diperiksa",AA461&lt;&gt;"Disetujui",AA461&lt;&gt;"Perlu Perbaikan"),"Hasil review tidak valid",IF(AND(Y461="Dikirim",OR(X461="",Z461="")),"Isi bukti dan waktu kirim",IF(AND(AA461="Disetujui",OR(Y461&lt;&gt;"Dikirim",AB461="",AC461="")),"Lengkapi pemeriksaan",IF(AND(AA461="Perlu Perbaikan",OR(AD461="",AB461="",AC461="")),"Isi pemeriksa dan catatan perbaikan","OK")))))))))))))))),"")</f>
        <v/>
      </c>
    </row>
    <row r="462" spans="1:38" ht="24.95" customHeight="1">
      <c r="A462" s="8"/>
      <c r="B462" s="6"/>
      <c r="C462" s="15" t="str">
        <f>IF(COUNTIFS(Master_PIC!$A$8:$A$73,$B462)=1,IF(VLOOKUP($B462,Master_PIC!$A$8:$G$73,2,FALSE)="","",VLOOKUP($B462,Master_PIC!$A$8:$G$73,2,FALSE)),"")</f>
        <v/>
      </c>
      <c r="D462" s="15" t="str">
        <f>IF(COUNTIFS(Master_PIC!$A$8:$A$73,$B462)=1,IF(VLOOKUP($B462,Master_PIC!$A$8:$G$73,4,FALSE)="","",VLOOKUP($B462,Master_PIC!$A$8:$G$73,4,FALSE)),"")</f>
        <v/>
      </c>
      <c r="E462" s="15" t="str">
        <f>IF(COUNTIFS(Master_PIC!$A$8:$A$73,$B462)=1,IF(VLOOKUP($B462,Master_PIC!$A$8:$G$73,5,FALSE)="","",VLOOKUP($B462,Master_PIC!$A$8:$G$73,5,FALSE)),"")</f>
        <v/>
      </c>
      <c r="F462" s="15" t="str">
        <f>IF(COUNTIFS(Master_PIC!$A$8:$A$73,$B462)=1,IF(VLOOKUP($B462,Master_PIC!$A$8:$G$73,6,FALSE)="","",VLOOKUP($B462,Master_PIC!$A$8:$G$73,6,FALSE)),"")</f>
        <v/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8"/>
      <c r="X462" s="5"/>
      <c r="Y462" s="5"/>
      <c r="Z462" s="9"/>
      <c r="AA462" s="5"/>
      <c r="AB462" s="5"/>
      <c r="AC462" s="9"/>
      <c r="AD462" s="5"/>
      <c r="AE462" s="7" t="str">
        <f t="shared" si="49"/>
        <v/>
      </c>
      <c r="AF462" s="7" t="str">
        <f t="shared" si="50"/>
        <v/>
      </c>
      <c r="AG462" s="7" t="str">
        <f t="shared" si="51"/>
        <v/>
      </c>
      <c r="AH462" s="7" t="str">
        <f t="shared" si="52"/>
        <v/>
      </c>
      <c r="AI462" s="7" t="str">
        <f t="shared" si="53"/>
        <v/>
      </c>
      <c r="AJ462" s="7" t="str">
        <f t="shared" si="54"/>
        <v/>
      </c>
      <c r="AK462" s="10" t="str">
        <f t="shared" si="55"/>
        <v/>
      </c>
      <c r="AL462" s="15" t="str">
        <f>IF(OR($A462&lt;&gt;"",$B462&lt;&gt;""),IF(OR($A462="",$B462=""),"Isi tanggal dan ID PIC",IF(NOT(ISNUMBER($A462)),"Tanggal harus berupa tanggal Excel",IF(COUNTIFS(Master_PIC!$A$8:$A$73,$B462)&lt;&gt;1,"ID PIC tidak unik/terdaftar",IF(VLOOKUP($B462,Master_PIC!$A$8:$G$73,3,FALSE)&lt;&gt;"ASM","Jabatan tidak sesuai sheet",IF(OR($C462="",$D462="",$E462="",$F462=""),"Lengkapi master PIC",IF(COUNTIFS($A$8:$A$507,$A462,$B$8:$B$507,$B462)&gt;1,"Laporan ganda",IF(COUNTIFS(G462:O462,"Tidak Berlaku")&gt;0,"N/A hanya untuk kegiatan bersyarat",IF(SUM(AF462,AG462,AH462,AI462,AJ462)&lt;&gt;13,"Status kegiatan tidak valid",IF(AJ462&gt;0,"Lengkapi status kegiatan",IF(AND(AI462&gt;0,T462=""),"Isi alasan Tidak Berlaku",IF(AND(SUM(AG462,AH462)&gt;0,OR(T462="",U462="",V462="",W462="")),"Isi kendala dan tindak lanjut",IF(AND(Y462&lt;&gt;"Draft",Y462&lt;&gt;"Dikirim"),"Isi status laporan yang valid",IF(AND(AA462&lt;&gt;"",AA462&lt;&gt;"Belum Diperiksa",AA462&lt;&gt;"Disetujui",AA462&lt;&gt;"Perlu Perbaikan"),"Hasil review tidak valid",IF(AND(Y462="Dikirim",OR(X462="",Z462="")),"Isi bukti dan waktu kirim",IF(AND(AA462="Disetujui",OR(Y462&lt;&gt;"Dikirim",AB462="",AC462="")),"Lengkapi pemeriksaan",IF(AND(AA462="Perlu Perbaikan",OR(AD462="",AB462="",AC462="")),"Isi pemeriksa dan catatan perbaikan","OK")))))))))))))))),"")</f>
        <v/>
      </c>
    </row>
    <row r="463" spans="1:38" ht="24.95" customHeight="1">
      <c r="A463" s="8"/>
      <c r="B463" s="6"/>
      <c r="C463" s="15" t="str">
        <f>IF(COUNTIFS(Master_PIC!$A$8:$A$73,$B463)=1,IF(VLOOKUP($B463,Master_PIC!$A$8:$G$73,2,FALSE)="","",VLOOKUP($B463,Master_PIC!$A$8:$G$73,2,FALSE)),"")</f>
        <v/>
      </c>
      <c r="D463" s="15" t="str">
        <f>IF(COUNTIFS(Master_PIC!$A$8:$A$73,$B463)=1,IF(VLOOKUP($B463,Master_PIC!$A$8:$G$73,4,FALSE)="","",VLOOKUP($B463,Master_PIC!$A$8:$G$73,4,FALSE)),"")</f>
        <v/>
      </c>
      <c r="E463" s="15" t="str">
        <f>IF(COUNTIFS(Master_PIC!$A$8:$A$73,$B463)=1,IF(VLOOKUP($B463,Master_PIC!$A$8:$G$73,5,FALSE)="","",VLOOKUP($B463,Master_PIC!$A$8:$G$73,5,FALSE)),"")</f>
        <v/>
      </c>
      <c r="F463" s="15" t="str">
        <f>IF(COUNTIFS(Master_PIC!$A$8:$A$73,$B463)=1,IF(VLOOKUP($B463,Master_PIC!$A$8:$G$73,6,FALSE)="","",VLOOKUP($B463,Master_PIC!$A$8:$G$73,6,FALSE)),"")</f>
        <v/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8"/>
      <c r="X463" s="5"/>
      <c r="Y463" s="5"/>
      <c r="Z463" s="9"/>
      <c r="AA463" s="5"/>
      <c r="AB463" s="5"/>
      <c r="AC463" s="9"/>
      <c r="AD463" s="5"/>
      <c r="AE463" s="7" t="str">
        <f t="shared" si="49"/>
        <v/>
      </c>
      <c r="AF463" s="7" t="str">
        <f t="shared" si="50"/>
        <v/>
      </c>
      <c r="AG463" s="7" t="str">
        <f t="shared" si="51"/>
        <v/>
      </c>
      <c r="AH463" s="7" t="str">
        <f t="shared" si="52"/>
        <v/>
      </c>
      <c r="AI463" s="7" t="str">
        <f t="shared" si="53"/>
        <v/>
      </c>
      <c r="AJ463" s="7" t="str">
        <f t="shared" si="54"/>
        <v/>
      </c>
      <c r="AK463" s="10" t="str">
        <f t="shared" si="55"/>
        <v/>
      </c>
      <c r="AL463" s="15" t="str">
        <f>IF(OR($A463&lt;&gt;"",$B463&lt;&gt;""),IF(OR($A463="",$B463=""),"Isi tanggal dan ID PIC",IF(NOT(ISNUMBER($A463)),"Tanggal harus berupa tanggal Excel",IF(COUNTIFS(Master_PIC!$A$8:$A$73,$B463)&lt;&gt;1,"ID PIC tidak unik/terdaftar",IF(VLOOKUP($B463,Master_PIC!$A$8:$G$73,3,FALSE)&lt;&gt;"ASM","Jabatan tidak sesuai sheet",IF(OR($C463="",$D463="",$E463="",$F463=""),"Lengkapi master PIC",IF(COUNTIFS($A$8:$A$507,$A463,$B$8:$B$507,$B463)&gt;1,"Laporan ganda",IF(COUNTIFS(G463:O463,"Tidak Berlaku")&gt;0,"N/A hanya untuk kegiatan bersyarat",IF(SUM(AF463,AG463,AH463,AI463,AJ463)&lt;&gt;13,"Status kegiatan tidak valid",IF(AJ463&gt;0,"Lengkapi status kegiatan",IF(AND(AI463&gt;0,T463=""),"Isi alasan Tidak Berlaku",IF(AND(SUM(AG463,AH463)&gt;0,OR(T463="",U463="",V463="",W463="")),"Isi kendala dan tindak lanjut",IF(AND(Y463&lt;&gt;"Draft",Y463&lt;&gt;"Dikirim"),"Isi status laporan yang valid",IF(AND(AA463&lt;&gt;"",AA463&lt;&gt;"Belum Diperiksa",AA463&lt;&gt;"Disetujui",AA463&lt;&gt;"Perlu Perbaikan"),"Hasil review tidak valid",IF(AND(Y463="Dikirim",OR(X463="",Z463="")),"Isi bukti dan waktu kirim",IF(AND(AA463="Disetujui",OR(Y463&lt;&gt;"Dikirim",AB463="",AC463="")),"Lengkapi pemeriksaan",IF(AND(AA463="Perlu Perbaikan",OR(AD463="",AB463="",AC463="")),"Isi pemeriksa dan catatan perbaikan","OK")))))))))))))))),"")</f>
        <v/>
      </c>
    </row>
    <row r="464" spans="1:38" ht="24.95" customHeight="1">
      <c r="A464" s="8"/>
      <c r="B464" s="6"/>
      <c r="C464" s="15" t="str">
        <f>IF(COUNTIFS(Master_PIC!$A$8:$A$73,$B464)=1,IF(VLOOKUP($B464,Master_PIC!$A$8:$G$73,2,FALSE)="","",VLOOKUP($B464,Master_PIC!$A$8:$G$73,2,FALSE)),"")</f>
        <v/>
      </c>
      <c r="D464" s="15" t="str">
        <f>IF(COUNTIFS(Master_PIC!$A$8:$A$73,$B464)=1,IF(VLOOKUP($B464,Master_PIC!$A$8:$G$73,4,FALSE)="","",VLOOKUP($B464,Master_PIC!$A$8:$G$73,4,FALSE)),"")</f>
        <v/>
      </c>
      <c r="E464" s="15" t="str">
        <f>IF(COUNTIFS(Master_PIC!$A$8:$A$73,$B464)=1,IF(VLOOKUP($B464,Master_PIC!$A$8:$G$73,5,FALSE)="","",VLOOKUP($B464,Master_PIC!$A$8:$G$73,5,FALSE)),"")</f>
        <v/>
      </c>
      <c r="F464" s="15" t="str">
        <f>IF(COUNTIFS(Master_PIC!$A$8:$A$73,$B464)=1,IF(VLOOKUP($B464,Master_PIC!$A$8:$G$73,6,FALSE)="","",VLOOKUP($B464,Master_PIC!$A$8:$G$73,6,FALSE)),"")</f>
        <v/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8"/>
      <c r="X464" s="5"/>
      <c r="Y464" s="5"/>
      <c r="Z464" s="9"/>
      <c r="AA464" s="5"/>
      <c r="AB464" s="5"/>
      <c r="AC464" s="9"/>
      <c r="AD464" s="5"/>
      <c r="AE464" s="7" t="str">
        <f t="shared" si="49"/>
        <v/>
      </c>
      <c r="AF464" s="7" t="str">
        <f t="shared" si="50"/>
        <v/>
      </c>
      <c r="AG464" s="7" t="str">
        <f t="shared" si="51"/>
        <v/>
      </c>
      <c r="AH464" s="7" t="str">
        <f t="shared" si="52"/>
        <v/>
      </c>
      <c r="AI464" s="7" t="str">
        <f t="shared" si="53"/>
        <v/>
      </c>
      <c r="AJ464" s="7" t="str">
        <f t="shared" si="54"/>
        <v/>
      </c>
      <c r="AK464" s="10" t="str">
        <f t="shared" si="55"/>
        <v/>
      </c>
      <c r="AL464" s="15" t="str">
        <f>IF(OR($A464&lt;&gt;"",$B464&lt;&gt;""),IF(OR($A464="",$B464=""),"Isi tanggal dan ID PIC",IF(NOT(ISNUMBER($A464)),"Tanggal harus berupa tanggal Excel",IF(COUNTIFS(Master_PIC!$A$8:$A$73,$B464)&lt;&gt;1,"ID PIC tidak unik/terdaftar",IF(VLOOKUP($B464,Master_PIC!$A$8:$G$73,3,FALSE)&lt;&gt;"ASM","Jabatan tidak sesuai sheet",IF(OR($C464="",$D464="",$E464="",$F464=""),"Lengkapi master PIC",IF(COUNTIFS($A$8:$A$507,$A464,$B$8:$B$507,$B464)&gt;1,"Laporan ganda",IF(COUNTIFS(G464:O464,"Tidak Berlaku")&gt;0,"N/A hanya untuk kegiatan bersyarat",IF(SUM(AF464,AG464,AH464,AI464,AJ464)&lt;&gt;13,"Status kegiatan tidak valid",IF(AJ464&gt;0,"Lengkapi status kegiatan",IF(AND(AI464&gt;0,T464=""),"Isi alasan Tidak Berlaku",IF(AND(SUM(AG464,AH464)&gt;0,OR(T464="",U464="",V464="",W464="")),"Isi kendala dan tindak lanjut",IF(AND(Y464&lt;&gt;"Draft",Y464&lt;&gt;"Dikirim"),"Isi status laporan yang valid",IF(AND(AA464&lt;&gt;"",AA464&lt;&gt;"Belum Diperiksa",AA464&lt;&gt;"Disetujui",AA464&lt;&gt;"Perlu Perbaikan"),"Hasil review tidak valid",IF(AND(Y464="Dikirim",OR(X464="",Z464="")),"Isi bukti dan waktu kirim",IF(AND(AA464="Disetujui",OR(Y464&lt;&gt;"Dikirim",AB464="",AC464="")),"Lengkapi pemeriksaan",IF(AND(AA464="Perlu Perbaikan",OR(AD464="",AB464="",AC464="")),"Isi pemeriksa dan catatan perbaikan","OK")))))))))))))))),"")</f>
        <v/>
      </c>
    </row>
    <row r="465" spans="1:38" ht="24.95" customHeight="1">
      <c r="A465" s="8"/>
      <c r="B465" s="6"/>
      <c r="C465" s="15" t="str">
        <f>IF(COUNTIFS(Master_PIC!$A$8:$A$73,$B465)=1,IF(VLOOKUP($B465,Master_PIC!$A$8:$G$73,2,FALSE)="","",VLOOKUP($B465,Master_PIC!$A$8:$G$73,2,FALSE)),"")</f>
        <v/>
      </c>
      <c r="D465" s="15" t="str">
        <f>IF(COUNTIFS(Master_PIC!$A$8:$A$73,$B465)=1,IF(VLOOKUP($B465,Master_PIC!$A$8:$G$73,4,FALSE)="","",VLOOKUP($B465,Master_PIC!$A$8:$G$73,4,FALSE)),"")</f>
        <v/>
      </c>
      <c r="E465" s="15" t="str">
        <f>IF(COUNTIFS(Master_PIC!$A$8:$A$73,$B465)=1,IF(VLOOKUP($B465,Master_PIC!$A$8:$G$73,5,FALSE)="","",VLOOKUP($B465,Master_PIC!$A$8:$G$73,5,FALSE)),"")</f>
        <v/>
      </c>
      <c r="F465" s="15" t="str">
        <f>IF(COUNTIFS(Master_PIC!$A$8:$A$73,$B465)=1,IF(VLOOKUP($B465,Master_PIC!$A$8:$G$73,6,FALSE)="","",VLOOKUP($B465,Master_PIC!$A$8:$G$73,6,FALSE)),"")</f>
        <v/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8"/>
      <c r="X465" s="5"/>
      <c r="Y465" s="5"/>
      <c r="Z465" s="9"/>
      <c r="AA465" s="5"/>
      <c r="AB465" s="5"/>
      <c r="AC465" s="9"/>
      <c r="AD465" s="5"/>
      <c r="AE465" s="7" t="str">
        <f t="shared" si="49"/>
        <v/>
      </c>
      <c r="AF465" s="7" t="str">
        <f t="shared" si="50"/>
        <v/>
      </c>
      <c r="AG465" s="7" t="str">
        <f t="shared" si="51"/>
        <v/>
      </c>
      <c r="AH465" s="7" t="str">
        <f t="shared" si="52"/>
        <v/>
      </c>
      <c r="AI465" s="7" t="str">
        <f t="shared" si="53"/>
        <v/>
      </c>
      <c r="AJ465" s="7" t="str">
        <f t="shared" si="54"/>
        <v/>
      </c>
      <c r="AK465" s="10" t="str">
        <f t="shared" si="55"/>
        <v/>
      </c>
      <c r="AL465" s="15" t="str">
        <f>IF(OR($A465&lt;&gt;"",$B465&lt;&gt;""),IF(OR($A465="",$B465=""),"Isi tanggal dan ID PIC",IF(NOT(ISNUMBER($A465)),"Tanggal harus berupa tanggal Excel",IF(COUNTIFS(Master_PIC!$A$8:$A$73,$B465)&lt;&gt;1,"ID PIC tidak unik/terdaftar",IF(VLOOKUP($B465,Master_PIC!$A$8:$G$73,3,FALSE)&lt;&gt;"ASM","Jabatan tidak sesuai sheet",IF(OR($C465="",$D465="",$E465="",$F465=""),"Lengkapi master PIC",IF(COUNTIFS($A$8:$A$507,$A465,$B$8:$B$507,$B465)&gt;1,"Laporan ganda",IF(COUNTIFS(G465:O465,"Tidak Berlaku")&gt;0,"N/A hanya untuk kegiatan bersyarat",IF(SUM(AF465,AG465,AH465,AI465,AJ465)&lt;&gt;13,"Status kegiatan tidak valid",IF(AJ465&gt;0,"Lengkapi status kegiatan",IF(AND(AI465&gt;0,T465=""),"Isi alasan Tidak Berlaku",IF(AND(SUM(AG465,AH465)&gt;0,OR(T465="",U465="",V465="",W465="")),"Isi kendala dan tindak lanjut",IF(AND(Y465&lt;&gt;"Draft",Y465&lt;&gt;"Dikirim"),"Isi status laporan yang valid",IF(AND(AA465&lt;&gt;"",AA465&lt;&gt;"Belum Diperiksa",AA465&lt;&gt;"Disetujui",AA465&lt;&gt;"Perlu Perbaikan"),"Hasil review tidak valid",IF(AND(Y465="Dikirim",OR(X465="",Z465="")),"Isi bukti dan waktu kirim",IF(AND(AA465="Disetujui",OR(Y465&lt;&gt;"Dikirim",AB465="",AC465="")),"Lengkapi pemeriksaan",IF(AND(AA465="Perlu Perbaikan",OR(AD465="",AB465="",AC465="")),"Isi pemeriksa dan catatan perbaikan","OK")))))))))))))))),"")</f>
        <v/>
      </c>
    </row>
    <row r="466" spans="1:38" ht="24.95" customHeight="1">
      <c r="A466" s="8"/>
      <c r="B466" s="6"/>
      <c r="C466" s="15" t="str">
        <f>IF(COUNTIFS(Master_PIC!$A$8:$A$73,$B466)=1,IF(VLOOKUP($B466,Master_PIC!$A$8:$G$73,2,FALSE)="","",VLOOKUP($B466,Master_PIC!$A$8:$G$73,2,FALSE)),"")</f>
        <v/>
      </c>
      <c r="D466" s="15" t="str">
        <f>IF(COUNTIFS(Master_PIC!$A$8:$A$73,$B466)=1,IF(VLOOKUP($B466,Master_PIC!$A$8:$G$73,4,FALSE)="","",VLOOKUP($B466,Master_PIC!$A$8:$G$73,4,FALSE)),"")</f>
        <v/>
      </c>
      <c r="E466" s="15" t="str">
        <f>IF(COUNTIFS(Master_PIC!$A$8:$A$73,$B466)=1,IF(VLOOKUP($B466,Master_PIC!$A$8:$G$73,5,FALSE)="","",VLOOKUP($B466,Master_PIC!$A$8:$G$73,5,FALSE)),"")</f>
        <v/>
      </c>
      <c r="F466" s="15" t="str">
        <f>IF(COUNTIFS(Master_PIC!$A$8:$A$73,$B466)=1,IF(VLOOKUP($B466,Master_PIC!$A$8:$G$73,6,FALSE)="","",VLOOKUP($B466,Master_PIC!$A$8:$G$73,6,FALSE)),"")</f>
        <v/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8"/>
      <c r="X466" s="5"/>
      <c r="Y466" s="5"/>
      <c r="Z466" s="9"/>
      <c r="AA466" s="5"/>
      <c r="AB466" s="5"/>
      <c r="AC466" s="9"/>
      <c r="AD466" s="5"/>
      <c r="AE466" s="7" t="str">
        <f t="shared" si="49"/>
        <v/>
      </c>
      <c r="AF466" s="7" t="str">
        <f t="shared" si="50"/>
        <v/>
      </c>
      <c r="AG466" s="7" t="str">
        <f t="shared" si="51"/>
        <v/>
      </c>
      <c r="AH466" s="7" t="str">
        <f t="shared" si="52"/>
        <v/>
      </c>
      <c r="AI466" s="7" t="str">
        <f t="shared" si="53"/>
        <v/>
      </c>
      <c r="AJ466" s="7" t="str">
        <f t="shared" si="54"/>
        <v/>
      </c>
      <c r="AK466" s="10" t="str">
        <f t="shared" si="55"/>
        <v/>
      </c>
      <c r="AL466" s="15" t="str">
        <f>IF(OR($A466&lt;&gt;"",$B466&lt;&gt;""),IF(OR($A466="",$B466=""),"Isi tanggal dan ID PIC",IF(NOT(ISNUMBER($A466)),"Tanggal harus berupa tanggal Excel",IF(COUNTIFS(Master_PIC!$A$8:$A$73,$B466)&lt;&gt;1,"ID PIC tidak unik/terdaftar",IF(VLOOKUP($B466,Master_PIC!$A$8:$G$73,3,FALSE)&lt;&gt;"ASM","Jabatan tidak sesuai sheet",IF(OR($C466="",$D466="",$E466="",$F466=""),"Lengkapi master PIC",IF(COUNTIFS($A$8:$A$507,$A466,$B$8:$B$507,$B466)&gt;1,"Laporan ganda",IF(COUNTIFS(G466:O466,"Tidak Berlaku")&gt;0,"N/A hanya untuk kegiatan bersyarat",IF(SUM(AF466,AG466,AH466,AI466,AJ466)&lt;&gt;13,"Status kegiatan tidak valid",IF(AJ466&gt;0,"Lengkapi status kegiatan",IF(AND(AI466&gt;0,T466=""),"Isi alasan Tidak Berlaku",IF(AND(SUM(AG466,AH466)&gt;0,OR(T466="",U466="",V466="",W466="")),"Isi kendala dan tindak lanjut",IF(AND(Y466&lt;&gt;"Draft",Y466&lt;&gt;"Dikirim"),"Isi status laporan yang valid",IF(AND(AA466&lt;&gt;"",AA466&lt;&gt;"Belum Diperiksa",AA466&lt;&gt;"Disetujui",AA466&lt;&gt;"Perlu Perbaikan"),"Hasil review tidak valid",IF(AND(Y466="Dikirim",OR(X466="",Z466="")),"Isi bukti dan waktu kirim",IF(AND(AA466="Disetujui",OR(Y466&lt;&gt;"Dikirim",AB466="",AC466="")),"Lengkapi pemeriksaan",IF(AND(AA466="Perlu Perbaikan",OR(AD466="",AB466="",AC466="")),"Isi pemeriksa dan catatan perbaikan","OK")))))))))))))))),"")</f>
        <v/>
      </c>
    </row>
    <row r="467" spans="1:38" ht="24.95" customHeight="1">
      <c r="A467" s="8"/>
      <c r="B467" s="6"/>
      <c r="C467" s="15" t="str">
        <f>IF(COUNTIFS(Master_PIC!$A$8:$A$73,$B467)=1,IF(VLOOKUP($B467,Master_PIC!$A$8:$G$73,2,FALSE)="","",VLOOKUP($B467,Master_PIC!$A$8:$G$73,2,FALSE)),"")</f>
        <v/>
      </c>
      <c r="D467" s="15" t="str">
        <f>IF(COUNTIFS(Master_PIC!$A$8:$A$73,$B467)=1,IF(VLOOKUP($B467,Master_PIC!$A$8:$G$73,4,FALSE)="","",VLOOKUP($B467,Master_PIC!$A$8:$G$73,4,FALSE)),"")</f>
        <v/>
      </c>
      <c r="E467" s="15" t="str">
        <f>IF(COUNTIFS(Master_PIC!$A$8:$A$73,$B467)=1,IF(VLOOKUP($B467,Master_PIC!$A$8:$G$73,5,FALSE)="","",VLOOKUP($B467,Master_PIC!$A$8:$G$73,5,FALSE)),"")</f>
        <v/>
      </c>
      <c r="F467" s="15" t="str">
        <f>IF(COUNTIFS(Master_PIC!$A$8:$A$73,$B467)=1,IF(VLOOKUP($B467,Master_PIC!$A$8:$G$73,6,FALSE)="","",VLOOKUP($B467,Master_PIC!$A$8:$G$73,6,FALSE)),"")</f>
        <v/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8"/>
      <c r="X467" s="5"/>
      <c r="Y467" s="5"/>
      <c r="Z467" s="9"/>
      <c r="AA467" s="5"/>
      <c r="AB467" s="5"/>
      <c r="AC467" s="9"/>
      <c r="AD467" s="5"/>
      <c r="AE467" s="7" t="str">
        <f t="shared" si="49"/>
        <v/>
      </c>
      <c r="AF467" s="7" t="str">
        <f t="shared" si="50"/>
        <v/>
      </c>
      <c r="AG467" s="7" t="str">
        <f t="shared" si="51"/>
        <v/>
      </c>
      <c r="AH467" s="7" t="str">
        <f t="shared" si="52"/>
        <v/>
      </c>
      <c r="AI467" s="7" t="str">
        <f t="shared" si="53"/>
        <v/>
      </c>
      <c r="AJ467" s="7" t="str">
        <f t="shared" si="54"/>
        <v/>
      </c>
      <c r="AK467" s="10" t="str">
        <f t="shared" si="55"/>
        <v/>
      </c>
      <c r="AL467" s="15" t="str">
        <f>IF(OR($A467&lt;&gt;"",$B467&lt;&gt;""),IF(OR($A467="",$B467=""),"Isi tanggal dan ID PIC",IF(NOT(ISNUMBER($A467)),"Tanggal harus berupa tanggal Excel",IF(COUNTIFS(Master_PIC!$A$8:$A$73,$B467)&lt;&gt;1,"ID PIC tidak unik/terdaftar",IF(VLOOKUP($B467,Master_PIC!$A$8:$G$73,3,FALSE)&lt;&gt;"ASM","Jabatan tidak sesuai sheet",IF(OR($C467="",$D467="",$E467="",$F467=""),"Lengkapi master PIC",IF(COUNTIFS($A$8:$A$507,$A467,$B$8:$B$507,$B467)&gt;1,"Laporan ganda",IF(COUNTIFS(G467:O467,"Tidak Berlaku")&gt;0,"N/A hanya untuk kegiatan bersyarat",IF(SUM(AF467,AG467,AH467,AI467,AJ467)&lt;&gt;13,"Status kegiatan tidak valid",IF(AJ467&gt;0,"Lengkapi status kegiatan",IF(AND(AI467&gt;0,T467=""),"Isi alasan Tidak Berlaku",IF(AND(SUM(AG467,AH467)&gt;0,OR(T467="",U467="",V467="",W467="")),"Isi kendala dan tindak lanjut",IF(AND(Y467&lt;&gt;"Draft",Y467&lt;&gt;"Dikirim"),"Isi status laporan yang valid",IF(AND(AA467&lt;&gt;"",AA467&lt;&gt;"Belum Diperiksa",AA467&lt;&gt;"Disetujui",AA467&lt;&gt;"Perlu Perbaikan"),"Hasil review tidak valid",IF(AND(Y467="Dikirim",OR(X467="",Z467="")),"Isi bukti dan waktu kirim",IF(AND(AA467="Disetujui",OR(Y467&lt;&gt;"Dikirim",AB467="",AC467="")),"Lengkapi pemeriksaan",IF(AND(AA467="Perlu Perbaikan",OR(AD467="",AB467="",AC467="")),"Isi pemeriksa dan catatan perbaikan","OK")))))))))))))))),"")</f>
        <v/>
      </c>
    </row>
    <row r="468" spans="1:38" ht="24.95" customHeight="1">
      <c r="A468" s="8"/>
      <c r="B468" s="6"/>
      <c r="C468" s="15" t="str">
        <f>IF(COUNTIFS(Master_PIC!$A$8:$A$73,$B468)=1,IF(VLOOKUP($B468,Master_PIC!$A$8:$G$73,2,FALSE)="","",VLOOKUP($B468,Master_PIC!$A$8:$G$73,2,FALSE)),"")</f>
        <v/>
      </c>
      <c r="D468" s="15" t="str">
        <f>IF(COUNTIFS(Master_PIC!$A$8:$A$73,$B468)=1,IF(VLOOKUP($B468,Master_PIC!$A$8:$G$73,4,FALSE)="","",VLOOKUP($B468,Master_PIC!$A$8:$G$73,4,FALSE)),"")</f>
        <v/>
      </c>
      <c r="E468" s="15" t="str">
        <f>IF(COUNTIFS(Master_PIC!$A$8:$A$73,$B468)=1,IF(VLOOKUP($B468,Master_PIC!$A$8:$G$73,5,FALSE)="","",VLOOKUP($B468,Master_PIC!$A$8:$G$73,5,FALSE)),"")</f>
        <v/>
      </c>
      <c r="F468" s="15" t="str">
        <f>IF(COUNTIFS(Master_PIC!$A$8:$A$73,$B468)=1,IF(VLOOKUP($B468,Master_PIC!$A$8:$G$73,6,FALSE)="","",VLOOKUP($B468,Master_PIC!$A$8:$G$73,6,FALSE)),"")</f>
        <v/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8"/>
      <c r="X468" s="5"/>
      <c r="Y468" s="5"/>
      <c r="Z468" s="9"/>
      <c r="AA468" s="5"/>
      <c r="AB468" s="5"/>
      <c r="AC468" s="9"/>
      <c r="AD468" s="5"/>
      <c r="AE468" s="7" t="str">
        <f t="shared" si="49"/>
        <v/>
      </c>
      <c r="AF468" s="7" t="str">
        <f t="shared" si="50"/>
        <v/>
      </c>
      <c r="AG468" s="7" t="str">
        <f t="shared" si="51"/>
        <v/>
      </c>
      <c r="AH468" s="7" t="str">
        <f t="shared" si="52"/>
        <v/>
      </c>
      <c r="AI468" s="7" t="str">
        <f t="shared" si="53"/>
        <v/>
      </c>
      <c r="AJ468" s="7" t="str">
        <f t="shared" si="54"/>
        <v/>
      </c>
      <c r="AK468" s="10" t="str">
        <f t="shared" si="55"/>
        <v/>
      </c>
      <c r="AL468" s="15" t="str">
        <f>IF(OR($A468&lt;&gt;"",$B468&lt;&gt;""),IF(OR($A468="",$B468=""),"Isi tanggal dan ID PIC",IF(NOT(ISNUMBER($A468)),"Tanggal harus berupa tanggal Excel",IF(COUNTIFS(Master_PIC!$A$8:$A$73,$B468)&lt;&gt;1,"ID PIC tidak unik/terdaftar",IF(VLOOKUP($B468,Master_PIC!$A$8:$G$73,3,FALSE)&lt;&gt;"ASM","Jabatan tidak sesuai sheet",IF(OR($C468="",$D468="",$E468="",$F468=""),"Lengkapi master PIC",IF(COUNTIFS($A$8:$A$507,$A468,$B$8:$B$507,$B468)&gt;1,"Laporan ganda",IF(COUNTIFS(G468:O468,"Tidak Berlaku")&gt;0,"N/A hanya untuk kegiatan bersyarat",IF(SUM(AF468,AG468,AH468,AI468,AJ468)&lt;&gt;13,"Status kegiatan tidak valid",IF(AJ468&gt;0,"Lengkapi status kegiatan",IF(AND(AI468&gt;0,T468=""),"Isi alasan Tidak Berlaku",IF(AND(SUM(AG468,AH468)&gt;0,OR(T468="",U468="",V468="",W468="")),"Isi kendala dan tindak lanjut",IF(AND(Y468&lt;&gt;"Draft",Y468&lt;&gt;"Dikirim"),"Isi status laporan yang valid",IF(AND(AA468&lt;&gt;"",AA468&lt;&gt;"Belum Diperiksa",AA468&lt;&gt;"Disetujui",AA468&lt;&gt;"Perlu Perbaikan"),"Hasil review tidak valid",IF(AND(Y468="Dikirim",OR(X468="",Z468="")),"Isi bukti dan waktu kirim",IF(AND(AA468="Disetujui",OR(Y468&lt;&gt;"Dikirim",AB468="",AC468="")),"Lengkapi pemeriksaan",IF(AND(AA468="Perlu Perbaikan",OR(AD468="",AB468="",AC468="")),"Isi pemeriksa dan catatan perbaikan","OK")))))))))))))))),"")</f>
        <v/>
      </c>
    </row>
    <row r="469" spans="1:38" ht="24.95" customHeight="1">
      <c r="A469" s="8"/>
      <c r="B469" s="6"/>
      <c r="C469" s="15" t="str">
        <f>IF(COUNTIFS(Master_PIC!$A$8:$A$73,$B469)=1,IF(VLOOKUP($B469,Master_PIC!$A$8:$G$73,2,FALSE)="","",VLOOKUP($B469,Master_PIC!$A$8:$G$73,2,FALSE)),"")</f>
        <v/>
      </c>
      <c r="D469" s="15" t="str">
        <f>IF(COUNTIFS(Master_PIC!$A$8:$A$73,$B469)=1,IF(VLOOKUP($B469,Master_PIC!$A$8:$G$73,4,FALSE)="","",VLOOKUP($B469,Master_PIC!$A$8:$G$73,4,FALSE)),"")</f>
        <v/>
      </c>
      <c r="E469" s="15" t="str">
        <f>IF(COUNTIFS(Master_PIC!$A$8:$A$73,$B469)=1,IF(VLOOKUP($B469,Master_PIC!$A$8:$G$73,5,FALSE)="","",VLOOKUP($B469,Master_PIC!$A$8:$G$73,5,FALSE)),"")</f>
        <v/>
      </c>
      <c r="F469" s="15" t="str">
        <f>IF(COUNTIFS(Master_PIC!$A$8:$A$73,$B469)=1,IF(VLOOKUP($B469,Master_PIC!$A$8:$G$73,6,FALSE)="","",VLOOKUP($B469,Master_PIC!$A$8:$G$73,6,FALSE)),"")</f>
        <v/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8"/>
      <c r="X469" s="5"/>
      <c r="Y469" s="5"/>
      <c r="Z469" s="9"/>
      <c r="AA469" s="5"/>
      <c r="AB469" s="5"/>
      <c r="AC469" s="9"/>
      <c r="AD469" s="5"/>
      <c r="AE469" s="7" t="str">
        <f t="shared" si="49"/>
        <v/>
      </c>
      <c r="AF469" s="7" t="str">
        <f t="shared" si="50"/>
        <v/>
      </c>
      <c r="AG469" s="7" t="str">
        <f t="shared" si="51"/>
        <v/>
      </c>
      <c r="AH469" s="7" t="str">
        <f t="shared" si="52"/>
        <v/>
      </c>
      <c r="AI469" s="7" t="str">
        <f t="shared" si="53"/>
        <v/>
      </c>
      <c r="AJ469" s="7" t="str">
        <f t="shared" si="54"/>
        <v/>
      </c>
      <c r="AK469" s="10" t="str">
        <f t="shared" si="55"/>
        <v/>
      </c>
      <c r="AL469" s="15" t="str">
        <f>IF(OR($A469&lt;&gt;"",$B469&lt;&gt;""),IF(OR($A469="",$B469=""),"Isi tanggal dan ID PIC",IF(NOT(ISNUMBER($A469)),"Tanggal harus berupa tanggal Excel",IF(COUNTIFS(Master_PIC!$A$8:$A$73,$B469)&lt;&gt;1,"ID PIC tidak unik/terdaftar",IF(VLOOKUP($B469,Master_PIC!$A$8:$G$73,3,FALSE)&lt;&gt;"ASM","Jabatan tidak sesuai sheet",IF(OR($C469="",$D469="",$E469="",$F469=""),"Lengkapi master PIC",IF(COUNTIFS($A$8:$A$507,$A469,$B$8:$B$507,$B469)&gt;1,"Laporan ganda",IF(COUNTIFS(G469:O469,"Tidak Berlaku")&gt;0,"N/A hanya untuk kegiatan bersyarat",IF(SUM(AF469,AG469,AH469,AI469,AJ469)&lt;&gt;13,"Status kegiatan tidak valid",IF(AJ469&gt;0,"Lengkapi status kegiatan",IF(AND(AI469&gt;0,T469=""),"Isi alasan Tidak Berlaku",IF(AND(SUM(AG469,AH469)&gt;0,OR(T469="",U469="",V469="",W469="")),"Isi kendala dan tindak lanjut",IF(AND(Y469&lt;&gt;"Draft",Y469&lt;&gt;"Dikirim"),"Isi status laporan yang valid",IF(AND(AA469&lt;&gt;"",AA469&lt;&gt;"Belum Diperiksa",AA469&lt;&gt;"Disetujui",AA469&lt;&gt;"Perlu Perbaikan"),"Hasil review tidak valid",IF(AND(Y469="Dikirim",OR(X469="",Z469="")),"Isi bukti dan waktu kirim",IF(AND(AA469="Disetujui",OR(Y469&lt;&gt;"Dikirim",AB469="",AC469="")),"Lengkapi pemeriksaan",IF(AND(AA469="Perlu Perbaikan",OR(AD469="",AB469="",AC469="")),"Isi pemeriksa dan catatan perbaikan","OK")))))))))))))))),"")</f>
        <v/>
      </c>
    </row>
    <row r="470" spans="1:38" ht="24.95" customHeight="1">
      <c r="A470" s="8"/>
      <c r="B470" s="6"/>
      <c r="C470" s="15" t="str">
        <f>IF(COUNTIFS(Master_PIC!$A$8:$A$73,$B470)=1,IF(VLOOKUP($B470,Master_PIC!$A$8:$G$73,2,FALSE)="","",VLOOKUP($B470,Master_PIC!$A$8:$G$73,2,FALSE)),"")</f>
        <v/>
      </c>
      <c r="D470" s="15" t="str">
        <f>IF(COUNTIFS(Master_PIC!$A$8:$A$73,$B470)=1,IF(VLOOKUP($B470,Master_PIC!$A$8:$G$73,4,FALSE)="","",VLOOKUP($B470,Master_PIC!$A$8:$G$73,4,FALSE)),"")</f>
        <v/>
      </c>
      <c r="E470" s="15" t="str">
        <f>IF(COUNTIFS(Master_PIC!$A$8:$A$73,$B470)=1,IF(VLOOKUP($B470,Master_PIC!$A$8:$G$73,5,FALSE)="","",VLOOKUP($B470,Master_PIC!$A$8:$G$73,5,FALSE)),"")</f>
        <v/>
      </c>
      <c r="F470" s="15" t="str">
        <f>IF(COUNTIFS(Master_PIC!$A$8:$A$73,$B470)=1,IF(VLOOKUP($B470,Master_PIC!$A$8:$G$73,6,FALSE)="","",VLOOKUP($B470,Master_PIC!$A$8:$G$73,6,FALSE)),"")</f>
        <v/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8"/>
      <c r="X470" s="5"/>
      <c r="Y470" s="5"/>
      <c r="Z470" s="9"/>
      <c r="AA470" s="5"/>
      <c r="AB470" s="5"/>
      <c r="AC470" s="9"/>
      <c r="AD470" s="5"/>
      <c r="AE470" s="7" t="str">
        <f t="shared" si="49"/>
        <v/>
      </c>
      <c r="AF470" s="7" t="str">
        <f t="shared" si="50"/>
        <v/>
      </c>
      <c r="AG470" s="7" t="str">
        <f t="shared" si="51"/>
        <v/>
      </c>
      <c r="AH470" s="7" t="str">
        <f t="shared" si="52"/>
        <v/>
      </c>
      <c r="AI470" s="7" t="str">
        <f t="shared" si="53"/>
        <v/>
      </c>
      <c r="AJ470" s="7" t="str">
        <f t="shared" si="54"/>
        <v/>
      </c>
      <c r="AK470" s="10" t="str">
        <f t="shared" si="55"/>
        <v/>
      </c>
      <c r="AL470" s="15" t="str">
        <f>IF(OR($A470&lt;&gt;"",$B470&lt;&gt;""),IF(OR($A470="",$B470=""),"Isi tanggal dan ID PIC",IF(NOT(ISNUMBER($A470)),"Tanggal harus berupa tanggal Excel",IF(COUNTIFS(Master_PIC!$A$8:$A$73,$B470)&lt;&gt;1,"ID PIC tidak unik/terdaftar",IF(VLOOKUP($B470,Master_PIC!$A$8:$G$73,3,FALSE)&lt;&gt;"ASM","Jabatan tidak sesuai sheet",IF(OR($C470="",$D470="",$E470="",$F470=""),"Lengkapi master PIC",IF(COUNTIFS($A$8:$A$507,$A470,$B$8:$B$507,$B470)&gt;1,"Laporan ganda",IF(COUNTIFS(G470:O470,"Tidak Berlaku")&gt;0,"N/A hanya untuk kegiatan bersyarat",IF(SUM(AF470,AG470,AH470,AI470,AJ470)&lt;&gt;13,"Status kegiatan tidak valid",IF(AJ470&gt;0,"Lengkapi status kegiatan",IF(AND(AI470&gt;0,T470=""),"Isi alasan Tidak Berlaku",IF(AND(SUM(AG470,AH470)&gt;0,OR(T470="",U470="",V470="",W470="")),"Isi kendala dan tindak lanjut",IF(AND(Y470&lt;&gt;"Draft",Y470&lt;&gt;"Dikirim"),"Isi status laporan yang valid",IF(AND(AA470&lt;&gt;"",AA470&lt;&gt;"Belum Diperiksa",AA470&lt;&gt;"Disetujui",AA470&lt;&gt;"Perlu Perbaikan"),"Hasil review tidak valid",IF(AND(Y470="Dikirim",OR(X470="",Z470="")),"Isi bukti dan waktu kirim",IF(AND(AA470="Disetujui",OR(Y470&lt;&gt;"Dikirim",AB470="",AC470="")),"Lengkapi pemeriksaan",IF(AND(AA470="Perlu Perbaikan",OR(AD470="",AB470="",AC470="")),"Isi pemeriksa dan catatan perbaikan","OK")))))))))))))))),"")</f>
        <v/>
      </c>
    </row>
    <row r="471" spans="1:38" ht="24.95" customHeight="1">
      <c r="A471" s="8"/>
      <c r="B471" s="6"/>
      <c r="C471" s="15" t="str">
        <f>IF(COUNTIFS(Master_PIC!$A$8:$A$73,$B471)=1,IF(VLOOKUP($B471,Master_PIC!$A$8:$G$73,2,FALSE)="","",VLOOKUP($B471,Master_PIC!$A$8:$G$73,2,FALSE)),"")</f>
        <v/>
      </c>
      <c r="D471" s="15" t="str">
        <f>IF(COUNTIFS(Master_PIC!$A$8:$A$73,$B471)=1,IF(VLOOKUP($B471,Master_PIC!$A$8:$G$73,4,FALSE)="","",VLOOKUP($B471,Master_PIC!$A$8:$G$73,4,FALSE)),"")</f>
        <v/>
      </c>
      <c r="E471" s="15" t="str">
        <f>IF(COUNTIFS(Master_PIC!$A$8:$A$73,$B471)=1,IF(VLOOKUP($B471,Master_PIC!$A$8:$G$73,5,FALSE)="","",VLOOKUP($B471,Master_PIC!$A$8:$G$73,5,FALSE)),"")</f>
        <v/>
      </c>
      <c r="F471" s="15" t="str">
        <f>IF(COUNTIFS(Master_PIC!$A$8:$A$73,$B471)=1,IF(VLOOKUP($B471,Master_PIC!$A$8:$G$73,6,FALSE)="","",VLOOKUP($B471,Master_PIC!$A$8:$G$73,6,FALSE)),"")</f>
        <v/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8"/>
      <c r="X471" s="5"/>
      <c r="Y471" s="5"/>
      <c r="Z471" s="9"/>
      <c r="AA471" s="5"/>
      <c r="AB471" s="5"/>
      <c r="AC471" s="9"/>
      <c r="AD471" s="5"/>
      <c r="AE471" s="7" t="str">
        <f t="shared" si="49"/>
        <v/>
      </c>
      <c r="AF471" s="7" t="str">
        <f t="shared" si="50"/>
        <v/>
      </c>
      <c r="AG471" s="7" t="str">
        <f t="shared" si="51"/>
        <v/>
      </c>
      <c r="AH471" s="7" t="str">
        <f t="shared" si="52"/>
        <v/>
      </c>
      <c r="AI471" s="7" t="str">
        <f t="shared" si="53"/>
        <v/>
      </c>
      <c r="AJ471" s="7" t="str">
        <f t="shared" si="54"/>
        <v/>
      </c>
      <c r="AK471" s="10" t="str">
        <f t="shared" si="55"/>
        <v/>
      </c>
      <c r="AL471" s="15" t="str">
        <f>IF(OR($A471&lt;&gt;"",$B471&lt;&gt;""),IF(OR($A471="",$B471=""),"Isi tanggal dan ID PIC",IF(NOT(ISNUMBER($A471)),"Tanggal harus berupa tanggal Excel",IF(COUNTIFS(Master_PIC!$A$8:$A$73,$B471)&lt;&gt;1,"ID PIC tidak unik/terdaftar",IF(VLOOKUP($B471,Master_PIC!$A$8:$G$73,3,FALSE)&lt;&gt;"ASM","Jabatan tidak sesuai sheet",IF(OR($C471="",$D471="",$E471="",$F471=""),"Lengkapi master PIC",IF(COUNTIFS($A$8:$A$507,$A471,$B$8:$B$507,$B471)&gt;1,"Laporan ganda",IF(COUNTIFS(G471:O471,"Tidak Berlaku")&gt;0,"N/A hanya untuk kegiatan bersyarat",IF(SUM(AF471,AG471,AH471,AI471,AJ471)&lt;&gt;13,"Status kegiatan tidak valid",IF(AJ471&gt;0,"Lengkapi status kegiatan",IF(AND(AI471&gt;0,T471=""),"Isi alasan Tidak Berlaku",IF(AND(SUM(AG471,AH471)&gt;0,OR(T471="",U471="",V471="",W471="")),"Isi kendala dan tindak lanjut",IF(AND(Y471&lt;&gt;"Draft",Y471&lt;&gt;"Dikirim"),"Isi status laporan yang valid",IF(AND(AA471&lt;&gt;"",AA471&lt;&gt;"Belum Diperiksa",AA471&lt;&gt;"Disetujui",AA471&lt;&gt;"Perlu Perbaikan"),"Hasil review tidak valid",IF(AND(Y471="Dikirim",OR(X471="",Z471="")),"Isi bukti dan waktu kirim",IF(AND(AA471="Disetujui",OR(Y471&lt;&gt;"Dikirim",AB471="",AC471="")),"Lengkapi pemeriksaan",IF(AND(AA471="Perlu Perbaikan",OR(AD471="",AB471="",AC471="")),"Isi pemeriksa dan catatan perbaikan","OK")))))))))))))))),"")</f>
        <v/>
      </c>
    </row>
    <row r="472" spans="1:38" ht="24.95" customHeight="1">
      <c r="A472" s="8"/>
      <c r="B472" s="6"/>
      <c r="C472" s="15" t="str">
        <f>IF(COUNTIFS(Master_PIC!$A$8:$A$73,$B472)=1,IF(VLOOKUP($B472,Master_PIC!$A$8:$G$73,2,FALSE)="","",VLOOKUP($B472,Master_PIC!$A$8:$G$73,2,FALSE)),"")</f>
        <v/>
      </c>
      <c r="D472" s="15" t="str">
        <f>IF(COUNTIFS(Master_PIC!$A$8:$A$73,$B472)=1,IF(VLOOKUP($B472,Master_PIC!$A$8:$G$73,4,FALSE)="","",VLOOKUP($B472,Master_PIC!$A$8:$G$73,4,FALSE)),"")</f>
        <v/>
      </c>
      <c r="E472" s="15" t="str">
        <f>IF(COUNTIFS(Master_PIC!$A$8:$A$73,$B472)=1,IF(VLOOKUP($B472,Master_PIC!$A$8:$G$73,5,FALSE)="","",VLOOKUP($B472,Master_PIC!$A$8:$G$73,5,FALSE)),"")</f>
        <v/>
      </c>
      <c r="F472" s="15" t="str">
        <f>IF(COUNTIFS(Master_PIC!$A$8:$A$73,$B472)=1,IF(VLOOKUP($B472,Master_PIC!$A$8:$G$73,6,FALSE)="","",VLOOKUP($B472,Master_PIC!$A$8:$G$73,6,FALSE)),"")</f>
        <v/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8"/>
      <c r="X472" s="5"/>
      <c r="Y472" s="5"/>
      <c r="Z472" s="9"/>
      <c r="AA472" s="5"/>
      <c r="AB472" s="5"/>
      <c r="AC472" s="9"/>
      <c r="AD472" s="5"/>
      <c r="AE472" s="7" t="str">
        <f t="shared" si="49"/>
        <v/>
      </c>
      <c r="AF472" s="7" t="str">
        <f t="shared" si="50"/>
        <v/>
      </c>
      <c r="AG472" s="7" t="str">
        <f t="shared" si="51"/>
        <v/>
      </c>
      <c r="AH472" s="7" t="str">
        <f t="shared" si="52"/>
        <v/>
      </c>
      <c r="AI472" s="7" t="str">
        <f t="shared" si="53"/>
        <v/>
      </c>
      <c r="AJ472" s="7" t="str">
        <f t="shared" si="54"/>
        <v/>
      </c>
      <c r="AK472" s="10" t="str">
        <f t="shared" si="55"/>
        <v/>
      </c>
      <c r="AL472" s="15" t="str">
        <f>IF(OR($A472&lt;&gt;"",$B472&lt;&gt;""),IF(OR($A472="",$B472=""),"Isi tanggal dan ID PIC",IF(NOT(ISNUMBER($A472)),"Tanggal harus berupa tanggal Excel",IF(COUNTIFS(Master_PIC!$A$8:$A$73,$B472)&lt;&gt;1,"ID PIC tidak unik/terdaftar",IF(VLOOKUP($B472,Master_PIC!$A$8:$G$73,3,FALSE)&lt;&gt;"ASM","Jabatan tidak sesuai sheet",IF(OR($C472="",$D472="",$E472="",$F472=""),"Lengkapi master PIC",IF(COUNTIFS($A$8:$A$507,$A472,$B$8:$B$507,$B472)&gt;1,"Laporan ganda",IF(COUNTIFS(G472:O472,"Tidak Berlaku")&gt;0,"N/A hanya untuk kegiatan bersyarat",IF(SUM(AF472,AG472,AH472,AI472,AJ472)&lt;&gt;13,"Status kegiatan tidak valid",IF(AJ472&gt;0,"Lengkapi status kegiatan",IF(AND(AI472&gt;0,T472=""),"Isi alasan Tidak Berlaku",IF(AND(SUM(AG472,AH472)&gt;0,OR(T472="",U472="",V472="",W472="")),"Isi kendala dan tindak lanjut",IF(AND(Y472&lt;&gt;"Draft",Y472&lt;&gt;"Dikirim"),"Isi status laporan yang valid",IF(AND(AA472&lt;&gt;"",AA472&lt;&gt;"Belum Diperiksa",AA472&lt;&gt;"Disetujui",AA472&lt;&gt;"Perlu Perbaikan"),"Hasil review tidak valid",IF(AND(Y472="Dikirim",OR(X472="",Z472="")),"Isi bukti dan waktu kirim",IF(AND(AA472="Disetujui",OR(Y472&lt;&gt;"Dikirim",AB472="",AC472="")),"Lengkapi pemeriksaan",IF(AND(AA472="Perlu Perbaikan",OR(AD472="",AB472="",AC472="")),"Isi pemeriksa dan catatan perbaikan","OK")))))))))))))))),"")</f>
        <v/>
      </c>
    </row>
    <row r="473" spans="1:38" ht="24.95" customHeight="1">
      <c r="A473" s="8"/>
      <c r="B473" s="6"/>
      <c r="C473" s="15" t="str">
        <f>IF(COUNTIFS(Master_PIC!$A$8:$A$73,$B473)=1,IF(VLOOKUP($B473,Master_PIC!$A$8:$G$73,2,FALSE)="","",VLOOKUP($B473,Master_PIC!$A$8:$G$73,2,FALSE)),"")</f>
        <v/>
      </c>
      <c r="D473" s="15" t="str">
        <f>IF(COUNTIFS(Master_PIC!$A$8:$A$73,$B473)=1,IF(VLOOKUP($B473,Master_PIC!$A$8:$G$73,4,FALSE)="","",VLOOKUP($B473,Master_PIC!$A$8:$G$73,4,FALSE)),"")</f>
        <v/>
      </c>
      <c r="E473" s="15" t="str">
        <f>IF(COUNTIFS(Master_PIC!$A$8:$A$73,$B473)=1,IF(VLOOKUP($B473,Master_PIC!$A$8:$G$73,5,FALSE)="","",VLOOKUP($B473,Master_PIC!$A$8:$G$73,5,FALSE)),"")</f>
        <v/>
      </c>
      <c r="F473" s="15" t="str">
        <f>IF(COUNTIFS(Master_PIC!$A$8:$A$73,$B473)=1,IF(VLOOKUP($B473,Master_PIC!$A$8:$G$73,6,FALSE)="","",VLOOKUP($B473,Master_PIC!$A$8:$G$73,6,FALSE)),"")</f>
        <v/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8"/>
      <c r="X473" s="5"/>
      <c r="Y473" s="5"/>
      <c r="Z473" s="9"/>
      <c r="AA473" s="5"/>
      <c r="AB473" s="5"/>
      <c r="AC473" s="9"/>
      <c r="AD473" s="5"/>
      <c r="AE473" s="7" t="str">
        <f t="shared" si="49"/>
        <v/>
      </c>
      <c r="AF473" s="7" t="str">
        <f t="shared" si="50"/>
        <v/>
      </c>
      <c r="AG473" s="7" t="str">
        <f t="shared" si="51"/>
        <v/>
      </c>
      <c r="AH473" s="7" t="str">
        <f t="shared" si="52"/>
        <v/>
      </c>
      <c r="AI473" s="7" t="str">
        <f t="shared" si="53"/>
        <v/>
      </c>
      <c r="AJ473" s="7" t="str">
        <f t="shared" si="54"/>
        <v/>
      </c>
      <c r="AK473" s="10" t="str">
        <f t="shared" si="55"/>
        <v/>
      </c>
      <c r="AL473" s="15" t="str">
        <f>IF(OR($A473&lt;&gt;"",$B473&lt;&gt;""),IF(OR($A473="",$B473=""),"Isi tanggal dan ID PIC",IF(NOT(ISNUMBER($A473)),"Tanggal harus berupa tanggal Excel",IF(COUNTIFS(Master_PIC!$A$8:$A$73,$B473)&lt;&gt;1,"ID PIC tidak unik/terdaftar",IF(VLOOKUP($B473,Master_PIC!$A$8:$G$73,3,FALSE)&lt;&gt;"ASM","Jabatan tidak sesuai sheet",IF(OR($C473="",$D473="",$E473="",$F473=""),"Lengkapi master PIC",IF(COUNTIFS($A$8:$A$507,$A473,$B$8:$B$507,$B473)&gt;1,"Laporan ganda",IF(COUNTIFS(G473:O473,"Tidak Berlaku")&gt;0,"N/A hanya untuk kegiatan bersyarat",IF(SUM(AF473,AG473,AH473,AI473,AJ473)&lt;&gt;13,"Status kegiatan tidak valid",IF(AJ473&gt;0,"Lengkapi status kegiatan",IF(AND(AI473&gt;0,T473=""),"Isi alasan Tidak Berlaku",IF(AND(SUM(AG473,AH473)&gt;0,OR(T473="",U473="",V473="",W473="")),"Isi kendala dan tindak lanjut",IF(AND(Y473&lt;&gt;"Draft",Y473&lt;&gt;"Dikirim"),"Isi status laporan yang valid",IF(AND(AA473&lt;&gt;"",AA473&lt;&gt;"Belum Diperiksa",AA473&lt;&gt;"Disetujui",AA473&lt;&gt;"Perlu Perbaikan"),"Hasil review tidak valid",IF(AND(Y473="Dikirim",OR(X473="",Z473="")),"Isi bukti dan waktu kirim",IF(AND(AA473="Disetujui",OR(Y473&lt;&gt;"Dikirim",AB473="",AC473="")),"Lengkapi pemeriksaan",IF(AND(AA473="Perlu Perbaikan",OR(AD473="",AB473="",AC473="")),"Isi pemeriksa dan catatan perbaikan","OK")))))))))))))))),"")</f>
        <v/>
      </c>
    </row>
    <row r="474" spans="1:38" ht="24.95" customHeight="1">
      <c r="A474" s="8"/>
      <c r="B474" s="6"/>
      <c r="C474" s="15" t="str">
        <f>IF(COUNTIFS(Master_PIC!$A$8:$A$73,$B474)=1,IF(VLOOKUP($B474,Master_PIC!$A$8:$G$73,2,FALSE)="","",VLOOKUP($B474,Master_PIC!$A$8:$G$73,2,FALSE)),"")</f>
        <v/>
      </c>
      <c r="D474" s="15" t="str">
        <f>IF(COUNTIFS(Master_PIC!$A$8:$A$73,$B474)=1,IF(VLOOKUP($B474,Master_PIC!$A$8:$G$73,4,FALSE)="","",VLOOKUP($B474,Master_PIC!$A$8:$G$73,4,FALSE)),"")</f>
        <v/>
      </c>
      <c r="E474" s="15" t="str">
        <f>IF(COUNTIFS(Master_PIC!$A$8:$A$73,$B474)=1,IF(VLOOKUP($B474,Master_PIC!$A$8:$G$73,5,FALSE)="","",VLOOKUP($B474,Master_PIC!$A$8:$G$73,5,FALSE)),"")</f>
        <v/>
      </c>
      <c r="F474" s="15" t="str">
        <f>IF(COUNTIFS(Master_PIC!$A$8:$A$73,$B474)=1,IF(VLOOKUP($B474,Master_PIC!$A$8:$G$73,6,FALSE)="","",VLOOKUP($B474,Master_PIC!$A$8:$G$73,6,FALSE)),"")</f>
        <v/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8"/>
      <c r="X474" s="5"/>
      <c r="Y474" s="5"/>
      <c r="Z474" s="9"/>
      <c r="AA474" s="5"/>
      <c r="AB474" s="5"/>
      <c r="AC474" s="9"/>
      <c r="AD474" s="5"/>
      <c r="AE474" s="7" t="str">
        <f t="shared" si="49"/>
        <v/>
      </c>
      <c r="AF474" s="7" t="str">
        <f t="shared" si="50"/>
        <v/>
      </c>
      <c r="AG474" s="7" t="str">
        <f t="shared" si="51"/>
        <v/>
      </c>
      <c r="AH474" s="7" t="str">
        <f t="shared" si="52"/>
        <v/>
      </c>
      <c r="AI474" s="7" t="str">
        <f t="shared" si="53"/>
        <v/>
      </c>
      <c r="AJ474" s="7" t="str">
        <f t="shared" si="54"/>
        <v/>
      </c>
      <c r="AK474" s="10" t="str">
        <f t="shared" si="55"/>
        <v/>
      </c>
      <c r="AL474" s="15" t="str">
        <f>IF(OR($A474&lt;&gt;"",$B474&lt;&gt;""),IF(OR($A474="",$B474=""),"Isi tanggal dan ID PIC",IF(NOT(ISNUMBER($A474)),"Tanggal harus berupa tanggal Excel",IF(COUNTIFS(Master_PIC!$A$8:$A$73,$B474)&lt;&gt;1,"ID PIC tidak unik/terdaftar",IF(VLOOKUP($B474,Master_PIC!$A$8:$G$73,3,FALSE)&lt;&gt;"ASM","Jabatan tidak sesuai sheet",IF(OR($C474="",$D474="",$E474="",$F474=""),"Lengkapi master PIC",IF(COUNTIFS($A$8:$A$507,$A474,$B$8:$B$507,$B474)&gt;1,"Laporan ganda",IF(COUNTIFS(G474:O474,"Tidak Berlaku")&gt;0,"N/A hanya untuk kegiatan bersyarat",IF(SUM(AF474,AG474,AH474,AI474,AJ474)&lt;&gt;13,"Status kegiatan tidak valid",IF(AJ474&gt;0,"Lengkapi status kegiatan",IF(AND(AI474&gt;0,T474=""),"Isi alasan Tidak Berlaku",IF(AND(SUM(AG474,AH474)&gt;0,OR(T474="",U474="",V474="",W474="")),"Isi kendala dan tindak lanjut",IF(AND(Y474&lt;&gt;"Draft",Y474&lt;&gt;"Dikirim"),"Isi status laporan yang valid",IF(AND(AA474&lt;&gt;"",AA474&lt;&gt;"Belum Diperiksa",AA474&lt;&gt;"Disetujui",AA474&lt;&gt;"Perlu Perbaikan"),"Hasil review tidak valid",IF(AND(Y474="Dikirim",OR(X474="",Z474="")),"Isi bukti dan waktu kirim",IF(AND(AA474="Disetujui",OR(Y474&lt;&gt;"Dikirim",AB474="",AC474="")),"Lengkapi pemeriksaan",IF(AND(AA474="Perlu Perbaikan",OR(AD474="",AB474="",AC474="")),"Isi pemeriksa dan catatan perbaikan","OK")))))))))))))))),"")</f>
        <v/>
      </c>
    </row>
    <row r="475" spans="1:38" ht="24.95" customHeight="1">
      <c r="A475" s="8"/>
      <c r="B475" s="6"/>
      <c r="C475" s="15" t="str">
        <f>IF(COUNTIFS(Master_PIC!$A$8:$A$73,$B475)=1,IF(VLOOKUP($B475,Master_PIC!$A$8:$G$73,2,FALSE)="","",VLOOKUP($B475,Master_PIC!$A$8:$G$73,2,FALSE)),"")</f>
        <v/>
      </c>
      <c r="D475" s="15" t="str">
        <f>IF(COUNTIFS(Master_PIC!$A$8:$A$73,$B475)=1,IF(VLOOKUP($B475,Master_PIC!$A$8:$G$73,4,FALSE)="","",VLOOKUP($B475,Master_PIC!$A$8:$G$73,4,FALSE)),"")</f>
        <v/>
      </c>
      <c r="E475" s="15" t="str">
        <f>IF(COUNTIFS(Master_PIC!$A$8:$A$73,$B475)=1,IF(VLOOKUP($B475,Master_PIC!$A$8:$G$73,5,FALSE)="","",VLOOKUP($B475,Master_PIC!$A$8:$G$73,5,FALSE)),"")</f>
        <v/>
      </c>
      <c r="F475" s="15" t="str">
        <f>IF(COUNTIFS(Master_PIC!$A$8:$A$73,$B475)=1,IF(VLOOKUP($B475,Master_PIC!$A$8:$G$73,6,FALSE)="","",VLOOKUP($B475,Master_PIC!$A$8:$G$73,6,FALSE)),"")</f>
        <v/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8"/>
      <c r="X475" s="5"/>
      <c r="Y475" s="5"/>
      <c r="Z475" s="9"/>
      <c r="AA475" s="5"/>
      <c r="AB475" s="5"/>
      <c r="AC475" s="9"/>
      <c r="AD475" s="5"/>
      <c r="AE475" s="7" t="str">
        <f t="shared" si="49"/>
        <v/>
      </c>
      <c r="AF475" s="7" t="str">
        <f t="shared" si="50"/>
        <v/>
      </c>
      <c r="AG475" s="7" t="str">
        <f t="shared" si="51"/>
        <v/>
      </c>
      <c r="AH475" s="7" t="str">
        <f t="shared" si="52"/>
        <v/>
      </c>
      <c r="AI475" s="7" t="str">
        <f t="shared" si="53"/>
        <v/>
      </c>
      <c r="AJ475" s="7" t="str">
        <f t="shared" si="54"/>
        <v/>
      </c>
      <c r="AK475" s="10" t="str">
        <f t="shared" si="55"/>
        <v/>
      </c>
      <c r="AL475" s="15" t="str">
        <f>IF(OR($A475&lt;&gt;"",$B475&lt;&gt;""),IF(OR($A475="",$B475=""),"Isi tanggal dan ID PIC",IF(NOT(ISNUMBER($A475)),"Tanggal harus berupa tanggal Excel",IF(COUNTIFS(Master_PIC!$A$8:$A$73,$B475)&lt;&gt;1,"ID PIC tidak unik/terdaftar",IF(VLOOKUP($B475,Master_PIC!$A$8:$G$73,3,FALSE)&lt;&gt;"ASM","Jabatan tidak sesuai sheet",IF(OR($C475="",$D475="",$E475="",$F475=""),"Lengkapi master PIC",IF(COUNTIFS($A$8:$A$507,$A475,$B$8:$B$507,$B475)&gt;1,"Laporan ganda",IF(COUNTIFS(G475:O475,"Tidak Berlaku")&gt;0,"N/A hanya untuk kegiatan bersyarat",IF(SUM(AF475,AG475,AH475,AI475,AJ475)&lt;&gt;13,"Status kegiatan tidak valid",IF(AJ475&gt;0,"Lengkapi status kegiatan",IF(AND(AI475&gt;0,T475=""),"Isi alasan Tidak Berlaku",IF(AND(SUM(AG475,AH475)&gt;0,OR(T475="",U475="",V475="",W475="")),"Isi kendala dan tindak lanjut",IF(AND(Y475&lt;&gt;"Draft",Y475&lt;&gt;"Dikirim"),"Isi status laporan yang valid",IF(AND(AA475&lt;&gt;"",AA475&lt;&gt;"Belum Diperiksa",AA475&lt;&gt;"Disetujui",AA475&lt;&gt;"Perlu Perbaikan"),"Hasil review tidak valid",IF(AND(Y475="Dikirim",OR(X475="",Z475="")),"Isi bukti dan waktu kirim",IF(AND(AA475="Disetujui",OR(Y475&lt;&gt;"Dikirim",AB475="",AC475="")),"Lengkapi pemeriksaan",IF(AND(AA475="Perlu Perbaikan",OR(AD475="",AB475="",AC475="")),"Isi pemeriksa dan catatan perbaikan","OK")))))))))))))))),"")</f>
        <v/>
      </c>
    </row>
    <row r="476" spans="1:38" ht="24.95" customHeight="1">
      <c r="A476" s="8"/>
      <c r="B476" s="6"/>
      <c r="C476" s="15" t="str">
        <f>IF(COUNTIFS(Master_PIC!$A$8:$A$73,$B476)=1,IF(VLOOKUP($B476,Master_PIC!$A$8:$G$73,2,FALSE)="","",VLOOKUP($B476,Master_PIC!$A$8:$G$73,2,FALSE)),"")</f>
        <v/>
      </c>
      <c r="D476" s="15" t="str">
        <f>IF(COUNTIFS(Master_PIC!$A$8:$A$73,$B476)=1,IF(VLOOKUP($B476,Master_PIC!$A$8:$G$73,4,FALSE)="","",VLOOKUP($B476,Master_PIC!$A$8:$G$73,4,FALSE)),"")</f>
        <v/>
      </c>
      <c r="E476" s="15" t="str">
        <f>IF(COUNTIFS(Master_PIC!$A$8:$A$73,$B476)=1,IF(VLOOKUP($B476,Master_PIC!$A$8:$G$73,5,FALSE)="","",VLOOKUP($B476,Master_PIC!$A$8:$G$73,5,FALSE)),"")</f>
        <v/>
      </c>
      <c r="F476" s="15" t="str">
        <f>IF(COUNTIFS(Master_PIC!$A$8:$A$73,$B476)=1,IF(VLOOKUP($B476,Master_PIC!$A$8:$G$73,6,FALSE)="","",VLOOKUP($B476,Master_PIC!$A$8:$G$73,6,FALSE)),"")</f>
        <v/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8"/>
      <c r="X476" s="5"/>
      <c r="Y476" s="5"/>
      <c r="Z476" s="9"/>
      <c r="AA476" s="5"/>
      <c r="AB476" s="5"/>
      <c r="AC476" s="9"/>
      <c r="AD476" s="5"/>
      <c r="AE476" s="7" t="str">
        <f t="shared" si="49"/>
        <v/>
      </c>
      <c r="AF476" s="7" t="str">
        <f t="shared" si="50"/>
        <v/>
      </c>
      <c r="AG476" s="7" t="str">
        <f t="shared" si="51"/>
        <v/>
      </c>
      <c r="AH476" s="7" t="str">
        <f t="shared" si="52"/>
        <v/>
      </c>
      <c r="AI476" s="7" t="str">
        <f t="shared" si="53"/>
        <v/>
      </c>
      <c r="AJ476" s="7" t="str">
        <f t="shared" si="54"/>
        <v/>
      </c>
      <c r="AK476" s="10" t="str">
        <f t="shared" si="55"/>
        <v/>
      </c>
      <c r="AL476" s="15" t="str">
        <f>IF(OR($A476&lt;&gt;"",$B476&lt;&gt;""),IF(OR($A476="",$B476=""),"Isi tanggal dan ID PIC",IF(NOT(ISNUMBER($A476)),"Tanggal harus berupa tanggal Excel",IF(COUNTIFS(Master_PIC!$A$8:$A$73,$B476)&lt;&gt;1,"ID PIC tidak unik/terdaftar",IF(VLOOKUP($B476,Master_PIC!$A$8:$G$73,3,FALSE)&lt;&gt;"ASM","Jabatan tidak sesuai sheet",IF(OR($C476="",$D476="",$E476="",$F476=""),"Lengkapi master PIC",IF(COUNTIFS($A$8:$A$507,$A476,$B$8:$B$507,$B476)&gt;1,"Laporan ganda",IF(COUNTIFS(G476:O476,"Tidak Berlaku")&gt;0,"N/A hanya untuk kegiatan bersyarat",IF(SUM(AF476,AG476,AH476,AI476,AJ476)&lt;&gt;13,"Status kegiatan tidak valid",IF(AJ476&gt;0,"Lengkapi status kegiatan",IF(AND(AI476&gt;0,T476=""),"Isi alasan Tidak Berlaku",IF(AND(SUM(AG476,AH476)&gt;0,OR(T476="",U476="",V476="",W476="")),"Isi kendala dan tindak lanjut",IF(AND(Y476&lt;&gt;"Draft",Y476&lt;&gt;"Dikirim"),"Isi status laporan yang valid",IF(AND(AA476&lt;&gt;"",AA476&lt;&gt;"Belum Diperiksa",AA476&lt;&gt;"Disetujui",AA476&lt;&gt;"Perlu Perbaikan"),"Hasil review tidak valid",IF(AND(Y476="Dikirim",OR(X476="",Z476="")),"Isi bukti dan waktu kirim",IF(AND(AA476="Disetujui",OR(Y476&lt;&gt;"Dikirim",AB476="",AC476="")),"Lengkapi pemeriksaan",IF(AND(AA476="Perlu Perbaikan",OR(AD476="",AB476="",AC476="")),"Isi pemeriksa dan catatan perbaikan","OK")))))))))))))))),"")</f>
        <v/>
      </c>
    </row>
    <row r="477" spans="1:38" ht="24.95" customHeight="1">
      <c r="A477" s="8"/>
      <c r="B477" s="6"/>
      <c r="C477" s="15" t="str">
        <f>IF(COUNTIFS(Master_PIC!$A$8:$A$73,$B477)=1,IF(VLOOKUP($B477,Master_PIC!$A$8:$G$73,2,FALSE)="","",VLOOKUP($B477,Master_PIC!$A$8:$G$73,2,FALSE)),"")</f>
        <v/>
      </c>
      <c r="D477" s="15" t="str">
        <f>IF(COUNTIFS(Master_PIC!$A$8:$A$73,$B477)=1,IF(VLOOKUP($B477,Master_PIC!$A$8:$G$73,4,FALSE)="","",VLOOKUP($B477,Master_PIC!$A$8:$G$73,4,FALSE)),"")</f>
        <v/>
      </c>
      <c r="E477" s="15" t="str">
        <f>IF(COUNTIFS(Master_PIC!$A$8:$A$73,$B477)=1,IF(VLOOKUP($B477,Master_PIC!$A$8:$G$73,5,FALSE)="","",VLOOKUP($B477,Master_PIC!$A$8:$G$73,5,FALSE)),"")</f>
        <v/>
      </c>
      <c r="F477" s="15" t="str">
        <f>IF(COUNTIFS(Master_PIC!$A$8:$A$73,$B477)=1,IF(VLOOKUP($B477,Master_PIC!$A$8:$G$73,6,FALSE)="","",VLOOKUP($B477,Master_PIC!$A$8:$G$73,6,FALSE)),"")</f>
        <v/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8"/>
      <c r="X477" s="5"/>
      <c r="Y477" s="5"/>
      <c r="Z477" s="9"/>
      <c r="AA477" s="5"/>
      <c r="AB477" s="5"/>
      <c r="AC477" s="9"/>
      <c r="AD477" s="5"/>
      <c r="AE477" s="7" t="str">
        <f t="shared" si="49"/>
        <v/>
      </c>
      <c r="AF477" s="7" t="str">
        <f t="shared" si="50"/>
        <v/>
      </c>
      <c r="AG477" s="7" t="str">
        <f t="shared" si="51"/>
        <v/>
      </c>
      <c r="AH477" s="7" t="str">
        <f t="shared" si="52"/>
        <v/>
      </c>
      <c r="AI477" s="7" t="str">
        <f t="shared" si="53"/>
        <v/>
      </c>
      <c r="AJ477" s="7" t="str">
        <f t="shared" si="54"/>
        <v/>
      </c>
      <c r="AK477" s="10" t="str">
        <f t="shared" si="55"/>
        <v/>
      </c>
      <c r="AL477" s="15" t="str">
        <f>IF(OR($A477&lt;&gt;"",$B477&lt;&gt;""),IF(OR($A477="",$B477=""),"Isi tanggal dan ID PIC",IF(NOT(ISNUMBER($A477)),"Tanggal harus berupa tanggal Excel",IF(COUNTIFS(Master_PIC!$A$8:$A$73,$B477)&lt;&gt;1,"ID PIC tidak unik/terdaftar",IF(VLOOKUP($B477,Master_PIC!$A$8:$G$73,3,FALSE)&lt;&gt;"ASM","Jabatan tidak sesuai sheet",IF(OR($C477="",$D477="",$E477="",$F477=""),"Lengkapi master PIC",IF(COUNTIFS($A$8:$A$507,$A477,$B$8:$B$507,$B477)&gt;1,"Laporan ganda",IF(COUNTIFS(G477:O477,"Tidak Berlaku")&gt;0,"N/A hanya untuk kegiatan bersyarat",IF(SUM(AF477,AG477,AH477,AI477,AJ477)&lt;&gt;13,"Status kegiatan tidak valid",IF(AJ477&gt;0,"Lengkapi status kegiatan",IF(AND(AI477&gt;0,T477=""),"Isi alasan Tidak Berlaku",IF(AND(SUM(AG477,AH477)&gt;0,OR(T477="",U477="",V477="",W477="")),"Isi kendala dan tindak lanjut",IF(AND(Y477&lt;&gt;"Draft",Y477&lt;&gt;"Dikirim"),"Isi status laporan yang valid",IF(AND(AA477&lt;&gt;"",AA477&lt;&gt;"Belum Diperiksa",AA477&lt;&gt;"Disetujui",AA477&lt;&gt;"Perlu Perbaikan"),"Hasil review tidak valid",IF(AND(Y477="Dikirim",OR(X477="",Z477="")),"Isi bukti dan waktu kirim",IF(AND(AA477="Disetujui",OR(Y477&lt;&gt;"Dikirim",AB477="",AC477="")),"Lengkapi pemeriksaan",IF(AND(AA477="Perlu Perbaikan",OR(AD477="",AB477="",AC477="")),"Isi pemeriksa dan catatan perbaikan","OK")))))))))))))))),"")</f>
        <v/>
      </c>
    </row>
    <row r="478" spans="1:38" ht="24.95" customHeight="1">
      <c r="A478" s="8"/>
      <c r="B478" s="6"/>
      <c r="C478" s="15" t="str">
        <f>IF(COUNTIFS(Master_PIC!$A$8:$A$73,$B478)=1,IF(VLOOKUP($B478,Master_PIC!$A$8:$G$73,2,FALSE)="","",VLOOKUP($B478,Master_PIC!$A$8:$G$73,2,FALSE)),"")</f>
        <v/>
      </c>
      <c r="D478" s="15" t="str">
        <f>IF(COUNTIFS(Master_PIC!$A$8:$A$73,$B478)=1,IF(VLOOKUP($B478,Master_PIC!$A$8:$G$73,4,FALSE)="","",VLOOKUP($B478,Master_PIC!$A$8:$G$73,4,FALSE)),"")</f>
        <v/>
      </c>
      <c r="E478" s="15" t="str">
        <f>IF(COUNTIFS(Master_PIC!$A$8:$A$73,$B478)=1,IF(VLOOKUP($B478,Master_PIC!$A$8:$G$73,5,FALSE)="","",VLOOKUP($B478,Master_PIC!$A$8:$G$73,5,FALSE)),"")</f>
        <v/>
      </c>
      <c r="F478" s="15" t="str">
        <f>IF(COUNTIFS(Master_PIC!$A$8:$A$73,$B478)=1,IF(VLOOKUP($B478,Master_PIC!$A$8:$G$73,6,FALSE)="","",VLOOKUP($B478,Master_PIC!$A$8:$G$73,6,FALSE)),"")</f>
        <v/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8"/>
      <c r="X478" s="5"/>
      <c r="Y478" s="5"/>
      <c r="Z478" s="9"/>
      <c r="AA478" s="5"/>
      <c r="AB478" s="5"/>
      <c r="AC478" s="9"/>
      <c r="AD478" s="5"/>
      <c r="AE478" s="7" t="str">
        <f t="shared" si="49"/>
        <v/>
      </c>
      <c r="AF478" s="7" t="str">
        <f t="shared" si="50"/>
        <v/>
      </c>
      <c r="AG478" s="7" t="str">
        <f t="shared" si="51"/>
        <v/>
      </c>
      <c r="AH478" s="7" t="str">
        <f t="shared" si="52"/>
        <v/>
      </c>
      <c r="AI478" s="7" t="str">
        <f t="shared" si="53"/>
        <v/>
      </c>
      <c r="AJ478" s="7" t="str">
        <f t="shared" si="54"/>
        <v/>
      </c>
      <c r="AK478" s="10" t="str">
        <f t="shared" si="55"/>
        <v/>
      </c>
      <c r="AL478" s="15" t="str">
        <f>IF(OR($A478&lt;&gt;"",$B478&lt;&gt;""),IF(OR($A478="",$B478=""),"Isi tanggal dan ID PIC",IF(NOT(ISNUMBER($A478)),"Tanggal harus berupa tanggal Excel",IF(COUNTIFS(Master_PIC!$A$8:$A$73,$B478)&lt;&gt;1,"ID PIC tidak unik/terdaftar",IF(VLOOKUP($B478,Master_PIC!$A$8:$G$73,3,FALSE)&lt;&gt;"ASM","Jabatan tidak sesuai sheet",IF(OR($C478="",$D478="",$E478="",$F478=""),"Lengkapi master PIC",IF(COUNTIFS($A$8:$A$507,$A478,$B$8:$B$507,$B478)&gt;1,"Laporan ganda",IF(COUNTIFS(G478:O478,"Tidak Berlaku")&gt;0,"N/A hanya untuk kegiatan bersyarat",IF(SUM(AF478,AG478,AH478,AI478,AJ478)&lt;&gt;13,"Status kegiatan tidak valid",IF(AJ478&gt;0,"Lengkapi status kegiatan",IF(AND(AI478&gt;0,T478=""),"Isi alasan Tidak Berlaku",IF(AND(SUM(AG478,AH478)&gt;0,OR(T478="",U478="",V478="",W478="")),"Isi kendala dan tindak lanjut",IF(AND(Y478&lt;&gt;"Draft",Y478&lt;&gt;"Dikirim"),"Isi status laporan yang valid",IF(AND(AA478&lt;&gt;"",AA478&lt;&gt;"Belum Diperiksa",AA478&lt;&gt;"Disetujui",AA478&lt;&gt;"Perlu Perbaikan"),"Hasil review tidak valid",IF(AND(Y478="Dikirim",OR(X478="",Z478="")),"Isi bukti dan waktu kirim",IF(AND(AA478="Disetujui",OR(Y478&lt;&gt;"Dikirim",AB478="",AC478="")),"Lengkapi pemeriksaan",IF(AND(AA478="Perlu Perbaikan",OR(AD478="",AB478="",AC478="")),"Isi pemeriksa dan catatan perbaikan","OK")))))))))))))))),"")</f>
        <v/>
      </c>
    </row>
    <row r="479" spans="1:38" ht="24.95" customHeight="1">
      <c r="A479" s="8"/>
      <c r="B479" s="6"/>
      <c r="C479" s="15" t="str">
        <f>IF(COUNTIFS(Master_PIC!$A$8:$A$73,$B479)=1,IF(VLOOKUP($B479,Master_PIC!$A$8:$G$73,2,FALSE)="","",VLOOKUP($B479,Master_PIC!$A$8:$G$73,2,FALSE)),"")</f>
        <v/>
      </c>
      <c r="D479" s="15" t="str">
        <f>IF(COUNTIFS(Master_PIC!$A$8:$A$73,$B479)=1,IF(VLOOKUP($B479,Master_PIC!$A$8:$G$73,4,FALSE)="","",VLOOKUP($B479,Master_PIC!$A$8:$G$73,4,FALSE)),"")</f>
        <v/>
      </c>
      <c r="E479" s="15" t="str">
        <f>IF(COUNTIFS(Master_PIC!$A$8:$A$73,$B479)=1,IF(VLOOKUP($B479,Master_PIC!$A$8:$G$73,5,FALSE)="","",VLOOKUP($B479,Master_PIC!$A$8:$G$73,5,FALSE)),"")</f>
        <v/>
      </c>
      <c r="F479" s="15" t="str">
        <f>IF(COUNTIFS(Master_PIC!$A$8:$A$73,$B479)=1,IF(VLOOKUP($B479,Master_PIC!$A$8:$G$73,6,FALSE)="","",VLOOKUP($B479,Master_PIC!$A$8:$G$73,6,FALSE)),"")</f>
        <v/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8"/>
      <c r="X479" s="5"/>
      <c r="Y479" s="5"/>
      <c r="Z479" s="9"/>
      <c r="AA479" s="5"/>
      <c r="AB479" s="5"/>
      <c r="AC479" s="9"/>
      <c r="AD479" s="5"/>
      <c r="AE479" s="7" t="str">
        <f t="shared" si="49"/>
        <v/>
      </c>
      <c r="AF479" s="7" t="str">
        <f t="shared" si="50"/>
        <v/>
      </c>
      <c r="AG479" s="7" t="str">
        <f t="shared" si="51"/>
        <v/>
      </c>
      <c r="AH479" s="7" t="str">
        <f t="shared" si="52"/>
        <v/>
      </c>
      <c r="AI479" s="7" t="str">
        <f t="shared" si="53"/>
        <v/>
      </c>
      <c r="AJ479" s="7" t="str">
        <f t="shared" si="54"/>
        <v/>
      </c>
      <c r="AK479" s="10" t="str">
        <f t="shared" si="55"/>
        <v/>
      </c>
      <c r="AL479" s="15" t="str">
        <f>IF(OR($A479&lt;&gt;"",$B479&lt;&gt;""),IF(OR($A479="",$B479=""),"Isi tanggal dan ID PIC",IF(NOT(ISNUMBER($A479)),"Tanggal harus berupa tanggal Excel",IF(COUNTIFS(Master_PIC!$A$8:$A$73,$B479)&lt;&gt;1,"ID PIC tidak unik/terdaftar",IF(VLOOKUP($B479,Master_PIC!$A$8:$G$73,3,FALSE)&lt;&gt;"ASM","Jabatan tidak sesuai sheet",IF(OR($C479="",$D479="",$E479="",$F479=""),"Lengkapi master PIC",IF(COUNTIFS($A$8:$A$507,$A479,$B$8:$B$507,$B479)&gt;1,"Laporan ganda",IF(COUNTIFS(G479:O479,"Tidak Berlaku")&gt;0,"N/A hanya untuk kegiatan bersyarat",IF(SUM(AF479,AG479,AH479,AI479,AJ479)&lt;&gt;13,"Status kegiatan tidak valid",IF(AJ479&gt;0,"Lengkapi status kegiatan",IF(AND(AI479&gt;0,T479=""),"Isi alasan Tidak Berlaku",IF(AND(SUM(AG479,AH479)&gt;0,OR(T479="",U479="",V479="",W479="")),"Isi kendala dan tindak lanjut",IF(AND(Y479&lt;&gt;"Draft",Y479&lt;&gt;"Dikirim"),"Isi status laporan yang valid",IF(AND(AA479&lt;&gt;"",AA479&lt;&gt;"Belum Diperiksa",AA479&lt;&gt;"Disetujui",AA479&lt;&gt;"Perlu Perbaikan"),"Hasil review tidak valid",IF(AND(Y479="Dikirim",OR(X479="",Z479="")),"Isi bukti dan waktu kirim",IF(AND(AA479="Disetujui",OR(Y479&lt;&gt;"Dikirim",AB479="",AC479="")),"Lengkapi pemeriksaan",IF(AND(AA479="Perlu Perbaikan",OR(AD479="",AB479="",AC479="")),"Isi pemeriksa dan catatan perbaikan","OK")))))))))))))))),"")</f>
        <v/>
      </c>
    </row>
    <row r="480" spans="1:38" ht="24.95" customHeight="1">
      <c r="A480" s="8"/>
      <c r="B480" s="6"/>
      <c r="C480" s="15" t="str">
        <f>IF(COUNTIFS(Master_PIC!$A$8:$A$73,$B480)=1,IF(VLOOKUP($B480,Master_PIC!$A$8:$G$73,2,FALSE)="","",VLOOKUP($B480,Master_PIC!$A$8:$G$73,2,FALSE)),"")</f>
        <v/>
      </c>
      <c r="D480" s="15" t="str">
        <f>IF(COUNTIFS(Master_PIC!$A$8:$A$73,$B480)=1,IF(VLOOKUP($B480,Master_PIC!$A$8:$G$73,4,FALSE)="","",VLOOKUP($B480,Master_PIC!$A$8:$G$73,4,FALSE)),"")</f>
        <v/>
      </c>
      <c r="E480" s="15" t="str">
        <f>IF(COUNTIFS(Master_PIC!$A$8:$A$73,$B480)=1,IF(VLOOKUP($B480,Master_PIC!$A$8:$G$73,5,FALSE)="","",VLOOKUP($B480,Master_PIC!$A$8:$G$73,5,FALSE)),"")</f>
        <v/>
      </c>
      <c r="F480" s="15" t="str">
        <f>IF(COUNTIFS(Master_PIC!$A$8:$A$73,$B480)=1,IF(VLOOKUP($B480,Master_PIC!$A$8:$G$73,6,FALSE)="","",VLOOKUP($B480,Master_PIC!$A$8:$G$73,6,FALSE)),"")</f>
        <v/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8"/>
      <c r="X480" s="5"/>
      <c r="Y480" s="5"/>
      <c r="Z480" s="9"/>
      <c r="AA480" s="5"/>
      <c r="AB480" s="5"/>
      <c r="AC480" s="9"/>
      <c r="AD480" s="5"/>
      <c r="AE480" s="7" t="str">
        <f t="shared" si="49"/>
        <v/>
      </c>
      <c r="AF480" s="7" t="str">
        <f t="shared" si="50"/>
        <v/>
      </c>
      <c r="AG480" s="7" t="str">
        <f t="shared" si="51"/>
        <v/>
      </c>
      <c r="AH480" s="7" t="str">
        <f t="shared" si="52"/>
        <v/>
      </c>
      <c r="AI480" s="7" t="str">
        <f t="shared" si="53"/>
        <v/>
      </c>
      <c r="AJ480" s="7" t="str">
        <f t="shared" si="54"/>
        <v/>
      </c>
      <c r="AK480" s="10" t="str">
        <f t="shared" si="55"/>
        <v/>
      </c>
      <c r="AL480" s="15" t="str">
        <f>IF(OR($A480&lt;&gt;"",$B480&lt;&gt;""),IF(OR($A480="",$B480=""),"Isi tanggal dan ID PIC",IF(NOT(ISNUMBER($A480)),"Tanggal harus berupa tanggal Excel",IF(COUNTIFS(Master_PIC!$A$8:$A$73,$B480)&lt;&gt;1,"ID PIC tidak unik/terdaftar",IF(VLOOKUP($B480,Master_PIC!$A$8:$G$73,3,FALSE)&lt;&gt;"ASM","Jabatan tidak sesuai sheet",IF(OR($C480="",$D480="",$E480="",$F480=""),"Lengkapi master PIC",IF(COUNTIFS($A$8:$A$507,$A480,$B$8:$B$507,$B480)&gt;1,"Laporan ganda",IF(COUNTIFS(G480:O480,"Tidak Berlaku")&gt;0,"N/A hanya untuk kegiatan bersyarat",IF(SUM(AF480,AG480,AH480,AI480,AJ480)&lt;&gt;13,"Status kegiatan tidak valid",IF(AJ480&gt;0,"Lengkapi status kegiatan",IF(AND(AI480&gt;0,T480=""),"Isi alasan Tidak Berlaku",IF(AND(SUM(AG480,AH480)&gt;0,OR(T480="",U480="",V480="",W480="")),"Isi kendala dan tindak lanjut",IF(AND(Y480&lt;&gt;"Draft",Y480&lt;&gt;"Dikirim"),"Isi status laporan yang valid",IF(AND(AA480&lt;&gt;"",AA480&lt;&gt;"Belum Diperiksa",AA480&lt;&gt;"Disetujui",AA480&lt;&gt;"Perlu Perbaikan"),"Hasil review tidak valid",IF(AND(Y480="Dikirim",OR(X480="",Z480="")),"Isi bukti dan waktu kirim",IF(AND(AA480="Disetujui",OR(Y480&lt;&gt;"Dikirim",AB480="",AC480="")),"Lengkapi pemeriksaan",IF(AND(AA480="Perlu Perbaikan",OR(AD480="",AB480="",AC480="")),"Isi pemeriksa dan catatan perbaikan","OK")))))))))))))))),"")</f>
        <v/>
      </c>
    </row>
    <row r="481" spans="1:38" ht="24.95" customHeight="1">
      <c r="A481" s="8"/>
      <c r="B481" s="6"/>
      <c r="C481" s="15" t="str">
        <f>IF(COUNTIFS(Master_PIC!$A$8:$A$73,$B481)=1,IF(VLOOKUP($B481,Master_PIC!$A$8:$G$73,2,FALSE)="","",VLOOKUP($B481,Master_PIC!$A$8:$G$73,2,FALSE)),"")</f>
        <v/>
      </c>
      <c r="D481" s="15" t="str">
        <f>IF(COUNTIFS(Master_PIC!$A$8:$A$73,$B481)=1,IF(VLOOKUP($B481,Master_PIC!$A$8:$G$73,4,FALSE)="","",VLOOKUP($B481,Master_PIC!$A$8:$G$73,4,FALSE)),"")</f>
        <v/>
      </c>
      <c r="E481" s="15" t="str">
        <f>IF(COUNTIFS(Master_PIC!$A$8:$A$73,$B481)=1,IF(VLOOKUP($B481,Master_PIC!$A$8:$G$73,5,FALSE)="","",VLOOKUP($B481,Master_PIC!$A$8:$G$73,5,FALSE)),"")</f>
        <v/>
      </c>
      <c r="F481" s="15" t="str">
        <f>IF(COUNTIFS(Master_PIC!$A$8:$A$73,$B481)=1,IF(VLOOKUP($B481,Master_PIC!$A$8:$G$73,6,FALSE)="","",VLOOKUP($B481,Master_PIC!$A$8:$G$73,6,FALSE)),"")</f>
        <v/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8"/>
      <c r="X481" s="5"/>
      <c r="Y481" s="5"/>
      <c r="Z481" s="9"/>
      <c r="AA481" s="5"/>
      <c r="AB481" s="5"/>
      <c r="AC481" s="9"/>
      <c r="AD481" s="5"/>
      <c r="AE481" s="7" t="str">
        <f t="shared" si="49"/>
        <v/>
      </c>
      <c r="AF481" s="7" t="str">
        <f t="shared" si="50"/>
        <v/>
      </c>
      <c r="AG481" s="7" t="str">
        <f t="shared" si="51"/>
        <v/>
      </c>
      <c r="AH481" s="7" t="str">
        <f t="shared" si="52"/>
        <v/>
      </c>
      <c r="AI481" s="7" t="str">
        <f t="shared" si="53"/>
        <v/>
      </c>
      <c r="AJ481" s="7" t="str">
        <f t="shared" si="54"/>
        <v/>
      </c>
      <c r="AK481" s="10" t="str">
        <f t="shared" si="55"/>
        <v/>
      </c>
      <c r="AL481" s="15" t="str">
        <f>IF(OR($A481&lt;&gt;"",$B481&lt;&gt;""),IF(OR($A481="",$B481=""),"Isi tanggal dan ID PIC",IF(NOT(ISNUMBER($A481)),"Tanggal harus berupa tanggal Excel",IF(COUNTIFS(Master_PIC!$A$8:$A$73,$B481)&lt;&gt;1,"ID PIC tidak unik/terdaftar",IF(VLOOKUP($B481,Master_PIC!$A$8:$G$73,3,FALSE)&lt;&gt;"ASM","Jabatan tidak sesuai sheet",IF(OR($C481="",$D481="",$E481="",$F481=""),"Lengkapi master PIC",IF(COUNTIFS($A$8:$A$507,$A481,$B$8:$B$507,$B481)&gt;1,"Laporan ganda",IF(COUNTIFS(G481:O481,"Tidak Berlaku")&gt;0,"N/A hanya untuk kegiatan bersyarat",IF(SUM(AF481,AG481,AH481,AI481,AJ481)&lt;&gt;13,"Status kegiatan tidak valid",IF(AJ481&gt;0,"Lengkapi status kegiatan",IF(AND(AI481&gt;0,T481=""),"Isi alasan Tidak Berlaku",IF(AND(SUM(AG481,AH481)&gt;0,OR(T481="",U481="",V481="",W481="")),"Isi kendala dan tindak lanjut",IF(AND(Y481&lt;&gt;"Draft",Y481&lt;&gt;"Dikirim"),"Isi status laporan yang valid",IF(AND(AA481&lt;&gt;"",AA481&lt;&gt;"Belum Diperiksa",AA481&lt;&gt;"Disetujui",AA481&lt;&gt;"Perlu Perbaikan"),"Hasil review tidak valid",IF(AND(Y481="Dikirim",OR(X481="",Z481="")),"Isi bukti dan waktu kirim",IF(AND(AA481="Disetujui",OR(Y481&lt;&gt;"Dikirim",AB481="",AC481="")),"Lengkapi pemeriksaan",IF(AND(AA481="Perlu Perbaikan",OR(AD481="",AB481="",AC481="")),"Isi pemeriksa dan catatan perbaikan","OK")))))))))))))))),"")</f>
        <v/>
      </c>
    </row>
    <row r="482" spans="1:38" ht="24.95" customHeight="1">
      <c r="A482" s="8"/>
      <c r="B482" s="6"/>
      <c r="C482" s="15" t="str">
        <f>IF(COUNTIFS(Master_PIC!$A$8:$A$73,$B482)=1,IF(VLOOKUP($B482,Master_PIC!$A$8:$G$73,2,FALSE)="","",VLOOKUP($B482,Master_PIC!$A$8:$G$73,2,FALSE)),"")</f>
        <v/>
      </c>
      <c r="D482" s="15" t="str">
        <f>IF(COUNTIFS(Master_PIC!$A$8:$A$73,$B482)=1,IF(VLOOKUP($B482,Master_PIC!$A$8:$G$73,4,FALSE)="","",VLOOKUP($B482,Master_PIC!$A$8:$G$73,4,FALSE)),"")</f>
        <v/>
      </c>
      <c r="E482" s="15" t="str">
        <f>IF(COUNTIFS(Master_PIC!$A$8:$A$73,$B482)=1,IF(VLOOKUP($B482,Master_PIC!$A$8:$G$73,5,FALSE)="","",VLOOKUP($B482,Master_PIC!$A$8:$G$73,5,FALSE)),"")</f>
        <v/>
      </c>
      <c r="F482" s="15" t="str">
        <f>IF(COUNTIFS(Master_PIC!$A$8:$A$73,$B482)=1,IF(VLOOKUP($B482,Master_PIC!$A$8:$G$73,6,FALSE)="","",VLOOKUP($B482,Master_PIC!$A$8:$G$73,6,FALSE)),"")</f>
        <v/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8"/>
      <c r="X482" s="5"/>
      <c r="Y482" s="5"/>
      <c r="Z482" s="9"/>
      <c r="AA482" s="5"/>
      <c r="AB482" s="5"/>
      <c r="AC482" s="9"/>
      <c r="AD482" s="5"/>
      <c r="AE482" s="7" t="str">
        <f t="shared" si="49"/>
        <v/>
      </c>
      <c r="AF482" s="7" t="str">
        <f t="shared" si="50"/>
        <v/>
      </c>
      <c r="AG482" s="7" t="str">
        <f t="shared" si="51"/>
        <v/>
      </c>
      <c r="AH482" s="7" t="str">
        <f t="shared" si="52"/>
        <v/>
      </c>
      <c r="AI482" s="7" t="str">
        <f t="shared" si="53"/>
        <v/>
      </c>
      <c r="AJ482" s="7" t="str">
        <f t="shared" si="54"/>
        <v/>
      </c>
      <c r="AK482" s="10" t="str">
        <f t="shared" si="55"/>
        <v/>
      </c>
      <c r="AL482" s="15" t="str">
        <f>IF(OR($A482&lt;&gt;"",$B482&lt;&gt;""),IF(OR($A482="",$B482=""),"Isi tanggal dan ID PIC",IF(NOT(ISNUMBER($A482)),"Tanggal harus berupa tanggal Excel",IF(COUNTIFS(Master_PIC!$A$8:$A$73,$B482)&lt;&gt;1,"ID PIC tidak unik/terdaftar",IF(VLOOKUP($B482,Master_PIC!$A$8:$G$73,3,FALSE)&lt;&gt;"ASM","Jabatan tidak sesuai sheet",IF(OR($C482="",$D482="",$E482="",$F482=""),"Lengkapi master PIC",IF(COUNTIFS($A$8:$A$507,$A482,$B$8:$B$507,$B482)&gt;1,"Laporan ganda",IF(COUNTIFS(G482:O482,"Tidak Berlaku")&gt;0,"N/A hanya untuk kegiatan bersyarat",IF(SUM(AF482,AG482,AH482,AI482,AJ482)&lt;&gt;13,"Status kegiatan tidak valid",IF(AJ482&gt;0,"Lengkapi status kegiatan",IF(AND(AI482&gt;0,T482=""),"Isi alasan Tidak Berlaku",IF(AND(SUM(AG482,AH482)&gt;0,OR(T482="",U482="",V482="",W482="")),"Isi kendala dan tindak lanjut",IF(AND(Y482&lt;&gt;"Draft",Y482&lt;&gt;"Dikirim"),"Isi status laporan yang valid",IF(AND(AA482&lt;&gt;"",AA482&lt;&gt;"Belum Diperiksa",AA482&lt;&gt;"Disetujui",AA482&lt;&gt;"Perlu Perbaikan"),"Hasil review tidak valid",IF(AND(Y482="Dikirim",OR(X482="",Z482="")),"Isi bukti dan waktu kirim",IF(AND(AA482="Disetujui",OR(Y482&lt;&gt;"Dikirim",AB482="",AC482="")),"Lengkapi pemeriksaan",IF(AND(AA482="Perlu Perbaikan",OR(AD482="",AB482="",AC482="")),"Isi pemeriksa dan catatan perbaikan","OK")))))))))))))))),"")</f>
        <v/>
      </c>
    </row>
    <row r="483" spans="1:38" ht="24.95" customHeight="1">
      <c r="A483" s="8"/>
      <c r="B483" s="6"/>
      <c r="C483" s="15" t="str">
        <f>IF(COUNTIFS(Master_PIC!$A$8:$A$73,$B483)=1,IF(VLOOKUP($B483,Master_PIC!$A$8:$G$73,2,FALSE)="","",VLOOKUP($B483,Master_PIC!$A$8:$G$73,2,FALSE)),"")</f>
        <v/>
      </c>
      <c r="D483" s="15" t="str">
        <f>IF(COUNTIFS(Master_PIC!$A$8:$A$73,$B483)=1,IF(VLOOKUP($B483,Master_PIC!$A$8:$G$73,4,FALSE)="","",VLOOKUP($B483,Master_PIC!$A$8:$G$73,4,FALSE)),"")</f>
        <v/>
      </c>
      <c r="E483" s="15" t="str">
        <f>IF(COUNTIFS(Master_PIC!$A$8:$A$73,$B483)=1,IF(VLOOKUP($B483,Master_PIC!$A$8:$G$73,5,FALSE)="","",VLOOKUP($B483,Master_PIC!$A$8:$G$73,5,FALSE)),"")</f>
        <v/>
      </c>
      <c r="F483" s="15" t="str">
        <f>IF(COUNTIFS(Master_PIC!$A$8:$A$73,$B483)=1,IF(VLOOKUP($B483,Master_PIC!$A$8:$G$73,6,FALSE)="","",VLOOKUP($B483,Master_PIC!$A$8:$G$73,6,FALSE)),"")</f>
        <v/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8"/>
      <c r="X483" s="5"/>
      <c r="Y483" s="5"/>
      <c r="Z483" s="9"/>
      <c r="AA483" s="5"/>
      <c r="AB483" s="5"/>
      <c r="AC483" s="9"/>
      <c r="AD483" s="5"/>
      <c r="AE483" s="7" t="str">
        <f t="shared" si="49"/>
        <v/>
      </c>
      <c r="AF483" s="7" t="str">
        <f t="shared" si="50"/>
        <v/>
      </c>
      <c r="AG483" s="7" t="str">
        <f t="shared" si="51"/>
        <v/>
      </c>
      <c r="AH483" s="7" t="str">
        <f t="shared" si="52"/>
        <v/>
      </c>
      <c r="AI483" s="7" t="str">
        <f t="shared" si="53"/>
        <v/>
      </c>
      <c r="AJ483" s="7" t="str">
        <f t="shared" si="54"/>
        <v/>
      </c>
      <c r="AK483" s="10" t="str">
        <f t="shared" si="55"/>
        <v/>
      </c>
      <c r="AL483" s="15" t="str">
        <f>IF(OR($A483&lt;&gt;"",$B483&lt;&gt;""),IF(OR($A483="",$B483=""),"Isi tanggal dan ID PIC",IF(NOT(ISNUMBER($A483)),"Tanggal harus berupa tanggal Excel",IF(COUNTIFS(Master_PIC!$A$8:$A$73,$B483)&lt;&gt;1,"ID PIC tidak unik/terdaftar",IF(VLOOKUP($B483,Master_PIC!$A$8:$G$73,3,FALSE)&lt;&gt;"ASM","Jabatan tidak sesuai sheet",IF(OR($C483="",$D483="",$E483="",$F483=""),"Lengkapi master PIC",IF(COUNTIFS($A$8:$A$507,$A483,$B$8:$B$507,$B483)&gt;1,"Laporan ganda",IF(COUNTIFS(G483:O483,"Tidak Berlaku")&gt;0,"N/A hanya untuk kegiatan bersyarat",IF(SUM(AF483,AG483,AH483,AI483,AJ483)&lt;&gt;13,"Status kegiatan tidak valid",IF(AJ483&gt;0,"Lengkapi status kegiatan",IF(AND(AI483&gt;0,T483=""),"Isi alasan Tidak Berlaku",IF(AND(SUM(AG483,AH483)&gt;0,OR(T483="",U483="",V483="",W483="")),"Isi kendala dan tindak lanjut",IF(AND(Y483&lt;&gt;"Draft",Y483&lt;&gt;"Dikirim"),"Isi status laporan yang valid",IF(AND(AA483&lt;&gt;"",AA483&lt;&gt;"Belum Diperiksa",AA483&lt;&gt;"Disetujui",AA483&lt;&gt;"Perlu Perbaikan"),"Hasil review tidak valid",IF(AND(Y483="Dikirim",OR(X483="",Z483="")),"Isi bukti dan waktu kirim",IF(AND(AA483="Disetujui",OR(Y483&lt;&gt;"Dikirim",AB483="",AC483="")),"Lengkapi pemeriksaan",IF(AND(AA483="Perlu Perbaikan",OR(AD483="",AB483="",AC483="")),"Isi pemeriksa dan catatan perbaikan","OK")))))))))))))))),"")</f>
        <v/>
      </c>
    </row>
    <row r="484" spans="1:38" ht="24.95" customHeight="1">
      <c r="A484" s="8"/>
      <c r="B484" s="6"/>
      <c r="C484" s="15" t="str">
        <f>IF(COUNTIFS(Master_PIC!$A$8:$A$73,$B484)=1,IF(VLOOKUP($B484,Master_PIC!$A$8:$G$73,2,FALSE)="","",VLOOKUP($B484,Master_PIC!$A$8:$G$73,2,FALSE)),"")</f>
        <v/>
      </c>
      <c r="D484" s="15" t="str">
        <f>IF(COUNTIFS(Master_PIC!$A$8:$A$73,$B484)=1,IF(VLOOKUP($B484,Master_PIC!$A$8:$G$73,4,FALSE)="","",VLOOKUP($B484,Master_PIC!$A$8:$G$73,4,FALSE)),"")</f>
        <v/>
      </c>
      <c r="E484" s="15" t="str">
        <f>IF(COUNTIFS(Master_PIC!$A$8:$A$73,$B484)=1,IF(VLOOKUP($B484,Master_PIC!$A$8:$G$73,5,FALSE)="","",VLOOKUP($B484,Master_PIC!$A$8:$G$73,5,FALSE)),"")</f>
        <v/>
      </c>
      <c r="F484" s="15" t="str">
        <f>IF(COUNTIFS(Master_PIC!$A$8:$A$73,$B484)=1,IF(VLOOKUP($B484,Master_PIC!$A$8:$G$73,6,FALSE)="","",VLOOKUP($B484,Master_PIC!$A$8:$G$73,6,FALSE)),"")</f>
        <v/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8"/>
      <c r="X484" s="5"/>
      <c r="Y484" s="5"/>
      <c r="Z484" s="9"/>
      <c r="AA484" s="5"/>
      <c r="AB484" s="5"/>
      <c r="AC484" s="9"/>
      <c r="AD484" s="5"/>
      <c r="AE484" s="7" t="str">
        <f t="shared" si="49"/>
        <v/>
      </c>
      <c r="AF484" s="7" t="str">
        <f t="shared" si="50"/>
        <v/>
      </c>
      <c r="AG484" s="7" t="str">
        <f t="shared" si="51"/>
        <v/>
      </c>
      <c r="AH484" s="7" t="str">
        <f t="shared" si="52"/>
        <v/>
      </c>
      <c r="AI484" s="7" t="str">
        <f t="shared" si="53"/>
        <v/>
      </c>
      <c r="AJ484" s="7" t="str">
        <f t="shared" si="54"/>
        <v/>
      </c>
      <c r="AK484" s="10" t="str">
        <f t="shared" si="55"/>
        <v/>
      </c>
      <c r="AL484" s="15" t="str">
        <f>IF(OR($A484&lt;&gt;"",$B484&lt;&gt;""),IF(OR($A484="",$B484=""),"Isi tanggal dan ID PIC",IF(NOT(ISNUMBER($A484)),"Tanggal harus berupa tanggal Excel",IF(COUNTIFS(Master_PIC!$A$8:$A$73,$B484)&lt;&gt;1,"ID PIC tidak unik/terdaftar",IF(VLOOKUP($B484,Master_PIC!$A$8:$G$73,3,FALSE)&lt;&gt;"ASM","Jabatan tidak sesuai sheet",IF(OR($C484="",$D484="",$E484="",$F484=""),"Lengkapi master PIC",IF(COUNTIFS($A$8:$A$507,$A484,$B$8:$B$507,$B484)&gt;1,"Laporan ganda",IF(COUNTIFS(G484:O484,"Tidak Berlaku")&gt;0,"N/A hanya untuk kegiatan bersyarat",IF(SUM(AF484,AG484,AH484,AI484,AJ484)&lt;&gt;13,"Status kegiatan tidak valid",IF(AJ484&gt;0,"Lengkapi status kegiatan",IF(AND(AI484&gt;0,T484=""),"Isi alasan Tidak Berlaku",IF(AND(SUM(AG484,AH484)&gt;0,OR(T484="",U484="",V484="",W484="")),"Isi kendala dan tindak lanjut",IF(AND(Y484&lt;&gt;"Draft",Y484&lt;&gt;"Dikirim"),"Isi status laporan yang valid",IF(AND(AA484&lt;&gt;"",AA484&lt;&gt;"Belum Diperiksa",AA484&lt;&gt;"Disetujui",AA484&lt;&gt;"Perlu Perbaikan"),"Hasil review tidak valid",IF(AND(Y484="Dikirim",OR(X484="",Z484="")),"Isi bukti dan waktu kirim",IF(AND(AA484="Disetujui",OR(Y484&lt;&gt;"Dikirim",AB484="",AC484="")),"Lengkapi pemeriksaan",IF(AND(AA484="Perlu Perbaikan",OR(AD484="",AB484="",AC484="")),"Isi pemeriksa dan catatan perbaikan","OK")))))))))))))))),"")</f>
        <v/>
      </c>
    </row>
    <row r="485" spans="1:38" ht="24.95" customHeight="1">
      <c r="A485" s="8"/>
      <c r="B485" s="6"/>
      <c r="C485" s="15" t="str">
        <f>IF(COUNTIFS(Master_PIC!$A$8:$A$73,$B485)=1,IF(VLOOKUP($B485,Master_PIC!$A$8:$G$73,2,FALSE)="","",VLOOKUP($B485,Master_PIC!$A$8:$G$73,2,FALSE)),"")</f>
        <v/>
      </c>
      <c r="D485" s="15" t="str">
        <f>IF(COUNTIFS(Master_PIC!$A$8:$A$73,$B485)=1,IF(VLOOKUP($B485,Master_PIC!$A$8:$G$73,4,FALSE)="","",VLOOKUP($B485,Master_PIC!$A$8:$G$73,4,FALSE)),"")</f>
        <v/>
      </c>
      <c r="E485" s="15" t="str">
        <f>IF(COUNTIFS(Master_PIC!$A$8:$A$73,$B485)=1,IF(VLOOKUP($B485,Master_PIC!$A$8:$G$73,5,FALSE)="","",VLOOKUP($B485,Master_PIC!$A$8:$G$73,5,FALSE)),"")</f>
        <v/>
      </c>
      <c r="F485" s="15" t="str">
        <f>IF(COUNTIFS(Master_PIC!$A$8:$A$73,$B485)=1,IF(VLOOKUP($B485,Master_PIC!$A$8:$G$73,6,FALSE)="","",VLOOKUP($B485,Master_PIC!$A$8:$G$73,6,FALSE)),"")</f>
        <v/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8"/>
      <c r="X485" s="5"/>
      <c r="Y485" s="5"/>
      <c r="Z485" s="9"/>
      <c r="AA485" s="5"/>
      <c r="AB485" s="5"/>
      <c r="AC485" s="9"/>
      <c r="AD485" s="5"/>
      <c r="AE485" s="7" t="str">
        <f t="shared" si="49"/>
        <v/>
      </c>
      <c r="AF485" s="7" t="str">
        <f t="shared" si="50"/>
        <v/>
      </c>
      <c r="AG485" s="7" t="str">
        <f t="shared" si="51"/>
        <v/>
      </c>
      <c r="AH485" s="7" t="str">
        <f t="shared" si="52"/>
        <v/>
      </c>
      <c r="AI485" s="7" t="str">
        <f t="shared" si="53"/>
        <v/>
      </c>
      <c r="AJ485" s="7" t="str">
        <f t="shared" si="54"/>
        <v/>
      </c>
      <c r="AK485" s="10" t="str">
        <f t="shared" si="55"/>
        <v/>
      </c>
      <c r="AL485" s="15" t="str">
        <f>IF(OR($A485&lt;&gt;"",$B485&lt;&gt;""),IF(OR($A485="",$B485=""),"Isi tanggal dan ID PIC",IF(NOT(ISNUMBER($A485)),"Tanggal harus berupa tanggal Excel",IF(COUNTIFS(Master_PIC!$A$8:$A$73,$B485)&lt;&gt;1,"ID PIC tidak unik/terdaftar",IF(VLOOKUP($B485,Master_PIC!$A$8:$G$73,3,FALSE)&lt;&gt;"ASM","Jabatan tidak sesuai sheet",IF(OR($C485="",$D485="",$E485="",$F485=""),"Lengkapi master PIC",IF(COUNTIFS($A$8:$A$507,$A485,$B$8:$B$507,$B485)&gt;1,"Laporan ganda",IF(COUNTIFS(G485:O485,"Tidak Berlaku")&gt;0,"N/A hanya untuk kegiatan bersyarat",IF(SUM(AF485,AG485,AH485,AI485,AJ485)&lt;&gt;13,"Status kegiatan tidak valid",IF(AJ485&gt;0,"Lengkapi status kegiatan",IF(AND(AI485&gt;0,T485=""),"Isi alasan Tidak Berlaku",IF(AND(SUM(AG485,AH485)&gt;0,OR(T485="",U485="",V485="",W485="")),"Isi kendala dan tindak lanjut",IF(AND(Y485&lt;&gt;"Draft",Y485&lt;&gt;"Dikirim"),"Isi status laporan yang valid",IF(AND(AA485&lt;&gt;"",AA485&lt;&gt;"Belum Diperiksa",AA485&lt;&gt;"Disetujui",AA485&lt;&gt;"Perlu Perbaikan"),"Hasil review tidak valid",IF(AND(Y485="Dikirim",OR(X485="",Z485="")),"Isi bukti dan waktu kirim",IF(AND(AA485="Disetujui",OR(Y485&lt;&gt;"Dikirim",AB485="",AC485="")),"Lengkapi pemeriksaan",IF(AND(AA485="Perlu Perbaikan",OR(AD485="",AB485="",AC485="")),"Isi pemeriksa dan catatan perbaikan","OK")))))))))))))))),"")</f>
        <v/>
      </c>
    </row>
    <row r="486" spans="1:38" ht="24.95" customHeight="1">
      <c r="A486" s="8"/>
      <c r="B486" s="6"/>
      <c r="C486" s="15" t="str">
        <f>IF(COUNTIFS(Master_PIC!$A$8:$A$73,$B486)=1,IF(VLOOKUP($B486,Master_PIC!$A$8:$G$73,2,FALSE)="","",VLOOKUP($B486,Master_PIC!$A$8:$G$73,2,FALSE)),"")</f>
        <v/>
      </c>
      <c r="D486" s="15" t="str">
        <f>IF(COUNTIFS(Master_PIC!$A$8:$A$73,$B486)=1,IF(VLOOKUP($B486,Master_PIC!$A$8:$G$73,4,FALSE)="","",VLOOKUP($B486,Master_PIC!$A$8:$G$73,4,FALSE)),"")</f>
        <v/>
      </c>
      <c r="E486" s="15" t="str">
        <f>IF(COUNTIFS(Master_PIC!$A$8:$A$73,$B486)=1,IF(VLOOKUP($B486,Master_PIC!$A$8:$G$73,5,FALSE)="","",VLOOKUP($B486,Master_PIC!$A$8:$G$73,5,FALSE)),"")</f>
        <v/>
      </c>
      <c r="F486" s="15" t="str">
        <f>IF(COUNTIFS(Master_PIC!$A$8:$A$73,$B486)=1,IF(VLOOKUP($B486,Master_PIC!$A$8:$G$73,6,FALSE)="","",VLOOKUP($B486,Master_PIC!$A$8:$G$73,6,FALSE)),"")</f>
        <v/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8"/>
      <c r="X486" s="5"/>
      <c r="Y486" s="5"/>
      <c r="Z486" s="9"/>
      <c r="AA486" s="5"/>
      <c r="AB486" s="5"/>
      <c r="AC486" s="9"/>
      <c r="AD486" s="5"/>
      <c r="AE486" s="7" t="str">
        <f t="shared" si="49"/>
        <v/>
      </c>
      <c r="AF486" s="7" t="str">
        <f t="shared" si="50"/>
        <v/>
      </c>
      <c r="AG486" s="7" t="str">
        <f t="shared" si="51"/>
        <v/>
      </c>
      <c r="AH486" s="7" t="str">
        <f t="shared" si="52"/>
        <v/>
      </c>
      <c r="AI486" s="7" t="str">
        <f t="shared" si="53"/>
        <v/>
      </c>
      <c r="AJ486" s="7" t="str">
        <f t="shared" si="54"/>
        <v/>
      </c>
      <c r="AK486" s="10" t="str">
        <f t="shared" si="55"/>
        <v/>
      </c>
      <c r="AL486" s="15" t="str">
        <f>IF(OR($A486&lt;&gt;"",$B486&lt;&gt;""),IF(OR($A486="",$B486=""),"Isi tanggal dan ID PIC",IF(NOT(ISNUMBER($A486)),"Tanggal harus berupa tanggal Excel",IF(COUNTIFS(Master_PIC!$A$8:$A$73,$B486)&lt;&gt;1,"ID PIC tidak unik/terdaftar",IF(VLOOKUP($B486,Master_PIC!$A$8:$G$73,3,FALSE)&lt;&gt;"ASM","Jabatan tidak sesuai sheet",IF(OR($C486="",$D486="",$E486="",$F486=""),"Lengkapi master PIC",IF(COUNTIFS($A$8:$A$507,$A486,$B$8:$B$507,$B486)&gt;1,"Laporan ganda",IF(COUNTIFS(G486:O486,"Tidak Berlaku")&gt;0,"N/A hanya untuk kegiatan bersyarat",IF(SUM(AF486,AG486,AH486,AI486,AJ486)&lt;&gt;13,"Status kegiatan tidak valid",IF(AJ486&gt;0,"Lengkapi status kegiatan",IF(AND(AI486&gt;0,T486=""),"Isi alasan Tidak Berlaku",IF(AND(SUM(AG486,AH486)&gt;0,OR(T486="",U486="",V486="",W486="")),"Isi kendala dan tindak lanjut",IF(AND(Y486&lt;&gt;"Draft",Y486&lt;&gt;"Dikirim"),"Isi status laporan yang valid",IF(AND(AA486&lt;&gt;"",AA486&lt;&gt;"Belum Diperiksa",AA486&lt;&gt;"Disetujui",AA486&lt;&gt;"Perlu Perbaikan"),"Hasil review tidak valid",IF(AND(Y486="Dikirim",OR(X486="",Z486="")),"Isi bukti dan waktu kirim",IF(AND(AA486="Disetujui",OR(Y486&lt;&gt;"Dikirim",AB486="",AC486="")),"Lengkapi pemeriksaan",IF(AND(AA486="Perlu Perbaikan",OR(AD486="",AB486="",AC486="")),"Isi pemeriksa dan catatan perbaikan","OK")))))))))))))))),"")</f>
        <v/>
      </c>
    </row>
    <row r="487" spans="1:38" ht="24.95" customHeight="1">
      <c r="A487" s="8"/>
      <c r="B487" s="6"/>
      <c r="C487" s="15" t="str">
        <f>IF(COUNTIFS(Master_PIC!$A$8:$A$73,$B487)=1,IF(VLOOKUP($B487,Master_PIC!$A$8:$G$73,2,FALSE)="","",VLOOKUP($B487,Master_PIC!$A$8:$G$73,2,FALSE)),"")</f>
        <v/>
      </c>
      <c r="D487" s="15" t="str">
        <f>IF(COUNTIFS(Master_PIC!$A$8:$A$73,$B487)=1,IF(VLOOKUP($B487,Master_PIC!$A$8:$G$73,4,FALSE)="","",VLOOKUP($B487,Master_PIC!$A$8:$G$73,4,FALSE)),"")</f>
        <v/>
      </c>
      <c r="E487" s="15" t="str">
        <f>IF(COUNTIFS(Master_PIC!$A$8:$A$73,$B487)=1,IF(VLOOKUP($B487,Master_PIC!$A$8:$G$73,5,FALSE)="","",VLOOKUP($B487,Master_PIC!$A$8:$G$73,5,FALSE)),"")</f>
        <v/>
      </c>
      <c r="F487" s="15" t="str">
        <f>IF(COUNTIFS(Master_PIC!$A$8:$A$73,$B487)=1,IF(VLOOKUP($B487,Master_PIC!$A$8:$G$73,6,FALSE)="","",VLOOKUP($B487,Master_PIC!$A$8:$G$73,6,FALSE)),"")</f>
        <v/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8"/>
      <c r="X487" s="5"/>
      <c r="Y487" s="5"/>
      <c r="Z487" s="9"/>
      <c r="AA487" s="5"/>
      <c r="AB487" s="5"/>
      <c r="AC487" s="9"/>
      <c r="AD487" s="5"/>
      <c r="AE487" s="7" t="str">
        <f t="shared" si="49"/>
        <v/>
      </c>
      <c r="AF487" s="7" t="str">
        <f t="shared" si="50"/>
        <v/>
      </c>
      <c r="AG487" s="7" t="str">
        <f t="shared" si="51"/>
        <v/>
      </c>
      <c r="AH487" s="7" t="str">
        <f t="shared" si="52"/>
        <v/>
      </c>
      <c r="AI487" s="7" t="str">
        <f t="shared" si="53"/>
        <v/>
      </c>
      <c r="AJ487" s="7" t="str">
        <f t="shared" si="54"/>
        <v/>
      </c>
      <c r="AK487" s="10" t="str">
        <f t="shared" si="55"/>
        <v/>
      </c>
      <c r="AL487" s="15" t="str">
        <f>IF(OR($A487&lt;&gt;"",$B487&lt;&gt;""),IF(OR($A487="",$B487=""),"Isi tanggal dan ID PIC",IF(NOT(ISNUMBER($A487)),"Tanggal harus berupa tanggal Excel",IF(COUNTIFS(Master_PIC!$A$8:$A$73,$B487)&lt;&gt;1,"ID PIC tidak unik/terdaftar",IF(VLOOKUP($B487,Master_PIC!$A$8:$G$73,3,FALSE)&lt;&gt;"ASM","Jabatan tidak sesuai sheet",IF(OR($C487="",$D487="",$E487="",$F487=""),"Lengkapi master PIC",IF(COUNTIFS($A$8:$A$507,$A487,$B$8:$B$507,$B487)&gt;1,"Laporan ganda",IF(COUNTIFS(G487:O487,"Tidak Berlaku")&gt;0,"N/A hanya untuk kegiatan bersyarat",IF(SUM(AF487,AG487,AH487,AI487,AJ487)&lt;&gt;13,"Status kegiatan tidak valid",IF(AJ487&gt;0,"Lengkapi status kegiatan",IF(AND(AI487&gt;0,T487=""),"Isi alasan Tidak Berlaku",IF(AND(SUM(AG487,AH487)&gt;0,OR(T487="",U487="",V487="",W487="")),"Isi kendala dan tindak lanjut",IF(AND(Y487&lt;&gt;"Draft",Y487&lt;&gt;"Dikirim"),"Isi status laporan yang valid",IF(AND(AA487&lt;&gt;"",AA487&lt;&gt;"Belum Diperiksa",AA487&lt;&gt;"Disetujui",AA487&lt;&gt;"Perlu Perbaikan"),"Hasil review tidak valid",IF(AND(Y487="Dikirim",OR(X487="",Z487="")),"Isi bukti dan waktu kirim",IF(AND(AA487="Disetujui",OR(Y487&lt;&gt;"Dikirim",AB487="",AC487="")),"Lengkapi pemeriksaan",IF(AND(AA487="Perlu Perbaikan",OR(AD487="",AB487="",AC487="")),"Isi pemeriksa dan catatan perbaikan","OK")))))))))))))))),"")</f>
        <v/>
      </c>
    </row>
    <row r="488" spans="1:38" ht="24.95" customHeight="1">
      <c r="A488" s="8"/>
      <c r="B488" s="6"/>
      <c r="C488" s="15" t="str">
        <f>IF(COUNTIFS(Master_PIC!$A$8:$A$73,$B488)=1,IF(VLOOKUP($B488,Master_PIC!$A$8:$G$73,2,FALSE)="","",VLOOKUP($B488,Master_PIC!$A$8:$G$73,2,FALSE)),"")</f>
        <v/>
      </c>
      <c r="D488" s="15" t="str">
        <f>IF(COUNTIFS(Master_PIC!$A$8:$A$73,$B488)=1,IF(VLOOKUP($B488,Master_PIC!$A$8:$G$73,4,FALSE)="","",VLOOKUP($B488,Master_PIC!$A$8:$G$73,4,FALSE)),"")</f>
        <v/>
      </c>
      <c r="E488" s="15" t="str">
        <f>IF(COUNTIFS(Master_PIC!$A$8:$A$73,$B488)=1,IF(VLOOKUP($B488,Master_PIC!$A$8:$G$73,5,FALSE)="","",VLOOKUP($B488,Master_PIC!$A$8:$G$73,5,FALSE)),"")</f>
        <v/>
      </c>
      <c r="F488" s="15" t="str">
        <f>IF(COUNTIFS(Master_PIC!$A$8:$A$73,$B488)=1,IF(VLOOKUP($B488,Master_PIC!$A$8:$G$73,6,FALSE)="","",VLOOKUP($B488,Master_PIC!$A$8:$G$73,6,FALSE)),"")</f>
        <v/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8"/>
      <c r="X488" s="5"/>
      <c r="Y488" s="5"/>
      <c r="Z488" s="9"/>
      <c r="AA488" s="5"/>
      <c r="AB488" s="5"/>
      <c r="AC488" s="9"/>
      <c r="AD488" s="5"/>
      <c r="AE488" s="7" t="str">
        <f t="shared" si="49"/>
        <v/>
      </c>
      <c r="AF488" s="7" t="str">
        <f t="shared" si="50"/>
        <v/>
      </c>
      <c r="AG488" s="7" t="str">
        <f t="shared" si="51"/>
        <v/>
      </c>
      <c r="AH488" s="7" t="str">
        <f t="shared" si="52"/>
        <v/>
      </c>
      <c r="AI488" s="7" t="str">
        <f t="shared" si="53"/>
        <v/>
      </c>
      <c r="AJ488" s="7" t="str">
        <f t="shared" si="54"/>
        <v/>
      </c>
      <c r="AK488" s="10" t="str">
        <f t="shared" si="55"/>
        <v/>
      </c>
      <c r="AL488" s="15" t="str">
        <f>IF(OR($A488&lt;&gt;"",$B488&lt;&gt;""),IF(OR($A488="",$B488=""),"Isi tanggal dan ID PIC",IF(NOT(ISNUMBER($A488)),"Tanggal harus berupa tanggal Excel",IF(COUNTIFS(Master_PIC!$A$8:$A$73,$B488)&lt;&gt;1,"ID PIC tidak unik/terdaftar",IF(VLOOKUP($B488,Master_PIC!$A$8:$G$73,3,FALSE)&lt;&gt;"ASM","Jabatan tidak sesuai sheet",IF(OR($C488="",$D488="",$E488="",$F488=""),"Lengkapi master PIC",IF(COUNTIFS($A$8:$A$507,$A488,$B$8:$B$507,$B488)&gt;1,"Laporan ganda",IF(COUNTIFS(G488:O488,"Tidak Berlaku")&gt;0,"N/A hanya untuk kegiatan bersyarat",IF(SUM(AF488,AG488,AH488,AI488,AJ488)&lt;&gt;13,"Status kegiatan tidak valid",IF(AJ488&gt;0,"Lengkapi status kegiatan",IF(AND(AI488&gt;0,T488=""),"Isi alasan Tidak Berlaku",IF(AND(SUM(AG488,AH488)&gt;0,OR(T488="",U488="",V488="",W488="")),"Isi kendala dan tindak lanjut",IF(AND(Y488&lt;&gt;"Draft",Y488&lt;&gt;"Dikirim"),"Isi status laporan yang valid",IF(AND(AA488&lt;&gt;"",AA488&lt;&gt;"Belum Diperiksa",AA488&lt;&gt;"Disetujui",AA488&lt;&gt;"Perlu Perbaikan"),"Hasil review tidak valid",IF(AND(Y488="Dikirim",OR(X488="",Z488="")),"Isi bukti dan waktu kirim",IF(AND(AA488="Disetujui",OR(Y488&lt;&gt;"Dikirim",AB488="",AC488="")),"Lengkapi pemeriksaan",IF(AND(AA488="Perlu Perbaikan",OR(AD488="",AB488="",AC488="")),"Isi pemeriksa dan catatan perbaikan","OK")))))))))))))))),"")</f>
        <v/>
      </c>
    </row>
    <row r="489" spans="1:38" ht="24.95" customHeight="1">
      <c r="A489" s="8"/>
      <c r="B489" s="6"/>
      <c r="C489" s="15" t="str">
        <f>IF(COUNTIFS(Master_PIC!$A$8:$A$73,$B489)=1,IF(VLOOKUP($B489,Master_PIC!$A$8:$G$73,2,FALSE)="","",VLOOKUP($B489,Master_PIC!$A$8:$G$73,2,FALSE)),"")</f>
        <v/>
      </c>
      <c r="D489" s="15" t="str">
        <f>IF(COUNTIFS(Master_PIC!$A$8:$A$73,$B489)=1,IF(VLOOKUP($B489,Master_PIC!$A$8:$G$73,4,FALSE)="","",VLOOKUP($B489,Master_PIC!$A$8:$G$73,4,FALSE)),"")</f>
        <v/>
      </c>
      <c r="E489" s="15" t="str">
        <f>IF(COUNTIFS(Master_PIC!$A$8:$A$73,$B489)=1,IF(VLOOKUP($B489,Master_PIC!$A$8:$G$73,5,FALSE)="","",VLOOKUP($B489,Master_PIC!$A$8:$G$73,5,FALSE)),"")</f>
        <v/>
      </c>
      <c r="F489" s="15" t="str">
        <f>IF(COUNTIFS(Master_PIC!$A$8:$A$73,$B489)=1,IF(VLOOKUP($B489,Master_PIC!$A$8:$G$73,6,FALSE)="","",VLOOKUP($B489,Master_PIC!$A$8:$G$73,6,FALSE)),"")</f>
        <v/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8"/>
      <c r="X489" s="5"/>
      <c r="Y489" s="5"/>
      <c r="Z489" s="9"/>
      <c r="AA489" s="5"/>
      <c r="AB489" s="5"/>
      <c r="AC489" s="9"/>
      <c r="AD489" s="5"/>
      <c r="AE489" s="7" t="str">
        <f t="shared" si="49"/>
        <v/>
      </c>
      <c r="AF489" s="7" t="str">
        <f t="shared" si="50"/>
        <v/>
      </c>
      <c r="AG489" s="7" t="str">
        <f t="shared" si="51"/>
        <v/>
      </c>
      <c r="AH489" s="7" t="str">
        <f t="shared" si="52"/>
        <v/>
      </c>
      <c r="AI489" s="7" t="str">
        <f t="shared" si="53"/>
        <v/>
      </c>
      <c r="AJ489" s="7" t="str">
        <f t="shared" si="54"/>
        <v/>
      </c>
      <c r="AK489" s="10" t="str">
        <f t="shared" si="55"/>
        <v/>
      </c>
      <c r="AL489" s="15" t="str">
        <f>IF(OR($A489&lt;&gt;"",$B489&lt;&gt;""),IF(OR($A489="",$B489=""),"Isi tanggal dan ID PIC",IF(NOT(ISNUMBER($A489)),"Tanggal harus berupa tanggal Excel",IF(COUNTIFS(Master_PIC!$A$8:$A$73,$B489)&lt;&gt;1,"ID PIC tidak unik/terdaftar",IF(VLOOKUP($B489,Master_PIC!$A$8:$G$73,3,FALSE)&lt;&gt;"ASM","Jabatan tidak sesuai sheet",IF(OR($C489="",$D489="",$E489="",$F489=""),"Lengkapi master PIC",IF(COUNTIFS($A$8:$A$507,$A489,$B$8:$B$507,$B489)&gt;1,"Laporan ganda",IF(COUNTIFS(G489:O489,"Tidak Berlaku")&gt;0,"N/A hanya untuk kegiatan bersyarat",IF(SUM(AF489,AG489,AH489,AI489,AJ489)&lt;&gt;13,"Status kegiatan tidak valid",IF(AJ489&gt;0,"Lengkapi status kegiatan",IF(AND(AI489&gt;0,T489=""),"Isi alasan Tidak Berlaku",IF(AND(SUM(AG489,AH489)&gt;0,OR(T489="",U489="",V489="",W489="")),"Isi kendala dan tindak lanjut",IF(AND(Y489&lt;&gt;"Draft",Y489&lt;&gt;"Dikirim"),"Isi status laporan yang valid",IF(AND(AA489&lt;&gt;"",AA489&lt;&gt;"Belum Diperiksa",AA489&lt;&gt;"Disetujui",AA489&lt;&gt;"Perlu Perbaikan"),"Hasil review tidak valid",IF(AND(Y489="Dikirim",OR(X489="",Z489="")),"Isi bukti dan waktu kirim",IF(AND(AA489="Disetujui",OR(Y489&lt;&gt;"Dikirim",AB489="",AC489="")),"Lengkapi pemeriksaan",IF(AND(AA489="Perlu Perbaikan",OR(AD489="",AB489="",AC489="")),"Isi pemeriksa dan catatan perbaikan","OK")))))))))))))))),"")</f>
        <v/>
      </c>
    </row>
    <row r="490" spans="1:38" ht="24.95" customHeight="1">
      <c r="A490" s="8"/>
      <c r="B490" s="6"/>
      <c r="C490" s="15" t="str">
        <f>IF(COUNTIFS(Master_PIC!$A$8:$A$73,$B490)=1,IF(VLOOKUP($B490,Master_PIC!$A$8:$G$73,2,FALSE)="","",VLOOKUP($B490,Master_PIC!$A$8:$G$73,2,FALSE)),"")</f>
        <v/>
      </c>
      <c r="D490" s="15" t="str">
        <f>IF(COUNTIFS(Master_PIC!$A$8:$A$73,$B490)=1,IF(VLOOKUP($B490,Master_PIC!$A$8:$G$73,4,FALSE)="","",VLOOKUP($B490,Master_PIC!$A$8:$G$73,4,FALSE)),"")</f>
        <v/>
      </c>
      <c r="E490" s="15" t="str">
        <f>IF(COUNTIFS(Master_PIC!$A$8:$A$73,$B490)=1,IF(VLOOKUP($B490,Master_PIC!$A$8:$G$73,5,FALSE)="","",VLOOKUP($B490,Master_PIC!$A$8:$G$73,5,FALSE)),"")</f>
        <v/>
      </c>
      <c r="F490" s="15" t="str">
        <f>IF(COUNTIFS(Master_PIC!$A$8:$A$73,$B490)=1,IF(VLOOKUP($B490,Master_PIC!$A$8:$G$73,6,FALSE)="","",VLOOKUP($B490,Master_PIC!$A$8:$G$73,6,FALSE)),"")</f>
        <v/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8"/>
      <c r="X490" s="5"/>
      <c r="Y490" s="5"/>
      <c r="Z490" s="9"/>
      <c r="AA490" s="5"/>
      <c r="AB490" s="5"/>
      <c r="AC490" s="9"/>
      <c r="AD490" s="5"/>
      <c r="AE490" s="7" t="str">
        <f t="shared" si="49"/>
        <v/>
      </c>
      <c r="AF490" s="7" t="str">
        <f t="shared" si="50"/>
        <v/>
      </c>
      <c r="AG490" s="7" t="str">
        <f t="shared" si="51"/>
        <v/>
      </c>
      <c r="AH490" s="7" t="str">
        <f t="shared" si="52"/>
        <v/>
      </c>
      <c r="AI490" s="7" t="str">
        <f t="shared" si="53"/>
        <v/>
      </c>
      <c r="AJ490" s="7" t="str">
        <f t="shared" si="54"/>
        <v/>
      </c>
      <c r="AK490" s="10" t="str">
        <f t="shared" si="55"/>
        <v/>
      </c>
      <c r="AL490" s="15" t="str">
        <f>IF(OR($A490&lt;&gt;"",$B490&lt;&gt;""),IF(OR($A490="",$B490=""),"Isi tanggal dan ID PIC",IF(NOT(ISNUMBER($A490)),"Tanggal harus berupa tanggal Excel",IF(COUNTIFS(Master_PIC!$A$8:$A$73,$B490)&lt;&gt;1,"ID PIC tidak unik/terdaftar",IF(VLOOKUP($B490,Master_PIC!$A$8:$G$73,3,FALSE)&lt;&gt;"ASM","Jabatan tidak sesuai sheet",IF(OR($C490="",$D490="",$E490="",$F490=""),"Lengkapi master PIC",IF(COUNTIFS($A$8:$A$507,$A490,$B$8:$B$507,$B490)&gt;1,"Laporan ganda",IF(COUNTIFS(G490:O490,"Tidak Berlaku")&gt;0,"N/A hanya untuk kegiatan bersyarat",IF(SUM(AF490,AG490,AH490,AI490,AJ490)&lt;&gt;13,"Status kegiatan tidak valid",IF(AJ490&gt;0,"Lengkapi status kegiatan",IF(AND(AI490&gt;0,T490=""),"Isi alasan Tidak Berlaku",IF(AND(SUM(AG490,AH490)&gt;0,OR(T490="",U490="",V490="",W490="")),"Isi kendala dan tindak lanjut",IF(AND(Y490&lt;&gt;"Draft",Y490&lt;&gt;"Dikirim"),"Isi status laporan yang valid",IF(AND(AA490&lt;&gt;"",AA490&lt;&gt;"Belum Diperiksa",AA490&lt;&gt;"Disetujui",AA490&lt;&gt;"Perlu Perbaikan"),"Hasil review tidak valid",IF(AND(Y490="Dikirim",OR(X490="",Z490="")),"Isi bukti dan waktu kirim",IF(AND(AA490="Disetujui",OR(Y490&lt;&gt;"Dikirim",AB490="",AC490="")),"Lengkapi pemeriksaan",IF(AND(AA490="Perlu Perbaikan",OR(AD490="",AB490="",AC490="")),"Isi pemeriksa dan catatan perbaikan","OK")))))))))))))))),"")</f>
        <v/>
      </c>
    </row>
    <row r="491" spans="1:38" ht="24.95" customHeight="1">
      <c r="A491" s="8"/>
      <c r="B491" s="6"/>
      <c r="C491" s="15" t="str">
        <f>IF(COUNTIFS(Master_PIC!$A$8:$A$73,$B491)=1,IF(VLOOKUP($B491,Master_PIC!$A$8:$G$73,2,FALSE)="","",VLOOKUP($B491,Master_PIC!$A$8:$G$73,2,FALSE)),"")</f>
        <v/>
      </c>
      <c r="D491" s="15" t="str">
        <f>IF(COUNTIFS(Master_PIC!$A$8:$A$73,$B491)=1,IF(VLOOKUP($B491,Master_PIC!$A$8:$G$73,4,FALSE)="","",VLOOKUP($B491,Master_PIC!$A$8:$G$73,4,FALSE)),"")</f>
        <v/>
      </c>
      <c r="E491" s="15" t="str">
        <f>IF(COUNTIFS(Master_PIC!$A$8:$A$73,$B491)=1,IF(VLOOKUP($B491,Master_PIC!$A$8:$G$73,5,FALSE)="","",VLOOKUP($B491,Master_PIC!$A$8:$G$73,5,FALSE)),"")</f>
        <v/>
      </c>
      <c r="F491" s="15" t="str">
        <f>IF(COUNTIFS(Master_PIC!$A$8:$A$73,$B491)=1,IF(VLOOKUP($B491,Master_PIC!$A$8:$G$73,6,FALSE)="","",VLOOKUP($B491,Master_PIC!$A$8:$G$73,6,FALSE)),"")</f>
        <v/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8"/>
      <c r="X491" s="5"/>
      <c r="Y491" s="5"/>
      <c r="Z491" s="9"/>
      <c r="AA491" s="5"/>
      <c r="AB491" s="5"/>
      <c r="AC491" s="9"/>
      <c r="AD491" s="5"/>
      <c r="AE491" s="7" t="str">
        <f t="shared" si="49"/>
        <v/>
      </c>
      <c r="AF491" s="7" t="str">
        <f t="shared" si="50"/>
        <v/>
      </c>
      <c r="AG491" s="7" t="str">
        <f t="shared" si="51"/>
        <v/>
      </c>
      <c r="AH491" s="7" t="str">
        <f t="shared" si="52"/>
        <v/>
      </c>
      <c r="AI491" s="7" t="str">
        <f t="shared" si="53"/>
        <v/>
      </c>
      <c r="AJ491" s="7" t="str">
        <f t="shared" si="54"/>
        <v/>
      </c>
      <c r="AK491" s="10" t="str">
        <f t="shared" si="55"/>
        <v/>
      </c>
      <c r="AL491" s="15" t="str">
        <f>IF(OR($A491&lt;&gt;"",$B491&lt;&gt;""),IF(OR($A491="",$B491=""),"Isi tanggal dan ID PIC",IF(NOT(ISNUMBER($A491)),"Tanggal harus berupa tanggal Excel",IF(COUNTIFS(Master_PIC!$A$8:$A$73,$B491)&lt;&gt;1,"ID PIC tidak unik/terdaftar",IF(VLOOKUP($B491,Master_PIC!$A$8:$G$73,3,FALSE)&lt;&gt;"ASM","Jabatan tidak sesuai sheet",IF(OR($C491="",$D491="",$E491="",$F491=""),"Lengkapi master PIC",IF(COUNTIFS($A$8:$A$507,$A491,$B$8:$B$507,$B491)&gt;1,"Laporan ganda",IF(COUNTIFS(G491:O491,"Tidak Berlaku")&gt;0,"N/A hanya untuk kegiatan bersyarat",IF(SUM(AF491,AG491,AH491,AI491,AJ491)&lt;&gt;13,"Status kegiatan tidak valid",IF(AJ491&gt;0,"Lengkapi status kegiatan",IF(AND(AI491&gt;0,T491=""),"Isi alasan Tidak Berlaku",IF(AND(SUM(AG491,AH491)&gt;0,OR(T491="",U491="",V491="",W491="")),"Isi kendala dan tindak lanjut",IF(AND(Y491&lt;&gt;"Draft",Y491&lt;&gt;"Dikirim"),"Isi status laporan yang valid",IF(AND(AA491&lt;&gt;"",AA491&lt;&gt;"Belum Diperiksa",AA491&lt;&gt;"Disetujui",AA491&lt;&gt;"Perlu Perbaikan"),"Hasil review tidak valid",IF(AND(Y491="Dikirim",OR(X491="",Z491="")),"Isi bukti dan waktu kirim",IF(AND(AA491="Disetujui",OR(Y491&lt;&gt;"Dikirim",AB491="",AC491="")),"Lengkapi pemeriksaan",IF(AND(AA491="Perlu Perbaikan",OR(AD491="",AB491="",AC491="")),"Isi pemeriksa dan catatan perbaikan","OK")))))))))))))))),"")</f>
        <v/>
      </c>
    </row>
    <row r="492" spans="1:38" ht="24.95" customHeight="1">
      <c r="A492" s="8"/>
      <c r="B492" s="6"/>
      <c r="C492" s="15" t="str">
        <f>IF(COUNTIFS(Master_PIC!$A$8:$A$73,$B492)=1,IF(VLOOKUP($B492,Master_PIC!$A$8:$G$73,2,FALSE)="","",VLOOKUP($B492,Master_PIC!$A$8:$G$73,2,FALSE)),"")</f>
        <v/>
      </c>
      <c r="D492" s="15" t="str">
        <f>IF(COUNTIFS(Master_PIC!$A$8:$A$73,$B492)=1,IF(VLOOKUP($B492,Master_PIC!$A$8:$G$73,4,FALSE)="","",VLOOKUP($B492,Master_PIC!$A$8:$G$73,4,FALSE)),"")</f>
        <v/>
      </c>
      <c r="E492" s="15" t="str">
        <f>IF(COUNTIFS(Master_PIC!$A$8:$A$73,$B492)=1,IF(VLOOKUP($B492,Master_PIC!$A$8:$G$73,5,FALSE)="","",VLOOKUP($B492,Master_PIC!$A$8:$G$73,5,FALSE)),"")</f>
        <v/>
      </c>
      <c r="F492" s="15" t="str">
        <f>IF(COUNTIFS(Master_PIC!$A$8:$A$73,$B492)=1,IF(VLOOKUP($B492,Master_PIC!$A$8:$G$73,6,FALSE)="","",VLOOKUP($B492,Master_PIC!$A$8:$G$73,6,FALSE)),"")</f>
        <v/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8"/>
      <c r="X492" s="5"/>
      <c r="Y492" s="5"/>
      <c r="Z492" s="9"/>
      <c r="AA492" s="5"/>
      <c r="AB492" s="5"/>
      <c r="AC492" s="9"/>
      <c r="AD492" s="5"/>
      <c r="AE492" s="7" t="str">
        <f t="shared" si="49"/>
        <v/>
      </c>
      <c r="AF492" s="7" t="str">
        <f t="shared" si="50"/>
        <v/>
      </c>
      <c r="AG492" s="7" t="str">
        <f t="shared" si="51"/>
        <v/>
      </c>
      <c r="AH492" s="7" t="str">
        <f t="shared" si="52"/>
        <v/>
      </c>
      <c r="AI492" s="7" t="str">
        <f t="shared" si="53"/>
        <v/>
      </c>
      <c r="AJ492" s="7" t="str">
        <f t="shared" si="54"/>
        <v/>
      </c>
      <c r="AK492" s="10" t="str">
        <f t="shared" si="55"/>
        <v/>
      </c>
      <c r="AL492" s="15" t="str">
        <f>IF(OR($A492&lt;&gt;"",$B492&lt;&gt;""),IF(OR($A492="",$B492=""),"Isi tanggal dan ID PIC",IF(NOT(ISNUMBER($A492)),"Tanggal harus berupa tanggal Excel",IF(COUNTIFS(Master_PIC!$A$8:$A$73,$B492)&lt;&gt;1,"ID PIC tidak unik/terdaftar",IF(VLOOKUP($B492,Master_PIC!$A$8:$G$73,3,FALSE)&lt;&gt;"ASM","Jabatan tidak sesuai sheet",IF(OR($C492="",$D492="",$E492="",$F492=""),"Lengkapi master PIC",IF(COUNTIFS($A$8:$A$507,$A492,$B$8:$B$507,$B492)&gt;1,"Laporan ganda",IF(COUNTIFS(G492:O492,"Tidak Berlaku")&gt;0,"N/A hanya untuk kegiatan bersyarat",IF(SUM(AF492,AG492,AH492,AI492,AJ492)&lt;&gt;13,"Status kegiatan tidak valid",IF(AJ492&gt;0,"Lengkapi status kegiatan",IF(AND(AI492&gt;0,T492=""),"Isi alasan Tidak Berlaku",IF(AND(SUM(AG492,AH492)&gt;0,OR(T492="",U492="",V492="",W492="")),"Isi kendala dan tindak lanjut",IF(AND(Y492&lt;&gt;"Draft",Y492&lt;&gt;"Dikirim"),"Isi status laporan yang valid",IF(AND(AA492&lt;&gt;"",AA492&lt;&gt;"Belum Diperiksa",AA492&lt;&gt;"Disetujui",AA492&lt;&gt;"Perlu Perbaikan"),"Hasil review tidak valid",IF(AND(Y492="Dikirim",OR(X492="",Z492="")),"Isi bukti dan waktu kirim",IF(AND(AA492="Disetujui",OR(Y492&lt;&gt;"Dikirim",AB492="",AC492="")),"Lengkapi pemeriksaan",IF(AND(AA492="Perlu Perbaikan",OR(AD492="",AB492="",AC492="")),"Isi pemeriksa dan catatan perbaikan","OK")))))))))))))))),"")</f>
        <v/>
      </c>
    </row>
    <row r="493" spans="1:38" ht="24.95" customHeight="1">
      <c r="A493" s="8"/>
      <c r="B493" s="6"/>
      <c r="C493" s="15" t="str">
        <f>IF(COUNTIFS(Master_PIC!$A$8:$A$73,$B493)=1,IF(VLOOKUP($B493,Master_PIC!$A$8:$G$73,2,FALSE)="","",VLOOKUP($B493,Master_PIC!$A$8:$G$73,2,FALSE)),"")</f>
        <v/>
      </c>
      <c r="D493" s="15" t="str">
        <f>IF(COUNTIFS(Master_PIC!$A$8:$A$73,$B493)=1,IF(VLOOKUP($B493,Master_PIC!$A$8:$G$73,4,FALSE)="","",VLOOKUP($B493,Master_PIC!$A$8:$G$73,4,FALSE)),"")</f>
        <v/>
      </c>
      <c r="E493" s="15" t="str">
        <f>IF(COUNTIFS(Master_PIC!$A$8:$A$73,$B493)=1,IF(VLOOKUP($B493,Master_PIC!$A$8:$G$73,5,FALSE)="","",VLOOKUP($B493,Master_PIC!$A$8:$G$73,5,FALSE)),"")</f>
        <v/>
      </c>
      <c r="F493" s="15" t="str">
        <f>IF(COUNTIFS(Master_PIC!$A$8:$A$73,$B493)=1,IF(VLOOKUP($B493,Master_PIC!$A$8:$G$73,6,FALSE)="","",VLOOKUP($B493,Master_PIC!$A$8:$G$73,6,FALSE)),"")</f>
        <v/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8"/>
      <c r="X493" s="5"/>
      <c r="Y493" s="5"/>
      <c r="Z493" s="9"/>
      <c r="AA493" s="5"/>
      <c r="AB493" s="5"/>
      <c r="AC493" s="9"/>
      <c r="AD493" s="5"/>
      <c r="AE493" s="7" t="str">
        <f t="shared" si="49"/>
        <v/>
      </c>
      <c r="AF493" s="7" t="str">
        <f t="shared" si="50"/>
        <v/>
      </c>
      <c r="AG493" s="7" t="str">
        <f t="shared" si="51"/>
        <v/>
      </c>
      <c r="AH493" s="7" t="str">
        <f t="shared" si="52"/>
        <v/>
      </c>
      <c r="AI493" s="7" t="str">
        <f t="shared" si="53"/>
        <v/>
      </c>
      <c r="AJ493" s="7" t="str">
        <f t="shared" si="54"/>
        <v/>
      </c>
      <c r="AK493" s="10" t="str">
        <f t="shared" si="55"/>
        <v/>
      </c>
      <c r="AL493" s="15" t="str">
        <f>IF(OR($A493&lt;&gt;"",$B493&lt;&gt;""),IF(OR($A493="",$B493=""),"Isi tanggal dan ID PIC",IF(NOT(ISNUMBER($A493)),"Tanggal harus berupa tanggal Excel",IF(COUNTIFS(Master_PIC!$A$8:$A$73,$B493)&lt;&gt;1,"ID PIC tidak unik/terdaftar",IF(VLOOKUP($B493,Master_PIC!$A$8:$G$73,3,FALSE)&lt;&gt;"ASM","Jabatan tidak sesuai sheet",IF(OR($C493="",$D493="",$E493="",$F493=""),"Lengkapi master PIC",IF(COUNTIFS($A$8:$A$507,$A493,$B$8:$B$507,$B493)&gt;1,"Laporan ganda",IF(COUNTIFS(G493:O493,"Tidak Berlaku")&gt;0,"N/A hanya untuk kegiatan bersyarat",IF(SUM(AF493,AG493,AH493,AI493,AJ493)&lt;&gt;13,"Status kegiatan tidak valid",IF(AJ493&gt;0,"Lengkapi status kegiatan",IF(AND(AI493&gt;0,T493=""),"Isi alasan Tidak Berlaku",IF(AND(SUM(AG493,AH493)&gt;0,OR(T493="",U493="",V493="",W493="")),"Isi kendala dan tindak lanjut",IF(AND(Y493&lt;&gt;"Draft",Y493&lt;&gt;"Dikirim"),"Isi status laporan yang valid",IF(AND(AA493&lt;&gt;"",AA493&lt;&gt;"Belum Diperiksa",AA493&lt;&gt;"Disetujui",AA493&lt;&gt;"Perlu Perbaikan"),"Hasil review tidak valid",IF(AND(Y493="Dikirim",OR(X493="",Z493="")),"Isi bukti dan waktu kirim",IF(AND(AA493="Disetujui",OR(Y493&lt;&gt;"Dikirim",AB493="",AC493="")),"Lengkapi pemeriksaan",IF(AND(AA493="Perlu Perbaikan",OR(AD493="",AB493="",AC493="")),"Isi pemeriksa dan catatan perbaikan","OK")))))))))))))))),"")</f>
        <v/>
      </c>
    </row>
    <row r="494" spans="1:38" ht="24.95" customHeight="1">
      <c r="A494" s="8"/>
      <c r="B494" s="6"/>
      <c r="C494" s="15" t="str">
        <f>IF(COUNTIFS(Master_PIC!$A$8:$A$73,$B494)=1,IF(VLOOKUP($B494,Master_PIC!$A$8:$G$73,2,FALSE)="","",VLOOKUP($B494,Master_PIC!$A$8:$G$73,2,FALSE)),"")</f>
        <v/>
      </c>
      <c r="D494" s="15" t="str">
        <f>IF(COUNTIFS(Master_PIC!$A$8:$A$73,$B494)=1,IF(VLOOKUP($B494,Master_PIC!$A$8:$G$73,4,FALSE)="","",VLOOKUP($B494,Master_PIC!$A$8:$G$73,4,FALSE)),"")</f>
        <v/>
      </c>
      <c r="E494" s="15" t="str">
        <f>IF(COUNTIFS(Master_PIC!$A$8:$A$73,$B494)=1,IF(VLOOKUP($B494,Master_PIC!$A$8:$G$73,5,FALSE)="","",VLOOKUP($B494,Master_PIC!$A$8:$G$73,5,FALSE)),"")</f>
        <v/>
      </c>
      <c r="F494" s="15" t="str">
        <f>IF(COUNTIFS(Master_PIC!$A$8:$A$73,$B494)=1,IF(VLOOKUP($B494,Master_PIC!$A$8:$G$73,6,FALSE)="","",VLOOKUP($B494,Master_PIC!$A$8:$G$73,6,FALSE)),"")</f>
        <v/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8"/>
      <c r="X494" s="5"/>
      <c r="Y494" s="5"/>
      <c r="Z494" s="9"/>
      <c r="AA494" s="5"/>
      <c r="AB494" s="5"/>
      <c r="AC494" s="9"/>
      <c r="AD494" s="5"/>
      <c r="AE494" s="7" t="str">
        <f t="shared" si="49"/>
        <v/>
      </c>
      <c r="AF494" s="7" t="str">
        <f t="shared" si="50"/>
        <v/>
      </c>
      <c r="AG494" s="7" t="str">
        <f t="shared" si="51"/>
        <v/>
      </c>
      <c r="AH494" s="7" t="str">
        <f t="shared" si="52"/>
        <v/>
      </c>
      <c r="AI494" s="7" t="str">
        <f t="shared" si="53"/>
        <v/>
      </c>
      <c r="AJ494" s="7" t="str">
        <f t="shared" si="54"/>
        <v/>
      </c>
      <c r="AK494" s="10" t="str">
        <f t="shared" si="55"/>
        <v/>
      </c>
      <c r="AL494" s="15" t="str">
        <f>IF(OR($A494&lt;&gt;"",$B494&lt;&gt;""),IF(OR($A494="",$B494=""),"Isi tanggal dan ID PIC",IF(NOT(ISNUMBER($A494)),"Tanggal harus berupa tanggal Excel",IF(COUNTIFS(Master_PIC!$A$8:$A$73,$B494)&lt;&gt;1,"ID PIC tidak unik/terdaftar",IF(VLOOKUP($B494,Master_PIC!$A$8:$G$73,3,FALSE)&lt;&gt;"ASM","Jabatan tidak sesuai sheet",IF(OR($C494="",$D494="",$E494="",$F494=""),"Lengkapi master PIC",IF(COUNTIFS($A$8:$A$507,$A494,$B$8:$B$507,$B494)&gt;1,"Laporan ganda",IF(COUNTIFS(G494:O494,"Tidak Berlaku")&gt;0,"N/A hanya untuk kegiatan bersyarat",IF(SUM(AF494,AG494,AH494,AI494,AJ494)&lt;&gt;13,"Status kegiatan tidak valid",IF(AJ494&gt;0,"Lengkapi status kegiatan",IF(AND(AI494&gt;0,T494=""),"Isi alasan Tidak Berlaku",IF(AND(SUM(AG494,AH494)&gt;0,OR(T494="",U494="",V494="",W494="")),"Isi kendala dan tindak lanjut",IF(AND(Y494&lt;&gt;"Draft",Y494&lt;&gt;"Dikirim"),"Isi status laporan yang valid",IF(AND(AA494&lt;&gt;"",AA494&lt;&gt;"Belum Diperiksa",AA494&lt;&gt;"Disetujui",AA494&lt;&gt;"Perlu Perbaikan"),"Hasil review tidak valid",IF(AND(Y494="Dikirim",OR(X494="",Z494="")),"Isi bukti dan waktu kirim",IF(AND(AA494="Disetujui",OR(Y494&lt;&gt;"Dikirim",AB494="",AC494="")),"Lengkapi pemeriksaan",IF(AND(AA494="Perlu Perbaikan",OR(AD494="",AB494="",AC494="")),"Isi pemeriksa dan catatan perbaikan","OK")))))))))))))))),"")</f>
        <v/>
      </c>
    </row>
    <row r="495" spans="1:38" ht="24.95" customHeight="1">
      <c r="A495" s="8"/>
      <c r="B495" s="6"/>
      <c r="C495" s="15" t="str">
        <f>IF(COUNTIFS(Master_PIC!$A$8:$A$73,$B495)=1,IF(VLOOKUP($B495,Master_PIC!$A$8:$G$73,2,FALSE)="","",VLOOKUP($B495,Master_PIC!$A$8:$G$73,2,FALSE)),"")</f>
        <v/>
      </c>
      <c r="D495" s="15" t="str">
        <f>IF(COUNTIFS(Master_PIC!$A$8:$A$73,$B495)=1,IF(VLOOKUP($B495,Master_PIC!$A$8:$G$73,4,FALSE)="","",VLOOKUP($B495,Master_PIC!$A$8:$G$73,4,FALSE)),"")</f>
        <v/>
      </c>
      <c r="E495" s="15" t="str">
        <f>IF(COUNTIFS(Master_PIC!$A$8:$A$73,$B495)=1,IF(VLOOKUP($B495,Master_PIC!$A$8:$G$73,5,FALSE)="","",VLOOKUP($B495,Master_PIC!$A$8:$G$73,5,FALSE)),"")</f>
        <v/>
      </c>
      <c r="F495" s="15" t="str">
        <f>IF(COUNTIFS(Master_PIC!$A$8:$A$73,$B495)=1,IF(VLOOKUP($B495,Master_PIC!$A$8:$G$73,6,FALSE)="","",VLOOKUP($B495,Master_PIC!$A$8:$G$73,6,FALSE)),"")</f>
        <v/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8"/>
      <c r="X495" s="5"/>
      <c r="Y495" s="5"/>
      <c r="Z495" s="9"/>
      <c r="AA495" s="5"/>
      <c r="AB495" s="5"/>
      <c r="AC495" s="9"/>
      <c r="AD495" s="5"/>
      <c r="AE495" s="7" t="str">
        <f t="shared" si="49"/>
        <v/>
      </c>
      <c r="AF495" s="7" t="str">
        <f t="shared" si="50"/>
        <v/>
      </c>
      <c r="AG495" s="7" t="str">
        <f t="shared" si="51"/>
        <v/>
      </c>
      <c r="AH495" s="7" t="str">
        <f t="shared" si="52"/>
        <v/>
      </c>
      <c r="AI495" s="7" t="str">
        <f t="shared" si="53"/>
        <v/>
      </c>
      <c r="AJ495" s="7" t="str">
        <f t="shared" si="54"/>
        <v/>
      </c>
      <c r="AK495" s="10" t="str">
        <f t="shared" si="55"/>
        <v/>
      </c>
      <c r="AL495" s="15" t="str">
        <f>IF(OR($A495&lt;&gt;"",$B495&lt;&gt;""),IF(OR($A495="",$B495=""),"Isi tanggal dan ID PIC",IF(NOT(ISNUMBER($A495)),"Tanggal harus berupa tanggal Excel",IF(COUNTIFS(Master_PIC!$A$8:$A$73,$B495)&lt;&gt;1,"ID PIC tidak unik/terdaftar",IF(VLOOKUP($B495,Master_PIC!$A$8:$G$73,3,FALSE)&lt;&gt;"ASM","Jabatan tidak sesuai sheet",IF(OR($C495="",$D495="",$E495="",$F495=""),"Lengkapi master PIC",IF(COUNTIFS($A$8:$A$507,$A495,$B$8:$B$507,$B495)&gt;1,"Laporan ganda",IF(COUNTIFS(G495:O495,"Tidak Berlaku")&gt;0,"N/A hanya untuk kegiatan bersyarat",IF(SUM(AF495,AG495,AH495,AI495,AJ495)&lt;&gt;13,"Status kegiatan tidak valid",IF(AJ495&gt;0,"Lengkapi status kegiatan",IF(AND(AI495&gt;0,T495=""),"Isi alasan Tidak Berlaku",IF(AND(SUM(AG495,AH495)&gt;0,OR(T495="",U495="",V495="",W495="")),"Isi kendala dan tindak lanjut",IF(AND(Y495&lt;&gt;"Draft",Y495&lt;&gt;"Dikirim"),"Isi status laporan yang valid",IF(AND(AA495&lt;&gt;"",AA495&lt;&gt;"Belum Diperiksa",AA495&lt;&gt;"Disetujui",AA495&lt;&gt;"Perlu Perbaikan"),"Hasil review tidak valid",IF(AND(Y495="Dikirim",OR(X495="",Z495="")),"Isi bukti dan waktu kirim",IF(AND(AA495="Disetujui",OR(Y495&lt;&gt;"Dikirim",AB495="",AC495="")),"Lengkapi pemeriksaan",IF(AND(AA495="Perlu Perbaikan",OR(AD495="",AB495="",AC495="")),"Isi pemeriksa dan catatan perbaikan","OK")))))))))))))))),"")</f>
        <v/>
      </c>
    </row>
    <row r="496" spans="1:38" ht="24.95" customHeight="1">
      <c r="A496" s="8"/>
      <c r="B496" s="6"/>
      <c r="C496" s="15" t="str">
        <f>IF(COUNTIFS(Master_PIC!$A$8:$A$73,$B496)=1,IF(VLOOKUP($B496,Master_PIC!$A$8:$G$73,2,FALSE)="","",VLOOKUP($B496,Master_PIC!$A$8:$G$73,2,FALSE)),"")</f>
        <v/>
      </c>
      <c r="D496" s="15" t="str">
        <f>IF(COUNTIFS(Master_PIC!$A$8:$A$73,$B496)=1,IF(VLOOKUP($B496,Master_PIC!$A$8:$G$73,4,FALSE)="","",VLOOKUP($B496,Master_PIC!$A$8:$G$73,4,FALSE)),"")</f>
        <v/>
      </c>
      <c r="E496" s="15" t="str">
        <f>IF(COUNTIFS(Master_PIC!$A$8:$A$73,$B496)=1,IF(VLOOKUP($B496,Master_PIC!$A$8:$G$73,5,FALSE)="","",VLOOKUP($B496,Master_PIC!$A$8:$G$73,5,FALSE)),"")</f>
        <v/>
      </c>
      <c r="F496" s="15" t="str">
        <f>IF(COUNTIFS(Master_PIC!$A$8:$A$73,$B496)=1,IF(VLOOKUP($B496,Master_PIC!$A$8:$G$73,6,FALSE)="","",VLOOKUP($B496,Master_PIC!$A$8:$G$73,6,FALSE)),"")</f>
        <v/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8"/>
      <c r="X496" s="5"/>
      <c r="Y496" s="5"/>
      <c r="Z496" s="9"/>
      <c r="AA496" s="5"/>
      <c r="AB496" s="5"/>
      <c r="AC496" s="9"/>
      <c r="AD496" s="5"/>
      <c r="AE496" s="7" t="str">
        <f t="shared" si="49"/>
        <v/>
      </c>
      <c r="AF496" s="7" t="str">
        <f t="shared" si="50"/>
        <v/>
      </c>
      <c r="AG496" s="7" t="str">
        <f t="shared" si="51"/>
        <v/>
      </c>
      <c r="AH496" s="7" t="str">
        <f t="shared" si="52"/>
        <v/>
      </c>
      <c r="AI496" s="7" t="str">
        <f t="shared" si="53"/>
        <v/>
      </c>
      <c r="AJ496" s="7" t="str">
        <f t="shared" si="54"/>
        <v/>
      </c>
      <c r="AK496" s="10" t="str">
        <f t="shared" si="55"/>
        <v/>
      </c>
      <c r="AL496" s="15" t="str">
        <f>IF(OR($A496&lt;&gt;"",$B496&lt;&gt;""),IF(OR($A496="",$B496=""),"Isi tanggal dan ID PIC",IF(NOT(ISNUMBER($A496)),"Tanggal harus berupa tanggal Excel",IF(COUNTIFS(Master_PIC!$A$8:$A$73,$B496)&lt;&gt;1,"ID PIC tidak unik/terdaftar",IF(VLOOKUP($B496,Master_PIC!$A$8:$G$73,3,FALSE)&lt;&gt;"ASM","Jabatan tidak sesuai sheet",IF(OR($C496="",$D496="",$E496="",$F496=""),"Lengkapi master PIC",IF(COUNTIFS($A$8:$A$507,$A496,$B$8:$B$507,$B496)&gt;1,"Laporan ganda",IF(COUNTIFS(G496:O496,"Tidak Berlaku")&gt;0,"N/A hanya untuk kegiatan bersyarat",IF(SUM(AF496,AG496,AH496,AI496,AJ496)&lt;&gt;13,"Status kegiatan tidak valid",IF(AJ496&gt;0,"Lengkapi status kegiatan",IF(AND(AI496&gt;0,T496=""),"Isi alasan Tidak Berlaku",IF(AND(SUM(AG496,AH496)&gt;0,OR(T496="",U496="",V496="",W496="")),"Isi kendala dan tindak lanjut",IF(AND(Y496&lt;&gt;"Draft",Y496&lt;&gt;"Dikirim"),"Isi status laporan yang valid",IF(AND(AA496&lt;&gt;"",AA496&lt;&gt;"Belum Diperiksa",AA496&lt;&gt;"Disetujui",AA496&lt;&gt;"Perlu Perbaikan"),"Hasil review tidak valid",IF(AND(Y496="Dikirim",OR(X496="",Z496="")),"Isi bukti dan waktu kirim",IF(AND(AA496="Disetujui",OR(Y496&lt;&gt;"Dikirim",AB496="",AC496="")),"Lengkapi pemeriksaan",IF(AND(AA496="Perlu Perbaikan",OR(AD496="",AB496="",AC496="")),"Isi pemeriksa dan catatan perbaikan","OK")))))))))))))))),"")</f>
        <v/>
      </c>
    </row>
    <row r="497" spans="1:38" ht="24.95" customHeight="1">
      <c r="A497" s="8"/>
      <c r="B497" s="6"/>
      <c r="C497" s="15" t="str">
        <f>IF(COUNTIFS(Master_PIC!$A$8:$A$73,$B497)=1,IF(VLOOKUP($B497,Master_PIC!$A$8:$G$73,2,FALSE)="","",VLOOKUP($B497,Master_PIC!$A$8:$G$73,2,FALSE)),"")</f>
        <v/>
      </c>
      <c r="D497" s="15" t="str">
        <f>IF(COUNTIFS(Master_PIC!$A$8:$A$73,$B497)=1,IF(VLOOKUP($B497,Master_PIC!$A$8:$G$73,4,FALSE)="","",VLOOKUP($B497,Master_PIC!$A$8:$G$73,4,FALSE)),"")</f>
        <v/>
      </c>
      <c r="E497" s="15" t="str">
        <f>IF(COUNTIFS(Master_PIC!$A$8:$A$73,$B497)=1,IF(VLOOKUP($B497,Master_PIC!$A$8:$G$73,5,FALSE)="","",VLOOKUP($B497,Master_PIC!$A$8:$G$73,5,FALSE)),"")</f>
        <v/>
      </c>
      <c r="F497" s="15" t="str">
        <f>IF(COUNTIFS(Master_PIC!$A$8:$A$73,$B497)=1,IF(VLOOKUP($B497,Master_PIC!$A$8:$G$73,6,FALSE)="","",VLOOKUP($B497,Master_PIC!$A$8:$G$73,6,FALSE)),"")</f>
        <v/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8"/>
      <c r="X497" s="5"/>
      <c r="Y497" s="5"/>
      <c r="Z497" s="9"/>
      <c r="AA497" s="5"/>
      <c r="AB497" s="5"/>
      <c r="AC497" s="9"/>
      <c r="AD497" s="5"/>
      <c r="AE497" s="7" t="str">
        <f t="shared" si="49"/>
        <v/>
      </c>
      <c r="AF497" s="7" t="str">
        <f t="shared" si="50"/>
        <v/>
      </c>
      <c r="AG497" s="7" t="str">
        <f t="shared" si="51"/>
        <v/>
      </c>
      <c r="AH497" s="7" t="str">
        <f t="shared" si="52"/>
        <v/>
      </c>
      <c r="AI497" s="7" t="str">
        <f t="shared" si="53"/>
        <v/>
      </c>
      <c r="AJ497" s="7" t="str">
        <f t="shared" si="54"/>
        <v/>
      </c>
      <c r="AK497" s="10" t="str">
        <f t="shared" si="55"/>
        <v/>
      </c>
      <c r="AL497" s="15" t="str">
        <f>IF(OR($A497&lt;&gt;"",$B497&lt;&gt;""),IF(OR($A497="",$B497=""),"Isi tanggal dan ID PIC",IF(NOT(ISNUMBER($A497)),"Tanggal harus berupa tanggal Excel",IF(COUNTIFS(Master_PIC!$A$8:$A$73,$B497)&lt;&gt;1,"ID PIC tidak unik/terdaftar",IF(VLOOKUP($B497,Master_PIC!$A$8:$G$73,3,FALSE)&lt;&gt;"ASM","Jabatan tidak sesuai sheet",IF(OR($C497="",$D497="",$E497="",$F497=""),"Lengkapi master PIC",IF(COUNTIFS($A$8:$A$507,$A497,$B$8:$B$507,$B497)&gt;1,"Laporan ganda",IF(COUNTIFS(G497:O497,"Tidak Berlaku")&gt;0,"N/A hanya untuk kegiatan bersyarat",IF(SUM(AF497,AG497,AH497,AI497,AJ497)&lt;&gt;13,"Status kegiatan tidak valid",IF(AJ497&gt;0,"Lengkapi status kegiatan",IF(AND(AI497&gt;0,T497=""),"Isi alasan Tidak Berlaku",IF(AND(SUM(AG497,AH497)&gt;0,OR(T497="",U497="",V497="",W497="")),"Isi kendala dan tindak lanjut",IF(AND(Y497&lt;&gt;"Draft",Y497&lt;&gt;"Dikirim"),"Isi status laporan yang valid",IF(AND(AA497&lt;&gt;"",AA497&lt;&gt;"Belum Diperiksa",AA497&lt;&gt;"Disetujui",AA497&lt;&gt;"Perlu Perbaikan"),"Hasil review tidak valid",IF(AND(Y497="Dikirim",OR(X497="",Z497="")),"Isi bukti dan waktu kirim",IF(AND(AA497="Disetujui",OR(Y497&lt;&gt;"Dikirim",AB497="",AC497="")),"Lengkapi pemeriksaan",IF(AND(AA497="Perlu Perbaikan",OR(AD497="",AB497="",AC497="")),"Isi pemeriksa dan catatan perbaikan","OK")))))))))))))))),"")</f>
        <v/>
      </c>
    </row>
    <row r="498" spans="1:38" ht="24.95" customHeight="1">
      <c r="A498" s="8"/>
      <c r="B498" s="6"/>
      <c r="C498" s="15" t="str">
        <f>IF(COUNTIFS(Master_PIC!$A$8:$A$73,$B498)=1,IF(VLOOKUP($B498,Master_PIC!$A$8:$G$73,2,FALSE)="","",VLOOKUP($B498,Master_PIC!$A$8:$G$73,2,FALSE)),"")</f>
        <v/>
      </c>
      <c r="D498" s="15" t="str">
        <f>IF(COUNTIFS(Master_PIC!$A$8:$A$73,$B498)=1,IF(VLOOKUP($B498,Master_PIC!$A$8:$G$73,4,FALSE)="","",VLOOKUP($B498,Master_PIC!$A$8:$G$73,4,FALSE)),"")</f>
        <v/>
      </c>
      <c r="E498" s="15" t="str">
        <f>IF(COUNTIFS(Master_PIC!$A$8:$A$73,$B498)=1,IF(VLOOKUP($B498,Master_PIC!$A$8:$G$73,5,FALSE)="","",VLOOKUP($B498,Master_PIC!$A$8:$G$73,5,FALSE)),"")</f>
        <v/>
      </c>
      <c r="F498" s="15" t="str">
        <f>IF(COUNTIFS(Master_PIC!$A$8:$A$73,$B498)=1,IF(VLOOKUP($B498,Master_PIC!$A$8:$G$73,6,FALSE)="","",VLOOKUP($B498,Master_PIC!$A$8:$G$73,6,FALSE)),"")</f>
        <v/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8"/>
      <c r="X498" s="5"/>
      <c r="Y498" s="5"/>
      <c r="Z498" s="9"/>
      <c r="AA498" s="5"/>
      <c r="AB498" s="5"/>
      <c r="AC498" s="9"/>
      <c r="AD498" s="5"/>
      <c r="AE498" s="7" t="str">
        <f t="shared" si="49"/>
        <v/>
      </c>
      <c r="AF498" s="7" t="str">
        <f t="shared" si="50"/>
        <v/>
      </c>
      <c r="AG498" s="7" t="str">
        <f t="shared" si="51"/>
        <v/>
      </c>
      <c r="AH498" s="7" t="str">
        <f t="shared" si="52"/>
        <v/>
      </c>
      <c r="AI498" s="7" t="str">
        <f t="shared" si="53"/>
        <v/>
      </c>
      <c r="AJ498" s="7" t="str">
        <f t="shared" si="54"/>
        <v/>
      </c>
      <c r="AK498" s="10" t="str">
        <f t="shared" si="55"/>
        <v/>
      </c>
      <c r="AL498" s="15" t="str">
        <f>IF(OR($A498&lt;&gt;"",$B498&lt;&gt;""),IF(OR($A498="",$B498=""),"Isi tanggal dan ID PIC",IF(NOT(ISNUMBER($A498)),"Tanggal harus berupa tanggal Excel",IF(COUNTIFS(Master_PIC!$A$8:$A$73,$B498)&lt;&gt;1,"ID PIC tidak unik/terdaftar",IF(VLOOKUP($B498,Master_PIC!$A$8:$G$73,3,FALSE)&lt;&gt;"ASM","Jabatan tidak sesuai sheet",IF(OR($C498="",$D498="",$E498="",$F498=""),"Lengkapi master PIC",IF(COUNTIFS($A$8:$A$507,$A498,$B$8:$B$507,$B498)&gt;1,"Laporan ganda",IF(COUNTIFS(G498:O498,"Tidak Berlaku")&gt;0,"N/A hanya untuk kegiatan bersyarat",IF(SUM(AF498,AG498,AH498,AI498,AJ498)&lt;&gt;13,"Status kegiatan tidak valid",IF(AJ498&gt;0,"Lengkapi status kegiatan",IF(AND(AI498&gt;0,T498=""),"Isi alasan Tidak Berlaku",IF(AND(SUM(AG498,AH498)&gt;0,OR(T498="",U498="",V498="",W498="")),"Isi kendala dan tindak lanjut",IF(AND(Y498&lt;&gt;"Draft",Y498&lt;&gt;"Dikirim"),"Isi status laporan yang valid",IF(AND(AA498&lt;&gt;"",AA498&lt;&gt;"Belum Diperiksa",AA498&lt;&gt;"Disetujui",AA498&lt;&gt;"Perlu Perbaikan"),"Hasil review tidak valid",IF(AND(Y498="Dikirim",OR(X498="",Z498="")),"Isi bukti dan waktu kirim",IF(AND(AA498="Disetujui",OR(Y498&lt;&gt;"Dikirim",AB498="",AC498="")),"Lengkapi pemeriksaan",IF(AND(AA498="Perlu Perbaikan",OR(AD498="",AB498="",AC498="")),"Isi pemeriksa dan catatan perbaikan","OK")))))))))))))))),"")</f>
        <v/>
      </c>
    </row>
    <row r="499" spans="1:38" ht="24.95" customHeight="1">
      <c r="A499" s="8"/>
      <c r="B499" s="6"/>
      <c r="C499" s="15" t="str">
        <f>IF(COUNTIFS(Master_PIC!$A$8:$A$73,$B499)=1,IF(VLOOKUP($B499,Master_PIC!$A$8:$G$73,2,FALSE)="","",VLOOKUP($B499,Master_PIC!$A$8:$G$73,2,FALSE)),"")</f>
        <v/>
      </c>
      <c r="D499" s="15" t="str">
        <f>IF(COUNTIFS(Master_PIC!$A$8:$A$73,$B499)=1,IF(VLOOKUP($B499,Master_PIC!$A$8:$G$73,4,FALSE)="","",VLOOKUP($B499,Master_PIC!$A$8:$G$73,4,FALSE)),"")</f>
        <v/>
      </c>
      <c r="E499" s="15" t="str">
        <f>IF(COUNTIFS(Master_PIC!$A$8:$A$73,$B499)=1,IF(VLOOKUP($B499,Master_PIC!$A$8:$G$73,5,FALSE)="","",VLOOKUP($B499,Master_PIC!$A$8:$G$73,5,FALSE)),"")</f>
        <v/>
      </c>
      <c r="F499" s="15" t="str">
        <f>IF(COUNTIFS(Master_PIC!$A$8:$A$73,$B499)=1,IF(VLOOKUP($B499,Master_PIC!$A$8:$G$73,6,FALSE)="","",VLOOKUP($B499,Master_PIC!$A$8:$G$73,6,FALSE)),"")</f>
        <v/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8"/>
      <c r="X499" s="5"/>
      <c r="Y499" s="5"/>
      <c r="Z499" s="9"/>
      <c r="AA499" s="5"/>
      <c r="AB499" s="5"/>
      <c r="AC499" s="9"/>
      <c r="AD499" s="5"/>
      <c r="AE499" s="7" t="str">
        <f t="shared" si="49"/>
        <v/>
      </c>
      <c r="AF499" s="7" t="str">
        <f t="shared" si="50"/>
        <v/>
      </c>
      <c r="AG499" s="7" t="str">
        <f t="shared" si="51"/>
        <v/>
      </c>
      <c r="AH499" s="7" t="str">
        <f t="shared" si="52"/>
        <v/>
      </c>
      <c r="AI499" s="7" t="str">
        <f t="shared" si="53"/>
        <v/>
      </c>
      <c r="AJ499" s="7" t="str">
        <f t="shared" si="54"/>
        <v/>
      </c>
      <c r="AK499" s="10" t="str">
        <f t="shared" si="55"/>
        <v/>
      </c>
      <c r="AL499" s="15" t="str">
        <f>IF(OR($A499&lt;&gt;"",$B499&lt;&gt;""),IF(OR($A499="",$B499=""),"Isi tanggal dan ID PIC",IF(NOT(ISNUMBER($A499)),"Tanggal harus berupa tanggal Excel",IF(COUNTIFS(Master_PIC!$A$8:$A$73,$B499)&lt;&gt;1,"ID PIC tidak unik/terdaftar",IF(VLOOKUP($B499,Master_PIC!$A$8:$G$73,3,FALSE)&lt;&gt;"ASM","Jabatan tidak sesuai sheet",IF(OR($C499="",$D499="",$E499="",$F499=""),"Lengkapi master PIC",IF(COUNTIFS($A$8:$A$507,$A499,$B$8:$B$507,$B499)&gt;1,"Laporan ganda",IF(COUNTIFS(G499:O499,"Tidak Berlaku")&gt;0,"N/A hanya untuk kegiatan bersyarat",IF(SUM(AF499,AG499,AH499,AI499,AJ499)&lt;&gt;13,"Status kegiatan tidak valid",IF(AJ499&gt;0,"Lengkapi status kegiatan",IF(AND(AI499&gt;0,T499=""),"Isi alasan Tidak Berlaku",IF(AND(SUM(AG499,AH499)&gt;0,OR(T499="",U499="",V499="",W499="")),"Isi kendala dan tindak lanjut",IF(AND(Y499&lt;&gt;"Draft",Y499&lt;&gt;"Dikirim"),"Isi status laporan yang valid",IF(AND(AA499&lt;&gt;"",AA499&lt;&gt;"Belum Diperiksa",AA499&lt;&gt;"Disetujui",AA499&lt;&gt;"Perlu Perbaikan"),"Hasil review tidak valid",IF(AND(Y499="Dikirim",OR(X499="",Z499="")),"Isi bukti dan waktu kirim",IF(AND(AA499="Disetujui",OR(Y499&lt;&gt;"Dikirim",AB499="",AC499="")),"Lengkapi pemeriksaan",IF(AND(AA499="Perlu Perbaikan",OR(AD499="",AB499="",AC499="")),"Isi pemeriksa dan catatan perbaikan","OK")))))))))))))))),"")</f>
        <v/>
      </c>
    </row>
    <row r="500" spans="1:38" ht="24.95" customHeight="1">
      <c r="A500" s="8"/>
      <c r="B500" s="6"/>
      <c r="C500" s="15" t="str">
        <f>IF(COUNTIFS(Master_PIC!$A$8:$A$73,$B500)=1,IF(VLOOKUP($B500,Master_PIC!$A$8:$G$73,2,FALSE)="","",VLOOKUP($B500,Master_PIC!$A$8:$G$73,2,FALSE)),"")</f>
        <v/>
      </c>
      <c r="D500" s="15" t="str">
        <f>IF(COUNTIFS(Master_PIC!$A$8:$A$73,$B500)=1,IF(VLOOKUP($B500,Master_PIC!$A$8:$G$73,4,FALSE)="","",VLOOKUP($B500,Master_PIC!$A$8:$G$73,4,FALSE)),"")</f>
        <v/>
      </c>
      <c r="E500" s="15" t="str">
        <f>IF(COUNTIFS(Master_PIC!$A$8:$A$73,$B500)=1,IF(VLOOKUP($B500,Master_PIC!$A$8:$G$73,5,FALSE)="","",VLOOKUP($B500,Master_PIC!$A$8:$G$73,5,FALSE)),"")</f>
        <v/>
      </c>
      <c r="F500" s="15" t="str">
        <f>IF(COUNTIFS(Master_PIC!$A$8:$A$73,$B500)=1,IF(VLOOKUP($B500,Master_PIC!$A$8:$G$73,6,FALSE)="","",VLOOKUP($B500,Master_PIC!$A$8:$G$73,6,FALSE)),"")</f>
        <v/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8"/>
      <c r="X500" s="5"/>
      <c r="Y500" s="5"/>
      <c r="Z500" s="9"/>
      <c r="AA500" s="5"/>
      <c r="AB500" s="5"/>
      <c r="AC500" s="9"/>
      <c r="AD500" s="5"/>
      <c r="AE500" s="7" t="str">
        <f t="shared" si="49"/>
        <v/>
      </c>
      <c r="AF500" s="7" t="str">
        <f t="shared" si="50"/>
        <v/>
      </c>
      <c r="AG500" s="7" t="str">
        <f t="shared" si="51"/>
        <v/>
      </c>
      <c r="AH500" s="7" t="str">
        <f t="shared" si="52"/>
        <v/>
      </c>
      <c r="AI500" s="7" t="str">
        <f t="shared" si="53"/>
        <v/>
      </c>
      <c r="AJ500" s="7" t="str">
        <f t="shared" si="54"/>
        <v/>
      </c>
      <c r="AK500" s="10" t="str">
        <f t="shared" si="55"/>
        <v/>
      </c>
      <c r="AL500" s="15" t="str">
        <f>IF(OR($A500&lt;&gt;"",$B500&lt;&gt;""),IF(OR($A500="",$B500=""),"Isi tanggal dan ID PIC",IF(NOT(ISNUMBER($A500)),"Tanggal harus berupa tanggal Excel",IF(COUNTIFS(Master_PIC!$A$8:$A$73,$B500)&lt;&gt;1,"ID PIC tidak unik/terdaftar",IF(VLOOKUP($B500,Master_PIC!$A$8:$G$73,3,FALSE)&lt;&gt;"ASM","Jabatan tidak sesuai sheet",IF(OR($C500="",$D500="",$E500="",$F500=""),"Lengkapi master PIC",IF(COUNTIFS($A$8:$A$507,$A500,$B$8:$B$507,$B500)&gt;1,"Laporan ganda",IF(COUNTIFS(G500:O500,"Tidak Berlaku")&gt;0,"N/A hanya untuk kegiatan bersyarat",IF(SUM(AF500,AG500,AH500,AI500,AJ500)&lt;&gt;13,"Status kegiatan tidak valid",IF(AJ500&gt;0,"Lengkapi status kegiatan",IF(AND(AI500&gt;0,T500=""),"Isi alasan Tidak Berlaku",IF(AND(SUM(AG500,AH500)&gt;0,OR(T500="",U500="",V500="",W500="")),"Isi kendala dan tindak lanjut",IF(AND(Y500&lt;&gt;"Draft",Y500&lt;&gt;"Dikirim"),"Isi status laporan yang valid",IF(AND(AA500&lt;&gt;"",AA500&lt;&gt;"Belum Diperiksa",AA500&lt;&gt;"Disetujui",AA500&lt;&gt;"Perlu Perbaikan"),"Hasil review tidak valid",IF(AND(Y500="Dikirim",OR(X500="",Z500="")),"Isi bukti dan waktu kirim",IF(AND(AA500="Disetujui",OR(Y500&lt;&gt;"Dikirim",AB500="",AC500="")),"Lengkapi pemeriksaan",IF(AND(AA500="Perlu Perbaikan",OR(AD500="",AB500="",AC500="")),"Isi pemeriksa dan catatan perbaikan","OK")))))))))))))))),"")</f>
        <v/>
      </c>
    </row>
    <row r="501" spans="1:38" ht="24.95" customHeight="1">
      <c r="A501" s="8"/>
      <c r="B501" s="6"/>
      <c r="C501" s="15" t="str">
        <f>IF(COUNTIFS(Master_PIC!$A$8:$A$73,$B501)=1,IF(VLOOKUP($B501,Master_PIC!$A$8:$G$73,2,FALSE)="","",VLOOKUP($B501,Master_PIC!$A$8:$G$73,2,FALSE)),"")</f>
        <v/>
      </c>
      <c r="D501" s="15" t="str">
        <f>IF(COUNTIFS(Master_PIC!$A$8:$A$73,$B501)=1,IF(VLOOKUP($B501,Master_PIC!$A$8:$G$73,4,FALSE)="","",VLOOKUP($B501,Master_PIC!$A$8:$G$73,4,FALSE)),"")</f>
        <v/>
      </c>
      <c r="E501" s="15" t="str">
        <f>IF(COUNTIFS(Master_PIC!$A$8:$A$73,$B501)=1,IF(VLOOKUP($B501,Master_PIC!$A$8:$G$73,5,FALSE)="","",VLOOKUP($B501,Master_PIC!$A$8:$G$73,5,FALSE)),"")</f>
        <v/>
      </c>
      <c r="F501" s="15" t="str">
        <f>IF(COUNTIFS(Master_PIC!$A$8:$A$73,$B501)=1,IF(VLOOKUP($B501,Master_PIC!$A$8:$G$73,6,FALSE)="","",VLOOKUP($B501,Master_PIC!$A$8:$G$73,6,FALSE)),"")</f>
        <v/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8"/>
      <c r="X501" s="5"/>
      <c r="Y501" s="5"/>
      <c r="Z501" s="9"/>
      <c r="AA501" s="5"/>
      <c r="AB501" s="5"/>
      <c r="AC501" s="9"/>
      <c r="AD501" s="5"/>
      <c r="AE501" s="7" t="str">
        <f t="shared" si="49"/>
        <v/>
      </c>
      <c r="AF501" s="7" t="str">
        <f t="shared" si="50"/>
        <v/>
      </c>
      <c r="AG501" s="7" t="str">
        <f t="shared" si="51"/>
        <v/>
      </c>
      <c r="AH501" s="7" t="str">
        <f t="shared" si="52"/>
        <v/>
      </c>
      <c r="AI501" s="7" t="str">
        <f t="shared" si="53"/>
        <v/>
      </c>
      <c r="AJ501" s="7" t="str">
        <f t="shared" si="54"/>
        <v/>
      </c>
      <c r="AK501" s="10" t="str">
        <f t="shared" si="55"/>
        <v/>
      </c>
      <c r="AL501" s="15" t="str">
        <f>IF(OR($A501&lt;&gt;"",$B501&lt;&gt;""),IF(OR($A501="",$B501=""),"Isi tanggal dan ID PIC",IF(NOT(ISNUMBER($A501)),"Tanggal harus berupa tanggal Excel",IF(COUNTIFS(Master_PIC!$A$8:$A$73,$B501)&lt;&gt;1,"ID PIC tidak unik/terdaftar",IF(VLOOKUP($B501,Master_PIC!$A$8:$G$73,3,FALSE)&lt;&gt;"ASM","Jabatan tidak sesuai sheet",IF(OR($C501="",$D501="",$E501="",$F501=""),"Lengkapi master PIC",IF(COUNTIFS($A$8:$A$507,$A501,$B$8:$B$507,$B501)&gt;1,"Laporan ganda",IF(COUNTIFS(G501:O501,"Tidak Berlaku")&gt;0,"N/A hanya untuk kegiatan bersyarat",IF(SUM(AF501,AG501,AH501,AI501,AJ501)&lt;&gt;13,"Status kegiatan tidak valid",IF(AJ501&gt;0,"Lengkapi status kegiatan",IF(AND(AI501&gt;0,T501=""),"Isi alasan Tidak Berlaku",IF(AND(SUM(AG501,AH501)&gt;0,OR(T501="",U501="",V501="",W501="")),"Isi kendala dan tindak lanjut",IF(AND(Y501&lt;&gt;"Draft",Y501&lt;&gt;"Dikirim"),"Isi status laporan yang valid",IF(AND(AA501&lt;&gt;"",AA501&lt;&gt;"Belum Diperiksa",AA501&lt;&gt;"Disetujui",AA501&lt;&gt;"Perlu Perbaikan"),"Hasil review tidak valid",IF(AND(Y501="Dikirim",OR(X501="",Z501="")),"Isi bukti dan waktu kirim",IF(AND(AA501="Disetujui",OR(Y501&lt;&gt;"Dikirim",AB501="",AC501="")),"Lengkapi pemeriksaan",IF(AND(AA501="Perlu Perbaikan",OR(AD501="",AB501="",AC501="")),"Isi pemeriksa dan catatan perbaikan","OK")))))))))))))))),"")</f>
        <v/>
      </c>
    </row>
    <row r="502" spans="1:38" ht="24.95" customHeight="1">
      <c r="A502" s="8"/>
      <c r="B502" s="6"/>
      <c r="C502" s="15" t="str">
        <f>IF(COUNTIFS(Master_PIC!$A$8:$A$73,$B502)=1,IF(VLOOKUP($B502,Master_PIC!$A$8:$G$73,2,FALSE)="","",VLOOKUP($B502,Master_PIC!$A$8:$G$73,2,FALSE)),"")</f>
        <v/>
      </c>
      <c r="D502" s="15" t="str">
        <f>IF(COUNTIFS(Master_PIC!$A$8:$A$73,$B502)=1,IF(VLOOKUP($B502,Master_PIC!$A$8:$G$73,4,FALSE)="","",VLOOKUP($B502,Master_PIC!$A$8:$G$73,4,FALSE)),"")</f>
        <v/>
      </c>
      <c r="E502" s="15" t="str">
        <f>IF(COUNTIFS(Master_PIC!$A$8:$A$73,$B502)=1,IF(VLOOKUP($B502,Master_PIC!$A$8:$G$73,5,FALSE)="","",VLOOKUP($B502,Master_PIC!$A$8:$G$73,5,FALSE)),"")</f>
        <v/>
      </c>
      <c r="F502" s="15" t="str">
        <f>IF(COUNTIFS(Master_PIC!$A$8:$A$73,$B502)=1,IF(VLOOKUP($B502,Master_PIC!$A$8:$G$73,6,FALSE)="","",VLOOKUP($B502,Master_PIC!$A$8:$G$73,6,FALSE)),"")</f>
        <v/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8"/>
      <c r="X502" s="5"/>
      <c r="Y502" s="5"/>
      <c r="Z502" s="9"/>
      <c r="AA502" s="5"/>
      <c r="AB502" s="5"/>
      <c r="AC502" s="9"/>
      <c r="AD502" s="5"/>
      <c r="AE502" s="7" t="str">
        <f t="shared" si="49"/>
        <v/>
      </c>
      <c r="AF502" s="7" t="str">
        <f t="shared" si="50"/>
        <v/>
      </c>
      <c r="AG502" s="7" t="str">
        <f t="shared" si="51"/>
        <v/>
      </c>
      <c r="AH502" s="7" t="str">
        <f t="shared" si="52"/>
        <v/>
      </c>
      <c r="AI502" s="7" t="str">
        <f t="shared" si="53"/>
        <v/>
      </c>
      <c r="AJ502" s="7" t="str">
        <f t="shared" si="54"/>
        <v/>
      </c>
      <c r="AK502" s="10" t="str">
        <f t="shared" si="55"/>
        <v/>
      </c>
      <c r="AL502" s="15" t="str">
        <f>IF(OR($A502&lt;&gt;"",$B502&lt;&gt;""),IF(OR($A502="",$B502=""),"Isi tanggal dan ID PIC",IF(NOT(ISNUMBER($A502)),"Tanggal harus berupa tanggal Excel",IF(COUNTIFS(Master_PIC!$A$8:$A$73,$B502)&lt;&gt;1,"ID PIC tidak unik/terdaftar",IF(VLOOKUP($B502,Master_PIC!$A$8:$G$73,3,FALSE)&lt;&gt;"ASM","Jabatan tidak sesuai sheet",IF(OR($C502="",$D502="",$E502="",$F502=""),"Lengkapi master PIC",IF(COUNTIFS($A$8:$A$507,$A502,$B$8:$B$507,$B502)&gt;1,"Laporan ganda",IF(COUNTIFS(G502:O502,"Tidak Berlaku")&gt;0,"N/A hanya untuk kegiatan bersyarat",IF(SUM(AF502,AG502,AH502,AI502,AJ502)&lt;&gt;13,"Status kegiatan tidak valid",IF(AJ502&gt;0,"Lengkapi status kegiatan",IF(AND(AI502&gt;0,T502=""),"Isi alasan Tidak Berlaku",IF(AND(SUM(AG502,AH502)&gt;0,OR(T502="",U502="",V502="",W502="")),"Isi kendala dan tindak lanjut",IF(AND(Y502&lt;&gt;"Draft",Y502&lt;&gt;"Dikirim"),"Isi status laporan yang valid",IF(AND(AA502&lt;&gt;"",AA502&lt;&gt;"Belum Diperiksa",AA502&lt;&gt;"Disetujui",AA502&lt;&gt;"Perlu Perbaikan"),"Hasil review tidak valid",IF(AND(Y502="Dikirim",OR(X502="",Z502="")),"Isi bukti dan waktu kirim",IF(AND(AA502="Disetujui",OR(Y502&lt;&gt;"Dikirim",AB502="",AC502="")),"Lengkapi pemeriksaan",IF(AND(AA502="Perlu Perbaikan",OR(AD502="",AB502="",AC502="")),"Isi pemeriksa dan catatan perbaikan","OK")))))))))))))))),"")</f>
        <v/>
      </c>
    </row>
    <row r="503" spans="1:38" ht="24.95" customHeight="1">
      <c r="A503" s="8"/>
      <c r="B503" s="6"/>
      <c r="C503" s="15" t="str">
        <f>IF(COUNTIFS(Master_PIC!$A$8:$A$73,$B503)=1,IF(VLOOKUP($B503,Master_PIC!$A$8:$G$73,2,FALSE)="","",VLOOKUP($B503,Master_PIC!$A$8:$G$73,2,FALSE)),"")</f>
        <v/>
      </c>
      <c r="D503" s="15" t="str">
        <f>IF(COUNTIFS(Master_PIC!$A$8:$A$73,$B503)=1,IF(VLOOKUP($B503,Master_PIC!$A$8:$G$73,4,FALSE)="","",VLOOKUP($B503,Master_PIC!$A$8:$G$73,4,FALSE)),"")</f>
        <v/>
      </c>
      <c r="E503" s="15" t="str">
        <f>IF(COUNTIFS(Master_PIC!$A$8:$A$73,$B503)=1,IF(VLOOKUP($B503,Master_PIC!$A$8:$G$73,5,FALSE)="","",VLOOKUP($B503,Master_PIC!$A$8:$G$73,5,FALSE)),"")</f>
        <v/>
      </c>
      <c r="F503" s="15" t="str">
        <f>IF(COUNTIFS(Master_PIC!$A$8:$A$73,$B503)=1,IF(VLOOKUP($B503,Master_PIC!$A$8:$G$73,6,FALSE)="","",VLOOKUP($B503,Master_PIC!$A$8:$G$73,6,FALSE)),"")</f>
        <v/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8"/>
      <c r="X503" s="5"/>
      <c r="Y503" s="5"/>
      <c r="Z503" s="9"/>
      <c r="AA503" s="5"/>
      <c r="AB503" s="5"/>
      <c r="AC503" s="9"/>
      <c r="AD503" s="5"/>
      <c r="AE503" s="7" t="str">
        <f t="shared" si="49"/>
        <v/>
      </c>
      <c r="AF503" s="7" t="str">
        <f t="shared" si="50"/>
        <v/>
      </c>
      <c r="AG503" s="7" t="str">
        <f t="shared" si="51"/>
        <v/>
      </c>
      <c r="AH503" s="7" t="str">
        <f t="shared" si="52"/>
        <v/>
      </c>
      <c r="AI503" s="7" t="str">
        <f t="shared" si="53"/>
        <v/>
      </c>
      <c r="AJ503" s="7" t="str">
        <f t="shared" si="54"/>
        <v/>
      </c>
      <c r="AK503" s="10" t="str">
        <f t="shared" si="55"/>
        <v/>
      </c>
      <c r="AL503" s="15" t="str">
        <f>IF(OR($A503&lt;&gt;"",$B503&lt;&gt;""),IF(OR($A503="",$B503=""),"Isi tanggal dan ID PIC",IF(NOT(ISNUMBER($A503)),"Tanggal harus berupa tanggal Excel",IF(COUNTIFS(Master_PIC!$A$8:$A$73,$B503)&lt;&gt;1,"ID PIC tidak unik/terdaftar",IF(VLOOKUP($B503,Master_PIC!$A$8:$G$73,3,FALSE)&lt;&gt;"ASM","Jabatan tidak sesuai sheet",IF(OR($C503="",$D503="",$E503="",$F503=""),"Lengkapi master PIC",IF(COUNTIFS($A$8:$A$507,$A503,$B$8:$B$507,$B503)&gt;1,"Laporan ganda",IF(COUNTIFS(G503:O503,"Tidak Berlaku")&gt;0,"N/A hanya untuk kegiatan bersyarat",IF(SUM(AF503,AG503,AH503,AI503,AJ503)&lt;&gt;13,"Status kegiatan tidak valid",IF(AJ503&gt;0,"Lengkapi status kegiatan",IF(AND(AI503&gt;0,T503=""),"Isi alasan Tidak Berlaku",IF(AND(SUM(AG503,AH503)&gt;0,OR(T503="",U503="",V503="",W503="")),"Isi kendala dan tindak lanjut",IF(AND(Y503&lt;&gt;"Draft",Y503&lt;&gt;"Dikirim"),"Isi status laporan yang valid",IF(AND(AA503&lt;&gt;"",AA503&lt;&gt;"Belum Diperiksa",AA503&lt;&gt;"Disetujui",AA503&lt;&gt;"Perlu Perbaikan"),"Hasil review tidak valid",IF(AND(Y503="Dikirim",OR(X503="",Z503="")),"Isi bukti dan waktu kirim",IF(AND(AA503="Disetujui",OR(Y503&lt;&gt;"Dikirim",AB503="",AC503="")),"Lengkapi pemeriksaan",IF(AND(AA503="Perlu Perbaikan",OR(AD503="",AB503="",AC503="")),"Isi pemeriksa dan catatan perbaikan","OK")))))))))))))))),"")</f>
        <v/>
      </c>
    </row>
    <row r="504" spans="1:38" ht="24.95" customHeight="1">
      <c r="A504" s="8"/>
      <c r="B504" s="6"/>
      <c r="C504" s="15" t="str">
        <f>IF(COUNTIFS(Master_PIC!$A$8:$A$73,$B504)=1,IF(VLOOKUP($B504,Master_PIC!$A$8:$G$73,2,FALSE)="","",VLOOKUP($B504,Master_PIC!$A$8:$G$73,2,FALSE)),"")</f>
        <v/>
      </c>
      <c r="D504" s="15" t="str">
        <f>IF(COUNTIFS(Master_PIC!$A$8:$A$73,$B504)=1,IF(VLOOKUP($B504,Master_PIC!$A$8:$G$73,4,FALSE)="","",VLOOKUP($B504,Master_PIC!$A$8:$G$73,4,FALSE)),"")</f>
        <v/>
      </c>
      <c r="E504" s="15" t="str">
        <f>IF(COUNTIFS(Master_PIC!$A$8:$A$73,$B504)=1,IF(VLOOKUP($B504,Master_PIC!$A$8:$G$73,5,FALSE)="","",VLOOKUP($B504,Master_PIC!$A$8:$G$73,5,FALSE)),"")</f>
        <v/>
      </c>
      <c r="F504" s="15" t="str">
        <f>IF(COUNTIFS(Master_PIC!$A$8:$A$73,$B504)=1,IF(VLOOKUP($B504,Master_PIC!$A$8:$G$73,6,FALSE)="","",VLOOKUP($B504,Master_PIC!$A$8:$G$73,6,FALSE)),"")</f>
        <v/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8"/>
      <c r="X504" s="5"/>
      <c r="Y504" s="5"/>
      <c r="Z504" s="9"/>
      <c r="AA504" s="5"/>
      <c r="AB504" s="5"/>
      <c r="AC504" s="9"/>
      <c r="AD504" s="5"/>
      <c r="AE504" s="7" t="str">
        <f t="shared" si="49"/>
        <v/>
      </c>
      <c r="AF504" s="7" t="str">
        <f t="shared" si="50"/>
        <v/>
      </c>
      <c r="AG504" s="7" t="str">
        <f t="shared" si="51"/>
        <v/>
      </c>
      <c r="AH504" s="7" t="str">
        <f t="shared" si="52"/>
        <v/>
      </c>
      <c r="AI504" s="7" t="str">
        <f t="shared" si="53"/>
        <v/>
      </c>
      <c r="AJ504" s="7" t="str">
        <f t="shared" si="54"/>
        <v/>
      </c>
      <c r="AK504" s="10" t="str">
        <f t="shared" si="55"/>
        <v/>
      </c>
      <c r="AL504" s="15" t="str">
        <f>IF(OR($A504&lt;&gt;"",$B504&lt;&gt;""),IF(OR($A504="",$B504=""),"Isi tanggal dan ID PIC",IF(NOT(ISNUMBER($A504)),"Tanggal harus berupa tanggal Excel",IF(COUNTIFS(Master_PIC!$A$8:$A$73,$B504)&lt;&gt;1,"ID PIC tidak unik/terdaftar",IF(VLOOKUP($B504,Master_PIC!$A$8:$G$73,3,FALSE)&lt;&gt;"ASM","Jabatan tidak sesuai sheet",IF(OR($C504="",$D504="",$E504="",$F504=""),"Lengkapi master PIC",IF(COUNTIFS($A$8:$A$507,$A504,$B$8:$B$507,$B504)&gt;1,"Laporan ganda",IF(COUNTIFS(G504:O504,"Tidak Berlaku")&gt;0,"N/A hanya untuk kegiatan bersyarat",IF(SUM(AF504,AG504,AH504,AI504,AJ504)&lt;&gt;13,"Status kegiatan tidak valid",IF(AJ504&gt;0,"Lengkapi status kegiatan",IF(AND(AI504&gt;0,T504=""),"Isi alasan Tidak Berlaku",IF(AND(SUM(AG504,AH504)&gt;0,OR(T504="",U504="",V504="",W504="")),"Isi kendala dan tindak lanjut",IF(AND(Y504&lt;&gt;"Draft",Y504&lt;&gt;"Dikirim"),"Isi status laporan yang valid",IF(AND(AA504&lt;&gt;"",AA504&lt;&gt;"Belum Diperiksa",AA504&lt;&gt;"Disetujui",AA504&lt;&gt;"Perlu Perbaikan"),"Hasil review tidak valid",IF(AND(Y504="Dikirim",OR(X504="",Z504="")),"Isi bukti dan waktu kirim",IF(AND(AA504="Disetujui",OR(Y504&lt;&gt;"Dikirim",AB504="",AC504="")),"Lengkapi pemeriksaan",IF(AND(AA504="Perlu Perbaikan",OR(AD504="",AB504="",AC504="")),"Isi pemeriksa dan catatan perbaikan","OK")))))))))))))))),"")</f>
        <v/>
      </c>
    </row>
    <row r="505" spans="1:38" ht="24.95" customHeight="1">
      <c r="A505" s="8"/>
      <c r="B505" s="6"/>
      <c r="C505" s="15" t="str">
        <f>IF(COUNTIFS(Master_PIC!$A$8:$A$73,$B505)=1,IF(VLOOKUP($B505,Master_PIC!$A$8:$G$73,2,FALSE)="","",VLOOKUP($B505,Master_PIC!$A$8:$G$73,2,FALSE)),"")</f>
        <v/>
      </c>
      <c r="D505" s="15" t="str">
        <f>IF(COUNTIFS(Master_PIC!$A$8:$A$73,$B505)=1,IF(VLOOKUP($B505,Master_PIC!$A$8:$G$73,4,FALSE)="","",VLOOKUP($B505,Master_PIC!$A$8:$G$73,4,FALSE)),"")</f>
        <v/>
      </c>
      <c r="E505" s="15" t="str">
        <f>IF(COUNTIFS(Master_PIC!$A$8:$A$73,$B505)=1,IF(VLOOKUP($B505,Master_PIC!$A$8:$G$73,5,FALSE)="","",VLOOKUP($B505,Master_PIC!$A$8:$G$73,5,FALSE)),"")</f>
        <v/>
      </c>
      <c r="F505" s="15" t="str">
        <f>IF(COUNTIFS(Master_PIC!$A$8:$A$73,$B505)=1,IF(VLOOKUP($B505,Master_PIC!$A$8:$G$73,6,FALSE)="","",VLOOKUP($B505,Master_PIC!$A$8:$G$73,6,FALSE)),"")</f>
        <v/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8"/>
      <c r="X505" s="5"/>
      <c r="Y505" s="5"/>
      <c r="Z505" s="9"/>
      <c r="AA505" s="5"/>
      <c r="AB505" s="5"/>
      <c r="AC505" s="9"/>
      <c r="AD505" s="5"/>
      <c r="AE505" s="7" t="str">
        <f t="shared" si="49"/>
        <v/>
      </c>
      <c r="AF505" s="7" t="str">
        <f t="shared" si="50"/>
        <v/>
      </c>
      <c r="AG505" s="7" t="str">
        <f t="shared" si="51"/>
        <v/>
      </c>
      <c r="AH505" s="7" t="str">
        <f t="shared" si="52"/>
        <v/>
      </c>
      <c r="AI505" s="7" t="str">
        <f t="shared" si="53"/>
        <v/>
      </c>
      <c r="AJ505" s="7" t="str">
        <f t="shared" si="54"/>
        <v/>
      </c>
      <c r="AK505" s="10" t="str">
        <f t="shared" si="55"/>
        <v/>
      </c>
      <c r="AL505" s="15" t="str">
        <f>IF(OR($A505&lt;&gt;"",$B505&lt;&gt;""),IF(OR($A505="",$B505=""),"Isi tanggal dan ID PIC",IF(NOT(ISNUMBER($A505)),"Tanggal harus berupa tanggal Excel",IF(COUNTIFS(Master_PIC!$A$8:$A$73,$B505)&lt;&gt;1,"ID PIC tidak unik/terdaftar",IF(VLOOKUP($B505,Master_PIC!$A$8:$G$73,3,FALSE)&lt;&gt;"ASM","Jabatan tidak sesuai sheet",IF(OR($C505="",$D505="",$E505="",$F505=""),"Lengkapi master PIC",IF(COUNTIFS($A$8:$A$507,$A505,$B$8:$B$507,$B505)&gt;1,"Laporan ganda",IF(COUNTIFS(G505:O505,"Tidak Berlaku")&gt;0,"N/A hanya untuk kegiatan bersyarat",IF(SUM(AF505,AG505,AH505,AI505,AJ505)&lt;&gt;13,"Status kegiatan tidak valid",IF(AJ505&gt;0,"Lengkapi status kegiatan",IF(AND(AI505&gt;0,T505=""),"Isi alasan Tidak Berlaku",IF(AND(SUM(AG505,AH505)&gt;0,OR(T505="",U505="",V505="",W505="")),"Isi kendala dan tindak lanjut",IF(AND(Y505&lt;&gt;"Draft",Y505&lt;&gt;"Dikirim"),"Isi status laporan yang valid",IF(AND(AA505&lt;&gt;"",AA505&lt;&gt;"Belum Diperiksa",AA505&lt;&gt;"Disetujui",AA505&lt;&gt;"Perlu Perbaikan"),"Hasil review tidak valid",IF(AND(Y505="Dikirim",OR(X505="",Z505="")),"Isi bukti dan waktu kirim",IF(AND(AA505="Disetujui",OR(Y505&lt;&gt;"Dikirim",AB505="",AC505="")),"Lengkapi pemeriksaan",IF(AND(AA505="Perlu Perbaikan",OR(AD505="",AB505="",AC505="")),"Isi pemeriksa dan catatan perbaikan","OK")))))))))))))))),"")</f>
        <v/>
      </c>
    </row>
    <row r="506" spans="1:38" ht="24.95" customHeight="1">
      <c r="A506" s="8"/>
      <c r="B506" s="6"/>
      <c r="C506" s="15" t="str">
        <f>IF(COUNTIFS(Master_PIC!$A$8:$A$73,$B506)=1,IF(VLOOKUP($B506,Master_PIC!$A$8:$G$73,2,FALSE)="","",VLOOKUP($B506,Master_PIC!$A$8:$G$73,2,FALSE)),"")</f>
        <v/>
      </c>
      <c r="D506" s="15" t="str">
        <f>IF(COUNTIFS(Master_PIC!$A$8:$A$73,$B506)=1,IF(VLOOKUP($B506,Master_PIC!$A$8:$G$73,4,FALSE)="","",VLOOKUP($B506,Master_PIC!$A$8:$G$73,4,FALSE)),"")</f>
        <v/>
      </c>
      <c r="E506" s="15" t="str">
        <f>IF(COUNTIFS(Master_PIC!$A$8:$A$73,$B506)=1,IF(VLOOKUP($B506,Master_PIC!$A$8:$G$73,5,FALSE)="","",VLOOKUP($B506,Master_PIC!$A$8:$G$73,5,FALSE)),"")</f>
        <v/>
      </c>
      <c r="F506" s="15" t="str">
        <f>IF(COUNTIFS(Master_PIC!$A$8:$A$73,$B506)=1,IF(VLOOKUP($B506,Master_PIC!$A$8:$G$73,6,FALSE)="","",VLOOKUP($B506,Master_PIC!$A$8:$G$73,6,FALSE)),"")</f>
        <v/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8"/>
      <c r="X506" s="5"/>
      <c r="Y506" s="5"/>
      <c r="Z506" s="9"/>
      <c r="AA506" s="5"/>
      <c r="AB506" s="5"/>
      <c r="AC506" s="9"/>
      <c r="AD506" s="5"/>
      <c r="AE506" s="7" t="str">
        <f t="shared" si="49"/>
        <v/>
      </c>
      <c r="AF506" s="7" t="str">
        <f t="shared" si="50"/>
        <v/>
      </c>
      <c r="AG506" s="7" t="str">
        <f t="shared" si="51"/>
        <v/>
      </c>
      <c r="AH506" s="7" t="str">
        <f t="shared" si="52"/>
        <v/>
      </c>
      <c r="AI506" s="7" t="str">
        <f t="shared" si="53"/>
        <v/>
      </c>
      <c r="AJ506" s="7" t="str">
        <f t="shared" si="54"/>
        <v/>
      </c>
      <c r="AK506" s="10" t="str">
        <f t="shared" si="55"/>
        <v/>
      </c>
      <c r="AL506" s="15" t="str">
        <f>IF(OR($A506&lt;&gt;"",$B506&lt;&gt;""),IF(OR($A506="",$B506=""),"Isi tanggal dan ID PIC",IF(NOT(ISNUMBER($A506)),"Tanggal harus berupa tanggal Excel",IF(COUNTIFS(Master_PIC!$A$8:$A$73,$B506)&lt;&gt;1,"ID PIC tidak unik/terdaftar",IF(VLOOKUP($B506,Master_PIC!$A$8:$G$73,3,FALSE)&lt;&gt;"ASM","Jabatan tidak sesuai sheet",IF(OR($C506="",$D506="",$E506="",$F506=""),"Lengkapi master PIC",IF(COUNTIFS($A$8:$A$507,$A506,$B$8:$B$507,$B506)&gt;1,"Laporan ganda",IF(COUNTIFS(G506:O506,"Tidak Berlaku")&gt;0,"N/A hanya untuk kegiatan bersyarat",IF(SUM(AF506,AG506,AH506,AI506,AJ506)&lt;&gt;13,"Status kegiatan tidak valid",IF(AJ506&gt;0,"Lengkapi status kegiatan",IF(AND(AI506&gt;0,T506=""),"Isi alasan Tidak Berlaku",IF(AND(SUM(AG506,AH506)&gt;0,OR(T506="",U506="",V506="",W506="")),"Isi kendala dan tindak lanjut",IF(AND(Y506&lt;&gt;"Draft",Y506&lt;&gt;"Dikirim"),"Isi status laporan yang valid",IF(AND(AA506&lt;&gt;"",AA506&lt;&gt;"Belum Diperiksa",AA506&lt;&gt;"Disetujui",AA506&lt;&gt;"Perlu Perbaikan"),"Hasil review tidak valid",IF(AND(Y506="Dikirim",OR(X506="",Z506="")),"Isi bukti dan waktu kirim",IF(AND(AA506="Disetujui",OR(Y506&lt;&gt;"Dikirim",AB506="",AC506="")),"Lengkapi pemeriksaan",IF(AND(AA506="Perlu Perbaikan",OR(AD506="",AB506="",AC506="")),"Isi pemeriksa dan catatan perbaikan","OK")))))))))))))))),"")</f>
        <v/>
      </c>
    </row>
    <row r="507" spans="1:38" ht="24.95" customHeight="1">
      <c r="A507" s="8"/>
      <c r="B507" s="6"/>
      <c r="C507" s="15" t="str">
        <f>IF(COUNTIFS(Master_PIC!$A$8:$A$73,$B507)=1,IF(VLOOKUP($B507,Master_PIC!$A$8:$G$73,2,FALSE)="","",VLOOKUP($B507,Master_PIC!$A$8:$G$73,2,FALSE)),"")</f>
        <v/>
      </c>
      <c r="D507" s="15" t="str">
        <f>IF(COUNTIFS(Master_PIC!$A$8:$A$73,$B507)=1,IF(VLOOKUP($B507,Master_PIC!$A$8:$G$73,4,FALSE)="","",VLOOKUP($B507,Master_PIC!$A$8:$G$73,4,FALSE)),"")</f>
        <v/>
      </c>
      <c r="E507" s="15" t="str">
        <f>IF(COUNTIFS(Master_PIC!$A$8:$A$73,$B507)=1,IF(VLOOKUP($B507,Master_PIC!$A$8:$G$73,5,FALSE)="","",VLOOKUP($B507,Master_PIC!$A$8:$G$73,5,FALSE)),"")</f>
        <v/>
      </c>
      <c r="F507" s="15" t="str">
        <f>IF(COUNTIFS(Master_PIC!$A$8:$A$73,$B507)=1,IF(VLOOKUP($B507,Master_PIC!$A$8:$G$73,6,FALSE)="","",VLOOKUP($B507,Master_PIC!$A$8:$G$73,6,FALSE)),"")</f>
        <v/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8"/>
      <c r="X507" s="5"/>
      <c r="Y507" s="5"/>
      <c r="Z507" s="9"/>
      <c r="AA507" s="5"/>
      <c r="AB507" s="5"/>
      <c r="AC507" s="9"/>
      <c r="AD507" s="5"/>
      <c r="AE507" s="7" t="str">
        <f t="shared" si="49"/>
        <v/>
      </c>
      <c r="AF507" s="7" t="str">
        <f t="shared" si="50"/>
        <v/>
      </c>
      <c r="AG507" s="7" t="str">
        <f t="shared" si="51"/>
        <v/>
      </c>
      <c r="AH507" s="7" t="str">
        <f t="shared" si="52"/>
        <v/>
      </c>
      <c r="AI507" s="7" t="str">
        <f t="shared" si="53"/>
        <v/>
      </c>
      <c r="AJ507" s="7" t="str">
        <f t="shared" si="54"/>
        <v/>
      </c>
      <c r="AK507" s="10" t="str">
        <f t="shared" si="55"/>
        <v/>
      </c>
      <c r="AL507" s="15" t="str">
        <f>IF(OR($A507&lt;&gt;"",$B507&lt;&gt;""),IF(OR($A507="",$B507=""),"Isi tanggal dan ID PIC",IF(NOT(ISNUMBER($A507)),"Tanggal harus berupa tanggal Excel",IF(COUNTIFS(Master_PIC!$A$8:$A$73,$B507)&lt;&gt;1,"ID PIC tidak unik/terdaftar",IF(VLOOKUP($B507,Master_PIC!$A$8:$G$73,3,FALSE)&lt;&gt;"ASM","Jabatan tidak sesuai sheet",IF(OR($C507="",$D507="",$E507="",$F507=""),"Lengkapi master PIC",IF(COUNTIFS($A$8:$A$507,$A507,$B$8:$B$507,$B507)&gt;1,"Laporan ganda",IF(COUNTIFS(G507:O507,"Tidak Berlaku")&gt;0,"N/A hanya untuk kegiatan bersyarat",IF(SUM(AF507,AG507,AH507,AI507,AJ507)&lt;&gt;13,"Status kegiatan tidak valid",IF(AJ507&gt;0,"Lengkapi status kegiatan",IF(AND(AI507&gt;0,T507=""),"Isi alasan Tidak Berlaku",IF(AND(SUM(AG507,AH507)&gt;0,OR(T507="",U507="",V507="",W507="")),"Isi kendala dan tindak lanjut",IF(AND(Y507&lt;&gt;"Draft",Y507&lt;&gt;"Dikirim"),"Isi status laporan yang valid",IF(AND(AA507&lt;&gt;"",AA507&lt;&gt;"Belum Diperiksa",AA507&lt;&gt;"Disetujui",AA507&lt;&gt;"Perlu Perbaikan"),"Hasil review tidak valid",IF(AND(Y507="Dikirim",OR(X507="",Z507="")),"Isi bukti dan waktu kirim",IF(AND(AA507="Disetujui",OR(Y507&lt;&gt;"Dikirim",AB507="",AC507="")),"Lengkapi pemeriksaan",IF(AND(AA507="Perlu Perbaikan",OR(AD507="",AB507="",AC507="")),"Isi pemeriksa dan catatan perbaikan","OK")))))))))))))))),"")</f>
        <v/>
      </c>
    </row>
  </sheetData>
  <conditionalFormatting sqref="G8:S507">
    <cfRule type="cellIs" dxfId="13" priority="1" operator="equal">
      <formula>"Selesai"</formula>
    </cfRule>
    <cfRule type="cellIs" dxfId="12" priority="2" operator="equal">
      <formula>"Proses"</formula>
    </cfRule>
    <cfRule type="cellIs" dxfId="11" priority="3" operator="equal">
      <formula>"Belum"</formula>
    </cfRule>
    <cfRule type="cellIs" dxfId="10" priority="4" operator="equal">
      <formula>"Tidak Berlaku"</formula>
    </cfRule>
  </conditionalFormatting>
  <conditionalFormatting sqref="AA8:AA507">
    <cfRule type="cellIs" dxfId="9" priority="5" operator="equal">
      <formula>"Selesai"</formula>
    </cfRule>
    <cfRule type="cellIs" dxfId="8" priority="6" operator="equal">
      <formula>"Proses"</formula>
    </cfRule>
    <cfRule type="cellIs" dxfId="7" priority="7" operator="equal">
      <formula>"Belum"</formula>
    </cfRule>
    <cfRule type="cellIs" dxfId="6" priority="8" operator="equal">
      <formula>"Tidak Berlaku"</formula>
    </cfRule>
  </conditionalFormatting>
  <conditionalFormatting sqref="AL8:AL507">
    <cfRule type="expression" dxfId="5" priority="9">
      <formula>AND(AL8&lt;&gt;"",AL8&lt;&gt;"OK")</formula>
    </cfRule>
  </conditionalFormatting>
  <dataValidations count="4">
    <dataValidation type="list" sqref="G8:O507" xr:uid="{00000000-0002-0000-0300-000001000000}">
      <formula1>"Selesai,Proses,Belum"</formula1>
    </dataValidation>
    <dataValidation type="list" sqref="P8:S507" xr:uid="{00000000-0002-0000-0300-00000A000000}">
      <formula1>"Selesai,Proses,Belum,Tidak Berlaku"</formula1>
    </dataValidation>
    <dataValidation type="list" sqref="Y8:Y507" xr:uid="{00000000-0002-0000-0300-00000E000000}">
      <formula1>"Draft,Dikirim"</formula1>
    </dataValidation>
    <dataValidation type="list" sqref="AA8:AA507" xr:uid="{00000000-0002-0000-0300-00000F000000}">
      <formula1>"Belum Diperiksa,Disetujui,Perlu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Master_PIC!$A$12:$A$73</xm:f>
          </x14:formula1>
          <xm:sqref>B8:B507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3"/>
  <sheetViews>
    <sheetView showGridLines="0" workbookViewId="0">
      <pane xSplit="1" ySplit="7" topLeftCell="B34" activePane="bottomRight" state="frozen"/>
      <selection pane="topRight"/>
      <selection pane="bottomLeft"/>
      <selection pane="bottomRight" activeCell="F9" sqref="F9"/>
    </sheetView>
  </sheetViews>
  <sheetFormatPr defaultRowHeight="14.25"/>
  <cols>
    <col min="1" max="1" width="18" customWidth="1"/>
    <col min="2" max="2" width="27" customWidth="1"/>
    <col min="3" max="3" width="15" customWidth="1"/>
    <col min="4" max="4" width="21" customWidth="1"/>
    <col min="5" max="5" width="16.25" customWidth="1"/>
    <col min="6" max="6" width="18" customWidth="1"/>
    <col min="7" max="7" width="17" customWidth="1"/>
    <col min="12" max="12" width="28.25" bestFit="1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.95" customHeight="1">
      <c r="A2" s="2" t="s">
        <v>104</v>
      </c>
      <c r="B2" s="2"/>
      <c r="C2" s="2"/>
      <c r="D2" s="2"/>
      <c r="E2" s="2"/>
      <c r="F2" s="2"/>
      <c r="G2" s="2"/>
    </row>
    <row r="3" spans="1:7" ht="24" customHeight="1">
      <c r="A3" s="3"/>
      <c r="B3" s="3"/>
      <c r="C3" s="3"/>
      <c r="D3" s="3"/>
      <c r="E3" s="3"/>
      <c r="F3" s="3"/>
      <c r="G3" s="3"/>
    </row>
    <row r="4" spans="1:7" ht="24" customHeight="1">
      <c r="A4" s="1" t="s">
        <v>105</v>
      </c>
      <c r="B4" s="1"/>
      <c r="C4" s="1"/>
      <c r="D4" s="1"/>
      <c r="E4" s="1"/>
      <c r="F4" s="1"/>
      <c r="G4" s="1"/>
    </row>
    <row r="5" spans="1:7" ht="24" customHeight="1">
      <c r="A5" s="1" t="s">
        <v>106</v>
      </c>
      <c r="B5" s="1"/>
      <c r="C5" s="1"/>
      <c r="D5" s="1"/>
      <c r="E5" s="1"/>
      <c r="F5" s="1"/>
      <c r="G5" s="1"/>
    </row>
    <row r="6" spans="1:7" ht="24" customHeight="1">
      <c r="A6" s="1"/>
      <c r="B6" s="1"/>
      <c r="C6" s="1"/>
      <c r="D6" s="1"/>
      <c r="E6" s="1"/>
      <c r="F6" s="1"/>
      <c r="G6" s="1"/>
    </row>
    <row r="7" spans="1:7" ht="45" customHeight="1">
      <c r="A7" s="4" t="s">
        <v>36</v>
      </c>
      <c r="B7" s="4" t="s">
        <v>37</v>
      </c>
      <c r="C7" s="4" t="s">
        <v>107</v>
      </c>
      <c r="D7" s="4" t="s">
        <v>38</v>
      </c>
      <c r="E7" s="4" t="s">
        <v>39</v>
      </c>
      <c r="F7" s="4" t="s">
        <v>40</v>
      </c>
      <c r="G7" s="4" t="s">
        <v>108</v>
      </c>
    </row>
    <row r="8" spans="1:7" ht="22.9" customHeight="1">
      <c r="A8" s="6" t="s">
        <v>324</v>
      </c>
      <c r="B8" s="5" t="s">
        <v>325</v>
      </c>
      <c r="C8" s="5" t="s">
        <v>224</v>
      </c>
      <c r="D8" s="5" t="s">
        <v>341</v>
      </c>
      <c r="E8" s="17" t="s">
        <v>338</v>
      </c>
      <c r="F8" s="6"/>
      <c r="G8" s="5" t="s">
        <v>326</v>
      </c>
    </row>
    <row r="9" spans="1:7" ht="24" customHeight="1">
      <c r="A9" s="6" t="s">
        <v>322</v>
      </c>
      <c r="B9" s="5" t="s">
        <v>323</v>
      </c>
      <c r="C9" s="5" t="s">
        <v>13</v>
      </c>
      <c r="D9" s="5" t="s">
        <v>341</v>
      </c>
      <c r="E9" s="5" t="s">
        <v>320</v>
      </c>
      <c r="F9" s="6" t="s">
        <v>324</v>
      </c>
      <c r="G9" s="5" t="s">
        <v>326</v>
      </c>
    </row>
    <row r="10" spans="1:7" ht="24" customHeight="1">
      <c r="A10" s="6" t="s">
        <v>321</v>
      </c>
      <c r="B10" s="5" t="s">
        <v>398</v>
      </c>
      <c r="C10" s="5" t="s">
        <v>12</v>
      </c>
      <c r="D10" s="5" t="s">
        <v>341</v>
      </c>
      <c r="E10" s="5" t="s">
        <v>320</v>
      </c>
      <c r="F10" s="6" t="s">
        <v>322</v>
      </c>
      <c r="G10" s="5" t="s">
        <v>326</v>
      </c>
    </row>
    <row r="11" spans="1:7" ht="24" customHeight="1">
      <c r="A11" s="6" t="s">
        <v>336</v>
      </c>
      <c r="B11" s="5" t="s">
        <v>337</v>
      </c>
      <c r="C11" s="5" t="s">
        <v>12</v>
      </c>
      <c r="D11" s="5" t="s">
        <v>341</v>
      </c>
      <c r="E11" s="5" t="s">
        <v>320</v>
      </c>
      <c r="F11" s="6" t="s">
        <v>322</v>
      </c>
      <c r="G11" s="5" t="s">
        <v>326</v>
      </c>
    </row>
    <row r="12" spans="1:7" ht="24" customHeight="1">
      <c r="A12" s="6" t="s">
        <v>319</v>
      </c>
      <c r="B12" s="5" t="s">
        <v>354</v>
      </c>
      <c r="C12" s="5" t="s">
        <v>11</v>
      </c>
      <c r="D12" s="5" t="s">
        <v>341</v>
      </c>
      <c r="E12" s="5" t="s">
        <v>320</v>
      </c>
      <c r="F12" s="6" t="s">
        <v>321</v>
      </c>
      <c r="G12" s="5" t="s">
        <v>326</v>
      </c>
    </row>
    <row r="13" spans="1:7" ht="24" customHeight="1">
      <c r="A13" s="6" t="s">
        <v>327</v>
      </c>
      <c r="B13" s="5" t="s">
        <v>339</v>
      </c>
      <c r="C13" s="5" t="s">
        <v>11</v>
      </c>
      <c r="D13" s="5" t="s">
        <v>341</v>
      </c>
      <c r="E13" s="5" t="s">
        <v>320</v>
      </c>
      <c r="F13" s="6" t="s">
        <v>321</v>
      </c>
      <c r="G13" s="5" t="s">
        <v>326</v>
      </c>
    </row>
    <row r="14" spans="1:7" ht="24" customHeight="1">
      <c r="A14" s="6" t="s">
        <v>328</v>
      </c>
      <c r="B14" s="5" t="s">
        <v>340</v>
      </c>
      <c r="C14" s="5" t="s">
        <v>11</v>
      </c>
      <c r="D14" s="5" t="s">
        <v>341</v>
      </c>
      <c r="E14" s="5" t="s">
        <v>320</v>
      </c>
      <c r="F14" s="6" t="s">
        <v>321</v>
      </c>
      <c r="G14" s="5" t="s">
        <v>326</v>
      </c>
    </row>
    <row r="15" spans="1:7" ht="24" customHeight="1">
      <c r="A15" s="6" t="s">
        <v>329</v>
      </c>
      <c r="B15" s="5" t="s">
        <v>342</v>
      </c>
      <c r="C15" s="5" t="s">
        <v>11</v>
      </c>
      <c r="D15" s="5" t="s">
        <v>341</v>
      </c>
      <c r="E15" s="5" t="s">
        <v>320</v>
      </c>
      <c r="F15" s="6" t="s">
        <v>321</v>
      </c>
      <c r="G15" s="5" t="s">
        <v>326</v>
      </c>
    </row>
    <row r="16" spans="1:7" ht="24" customHeight="1">
      <c r="A16" s="6" t="s">
        <v>330</v>
      </c>
      <c r="B16" s="5" t="s">
        <v>343</v>
      </c>
      <c r="C16" s="5" t="s">
        <v>11</v>
      </c>
      <c r="D16" s="5" t="s">
        <v>341</v>
      </c>
      <c r="E16" s="5" t="s">
        <v>320</v>
      </c>
      <c r="F16" s="6" t="s">
        <v>321</v>
      </c>
      <c r="G16" s="5" t="s">
        <v>326</v>
      </c>
    </row>
    <row r="17" spans="1:7" ht="24" customHeight="1">
      <c r="A17" s="6" t="s">
        <v>331</v>
      </c>
      <c r="B17" s="5" t="s">
        <v>345</v>
      </c>
      <c r="C17" s="5" t="s">
        <v>11</v>
      </c>
      <c r="D17" s="5" t="s">
        <v>341</v>
      </c>
      <c r="E17" s="5" t="s">
        <v>320</v>
      </c>
      <c r="F17" s="6" t="s">
        <v>321</v>
      </c>
      <c r="G17" s="5" t="s">
        <v>326</v>
      </c>
    </row>
    <row r="18" spans="1:7" ht="24" customHeight="1">
      <c r="A18" s="6" t="s">
        <v>332</v>
      </c>
      <c r="B18" s="5" t="s">
        <v>346</v>
      </c>
      <c r="C18" s="5" t="s">
        <v>11</v>
      </c>
      <c r="D18" s="5" t="s">
        <v>341</v>
      </c>
      <c r="E18" s="5" t="s">
        <v>320</v>
      </c>
      <c r="F18" s="6" t="s">
        <v>321</v>
      </c>
      <c r="G18" s="5" t="s">
        <v>326</v>
      </c>
    </row>
    <row r="19" spans="1:7" ht="24" customHeight="1">
      <c r="A19" s="6" t="s">
        <v>333</v>
      </c>
      <c r="B19" s="5" t="s">
        <v>344</v>
      </c>
      <c r="C19" s="5" t="s">
        <v>11</v>
      </c>
      <c r="D19" s="5" t="s">
        <v>341</v>
      </c>
      <c r="E19" s="5" t="s">
        <v>320</v>
      </c>
      <c r="F19" s="6" t="s">
        <v>321</v>
      </c>
      <c r="G19" s="5" t="s">
        <v>326</v>
      </c>
    </row>
    <row r="20" spans="1:7" ht="24" customHeight="1">
      <c r="A20" s="6" t="s">
        <v>334</v>
      </c>
      <c r="B20" s="5" t="s">
        <v>350</v>
      </c>
      <c r="C20" s="5" t="s">
        <v>11</v>
      </c>
      <c r="D20" s="5" t="s">
        <v>341</v>
      </c>
      <c r="E20" s="5" t="s">
        <v>320</v>
      </c>
      <c r="F20" s="6" t="s">
        <v>321</v>
      </c>
      <c r="G20" s="5" t="s">
        <v>326</v>
      </c>
    </row>
    <row r="21" spans="1:7" ht="24" customHeight="1">
      <c r="A21" s="6" t="s">
        <v>335</v>
      </c>
      <c r="B21" s="5" t="s">
        <v>352</v>
      </c>
      <c r="C21" s="5" t="s">
        <v>11</v>
      </c>
      <c r="D21" s="5" t="s">
        <v>341</v>
      </c>
      <c r="E21" s="5" t="s">
        <v>320</v>
      </c>
      <c r="F21" s="6" t="s">
        <v>321</v>
      </c>
      <c r="G21" s="5" t="s">
        <v>326</v>
      </c>
    </row>
    <row r="22" spans="1:7" ht="24" customHeight="1">
      <c r="A22" s="6" t="s">
        <v>371</v>
      </c>
      <c r="B22" s="5" t="s">
        <v>353</v>
      </c>
      <c r="C22" s="5" t="s">
        <v>11</v>
      </c>
      <c r="D22" s="5" t="s">
        <v>341</v>
      </c>
      <c r="E22" s="5" t="s">
        <v>320</v>
      </c>
      <c r="F22" s="6" t="s">
        <v>321</v>
      </c>
      <c r="G22" s="5" t="s">
        <v>326</v>
      </c>
    </row>
    <row r="23" spans="1:7" ht="24" customHeight="1">
      <c r="A23" s="6" t="s">
        <v>372</v>
      </c>
      <c r="B23" s="5" t="s">
        <v>348</v>
      </c>
      <c r="C23" s="5" t="s">
        <v>11</v>
      </c>
      <c r="D23" s="5" t="s">
        <v>341</v>
      </c>
      <c r="E23" s="5" t="s">
        <v>320</v>
      </c>
      <c r="F23" s="6" t="s">
        <v>336</v>
      </c>
      <c r="G23" s="5" t="s">
        <v>326</v>
      </c>
    </row>
    <row r="24" spans="1:7" ht="24" customHeight="1">
      <c r="A24" s="6" t="s">
        <v>373</v>
      </c>
      <c r="B24" s="5" t="s">
        <v>349</v>
      </c>
      <c r="C24" s="5" t="s">
        <v>11</v>
      </c>
      <c r="D24" s="5" t="s">
        <v>341</v>
      </c>
      <c r="E24" s="5" t="s">
        <v>320</v>
      </c>
      <c r="F24" s="6" t="s">
        <v>336</v>
      </c>
      <c r="G24" s="5" t="s">
        <v>326</v>
      </c>
    </row>
    <row r="25" spans="1:7" ht="24" customHeight="1">
      <c r="A25" s="6" t="s">
        <v>374</v>
      </c>
      <c r="B25" s="5" t="s">
        <v>351</v>
      </c>
      <c r="C25" s="5" t="s">
        <v>11</v>
      </c>
      <c r="D25" s="5" t="s">
        <v>341</v>
      </c>
      <c r="E25" s="5" t="s">
        <v>320</v>
      </c>
      <c r="F25" s="6" t="s">
        <v>336</v>
      </c>
      <c r="G25" s="5" t="s">
        <v>326</v>
      </c>
    </row>
    <row r="26" spans="1:7" ht="24" customHeight="1">
      <c r="A26" s="6" t="s">
        <v>377</v>
      </c>
      <c r="B26" s="5" t="s">
        <v>347</v>
      </c>
      <c r="C26" s="5" t="s">
        <v>11</v>
      </c>
      <c r="D26" s="5" t="s">
        <v>341</v>
      </c>
      <c r="E26" s="5" t="s">
        <v>320</v>
      </c>
      <c r="F26" s="6" t="s">
        <v>324</v>
      </c>
      <c r="G26" s="5" t="s">
        <v>326</v>
      </c>
    </row>
    <row r="27" spans="1:7" ht="24" customHeight="1">
      <c r="A27" s="6" t="s">
        <v>384</v>
      </c>
      <c r="B27" s="5" t="s">
        <v>385</v>
      </c>
      <c r="C27" s="5" t="s">
        <v>12</v>
      </c>
      <c r="D27" s="5" t="s">
        <v>356</v>
      </c>
      <c r="E27" s="5" t="s">
        <v>320</v>
      </c>
      <c r="F27" s="6" t="s">
        <v>322</v>
      </c>
      <c r="G27" s="5" t="s">
        <v>326</v>
      </c>
    </row>
    <row r="28" spans="1:7" ht="24" customHeight="1">
      <c r="A28" s="6" t="s">
        <v>375</v>
      </c>
      <c r="B28" s="5" t="s">
        <v>355</v>
      </c>
      <c r="C28" s="5" t="s">
        <v>11</v>
      </c>
      <c r="D28" s="5" t="s">
        <v>356</v>
      </c>
      <c r="E28" s="5" t="s">
        <v>320</v>
      </c>
      <c r="F28" s="6" t="s">
        <v>384</v>
      </c>
      <c r="G28" s="5" t="s">
        <v>326</v>
      </c>
    </row>
    <row r="29" spans="1:7" ht="24" customHeight="1">
      <c r="A29" s="6" t="s">
        <v>376</v>
      </c>
      <c r="B29" s="5" t="s">
        <v>357</v>
      </c>
      <c r="C29" s="5" t="s">
        <v>11</v>
      </c>
      <c r="D29" s="5" t="s">
        <v>356</v>
      </c>
      <c r="E29" s="5" t="s">
        <v>320</v>
      </c>
      <c r="F29" s="6" t="s">
        <v>384</v>
      </c>
      <c r="G29" s="5" t="s">
        <v>326</v>
      </c>
    </row>
    <row r="30" spans="1:7" ht="24" customHeight="1">
      <c r="A30" s="6" t="s">
        <v>386</v>
      </c>
      <c r="B30" s="5" t="s">
        <v>387</v>
      </c>
      <c r="C30" s="5" t="s">
        <v>12</v>
      </c>
      <c r="D30" s="5" t="s">
        <v>363</v>
      </c>
      <c r="E30" s="5" t="s">
        <v>320</v>
      </c>
      <c r="F30" s="6" t="s">
        <v>322</v>
      </c>
      <c r="G30" s="5" t="s">
        <v>326</v>
      </c>
    </row>
    <row r="31" spans="1:7" ht="24" customHeight="1">
      <c r="A31" s="6" t="s">
        <v>378</v>
      </c>
      <c r="B31" s="5" t="s">
        <v>362</v>
      </c>
      <c r="C31" s="5" t="s">
        <v>11</v>
      </c>
      <c r="D31" s="5" t="s">
        <v>363</v>
      </c>
      <c r="E31" s="5" t="s">
        <v>320</v>
      </c>
      <c r="F31" s="6" t="s">
        <v>386</v>
      </c>
      <c r="G31" s="5" t="s">
        <v>326</v>
      </c>
    </row>
    <row r="32" spans="1:7" ht="24" customHeight="1">
      <c r="A32" s="6" t="s">
        <v>379</v>
      </c>
      <c r="B32" s="5" t="s">
        <v>364</v>
      </c>
      <c r="C32" s="5" t="s">
        <v>11</v>
      </c>
      <c r="D32" s="5" t="s">
        <v>363</v>
      </c>
      <c r="E32" s="5" t="s">
        <v>320</v>
      </c>
      <c r="F32" s="6" t="s">
        <v>386</v>
      </c>
      <c r="G32" s="5" t="s">
        <v>326</v>
      </c>
    </row>
    <row r="33" spans="1:7" ht="24" customHeight="1">
      <c r="A33" s="6" t="s">
        <v>388</v>
      </c>
      <c r="B33" s="5" t="s">
        <v>389</v>
      </c>
      <c r="C33" s="5" t="s">
        <v>13</v>
      </c>
      <c r="D33" s="5" t="s">
        <v>359</v>
      </c>
      <c r="E33" s="5" t="s">
        <v>390</v>
      </c>
      <c r="F33" s="6" t="s">
        <v>324</v>
      </c>
      <c r="G33" s="5" t="s">
        <v>326</v>
      </c>
    </row>
    <row r="34" spans="1:7" ht="24" customHeight="1">
      <c r="A34" s="6" t="s">
        <v>391</v>
      </c>
      <c r="B34" s="5" t="s">
        <v>392</v>
      </c>
      <c r="C34" s="5" t="s">
        <v>12</v>
      </c>
      <c r="D34" s="5" t="s">
        <v>359</v>
      </c>
      <c r="E34" s="5" t="s">
        <v>390</v>
      </c>
      <c r="F34" s="6" t="s">
        <v>388</v>
      </c>
      <c r="G34" s="5" t="s">
        <v>326</v>
      </c>
    </row>
    <row r="35" spans="1:7" ht="24" customHeight="1">
      <c r="A35" s="6" t="s">
        <v>380</v>
      </c>
      <c r="B35" s="5" t="s">
        <v>360</v>
      </c>
      <c r="C35" s="5" t="s">
        <v>11</v>
      </c>
      <c r="D35" s="5" t="s">
        <v>359</v>
      </c>
      <c r="E35" s="5" t="s">
        <v>390</v>
      </c>
      <c r="F35" s="6" t="s">
        <v>391</v>
      </c>
      <c r="G35" s="5" t="s">
        <v>326</v>
      </c>
    </row>
    <row r="36" spans="1:7" ht="24" customHeight="1">
      <c r="A36" s="6" t="s">
        <v>381</v>
      </c>
      <c r="B36" s="5" t="s">
        <v>358</v>
      </c>
      <c r="C36" s="5" t="s">
        <v>11</v>
      </c>
      <c r="D36" s="5" t="s">
        <v>359</v>
      </c>
      <c r="E36" s="5" t="s">
        <v>390</v>
      </c>
      <c r="F36" s="6" t="s">
        <v>391</v>
      </c>
      <c r="G36" s="5" t="s">
        <v>326</v>
      </c>
    </row>
    <row r="37" spans="1:7" ht="24" customHeight="1">
      <c r="A37" s="6" t="s">
        <v>382</v>
      </c>
      <c r="B37" s="5" t="s">
        <v>361</v>
      </c>
      <c r="C37" s="5" t="s">
        <v>11</v>
      </c>
      <c r="D37" s="5" t="s">
        <v>359</v>
      </c>
      <c r="E37" s="5" t="s">
        <v>390</v>
      </c>
      <c r="F37" s="6" t="s">
        <v>391</v>
      </c>
      <c r="G37" s="5" t="s">
        <v>326</v>
      </c>
    </row>
    <row r="38" spans="1:7" ht="24" customHeight="1">
      <c r="A38" s="6" t="s">
        <v>396</v>
      </c>
      <c r="B38" s="5" t="s">
        <v>397</v>
      </c>
      <c r="C38" s="5" t="s">
        <v>12</v>
      </c>
      <c r="D38" s="5" t="s">
        <v>366</v>
      </c>
      <c r="E38" s="5" t="s">
        <v>390</v>
      </c>
      <c r="F38" s="6" t="s">
        <v>388</v>
      </c>
      <c r="G38" s="5" t="s">
        <v>326</v>
      </c>
    </row>
    <row r="39" spans="1:7" ht="24" customHeight="1">
      <c r="A39" s="6" t="s">
        <v>383</v>
      </c>
      <c r="B39" s="5" t="s">
        <v>365</v>
      </c>
      <c r="C39" s="5" t="s">
        <v>11</v>
      </c>
      <c r="D39" s="5" t="s">
        <v>366</v>
      </c>
      <c r="E39" s="5" t="s">
        <v>390</v>
      </c>
      <c r="F39" s="6" t="s">
        <v>396</v>
      </c>
      <c r="G39" s="5" t="s">
        <v>326</v>
      </c>
    </row>
    <row r="40" spans="1:7" ht="24" customHeight="1">
      <c r="A40" s="6" t="s">
        <v>393</v>
      </c>
      <c r="B40" s="5" t="s">
        <v>367</v>
      </c>
      <c r="C40" s="5" t="s">
        <v>11</v>
      </c>
      <c r="D40" s="5" t="s">
        <v>366</v>
      </c>
      <c r="E40" s="5" t="s">
        <v>390</v>
      </c>
      <c r="F40" s="6" t="s">
        <v>396</v>
      </c>
      <c r="G40" s="5" t="s">
        <v>326</v>
      </c>
    </row>
    <row r="41" spans="1:7" ht="24" customHeight="1">
      <c r="A41" s="6" t="s">
        <v>394</v>
      </c>
      <c r="B41" s="5" t="s">
        <v>370</v>
      </c>
      <c r="C41" s="5" t="s">
        <v>11</v>
      </c>
      <c r="D41" s="5" t="s">
        <v>369</v>
      </c>
      <c r="E41" s="5" t="s">
        <v>390</v>
      </c>
      <c r="F41" s="6" t="s">
        <v>388</v>
      </c>
      <c r="G41" s="5" t="s">
        <v>326</v>
      </c>
    </row>
    <row r="42" spans="1:7" ht="24" customHeight="1">
      <c r="A42" s="6" t="s">
        <v>395</v>
      </c>
      <c r="B42" s="5" t="s">
        <v>368</v>
      </c>
      <c r="C42" s="5" t="s">
        <v>11</v>
      </c>
      <c r="D42" s="5" t="s">
        <v>369</v>
      </c>
      <c r="E42" s="5" t="s">
        <v>390</v>
      </c>
      <c r="F42" s="6" t="s">
        <v>388</v>
      </c>
      <c r="G42" s="5" t="s">
        <v>326</v>
      </c>
    </row>
    <row r="43" spans="1:7" ht="24" customHeight="1">
      <c r="A43" s="6"/>
      <c r="B43" s="5"/>
      <c r="C43" s="5"/>
      <c r="D43" s="5"/>
      <c r="E43" s="5"/>
      <c r="F43" s="6"/>
      <c r="G43" s="5"/>
    </row>
    <row r="44" spans="1:7" ht="24" customHeight="1">
      <c r="A44" s="6"/>
      <c r="B44" s="5"/>
      <c r="C44" s="5"/>
      <c r="D44" s="5"/>
      <c r="E44" s="5"/>
      <c r="F44" s="6"/>
      <c r="G44" s="5"/>
    </row>
    <row r="45" spans="1:7" ht="24" customHeight="1">
      <c r="A45" s="6"/>
      <c r="B45" s="5"/>
      <c r="C45" s="5"/>
      <c r="D45" s="5"/>
      <c r="E45" s="5"/>
      <c r="F45" s="6"/>
      <c r="G45" s="5"/>
    </row>
    <row r="46" spans="1:7" ht="24" customHeight="1">
      <c r="A46" s="6"/>
      <c r="B46" s="5"/>
      <c r="C46" s="5"/>
      <c r="D46" s="5"/>
      <c r="E46" s="5"/>
      <c r="F46" s="6"/>
      <c r="G46" s="5"/>
    </row>
    <row r="47" spans="1:7" ht="24" customHeight="1">
      <c r="A47" s="6"/>
      <c r="B47" s="5"/>
      <c r="C47" s="5"/>
      <c r="D47" s="5"/>
      <c r="E47" s="5"/>
      <c r="F47" s="6"/>
      <c r="G47" s="5"/>
    </row>
    <row r="48" spans="1:7" ht="24" customHeight="1">
      <c r="A48" s="6"/>
      <c r="B48" s="5"/>
      <c r="C48" s="5"/>
      <c r="D48" s="5"/>
      <c r="E48" s="5"/>
      <c r="F48" s="6"/>
      <c r="G48" s="5"/>
    </row>
    <row r="49" spans="1:7" ht="24" customHeight="1">
      <c r="A49" s="6"/>
      <c r="B49" s="5"/>
      <c r="C49" s="5"/>
      <c r="D49" s="5"/>
      <c r="E49" s="5"/>
      <c r="F49" s="6"/>
      <c r="G49" s="5"/>
    </row>
    <row r="50" spans="1:7" ht="24" customHeight="1">
      <c r="A50" s="6"/>
      <c r="B50" s="5"/>
      <c r="C50" s="5"/>
      <c r="D50" s="5"/>
      <c r="E50" s="5"/>
      <c r="F50" s="6"/>
      <c r="G50" s="5"/>
    </row>
    <row r="51" spans="1:7" ht="24" customHeight="1">
      <c r="A51" s="6"/>
      <c r="B51" s="5"/>
      <c r="C51" s="5"/>
      <c r="D51" s="5"/>
      <c r="E51" s="5"/>
      <c r="F51" s="6"/>
      <c r="G51" s="5"/>
    </row>
    <row r="52" spans="1:7" ht="24" customHeight="1">
      <c r="A52" s="6"/>
      <c r="B52" s="5"/>
      <c r="C52" s="5"/>
      <c r="D52" s="5"/>
      <c r="E52" s="5"/>
      <c r="F52" s="6"/>
      <c r="G52" s="5"/>
    </row>
    <row r="53" spans="1:7" ht="24" customHeight="1">
      <c r="A53" s="6"/>
      <c r="B53" s="5"/>
      <c r="C53" s="5"/>
      <c r="D53" s="5"/>
      <c r="E53" s="5"/>
      <c r="F53" s="6"/>
      <c r="G53" s="5"/>
    </row>
    <row r="54" spans="1:7" ht="24" customHeight="1">
      <c r="A54" s="6"/>
      <c r="B54" s="5"/>
      <c r="C54" s="5"/>
      <c r="D54" s="5"/>
      <c r="E54" s="5"/>
      <c r="F54" s="6"/>
      <c r="G54" s="5"/>
    </row>
    <row r="55" spans="1:7" ht="24" customHeight="1">
      <c r="A55" s="6"/>
      <c r="B55" s="5"/>
      <c r="C55" s="5"/>
      <c r="D55" s="5"/>
      <c r="E55" s="5"/>
      <c r="F55" s="6"/>
      <c r="G55" s="5"/>
    </row>
    <row r="56" spans="1:7" ht="24" customHeight="1">
      <c r="A56" s="6"/>
      <c r="B56" s="5"/>
      <c r="C56" s="5"/>
      <c r="D56" s="5"/>
      <c r="E56" s="5"/>
      <c r="F56" s="6"/>
      <c r="G56" s="5"/>
    </row>
    <row r="57" spans="1:7" ht="24" customHeight="1">
      <c r="A57" s="6"/>
      <c r="B57" s="5"/>
      <c r="C57" s="5"/>
      <c r="D57" s="5"/>
      <c r="E57" s="5"/>
      <c r="F57" s="6"/>
      <c r="G57" s="5"/>
    </row>
    <row r="58" spans="1:7" ht="24" customHeight="1">
      <c r="A58" s="6"/>
      <c r="B58" s="5"/>
      <c r="C58" s="5"/>
      <c r="D58" s="5"/>
      <c r="E58" s="5"/>
      <c r="F58" s="6"/>
      <c r="G58" s="5"/>
    </row>
    <row r="59" spans="1:7" ht="24" customHeight="1">
      <c r="A59" s="6"/>
      <c r="B59" s="5"/>
      <c r="C59" s="5"/>
      <c r="D59" s="5"/>
      <c r="E59" s="5"/>
      <c r="F59" s="6"/>
      <c r="G59" s="5"/>
    </row>
    <row r="60" spans="1:7" ht="24" customHeight="1">
      <c r="A60" s="6"/>
      <c r="B60" s="5"/>
      <c r="C60" s="5"/>
      <c r="D60" s="5"/>
      <c r="E60" s="5"/>
      <c r="F60" s="6"/>
      <c r="G60" s="5"/>
    </row>
    <row r="61" spans="1:7" ht="24" customHeight="1">
      <c r="A61" s="6"/>
      <c r="B61" s="5"/>
      <c r="C61" s="5"/>
      <c r="D61" s="5"/>
      <c r="E61" s="5"/>
      <c r="F61" s="6"/>
      <c r="G61" s="5"/>
    </row>
    <row r="62" spans="1:7" ht="24" customHeight="1">
      <c r="A62" s="6"/>
      <c r="B62" s="5"/>
      <c r="C62" s="5"/>
      <c r="D62" s="5"/>
      <c r="E62" s="5"/>
      <c r="F62" s="6"/>
      <c r="G62" s="5"/>
    </row>
    <row r="63" spans="1:7" ht="24" customHeight="1">
      <c r="A63" s="6"/>
      <c r="B63" s="5"/>
      <c r="C63" s="5"/>
      <c r="D63" s="5"/>
      <c r="E63" s="5"/>
      <c r="F63" s="6"/>
      <c r="G63" s="5"/>
    </row>
    <row r="64" spans="1:7" ht="24" customHeight="1">
      <c r="A64" s="6"/>
      <c r="B64" s="5"/>
      <c r="C64" s="5"/>
      <c r="D64" s="5"/>
      <c r="E64" s="5"/>
      <c r="F64" s="6"/>
      <c r="G64" s="5"/>
    </row>
    <row r="65" spans="1:7" ht="24" customHeight="1">
      <c r="A65" s="6"/>
      <c r="B65" s="5"/>
      <c r="C65" s="5"/>
      <c r="D65" s="5"/>
      <c r="E65" s="5"/>
      <c r="F65" s="6"/>
      <c r="G65" s="5"/>
    </row>
    <row r="66" spans="1:7" ht="24" customHeight="1">
      <c r="A66" s="6"/>
      <c r="B66" s="5"/>
      <c r="C66" s="5"/>
      <c r="D66" s="5"/>
      <c r="E66" s="5"/>
      <c r="F66" s="6"/>
      <c r="G66" s="5"/>
    </row>
    <row r="67" spans="1:7" ht="24" customHeight="1">
      <c r="A67" s="6"/>
      <c r="B67" s="5"/>
      <c r="C67" s="5"/>
      <c r="D67" s="5"/>
      <c r="E67" s="5"/>
      <c r="F67" s="6"/>
      <c r="G67" s="5"/>
    </row>
    <row r="68" spans="1:7" ht="24" customHeight="1">
      <c r="A68" s="6"/>
      <c r="B68" s="5"/>
      <c r="C68" s="5"/>
      <c r="D68" s="5"/>
      <c r="E68" s="5"/>
      <c r="F68" s="6"/>
      <c r="G68" s="5"/>
    </row>
    <row r="69" spans="1:7" ht="24" customHeight="1">
      <c r="A69" s="6"/>
      <c r="B69" s="5"/>
      <c r="C69" s="5"/>
      <c r="D69" s="5"/>
      <c r="E69" s="5"/>
      <c r="F69" s="6"/>
      <c r="G69" s="5"/>
    </row>
    <row r="70" spans="1:7" ht="24" customHeight="1">
      <c r="A70" s="6"/>
      <c r="B70" s="5"/>
      <c r="C70" s="5"/>
      <c r="D70" s="5"/>
      <c r="E70" s="5"/>
      <c r="F70" s="6"/>
      <c r="G70" s="5"/>
    </row>
    <row r="71" spans="1:7" ht="24" customHeight="1">
      <c r="A71" s="6"/>
      <c r="B71" s="5"/>
      <c r="C71" s="5"/>
      <c r="D71" s="5"/>
      <c r="E71" s="5"/>
      <c r="F71" s="6"/>
      <c r="G71" s="5"/>
    </row>
    <row r="72" spans="1:7" ht="24" customHeight="1">
      <c r="A72" s="6"/>
      <c r="B72" s="5"/>
      <c r="C72" s="5"/>
      <c r="D72" s="5"/>
      <c r="E72" s="5"/>
      <c r="F72" s="6"/>
      <c r="G72" s="5"/>
    </row>
    <row r="73" spans="1:7" ht="24" customHeight="1">
      <c r="A73" s="6"/>
      <c r="B73" s="5"/>
      <c r="C73" s="5"/>
      <c r="D73" s="5"/>
      <c r="E73" s="5"/>
      <c r="F73" s="6"/>
      <c r="G73" s="5"/>
    </row>
  </sheetData>
  <phoneticPr fontId="5" type="noConversion"/>
  <conditionalFormatting sqref="A8:A73">
    <cfRule type="expression" dxfId="4" priority="9">
      <formula>AND(A8&lt;&gt;"",COUNTIF($A$8:$A$73,A8)&gt;1)</formula>
    </cfRule>
  </conditionalFormatting>
  <conditionalFormatting sqref="F23:F25">
    <cfRule type="expression" dxfId="3" priority="8">
      <formula>AND(F23&lt;&gt;"",COUNTIF($A$8:$A$73,F23)&gt;1)</formula>
    </cfRule>
  </conditionalFormatting>
  <conditionalFormatting sqref="F28:F29">
    <cfRule type="expression" dxfId="2" priority="7">
      <formula>AND(F28&lt;&gt;"",COUNTIF($A$8:$A$73,F28)&gt;1)</formula>
    </cfRule>
  </conditionalFormatting>
  <conditionalFormatting sqref="F31:F32">
    <cfRule type="expression" dxfId="1" priority="6">
      <formula>AND(F31&lt;&gt;"",COUNTIF($A$8:$A$73,F31)&gt;1)</formula>
    </cfRule>
  </conditionalFormatting>
  <conditionalFormatting sqref="F34:F42">
    <cfRule type="expression" dxfId="0" priority="1">
      <formula>AND(F34&lt;&gt;"",COUNTIF($A$8:$A$73,F34)&gt;1)</formula>
    </cfRule>
  </conditionalFormatting>
  <dataValidations count="2">
    <dataValidation type="list" sqref="C8:C73" xr:uid="{00000000-0002-0000-0400-000000000000}">
      <formula1>"Sales,SPV,ASM,Manager"</formula1>
    </dataValidation>
    <dataValidation type="list" sqref="G8:G73" xr:uid="{00000000-0002-0000-0400-000001000000}">
      <formula1>"Aktif,Nonaktif"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showGridLines="0" workbookViewId="0">
      <pane xSplit="2" ySplit="7" topLeftCell="C31" activePane="bottomRight" state="frozen"/>
      <selection activeCell="C16" sqref="C16"/>
      <selection pane="topRight" activeCell="C16" sqref="C16"/>
      <selection pane="bottomLeft" activeCell="C16" sqref="C16"/>
      <selection pane="bottomRight" activeCell="C16" sqref="C16"/>
    </sheetView>
  </sheetViews>
  <sheetFormatPr defaultRowHeight="14.25"/>
  <cols>
    <col min="1" max="1" width="9" customWidth="1"/>
    <col min="2" max="2" width="12" customWidth="1"/>
    <col min="3" max="3" width="26" customWidth="1"/>
    <col min="4" max="4" width="62" customWidth="1"/>
    <col min="5" max="5" width="14" customWidth="1"/>
    <col min="6" max="6" width="47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30.95" customHeight="1">
      <c r="A2" s="2" t="s">
        <v>109</v>
      </c>
      <c r="B2" s="2"/>
      <c r="C2" s="2"/>
      <c r="D2" s="2"/>
      <c r="E2" s="2"/>
      <c r="F2" s="2"/>
      <c r="G2" s="2"/>
      <c r="H2" s="2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24" customHeight="1">
      <c r="A4" s="1" t="s">
        <v>110</v>
      </c>
      <c r="B4" s="1"/>
      <c r="C4" s="1"/>
      <c r="D4" s="1"/>
      <c r="E4" s="1"/>
      <c r="F4" s="1"/>
      <c r="G4" s="1"/>
      <c r="H4" s="1"/>
    </row>
    <row r="5" spans="1:8" ht="24" customHeight="1">
      <c r="A5" s="1" t="s">
        <v>111</v>
      </c>
      <c r="B5" s="1"/>
      <c r="C5" s="1"/>
      <c r="D5" s="1"/>
      <c r="E5" s="1"/>
      <c r="F5" s="1"/>
      <c r="G5" s="1"/>
      <c r="H5" s="1"/>
    </row>
    <row r="6" spans="1:8" ht="24" customHeight="1">
      <c r="A6" s="1"/>
      <c r="B6" s="1"/>
      <c r="C6" s="1"/>
      <c r="D6" s="1"/>
      <c r="E6" s="1"/>
      <c r="F6" s="1"/>
      <c r="G6" s="1"/>
      <c r="H6" s="1"/>
    </row>
    <row r="7" spans="1:8" ht="45" customHeight="1">
      <c r="A7" s="4" t="s">
        <v>112</v>
      </c>
      <c r="B7" s="4" t="s">
        <v>4</v>
      </c>
      <c r="C7" s="4" t="s">
        <v>113</v>
      </c>
      <c r="D7" s="4" t="s">
        <v>114</v>
      </c>
      <c r="E7" s="4" t="s">
        <v>115</v>
      </c>
      <c r="F7" s="4" t="s">
        <v>116</v>
      </c>
      <c r="G7" s="4" t="s">
        <v>117</v>
      </c>
      <c r="H7" s="4" t="s">
        <v>118</v>
      </c>
    </row>
    <row r="8" spans="1:8" ht="38.1" customHeight="1">
      <c r="A8" s="14" t="s">
        <v>119</v>
      </c>
      <c r="B8" s="14" t="s">
        <v>11</v>
      </c>
      <c r="C8" s="14" t="s">
        <v>41</v>
      </c>
      <c r="D8" s="14" t="s">
        <v>120</v>
      </c>
      <c r="E8" s="14" t="s">
        <v>121</v>
      </c>
      <c r="F8" s="14" t="s">
        <v>122</v>
      </c>
      <c r="G8" s="14" t="s">
        <v>123</v>
      </c>
      <c r="H8" s="14" t="s">
        <v>12</v>
      </c>
    </row>
    <row r="9" spans="1:8" ht="38.1" customHeight="1">
      <c r="A9" s="14" t="s">
        <v>124</v>
      </c>
      <c r="B9" s="14" t="s">
        <v>11</v>
      </c>
      <c r="C9" s="14" t="s">
        <v>42</v>
      </c>
      <c r="D9" s="14" t="s">
        <v>125</v>
      </c>
      <c r="E9" s="14" t="s">
        <v>121</v>
      </c>
      <c r="F9" s="14" t="s">
        <v>122</v>
      </c>
      <c r="G9" s="14" t="s">
        <v>126</v>
      </c>
      <c r="H9" s="14" t="s">
        <v>12</v>
      </c>
    </row>
    <row r="10" spans="1:8" ht="38.1" customHeight="1">
      <c r="A10" s="14" t="s">
        <v>127</v>
      </c>
      <c r="B10" s="14" t="s">
        <v>11</v>
      </c>
      <c r="C10" s="14" t="s">
        <v>43</v>
      </c>
      <c r="D10" s="14" t="s">
        <v>128</v>
      </c>
      <c r="E10" s="14" t="s">
        <v>121</v>
      </c>
      <c r="F10" s="14" t="s">
        <v>129</v>
      </c>
      <c r="G10" s="14" t="s">
        <v>130</v>
      </c>
      <c r="H10" s="14" t="s">
        <v>12</v>
      </c>
    </row>
    <row r="11" spans="1:8" ht="38.1" customHeight="1">
      <c r="A11" s="14" t="s">
        <v>131</v>
      </c>
      <c r="B11" s="14" t="s">
        <v>11</v>
      </c>
      <c r="C11" s="14" t="s">
        <v>44</v>
      </c>
      <c r="D11" s="14" t="s">
        <v>132</v>
      </c>
      <c r="E11" s="14" t="s">
        <v>121</v>
      </c>
      <c r="F11" s="14" t="s">
        <v>122</v>
      </c>
      <c r="G11" s="14" t="s">
        <v>133</v>
      </c>
      <c r="H11" s="14" t="s">
        <v>12</v>
      </c>
    </row>
    <row r="12" spans="1:8" ht="38.1" customHeight="1">
      <c r="A12" s="14" t="s">
        <v>134</v>
      </c>
      <c r="B12" s="14" t="s">
        <v>11</v>
      </c>
      <c r="C12" s="14" t="s">
        <v>45</v>
      </c>
      <c r="D12" s="14" t="s">
        <v>135</v>
      </c>
      <c r="E12" s="14" t="s">
        <v>121</v>
      </c>
      <c r="F12" s="14" t="s">
        <v>136</v>
      </c>
      <c r="G12" s="14" t="s">
        <v>137</v>
      </c>
      <c r="H12" s="14" t="s">
        <v>12</v>
      </c>
    </row>
    <row r="13" spans="1:8" ht="38.1" customHeight="1">
      <c r="A13" s="14" t="s">
        <v>138</v>
      </c>
      <c r="B13" s="14" t="s">
        <v>11</v>
      </c>
      <c r="C13" s="14" t="s">
        <v>46</v>
      </c>
      <c r="D13" s="14" t="s">
        <v>139</v>
      </c>
      <c r="E13" s="14" t="s">
        <v>121</v>
      </c>
      <c r="F13" s="14" t="s">
        <v>140</v>
      </c>
      <c r="G13" s="14" t="s">
        <v>141</v>
      </c>
      <c r="H13" s="14" t="s">
        <v>12</v>
      </c>
    </row>
    <row r="14" spans="1:8" ht="38.1" customHeight="1">
      <c r="A14" s="14" t="s">
        <v>142</v>
      </c>
      <c r="B14" s="14" t="s">
        <v>11</v>
      </c>
      <c r="C14" s="14" t="s">
        <v>47</v>
      </c>
      <c r="D14" s="14" t="s">
        <v>143</v>
      </c>
      <c r="E14" s="14" t="s">
        <v>121</v>
      </c>
      <c r="F14" s="14" t="s">
        <v>136</v>
      </c>
      <c r="G14" s="14" t="s">
        <v>144</v>
      </c>
      <c r="H14" s="14" t="s">
        <v>12</v>
      </c>
    </row>
    <row r="15" spans="1:8" ht="38.1" customHeight="1">
      <c r="A15" s="14" t="s">
        <v>145</v>
      </c>
      <c r="B15" s="14" t="s">
        <v>11</v>
      </c>
      <c r="C15" s="14" t="s">
        <v>48</v>
      </c>
      <c r="D15" s="14" t="s">
        <v>146</v>
      </c>
      <c r="E15" s="14" t="s">
        <v>121</v>
      </c>
      <c r="F15" s="14" t="s">
        <v>147</v>
      </c>
      <c r="G15" s="14" t="s">
        <v>148</v>
      </c>
      <c r="H15" s="14" t="s">
        <v>12</v>
      </c>
    </row>
    <row r="16" spans="1:8" ht="38.1" customHeight="1">
      <c r="A16" s="14" t="s">
        <v>149</v>
      </c>
      <c r="B16" s="14" t="s">
        <v>11</v>
      </c>
      <c r="C16" s="14" t="s">
        <v>49</v>
      </c>
      <c r="D16" s="14" t="s">
        <v>150</v>
      </c>
      <c r="E16" s="14" t="s">
        <v>121</v>
      </c>
      <c r="F16" s="14" t="s">
        <v>151</v>
      </c>
      <c r="G16" s="14" t="s">
        <v>152</v>
      </c>
      <c r="H16" s="14" t="s">
        <v>12</v>
      </c>
    </row>
    <row r="17" spans="1:8" ht="38.1" customHeight="1">
      <c r="A17" s="14" t="s">
        <v>153</v>
      </c>
      <c r="B17" s="14" t="s">
        <v>11</v>
      </c>
      <c r="C17" s="14" t="s">
        <v>50</v>
      </c>
      <c r="D17" s="14" t="s">
        <v>154</v>
      </c>
      <c r="E17" s="14" t="s">
        <v>121</v>
      </c>
      <c r="F17" s="14" t="s">
        <v>155</v>
      </c>
      <c r="G17" s="14" t="s">
        <v>156</v>
      </c>
      <c r="H17" s="14" t="s">
        <v>12</v>
      </c>
    </row>
    <row r="18" spans="1:8" ht="38.1" customHeight="1">
      <c r="A18" s="14" t="s">
        <v>157</v>
      </c>
      <c r="B18" s="14" t="s">
        <v>11</v>
      </c>
      <c r="C18" s="14" t="s">
        <v>51</v>
      </c>
      <c r="D18" s="14" t="s">
        <v>158</v>
      </c>
      <c r="E18" s="14" t="s">
        <v>159</v>
      </c>
      <c r="F18" s="14" t="s">
        <v>160</v>
      </c>
      <c r="G18" s="14" t="s">
        <v>161</v>
      </c>
      <c r="H18" s="14" t="s">
        <v>12</v>
      </c>
    </row>
    <row r="19" spans="1:8" ht="38.1" customHeight="1">
      <c r="A19" s="14" t="s">
        <v>162</v>
      </c>
      <c r="B19" s="14" t="s">
        <v>11</v>
      </c>
      <c r="C19" s="14" t="s">
        <v>52</v>
      </c>
      <c r="D19" s="14" t="s">
        <v>163</v>
      </c>
      <c r="E19" s="14" t="s">
        <v>159</v>
      </c>
      <c r="F19" s="14" t="s">
        <v>164</v>
      </c>
      <c r="G19" s="14" t="s">
        <v>165</v>
      </c>
      <c r="H19" s="14" t="s">
        <v>12</v>
      </c>
    </row>
    <row r="20" spans="1:8" ht="38.1" customHeight="1">
      <c r="A20" s="14" t="s">
        <v>166</v>
      </c>
      <c r="B20" s="14" t="s">
        <v>11</v>
      </c>
      <c r="C20" s="14" t="s">
        <v>53</v>
      </c>
      <c r="D20" s="14" t="s">
        <v>167</v>
      </c>
      <c r="E20" s="14" t="s">
        <v>159</v>
      </c>
      <c r="F20" s="14" t="s">
        <v>168</v>
      </c>
      <c r="G20" s="14" t="s">
        <v>169</v>
      </c>
      <c r="H20" s="14" t="s">
        <v>12</v>
      </c>
    </row>
    <row r="21" spans="1:8" ht="38.1" customHeight="1">
      <c r="A21" s="14" t="s">
        <v>170</v>
      </c>
      <c r="B21" s="14" t="s">
        <v>11</v>
      </c>
      <c r="C21" s="14" t="s">
        <v>54</v>
      </c>
      <c r="D21" s="14" t="s">
        <v>171</v>
      </c>
      <c r="E21" s="14" t="s">
        <v>159</v>
      </c>
      <c r="F21" s="14" t="s">
        <v>172</v>
      </c>
      <c r="G21" s="14" t="s">
        <v>173</v>
      </c>
      <c r="H21" s="14" t="s">
        <v>12</v>
      </c>
    </row>
    <row r="22" spans="1:8" ht="38.1" customHeight="1">
      <c r="A22" s="14" t="s">
        <v>174</v>
      </c>
      <c r="B22" s="14" t="s">
        <v>12</v>
      </c>
      <c r="C22" s="14" t="s">
        <v>76</v>
      </c>
      <c r="D22" s="14" t="s">
        <v>175</v>
      </c>
      <c r="E22" s="14" t="s">
        <v>121</v>
      </c>
      <c r="F22" s="14" t="s">
        <v>122</v>
      </c>
      <c r="G22" s="14" t="s">
        <v>176</v>
      </c>
      <c r="H22" s="14" t="s">
        <v>13</v>
      </c>
    </row>
    <row r="23" spans="1:8" ht="38.1" customHeight="1">
      <c r="A23" s="14" t="s">
        <v>177</v>
      </c>
      <c r="B23" s="14" t="s">
        <v>12</v>
      </c>
      <c r="C23" s="14" t="s">
        <v>77</v>
      </c>
      <c r="D23" s="14" t="s">
        <v>178</v>
      </c>
      <c r="E23" s="14" t="s">
        <v>121</v>
      </c>
      <c r="F23" s="14" t="s">
        <v>179</v>
      </c>
      <c r="G23" s="14" t="s">
        <v>180</v>
      </c>
      <c r="H23" s="14" t="s">
        <v>13</v>
      </c>
    </row>
    <row r="24" spans="1:8" ht="38.1" customHeight="1">
      <c r="A24" s="14" t="s">
        <v>181</v>
      </c>
      <c r="B24" s="14" t="s">
        <v>12</v>
      </c>
      <c r="C24" s="14" t="s">
        <v>78</v>
      </c>
      <c r="D24" s="14" t="s">
        <v>182</v>
      </c>
      <c r="E24" s="14" t="s">
        <v>121</v>
      </c>
      <c r="F24" s="14" t="s">
        <v>122</v>
      </c>
      <c r="G24" s="14" t="s">
        <v>183</v>
      </c>
      <c r="H24" s="14" t="s">
        <v>13</v>
      </c>
    </row>
    <row r="25" spans="1:8" ht="38.1" customHeight="1">
      <c r="A25" s="14" t="s">
        <v>184</v>
      </c>
      <c r="B25" s="14" t="s">
        <v>12</v>
      </c>
      <c r="C25" s="14" t="s">
        <v>79</v>
      </c>
      <c r="D25" s="14" t="s">
        <v>185</v>
      </c>
      <c r="E25" s="14" t="s">
        <v>121</v>
      </c>
      <c r="F25" s="14" t="s">
        <v>186</v>
      </c>
      <c r="G25" s="14" t="s">
        <v>187</v>
      </c>
      <c r="H25" s="14" t="s">
        <v>13</v>
      </c>
    </row>
    <row r="26" spans="1:8" ht="38.1" customHeight="1">
      <c r="A26" s="14" t="s">
        <v>188</v>
      </c>
      <c r="B26" s="14" t="s">
        <v>12</v>
      </c>
      <c r="C26" s="14" t="s">
        <v>80</v>
      </c>
      <c r="D26" s="14" t="s">
        <v>189</v>
      </c>
      <c r="E26" s="14" t="s">
        <v>121</v>
      </c>
      <c r="F26" s="14" t="s">
        <v>151</v>
      </c>
      <c r="G26" s="14" t="s">
        <v>190</v>
      </c>
      <c r="H26" s="14" t="s">
        <v>13</v>
      </c>
    </row>
    <row r="27" spans="1:8" ht="38.1" customHeight="1">
      <c r="A27" s="14" t="s">
        <v>191</v>
      </c>
      <c r="B27" s="14" t="s">
        <v>12</v>
      </c>
      <c r="C27" s="14" t="s">
        <v>81</v>
      </c>
      <c r="D27" s="14" t="s">
        <v>192</v>
      </c>
      <c r="E27" s="14" t="s">
        <v>121</v>
      </c>
      <c r="F27" s="14" t="s">
        <v>193</v>
      </c>
      <c r="G27" s="14" t="s">
        <v>194</v>
      </c>
      <c r="H27" s="14" t="s">
        <v>13</v>
      </c>
    </row>
    <row r="28" spans="1:8" ht="38.1" customHeight="1">
      <c r="A28" s="14" t="s">
        <v>195</v>
      </c>
      <c r="B28" s="14" t="s">
        <v>12</v>
      </c>
      <c r="C28" s="14" t="s">
        <v>82</v>
      </c>
      <c r="D28" s="14" t="s">
        <v>196</v>
      </c>
      <c r="E28" s="14" t="s">
        <v>121</v>
      </c>
      <c r="F28" s="14" t="s">
        <v>197</v>
      </c>
      <c r="G28" s="14" t="s">
        <v>198</v>
      </c>
      <c r="H28" s="14" t="s">
        <v>13</v>
      </c>
    </row>
    <row r="29" spans="1:8" ht="38.1" customHeight="1">
      <c r="A29" s="14" t="s">
        <v>199</v>
      </c>
      <c r="B29" s="14" t="s">
        <v>12</v>
      </c>
      <c r="C29" s="14" t="s">
        <v>83</v>
      </c>
      <c r="D29" s="14" t="s">
        <v>200</v>
      </c>
      <c r="E29" s="14" t="s">
        <v>121</v>
      </c>
      <c r="F29" s="14" t="s">
        <v>155</v>
      </c>
      <c r="G29" s="14" t="s">
        <v>201</v>
      </c>
      <c r="H29" s="14" t="s">
        <v>13</v>
      </c>
    </row>
    <row r="30" spans="1:8" ht="38.1" customHeight="1">
      <c r="A30" s="14" t="s">
        <v>202</v>
      </c>
      <c r="B30" s="14" t="s">
        <v>12</v>
      </c>
      <c r="C30" s="14" t="s">
        <v>84</v>
      </c>
      <c r="D30" s="14" t="s">
        <v>203</v>
      </c>
      <c r="E30" s="14" t="s">
        <v>121</v>
      </c>
      <c r="F30" s="14" t="s">
        <v>155</v>
      </c>
      <c r="G30" s="14" t="s">
        <v>204</v>
      </c>
      <c r="H30" s="14" t="s">
        <v>13</v>
      </c>
    </row>
    <row r="31" spans="1:8" ht="38.1" customHeight="1">
      <c r="A31" s="14" t="s">
        <v>205</v>
      </c>
      <c r="B31" s="14" t="s">
        <v>12</v>
      </c>
      <c r="C31" s="14" t="s">
        <v>85</v>
      </c>
      <c r="D31" s="14" t="s">
        <v>206</v>
      </c>
      <c r="E31" s="14" t="s">
        <v>159</v>
      </c>
      <c r="F31" s="14" t="s">
        <v>207</v>
      </c>
      <c r="G31" s="14" t="s">
        <v>208</v>
      </c>
      <c r="H31" s="14" t="s">
        <v>13</v>
      </c>
    </row>
    <row r="32" spans="1:8" ht="38.1" customHeight="1">
      <c r="A32" s="14" t="s">
        <v>209</v>
      </c>
      <c r="B32" s="14" t="s">
        <v>12</v>
      </c>
      <c r="C32" s="14" t="s">
        <v>86</v>
      </c>
      <c r="D32" s="14" t="s">
        <v>210</v>
      </c>
      <c r="E32" s="14" t="s">
        <v>159</v>
      </c>
      <c r="F32" s="14" t="s">
        <v>211</v>
      </c>
      <c r="G32" s="14" t="s">
        <v>212</v>
      </c>
      <c r="H32" s="14" t="s">
        <v>13</v>
      </c>
    </row>
    <row r="33" spans="1:8" ht="38.1" customHeight="1">
      <c r="A33" s="14" t="s">
        <v>213</v>
      </c>
      <c r="B33" s="14" t="s">
        <v>12</v>
      </c>
      <c r="C33" s="14" t="s">
        <v>87</v>
      </c>
      <c r="D33" s="14" t="s">
        <v>214</v>
      </c>
      <c r="E33" s="14" t="s">
        <v>159</v>
      </c>
      <c r="F33" s="14" t="s">
        <v>215</v>
      </c>
      <c r="G33" s="14" t="s">
        <v>216</v>
      </c>
      <c r="H33" s="14" t="s">
        <v>13</v>
      </c>
    </row>
    <row r="34" spans="1:8" ht="38.1" customHeight="1">
      <c r="A34" s="14" t="s">
        <v>217</v>
      </c>
      <c r="B34" s="14" t="s">
        <v>12</v>
      </c>
      <c r="C34" s="14" t="s">
        <v>88</v>
      </c>
      <c r="D34" s="14" t="s">
        <v>218</v>
      </c>
      <c r="E34" s="14" t="s">
        <v>159</v>
      </c>
      <c r="F34" s="14" t="s">
        <v>219</v>
      </c>
      <c r="G34" s="14" t="s">
        <v>220</v>
      </c>
      <c r="H34" s="14" t="s">
        <v>13</v>
      </c>
    </row>
    <row r="35" spans="1:8" ht="38.1" customHeight="1">
      <c r="A35" s="14" t="s">
        <v>221</v>
      </c>
      <c r="B35" s="14" t="s">
        <v>13</v>
      </c>
      <c r="C35" s="14" t="s">
        <v>91</v>
      </c>
      <c r="D35" s="14" t="s">
        <v>222</v>
      </c>
      <c r="E35" s="14" t="s">
        <v>121</v>
      </c>
      <c r="F35" s="14" t="s">
        <v>122</v>
      </c>
      <c r="G35" s="14" t="s">
        <v>223</v>
      </c>
      <c r="H35" s="14" t="s">
        <v>224</v>
      </c>
    </row>
    <row r="36" spans="1:8" ht="38.1" customHeight="1">
      <c r="A36" s="14" t="s">
        <v>225</v>
      </c>
      <c r="B36" s="14" t="s">
        <v>13</v>
      </c>
      <c r="C36" s="14" t="s">
        <v>92</v>
      </c>
      <c r="D36" s="14" t="s">
        <v>226</v>
      </c>
      <c r="E36" s="14" t="s">
        <v>121</v>
      </c>
      <c r="F36" s="14" t="s">
        <v>227</v>
      </c>
      <c r="G36" s="14" t="s">
        <v>228</v>
      </c>
      <c r="H36" s="14" t="s">
        <v>224</v>
      </c>
    </row>
    <row r="37" spans="1:8" ht="38.1" customHeight="1">
      <c r="A37" s="14" t="s">
        <v>229</v>
      </c>
      <c r="B37" s="14" t="s">
        <v>13</v>
      </c>
      <c r="C37" s="14" t="s">
        <v>93</v>
      </c>
      <c r="D37" s="14" t="s">
        <v>230</v>
      </c>
      <c r="E37" s="14" t="s">
        <v>121</v>
      </c>
      <c r="F37" s="14" t="s">
        <v>122</v>
      </c>
      <c r="G37" s="14" t="s">
        <v>231</v>
      </c>
      <c r="H37" s="14" t="s">
        <v>224</v>
      </c>
    </row>
    <row r="38" spans="1:8" ht="38.1" customHeight="1">
      <c r="A38" s="14" t="s">
        <v>232</v>
      </c>
      <c r="B38" s="14" t="s">
        <v>13</v>
      </c>
      <c r="C38" s="14" t="s">
        <v>94</v>
      </c>
      <c r="D38" s="14" t="s">
        <v>233</v>
      </c>
      <c r="E38" s="14" t="s">
        <v>121</v>
      </c>
      <c r="F38" s="14" t="s">
        <v>122</v>
      </c>
      <c r="G38" s="14" t="s">
        <v>173</v>
      </c>
      <c r="H38" s="14" t="s">
        <v>224</v>
      </c>
    </row>
    <row r="39" spans="1:8" ht="38.1" customHeight="1">
      <c r="A39" s="14" t="s">
        <v>234</v>
      </c>
      <c r="B39" s="14" t="s">
        <v>13</v>
      </c>
      <c r="C39" s="14" t="s">
        <v>95</v>
      </c>
      <c r="D39" s="14" t="s">
        <v>235</v>
      </c>
      <c r="E39" s="14" t="s">
        <v>121</v>
      </c>
      <c r="F39" s="14" t="s">
        <v>236</v>
      </c>
      <c r="G39" s="14" t="s">
        <v>237</v>
      </c>
      <c r="H39" s="14" t="s">
        <v>224</v>
      </c>
    </row>
    <row r="40" spans="1:8" ht="38.1" customHeight="1">
      <c r="A40" s="14" t="s">
        <v>238</v>
      </c>
      <c r="B40" s="14" t="s">
        <v>13</v>
      </c>
      <c r="C40" s="14" t="s">
        <v>96</v>
      </c>
      <c r="D40" s="14" t="s">
        <v>239</v>
      </c>
      <c r="E40" s="14" t="s">
        <v>121</v>
      </c>
      <c r="F40" s="14" t="s">
        <v>197</v>
      </c>
      <c r="G40" s="14" t="s">
        <v>240</v>
      </c>
      <c r="H40" s="14" t="s">
        <v>224</v>
      </c>
    </row>
    <row r="41" spans="1:8" ht="38.1" customHeight="1">
      <c r="A41" s="14" t="s">
        <v>241</v>
      </c>
      <c r="B41" s="14" t="s">
        <v>13</v>
      </c>
      <c r="C41" s="14" t="s">
        <v>97</v>
      </c>
      <c r="D41" s="14" t="s">
        <v>242</v>
      </c>
      <c r="E41" s="14" t="s">
        <v>121</v>
      </c>
      <c r="F41" s="14" t="s">
        <v>151</v>
      </c>
      <c r="G41" s="14" t="s">
        <v>243</v>
      </c>
      <c r="H41" s="14" t="s">
        <v>224</v>
      </c>
    </row>
    <row r="42" spans="1:8" ht="38.1" customHeight="1">
      <c r="A42" s="14" t="s">
        <v>244</v>
      </c>
      <c r="B42" s="14" t="s">
        <v>13</v>
      </c>
      <c r="C42" s="14" t="s">
        <v>98</v>
      </c>
      <c r="D42" s="14" t="s">
        <v>245</v>
      </c>
      <c r="E42" s="14" t="s">
        <v>121</v>
      </c>
      <c r="F42" s="14" t="s">
        <v>155</v>
      </c>
      <c r="G42" s="14" t="s">
        <v>246</v>
      </c>
      <c r="H42" s="14" t="s">
        <v>224</v>
      </c>
    </row>
    <row r="43" spans="1:8" ht="38.1" customHeight="1">
      <c r="A43" s="14" t="s">
        <v>247</v>
      </c>
      <c r="B43" s="14" t="s">
        <v>13</v>
      </c>
      <c r="C43" s="14" t="s">
        <v>99</v>
      </c>
      <c r="D43" s="14" t="s">
        <v>248</v>
      </c>
      <c r="E43" s="14" t="s">
        <v>121</v>
      </c>
      <c r="F43" s="14" t="s">
        <v>155</v>
      </c>
      <c r="G43" s="14" t="s">
        <v>249</v>
      </c>
      <c r="H43" s="14" t="s">
        <v>224</v>
      </c>
    </row>
    <row r="44" spans="1:8" ht="38.1" customHeight="1">
      <c r="A44" s="14" t="s">
        <v>250</v>
      </c>
      <c r="B44" s="14" t="s">
        <v>13</v>
      </c>
      <c r="C44" s="14" t="s">
        <v>100</v>
      </c>
      <c r="D44" s="14" t="s">
        <v>251</v>
      </c>
      <c r="E44" s="14" t="s">
        <v>159</v>
      </c>
      <c r="F44" s="14" t="s">
        <v>252</v>
      </c>
      <c r="G44" s="14" t="s">
        <v>253</v>
      </c>
      <c r="H44" s="14" t="s">
        <v>224</v>
      </c>
    </row>
    <row r="45" spans="1:8" ht="38.1" customHeight="1">
      <c r="A45" s="14" t="s">
        <v>254</v>
      </c>
      <c r="B45" s="14" t="s">
        <v>13</v>
      </c>
      <c r="C45" s="14" t="s">
        <v>101</v>
      </c>
      <c r="D45" s="14" t="s">
        <v>255</v>
      </c>
      <c r="E45" s="14" t="s">
        <v>159</v>
      </c>
      <c r="F45" s="14" t="s">
        <v>256</v>
      </c>
      <c r="G45" s="14" t="s">
        <v>257</v>
      </c>
      <c r="H45" s="14" t="s">
        <v>224</v>
      </c>
    </row>
    <row r="46" spans="1:8" ht="38.1" customHeight="1">
      <c r="A46" s="14" t="s">
        <v>258</v>
      </c>
      <c r="B46" s="14" t="s">
        <v>13</v>
      </c>
      <c r="C46" s="14" t="s">
        <v>102</v>
      </c>
      <c r="D46" s="14" t="s">
        <v>259</v>
      </c>
      <c r="E46" s="14" t="s">
        <v>159</v>
      </c>
      <c r="F46" s="14" t="s">
        <v>260</v>
      </c>
      <c r="G46" s="14" t="s">
        <v>261</v>
      </c>
      <c r="H46" s="14" t="s">
        <v>224</v>
      </c>
    </row>
    <row r="47" spans="1:8" ht="38.1" customHeight="1">
      <c r="A47" s="14" t="s">
        <v>262</v>
      </c>
      <c r="B47" s="14" t="s">
        <v>13</v>
      </c>
      <c r="C47" s="14" t="s">
        <v>103</v>
      </c>
      <c r="D47" s="14" t="s">
        <v>263</v>
      </c>
      <c r="E47" s="14" t="s">
        <v>159</v>
      </c>
      <c r="F47" s="14" t="s">
        <v>264</v>
      </c>
      <c r="G47" s="14" t="s">
        <v>265</v>
      </c>
      <c r="H47" s="14" t="s">
        <v>224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showGridLines="0" workbookViewId="0">
      <pane ySplit="7" topLeftCell="A8" activePane="bottomLeft" state="frozen"/>
      <selection activeCell="C16" sqref="C16"/>
      <selection pane="bottomLeft" activeCell="C16" sqref="C16"/>
    </sheetView>
  </sheetViews>
  <sheetFormatPr defaultRowHeight="14.25"/>
  <cols>
    <col min="1" max="1" width="31" customWidth="1"/>
    <col min="2" max="2" width="119" customWidth="1"/>
    <col min="3" max="6" width="15" customWidth="1"/>
  </cols>
  <sheetData>
    <row r="1" spans="1:6" ht="24" customHeight="1">
      <c r="A1" s="1"/>
      <c r="B1" s="1"/>
      <c r="C1" s="1"/>
      <c r="D1" s="1"/>
      <c r="E1" s="1"/>
      <c r="F1" s="1"/>
    </row>
    <row r="2" spans="1:6" ht="30.95" customHeight="1">
      <c r="A2" s="2" t="s">
        <v>266</v>
      </c>
      <c r="B2" s="2"/>
      <c r="C2" s="2"/>
      <c r="D2" s="2"/>
      <c r="E2" s="2"/>
      <c r="F2" s="2"/>
    </row>
    <row r="3" spans="1:6" ht="24" customHeight="1">
      <c r="A3" s="3"/>
      <c r="B3" s="3"/>
      <c r="C3" s="3"/>
      <c r="D3" s="3"/>
      <c r="E3" s="3"/>
      <c r="F3" s="3"/>
    </row>
    <row r="4" spans="1:6" ht="24" customHeight="1">
      <c r="A4" s="1"/>
      <c r="B4" s="1"/>
      <c r="C4" s="1"/>
      <c r="D4" s="1"/>
      <c r="E4" s="1"/>
      <c r="F4" s="1"/>
    </row>
    <row r="5" spans="1:6" ht="24" customHeight="1">
      <c r="A5" s="1"/>
      <c r="B5" s="1"/>
      <c r="C5" s="1"/>
      <c r="D5" s="1"/>
      <c r="E5" s="1"/>
      <c r="F5" s="1"/>
    </row>
    <row r="6" spans="1:6" ht="24" customHeight="1">
      <c r="A6" s="1"/>
      <c r="B6" s="1"/>
      <c r="C6" s="1"/>
      <c r="D6" s="1"/>
      <c r="E6" s="1"/>
      <c r="F6" s="1"/>
    </row>
    <row r="7" spans="1:6" ht="45" customHeight="1">
      <c r="A7" s="4" t="s">
        <v>267</v>
      </c>
      <c r="B7" s="4" t="s">
        <v>268</v>
      </c>
      <c r="C7" s="1"/>
      <c r="D7" s="1"/>
      <c r="E7" s="1"/>
      <c r="F7" s="1"/>
    </row>
    <row r="8" spans="1:6" ht="35.1" customHeight="1">
      <c r="A8" s="14" t="s">
        <v>269</v>
      </c>
      <c r="B8" s="14" t="s">
        <v>270</v>
      </c>
      <c r="C8" s="1"/>
      <c r="D8" s="1"/>
      <c r="E8" s="1"/>
      <c r="F8" s="1"/>
    </row>
    <row r="9" spans="1:6" ht="35.1" customHeight="1">
      <c r="A9" s="14" t="s">
        <v>271</v>
      </c>
      <c r="B9" s="14" t="s">
        <v>272</v>
      </c>
      <c r="C9" s="1"/>
      <c r="D9" s="1"/>
      <c r="E9" s="1"/>
      <c r="F9" s="1"/>
    </row>
    <row r="10" spans="1:6" ht="35.1" customHeight="1">
      <c r="A10" s="14" t="s">
        <v>273</v>
      </c>
      <c r="B10" s="14" t="s">
        <v>274</v>
      </c>
      <c r="C10" s="1"/>
      <c r="D10" s="1"/>
      <c r="E10" s="1"/>
      <c r="F10" s="1"/>
    </row>
    <row r="11" spans="1:6" ht="35.1" customHeight="1">
      <c r="A11" s="14" t="s">
        <v>275</v>
      </c>
      <c r="B11" s="14" t="s">
        <v>276</v>
      </c>
      <c r="C11" s="1"/>
      <c r="D11" s="1"/>
      <c r="E11" s="1"/>
      <c r="F11" s="1"/>
    </row>
    <row r="12" spans="1:6" ht="35.1" customHeight="1">
      <c r="A12" s="14" t="s">
        <v>277</v>
      </c>
      <c r="B12" s="14" t="s">
        <v>278</v>
      </c>
      <c r="C12" s="1"/>
      <c r="D12" s="1"/>
      <c r="E12" s="1"/>
      <c r="F12" s="1"/>
    </row>
    <row r="13" spans="1:6" ht="35.1" customHeight="1">
      <c r="A13" s="14" t="s">
        <v>279</v>
      </c>
      <c r="B13" s="14" t="s">
        <v>280</v>
      </c>
      <c r="C13" s="1"/>
      <c r="D13" s="1"/>
      <c r="E13" s="1"/>
      <c r="F13" s="1"/>
    </row>
    <row r="14" spans="1:6" ht="35.1" customHeight="1">
      <c r="A14" s="14" t="s">
        <v>281</v>
      </c>
      <c r="B14" s="14" t="s">
        <v>282</v>
      </c>
      <c r="C14" s="1"/>
      <c r="D14" s="1"/>
      <c r="E14" s="1"/>
      <c r="F14" s="1"/>
    </row>
    <row r="15" spans="1:6" ht="35.1" customHeight="1">
      <c r="A15" s="14" t="s">
        <v>283</v>
      </c>
      <c r="B15" s="14" t="s">
        <v>284</v>
      </c>
      <c r="C15" s="1"/>
      <c r="D15" s="1"/>
      <c r="E15" s="1"/>
      <c r="F15" s="1"/>
    </row>
    <row r="16" spans="1:6" ht="35.1" customHeight="1">
      <c r="A16" s="14" t="s">
        <v>285</v>
      </c>
      <c r="B16" s="14" t="s">
        <v>286</v>
      </c>
      <c r="C16" s="1"/>
      <c r="D16" s="1"/>
      <c r="E16" s="1"/>
      <c r="F16" s="1"/>
    </row>
    <row r="17" spans="1:6" ht="35.1" customHeight="1">
      <c r="A17" s="14" t="s">
        <v>287</v>
      </c>
      <c r="B17" s="14" t="s">
        <v>288</v>
      </c>
      <c r="C17" s="1"/>
      <c r="D17" s="1"/>
      <c r="E17" s="1"/>
      <c r="F17" s="1"/>
    </row>
    <row r="18" spans="1:6" ht="35.1" customHeight="1">
      <c r="A18" s="14" t="s">
        <v>289</v>
      </c>
      <c r="B18" s="14" t="s">
        <v>290</v>
      </c>
      <c r="C18" s="1"/>
      <c r="D18" s="1"/>
      <c r="E18" s="1"/>
      <c r="F18" s="1"/>
    </row>
    <row r="19" spans="1:6" ht="35.1" customHeight="1">
      <c r="A19" s="14" t="s">
        <v>291</v>
      </c>
      <c r="B19" s="14" t="s">
        <v>292</v>
      </c>
      <c r="C19" s="1"/>
      <c r="D19" s="1"/>
      <c r="E19" s="1"/>
      <c r="F19" s="1"/>
    </row>
    <row r="20" spans="1:6" ht="35.1" customHeight="1">
      <c r="A20" s="14" t="s">
        <v>293</v>
      </c>
      <c r="B20" s="14" t="s">
        <v>294</v>
      </c>
      <c r="C20" s="1"/>
      <c r="D20" s="1"/>
      <c r="E20" s="1"/>
      <c r="F20" s="1"/>
    </row>
    <row r="21" spans="1:6" ht="35.1" customHeight="1">
      <c r="A21" s="14" t="s">
        <v>295</v>
      </c>
      <c r="B21" s="14" t="s">
        <v>296</v>
      </c>
      <c r="C21" s="1"/>
      <c r="D21" s="1"/>
      <c r="E21" s="1"/>
      <c r="F21" s="1"/>
    </row>
    <row r="22" spans="1:6" ht="35.1" customHeight="1">
      <c r="A22" s="14" t="s">
        <v>297</v>
      </c>
      <c r="B22" s="14" t="s">
        <v>298</v>
      </c>
      <c r="C22" s="1"/>
      <c r="D22" s="1"/>
      <c r="E22" s="1"/>
      <c r="F22" s="1"/>
    </row>
    <row r="23" spans="1:6" ht="35.1" customHeight="1">
      <c r="A23" s="14" t="s">
        <v>299</v>
      </c>
      <c r="B23" s="14" t="s">
        <v>300</v>
      </c>
      <c r="C23" s="1"/>
      <c r="D23" s="1"/>
      <c r="E23" s="1"/>
      <c r="F23" s="1"/>
    </row>
    <row r="24" spans="1:6" ht="35.1" customHeight="1">
      <c r="A24" s="14" t="s">
        <v>301</v>
      </c>
      <c r="B24" s="14" t="s">
        <v>302</v>
      </c>
      <c r="C24" s="1"/>
      <c r="D24" s="1"/>
      <c r="E24" s="1"/>
      <c r="F24" s="1"/>
    </row>
    <row r="25" spans="1:6" ht="35.1" customHeight="1">
      <c r="A25" s="14" t="s">
        <v>303</v>
      </c>
      <c r="B25" s="14" t="s">
        <v>304</v>
      </c>
      <c r="C25" s="1"/>
      <c r="D25" s="1"/>
      <c r="E25" s="1"/>
      <c r="F25" s="1"/>
    </row>
    <row r="26" spans="1:6" ht="35.1" customHeight="1">
      <c r="A26" s="14" t="s">
        <v>305</v>
      </c>
      <c r="B26" s="14" t="s">
        <v>306</v>
      </c>
      <c r="C26" s="1"/>
      <c r="D26" s="1"/>
      <c r="E26" s="1"/>
      <c r="F26" s="1"/>
    </row>
    <row r="27" spans="1:6" ht="35.1" customHeight="1">
      <c r="A27" s="14" t="s">
        <v>307</v>
      </c>
      <c r="B27" s="14" t="s">
        <v>308</v>
      </c>
      <c r="C27" s="1"/>
      <c r="D27" s="1"/>
      <c r="E27" s="1"/>
      <c r="F27" s="1"/>
    </row>
    <row r="28" spans="1:6" ht="24" customHeight="1">
      <c r="A28" s="1"/>
      <c r="B28" s="1"/>
      <c r="C28" s="1"/>
      <c r="D28" s="1"/>
      <c r="E28" s="1"/>
      <c r="F28" s="1"/>
    </row>
    <row r="29" spans="1:6" ht="24" customHeight="1">
      <c r="A29" s="1"/>
      <c r="B29" s="1"/>
      <c r="C29" s="1"/>
      <c r="D29" s="1"/>
      <c r="E29" s="1"/>
      <c r="F29" s="1"/>
    </row>
    <row r="30" spans="1:6" ht="24" customHeight="1">
      <c r="A30" s="11" t="s">
        <v>309</v>
      </c>
      <c r="B30" s="11"/>
      <c r="C30" s="1"/>
      <c r="D30" s="1"/>
      <c r="E30" s="1"/>
      <c r="F30" s="1"/>
    </row>
    <row r="31" spans="1:6" ht="24" customHeight="1">
      <c r="A31" s="1"/>
      <c r="B31" s="1"/>
      <c r="C31" s="1"/>
      <c r="D31" s="1"/>
      <c r="E31" s="1"/>
      <c r="F31" s="1"/>
    </row>
    <row r="32" spans="1:6" ht="45" customHeight="1">
      <c r="A32" s="4" t="s">
        <v>310</v>
      </c>
      <c r="B32" s="4" t="s">
        <v>311</v>
      </c>
      <c r="C32" s="1"/>
      <c r="D32" s="1"/>
      <c r="E32" s="1"/>
      <c r="F32" s="1"/>
    </row>
    <row r="33" spans="1:6" ht="45" customHeight="1">
      <c r="A33" s="14" t="s">
        <v>312</v>
      </c>
      <c r="B33" s="14" t="s">
        <v>313</v>
      </c>
      <c r="C33" s="1"/>
      <c r="D33" s="1"/>
      <c r="E33" s="1"/>
      <c r="F33" s="1"/>
    </row>
    <row r="34" spans="1:6" ht="45" customHeight="1">
      <c r="A34" s="14" t="s">
        <v>26</v>
      </c>
      <c r="B34" s="14" t="s">
        <v>314</v>
      </c>
      <c r="C34" s="1"/>
      <c r="D34" s="1"/>
      <c r="E34" s="1"/>
      <c r="F34" s="1"/>
    </row>
    <row r="35" spans="1:6" ht="45" customHeight="1">
      <c r="A35" s="14" t="s">
        <v>315</v>
      </c>
      <c r="B35" s="14" t="s">
        <v>316</v>
      </c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  <row r="37" spans="1:6" ht="24" customHeight="1">
      <c r="A37" s="1"/>
      <c r="B37" s="1"/>
      <c r="C37" s="1"/>
      <c r="D37" s="1"/>
      <c r="E37" s="1"/>
      <c r="F37" s="1"/>
    </row>
    <row r="38" spans="1:6" ht="54.95" customHeight="1">
      <c r="A38" s="14" t="s">
        <v>317</v>
      </c>
      <c r="B38" s="14" t="s">
        <v>318</v>
      </c>
      <c r="C38" s="1"/>
      <c r="D38" s="1"/>
      <c r="E38" s="1"/>
      <c r="F38" s="1"/>
    </row>
    <row r="39" spans="1:6" ht="24" customHeight="1">
      <c r="A39" s="1"/>
      <c r="B39" s="1"/>
      <c r="C39" s="1"/>
      <c r="D39" s="1"/>
      <c r="E39" s="1"/>
      <c r="F39" s="1"/>
    </row>
    <row r="40" spans="1:6" ht="24" customHeight="1">
      <c r="A40" s="1"/>
      <c r="B40" s="1"/>
      <c r="C40" s="1"/>
      <c r="D40" s="1"/>
      <c r="E40" s="1"/>
      <c r="F40" s="1"/>
    </row>
    <row r="41" spans="1:6" ht="24" customHeight="1">
      <c r="A41" s="1"/>
      <c r="B41" s="1"/>
      <c r="C41" s="1"/>
      <c r="D41" s="1"/>
      <c r="E41" s="1"/>
      <c r="F41" s="1"/>
    </row>
    <row r="42" spans="1:6" ht="24" customHeight="1">
      <c r="A42" s="1"/>
      <c r="B42" s="1"/>
      <c r="C42" s="1"/>
      <c r="D42" s="1"/>
      <c r="E42" s="1"/>
      <c r="F42" s="1"/>
    </row>
    <row r="43" spans="1:6" ht="24" customHeight="1">
      <c r="A43" s="1"/>
      <c r="B43" s="1"/>
      <c r="C43" s="1"/>
      <c r="D43" s="1"/>
      <c r="E43" s="1"/>
      <c r="F43" s="1"/>
    </row>
    <row r="44" spans="1:6" ht="24" customHeight="1">
      <c r="A44" s="1"/>
      <c r="B44" s="1"/>
      <c r="C44" s="1"/>
      <c r="D44" s="1"/>
      <c r="E44" s="1"/>
      <c r="F44" s="1"/>
    </row>
    <row r="45" spans="1:6" ht="24" customHeight="1">
      <c r="A45" s="1"/>
      <c r="B45" s="1"/>
      <c r="C45" s="1"/>
      <c r="D45" s="1"/>
      <c r="E45" s="1"/>
      <c r="F45" s="1"/>
    </row>
    <row r="46" spans="1:6" ht="24" customHeight="1">
      <c r="A46" s="1"/>
      <c r="B46" s="1"/>
      <c r="C46" s="1"/>
      <c r="D46" s="1"/>
      <c r="E46" s="1"/>
      <c r="F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Rekap_Manager</vt:lpstr>
      <vt:lpstr>Sales_Harian</vt:lpstr>
      <vt:lpstr>SPV_Harian</vt:lpstr>
      <vt:lpstr>ASM_Harian</vt:lpstr>
      <vt:lpstr>Master_PIC</vt:lpstr>
      <vt:lpstr>Kamus_Kegiatan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OPS</cp:lastModifiedBy>
  <dcterms:modified xsi:type="dcterms:W3CDTF">2026-10-04T22:50:46Z</dcterms:modified>
</cp:coreProperties>
</file>